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worksheets/sheet8.xml" ContentType="application/vnd.openxmlformats-officedocument.spreadsheetml.worksheet+xml"/>
  <Override PartName="/xl/comments/comment4.xml" ContentType="application/vnd.openxmlformats-officedocument.spreadsheetml.comments+xml"/>
  <Override PartName="/xl/tables/table1.xml" ContentType="application/vnd.openxmlformats-officedocument.spreadsheetml.table+xml"/>
  <Override PartName="/xl/worksheets/sheet9.xml" ContentType="application/vnd.openxmlformats-officedocument.spreadsheetml.worksheet+xml"/>
  <Override PartName="/xl/comments/comment5.xml" ContentType="application/vnd.openxmlformats-officedocument.spreadsheetml.comments+xml"/>
  <Override PartName="/xl/worksheets/sheet10.xml" ContentType="application/vnd.openxmlformats-officedocument.spreadsheetml.worksheet+xml"/>
  <Override PartName="/xl/comments/comment6.xml" ContentType="application/vnd.openxmlformats-officedocument.spreadsheetml.comment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EstaPastaDeTrabalho"/>
  <bookViews>
    <workbookView visibility="visible" minimized="0" showHorizontalScroll="1" showVerticalScroll="1" showSheetTabs="1" xWindow="22932" yWindow="-108" windowWidth="23256" windowHeight="13176" tabRatio="600" firstSheet="0" activeTab="0" autoFilterDateGrouping="1"/>
  </bookViews>
  <sheets>
    <sheet xmlns:r="http://schemas.openxmlformats.org/officeDocument/2006/relationships" name="DiscreteSignals" sheetId="1" state="visible" r:id="rId1"/>
    <sheet xmlns:r="http://schemas.openxmlformats.org/officeDocument/2006/relationships" name="AnalogSignals" sheetId="2" state="visible" r:id="rId2"/>
    <sheet xmlns:r="http://schemas.openxmlformats.org/officeDocument/2006/relationships" name="DiscreteAnalog" sheetId="3" state="visible" r:id="rId3"/>
    <sheet xmlns:r="http://schemas.openxmlformats.org/officeDocument/2006/relationships" name="DE-&gt;PARA" sheetId="4" state="visible" r:id="rId4"/>
    <sheet xmlns:r="http://schemas.openxmlformats.org/officeDocument/2006/relationships" name="Severidades" sheetId="5" state="visible" r:id="rId5"/>
    <sheet xmlns:r="http://schemas.openxmlformats.org/officeDocument/2006/relationships" name="Information" sheetId="6" state="visible" r:id="rId6"/>
    <sheet xmlns:r="http://schemas.openxmlformats.org/officeDocument/2006/relationships" name="DMS Signal Explanation" sheetId="7" state="visible" r:id="rId7"/>
    <sheet xmlns:r="http://schemas.openxmlformats.org/officeDocument/2006/relationships" name="Message Mapping" sheetId="8" state="visible" r:id="rId8"/>
    <sheet xmlns:r="http://schemas.openxmlformats.org/officeDocument/2006/relationships" name="MANUT_DiscreteSignals" sheetId="9" state="visible" r:id="rId9"/>
    <sheet xmlns:r="http://schemas.openxmlformats.org/officeDocument/2006/relationships" name="Manut_AnalogSignals" sheetId="10" state="visible" r:id="rId10"/>
  </sheets>
  <externalReferences>
    <externalReference xmlns:r="http://schemas.openxmlformats.org/officeDocument/2006/relationships" r:id="rId11"/>
    <externalReference xmlns:r="http://schemas.openxmlformats.org/officeDocument/2006/relationships" r:id="rId12"/>
    <externalReference xmlns:r="http://schemas.openxmlformats.org/officeDocument/2006/relationships" r:id="rId13"/>
    <externalReference xmlns:r="http://schemas.openxmlformats.org/officeDocument/2006/relationships" r:id="rId14"/>
  </externalReferences>
  <definedNames>
    <definedName name="AnalogName">OFFSET([1]AnalogName!$B$2,0,0,COUNTA([1]AnalogName!$B$2:$B$1048576),1)</definedName>
    <definedName name="AnalogSignalType">[2]Info!$L$28:$L$51</definedName>
    <definedName name="AOR">#REF!</definedName>
    <definedName name="AORgroup">#REF!</definedName>
    <definedName name="CauseOfTransmissionLength">#REF!</definedName>
    <definedName name="command">#REF!</definedName>
    <definedName name="CommandQualifier">#REF!</definedName>
    <definedName name="CommandTriggersFastScan">#REF!</definedName>
    <definedName name="commT">#REF!</definedName>
    <definedName name="datatype">#REF!</definedName>
    <definedName name="DataType_">#REF!</definedName>
    <definedName name="DeadbandType">#REF!</definedName>
    <definedName name="direction">#REF!</definedName>
    <definedName name="Direction_">#REF!</definedName>
    <definedName name="display">#REF!</definedName>
    <definedName name="DisplayUnit">#REF!</definedName>
    <definedName name="FalseTrue">#REF!</definedName>
    <definedName name="flowd">#REF!</definedName>
    <definedName name="FlowDirection">#REF!</definedName>
    <definedName name="measurement">#REF!</definedName>
    <definedName name="MeasurementType">#REF!</definedName>
    <definedName name="N">#REF!</definedName>
    <definedName name="phases">#REF!</definedName>
    <definedName name="Phases_">#REF!</definedName>
    <definedName name="protocol">#REF!</definedName>
    <definedName name="qualifier">#REF!</definedName>
    <definedName name="ratedata">#REF!</definedName>
    <definedName name="RateType">#REF!</definedName>
    <definedName name="RemotePointType">#REF!</definedName>
    <definedName name="RemoteSource">#REF!</definedName>
    <definedName name="RemoteUnitType">#REF!</definedName>
    <definedName name="role">#REF!</definedName>
    <definedName name="RTU">#REF!</definedName>
    <definedName name="rtype">#REF!</definedName>
    <definedName name="sbo">#REF!</definedName>
    <definedName name="SelectBeforeOperate">#REF!</definedName>
    <definedName name="servicerole">#REF!</definedName>
    <definedName name="ServiceRole_">#REF!</definedName>
    <definedName name="SignalsType">#REF!</definedName>
    <definedName name="signaltype">#REF!</definedName>
    <definedName name="source">#REF!</definedName>
    <definedName name="stype">#REF!</definedName>
    <definedName name="TF">#REF!</definedName>
    <definedName name="Time_Zone">#REF!</definedName>
    <definedName name="TimeSyncMode">#REF!</definedName>
    <definedName name="timezone">#REF!</definedName>
    <definedName name="transmission">#REF!</definedName>
    <definedName name="type">#REF!</definedName>
    <definedName name="typedata">#REF!</definedName>
    <definedName name="typeM">#REF!</definedName>
    <definedName name="_xlnm._FilterDatabase" localSheetId="0" hidden="1">'DiscreteSignals'!$A$1:$P$693</definedName>
    <definedName name="_xlnm._FilterDatabase" localSheetId="1" hidden="1">'AnalogSignals'!$A$1:$H$1</definedName>
    <definedName name="_xlnm._FilterDatabase" localSheetId="3" hidden="1">'DE-&gt;PARA'!$A$1:$B$1</definedName>
    <definedName name="_xlnm._FilterDatabase" localSheetId="8" hidden="1">'MANUT_DiscreteSignals'!$A$1:$I$21</definedName>
    <definedName name="_xlnm._FilterDatabase" localSheetId="9" hidden="1">'Manut_AnalogSignals'!$A$1:$C$11</definedName>
  </definedNames>
  <calcPr calcId="191029" fullCalcOnLoad="1"/>
</workbook>
</file>

<file path=xl/styles.xml><?xml version="1.0" encoding="utf-8"?>
<styleSheet xmlns="http://schemas.openxmlformats.org/spreadsheetml/2006/main">
  <numFmts count="1">
    <numFmt numFmtId="164" formatCode="[$-181A]General"/>
  </numFmts>
  <fonts count="46">
    <font>
      <name val="Aptos Narrow"/>
      <family val="2"/>
      <color theme="1"/>
      <sz val="11"/>
      <scheme val="minor"/>
    </font>
    <font>
      <name val="Aptos Narrow"/>
      <family val="2"/>
      <b val="1"/>
      <color theme="0"/>
      <sz val="11"/>
      <scheme val="minor"/>
    </font>
    <font>
      <name val="Calibri"/>
      <family val="2"/>
      <color rgb="FF000000"/>
      <sz val="11"/>
    </font>
    <font>
      <name val="Calibri"/>
      <family val="2"/>
      <color rgb="FF000000"/>
      <sz val="10"/>
    </font>
    <font>
      <name val="Calibri"/>
      <family val="2"/>
      <color rgb="FFFF0000"/>
      <sz val="10"/>
    </font>
    <font>
      <name val="Calibri"/>
      <family val="2"/>
      <sz val="10"/>
    </font>
    <font>
      <name val="Arial"/>
      <family val="2"/>
      <sz val="10"/>
    </font>
    <font>
      <name val="Calibri"/>
      <family val="2"/>
      <b val="1"/>
      <sz val="10"/>
    </font>
    <font>
      <name val="Aptos Narrow"/>
      <family val="2"/>
      <color theme="1"/>
      <sz val="11"/>
      <scheme val="minor"/>
    </font>
    <font>
      <name val="Aptos Narrow"/>
      <family val="2"/>
      <b val="1"/>
      <color theme="3"/>
      <sz val="11"/>
      <scheme val="minor"/>
    </font>
    <font>
      <name val="Aptos Narrow"/>
      <family val="2"/>
      <b val="1"/>
      <color theme="1"/>
      <sz val="11"/>
      <scheme val="minor"/>
    </font>
    <font>
      <name val="Arial"/>
      <family val="2"/>
      <color theme="1"/>
      <sz val="11"/>
    </font>
    <font>
      <name val="Arial"/>
      <family val="2"/>
      <b val="1"/>
      <color rgb="FF000000"/>
      <sz val="11"/>
    </font>
    <font>
      <name val="Arial"/>
      <family val="2"/>
      <color rgb="FF000000"/>
      <sz val="11"/>
      <u val="single"/>
    </font>
    <font>
      <name val="Arial"/>
      <family val="2"/>
      <color rgb="FF000000"/>
      <sz val="11"/>
    </font>
    <font>
      <name val="Arial"/>
      <family val="2"/>
      <i val="1"/>
      <color rgb="FF000000"/>
      <sz val="11"/>
    </font>
    <font>
      <name val="Arial"/>
      <family val="2"/>
      <b val="1"/>
      <i val="1"/>
      <color rgb="FF000000"/>
      <sz val="11"/>
    </font>
    <font>
      <name val="Arial"/>
      <family val="2"/>
      <i val="1"/>
      <color rgb="FF000000"/>
      <sz val="8"/>
    </font>
    <font>
      <name val="Arial"/>
      <family val="2"/>
      <color rgb="FF000000"/>
      <sz val="9"/>
    </font>
    <font>
      <name val="Arial"/>
      <family val="2"/>
      <color rgb="FFFF0000"/>
      <sz val="11"/>
    </font>
    <font>
      <name val="Calibri"/>
      <family val="2"/>
      <b val="1"/>
      <color rgb="FFFF0000"/>
      <sz val="12"/>
    </font>
    <font>
      <name val="Arial"/>
      <family val="2"/>
      <color theme="1"/>
      <sz val="10"/>
    </font>
    <font>
      <name val="Arial"/>
      <family val="2"/>
      <b val="1"/>
      <color theme="1"/>
      <sz val="11"/>
    </font>
    <font>
      <name val="Calibri"/>
      <family val="2"/>
      <sz val="11"/>
    </font>
    <font>
      <name val="Arial"/>
      <family val="2"/>
      <color theme="10"/>
      <sz val="11"/>
      <u val="single"/>
    </font>
    <font>
      <name val="Arial"/>
      <family val="2"/>
      <color theme="10"/>
      <sz val="10"/>
      <u val="single"/>
    </font>
    <font>
      <name val="Aptos Narrow"/>
      <family val="2"/>
      <color theme="10"/>
      <sz val="11"/>
      <u val="single"/>
      <scheme val="minor"/>
    </font>
    <font>
      <name val="Calibri"/>
      <family val="2"/>
      <b val="1"/>
      <color rgb="FFFF0000"/>
      <sz val="10"/>
    </font>
    <font>
      <name val="Arial"/>
      <family val="2"/>
      <b val="1"/>
      <sz val="10"/>
    </font>
    <font>
      <name val="Aptos Narrow"/>
      <family val="2"/>
      <color theme="1"/>
      <sz val="10"/>
      <scheme val="minor"/>
    </font>
    <font>
      <name val="Tahoma"/>
      <family val="2"/>
      <color indexed="81"/>
      <sz val="9"/>
    </font>
    <font>
      <name val="Tahoma"/>
      <family val="2"/>
      <b val="1"/>
      <color indexed="81"/>
      <sz val="9"/>
    </font>
    <font>
      <name val="Tahoma"/>
      <family val="2"/>
      <b val="1"/>
      <color indexed="81"/>
      <sz val="10"/>
    </font>
    <font>
      <name val="Calibri"/>
      <family val="2"/>
      <color rgb="FFFBC354"/>
      <sz val="10"/>
    </font>
    <font>
      <name val="Calibri"/>
      <family val="2"/>
      <color rgb="FFF48061"/>
      <sz val="10"/>
    </font>
    <font>
      <name val="Calibri"/>
      <family val="2"/>
      <color rgb="FFBA26C3"/>
      <sz val="10"/>
    </font>
    <font>
      <name val="Calibri"/>
      <family val="2"/>
      <color rgb="FF0581FD"/>
      <sz val="10"/>
    </font>
    <font>
      <name val="Calibri"/>
      <family val="2"/>
      <color rgb="FFB35200"/>
      <sz val="10"/>
    </font>
    <font>
      <name val="Calibri"/>
      <family val="2"/>
      <color rgb="FFFCF402"/>
      <sz val="10"/>
    </font>
    <font>
      <name val="Calibri"/>
      <family val="2"/>
      <color rgb="FFA9F9D5"/>
      <sz val="10"/>
    </font>
    <font>
      <name val="Calibri"/>
      <family val="2"/>
      <color rgb="FF7BBC00"/>
      <sz val="10"/>
    </font>
    <font>
      <name val="Calibri"/>
      <family val="2"/>
      <color rgb="FF09066D"/>
      <sz val="10"/>
    </font>
    <font>
      <name val="Calibri"/>
      <family val="2"/>
      <color theme="0"/>
      <sz val="10"/>
    </font>
    <font>
      <name val="Calibri"/>
      <family val="2"/>
      <b val="1"/>
      <color theme="0"/>
      <sz val="11"/>
    </font>
    <font>
      <name val="Calibri"/>
      <family val="2"/>
      <b val="1"/>
      <color theme="0"/>
      <sz val="10"/>
    </font>
    <font>
      <name val="Aptos Narrow"/>
      <family val="2"/>
      <sz val="8"/>
      <scheme val="minor"/>
    </font>
  </fonts>
  <fills count="21">
    <fill>
      <patternFill/>
    </fill>
    <fill>
      <patternFill patternType="gray125"/>
    </fill>
    <fill>
      <patternFill patternType="solid">
        <fgColor theme="9" tint="-0.249977111117893"/>
        <bgColor indexed="64"/>
      </patternFill>
    </fill>
    <fill>
      <patternFill patternType="solid">
        <fgColor theme="9" tint="0.5999938962981048"/>
        <bgColor rgb="FFDBEEF4"/>
      </patternFill>
    </fill>
    <fill>
      <patternFill patternType="solid">
        <fgColor rgb="FFFFFF00"/>
        <bgColor rgb="FFDBEEF4"/>
      </patternFill>
    </fill>
    <fill>
      <patternFill patternType="solid">
        <fgColor theme="5"/>
        <bgColor rgb="FFDBEEF4"/>
      </patternFill>
    </fill>
    <fill>
      <patternFill patternType="solid">
        <fgColor rgb="FFC0E399"/>
        <bgColor indexed="64"/>
      </patternFill>
    </fill>
    <fill>
      <patternFill patternType="solid">
        <fgColor theme="6" tint="0.7999816888943144"/>
        <bgColor indexed="64"/>
      </patternFill>
    </fill>
    <fill>
      <patternFill patternType="solid">
        <fgColor rgb="FFFFC000"/>
        <bgColor rgb="FFD7E4BD"/>
      </patternFill>
    </fill>
    <fill>
      <patternFill patternType="solid">
        <fgColor theme="0" tint="-0.249977111117893"/>
        <bgColor indexed="64"/>
      </patternFill>
    </fill>
    <fill>
      <patternFill patternType="solid">
        <fgColor theme="0"/>
        <bgColor indexed="64"/>
      </patternFill>
    </fill>
    <fill>
      <patternFill patternType="solid">
        <fgColor rgb="FF92D050"/>
        <bgColor rgb="FFDBEEF4"/>
      </patternFill>
    </fill>
    <fill>
      <patternFill patternType="solid">
        <fgColor rgb="FF92D050"/>
        <bgColor indexed="64"/>
      </patternFill>
    </fill>
    <fill>
      <patternFill patternType="solid">
        <fgColor rgb="FFC6E0B4"/>
        <bgColor rgb="FFDBEEF4"/>
      </patternFill>
    </fill>
    <fill>
      <patternFill patternType="solid">
        <fgColor theme="9" tint="0.7999816888943144"/>
        <bgColor indexed="64"/>
      </patternFill>
    </fill>
    <fill>
      <patternFill patternType="solid">
        <fgColor theme="5"/>
        <bgColor indexed="64"/>
      </patternFill>
    </fill>
    <fill>
      <patternFill patternType="solid">
        <fgColor theme="1"/>
        <bgColor indexed="64"/>
      </patternFill>
    </fill>
    <fill>
      <patternFill patternType="solid">
        <fgColor rgb="FF383838"/>
        <bgColor indexed="64"/>
      </patternFill>
    </fill>
    <fill>
      <patternFill patternType="solid">
        <fgColor rgb="FFFF0000"/>
        <bgColor indexed="64"/>
      </patternFill>
    </fill>
    <fill>
      <patternFill patternType="solid">
        <fgColor theme="6"/>
        <bgColor indexed="64"/>
      </patternFill>
    </fill>
    <fill>
      <patternFill patternType="solid">
        <fgColor rgb="FFFFFF00"/>
        <bgColor indexed="64"/>
      </patternFill>
    </fill>
  </fills>
  <borders count="50">
    <border>
      <left/>
      <right/>
      <top/>
      <bottom/>
      <diagonal/>
    </border>
    <border>
      <left style="thin">
        <color indexed="64"/>
      </left>
      <right style="thin">
        <color indexed="64"/>
      </right>
      <top style="thin">
        <color theme="4" tint="0.3999755851924192"/>
      </top>
      <bottom style="thin">
        <color indexed="64"/>
      </bottom>
      <diagonal/>
    </border>
    <border>
      <left style="thin">
        <color theme="9" tint="-0.249977111117893"/>
      </left>
      <right style="thin">
        <color theme="9" tint="-0.249977111117893"/>
      </right>
      <top style="thin">
        <color theme="9" tint="-0.249977111117893"/>
      </top>
      <bottom style="thin">
        <color theme="9" tint="-0.249977111117893"/>
      </bottom>
      <diagonal/>
    </border>
    <border>
      <left/>
      <right/>
      <top/>
      <bottom style="medium">
        <color theme="4" tint="0.3999755851924192"/>
      </bottom>
      <diagonal/>
    </border>
    <border>
      <left/>
      <right/>
      <top style="thin">
        <color theme="4"/>
      </top>
      <bottom style="double">
        <color theme="4"/>
      </bottom>
      <diagonal/>
    </border>
    <border>
      <left/>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bottom style="medium">
        <color rgb="FF000000"/>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style="medium">
        <color rgb="FF000000"/>
      </left>
      <right/>
      <top/>
      <bottom/>
      <diagonal/>
    </border>
    <border>
      <left/>
      <right style="medium">
        <color rgb="FF000000"/>
      </right>
      <top/>
      <bottom style="medium">
        <color indexed="64"/>
      </bottom>
      <diagonal/>
    </border>
    <border>
      <left style="medium">
        <color rgb="FF000000"/>
      </left>
      <right style="medium">
        <color rgb="FF000000"/>
      </right>
      <top/>
      <bottom/>
      <diagonal/>
    </border>
    <border>
      <left/>
      <right style="medium">
        <color indexed="64"/>
      </right>
      <top/>
      <bottom style="medium">
        <color indexed="64"/>
      </bottom>
      <diagonal/>
    </border>
    <border>
      <left style="medium">
        <color indexed="64"/>
      </left>
      <right style="medium">
        <color indexed="64"/>
      </right>
      <top style="medium">
        <color rgb="FF000000"/>
      </top>
      <bottom/>
      <diagonal/>
    </border>
    <border>
      <left/>
      <right style="medium">
        <color indexed="64"/>
      </right>
      <top/>
      <bottom/>
      <diagonal/>
    </border>
    <border>
      <left style="medium">
        <color indexed="64"/>
      </left>
      <right/>
      <top style="medium">
        <color rgb="FF000000"/>
      </top>
      <bottom/>
      <diagonal/>
    </border>
    <border>
      <left style="medium">
        <color indexed="64"/>
      </left>
      <right style="medium">
        <color indexed="64"/>
      </right>
      <top/>
      <bottom style="medium">
        <color rgb="FF000000"/>
      </bottom>
      <diagonal/>
    </border>
    <border>
      <left/>
      <right style="medium">
        <color indexed="64"/>
      </right>
      <top/>
      <bottom style="medium">
        <color rgb="FF000000"/>
      </bottom>
      <diagonal/>
    </border>
    <border>
      <left style="medium">
        <color indexed="64"/>
      </left>
      <right/>
      <top/>
      <bottom style="medium">
        <color rgb="FF000000"/>
      </bottom>
      <diagonal/>
    </border>
    <border>
      <left style="medium">
        <color indexed="64"/>
      </left>
      <right style="medium">
        <color indexed="64"/>
      </right>
      <top/>
      <bottom/>
      <diagonal/>
    </border>
    <border>
      <left style="medium">
        <color indexed="64"/>
      </left>
      <right/>
      <top/>
      <bottom/>
      <diagonal/>
    </border>
    <border>
      <left style="medium">
        <color indexed="64"/>
      </left>
      <right style="thick">
        <color auto="1"/>
      </right>
      <top style="medium">
        <color indexed="64"/>
      </top>
      <bottom style="medium">
        <color indexed="64"/>
      </bottom>
      <diagonal/>
    </border>
    <border>
      <left style="thick">
        <color auto="1"/>
      </left>
      <right style="thick">
        <color auto="1"/>
      </right>
      <top style="medium">
        <color indexed="64"/>
      </top>
      <bottom style="medium">
        <color indexed="64"/>
      </bottom>
      <diagonal/>
    </border>
    <border>
      <left style="thick">
        <color auto="1"/>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thick">
        <color auto="1"/>
      </right>
      <top style="thick">
        <color auto="1"/>
      </top>
      <bottom style="thick">
        <color auto="1"/>
      </bottom>
      <diagonal/>
    </border>
    <border>
      <left style="thick">
        <color auto="1"/>
      </left>
      <right style="thick">
        <color auto="1"/>
      </right>
      <top style="thick">
        <color auto="1"/>
      </top>
      <bottom style="thick">
        <color auto="1"/>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theme="1"/>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medium">
        <color indexed="64"/>
      </bottom>
      <diagonal/>
    </border>
    <border>
      <left style="thin">
        <color theme="9" tint="-0.249977111117893"/>
      </left>
      <right style="thin">
        <color theme="9" tint="-0.249977111117893"/>
      </right>
      <top style="thin">
        <color theme="9" tint="-0.249977111117893"/>
      </top>
      <bottom/>
      <diagonal/>
    </border>
    <border>
      <left style="thin">
        <color theme="9" tint="-0.249977111117893"/>
      </left>
      <right style="thin">
        <color theme="9" tint="-0.249977111117893"/>
      </right>
      <top/>
      <bottom style="thin">
        <color theme="9" tint="-0.249977111117893"/>
      </bottom>
      <diagonal/>
    </border>
    <border>
      <left style="thin">
        <color theme="9" tint="-0.249977111117893"/>
      </left>
      <right style="thin">
        <color theme="9" tint="-0.249977111117893"/>
      </right>
      <top/>
      <bottom/>
      <diagonal/>
    </border>
    <border>
      <left/>
      <right/>
      <top/>
      <bottom style="thin">
        <color theme="9" tint="-0.249977111117893"/>
      </bottom>
      <diagonal/>
    </border>
    <border>
      <left style="thin">
        <color theme="9" tint="-0.249977111117893"/>
      </left>
      <right/>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
      <left style="medium">
        <color indexed="64"/>
      </left>
      <right style="medium">
        <color indexed="64"/>
      </right>
      <top style="medium">
        <color rgb="FF000000"/>
      </top>
      <bottom style="medium">
        <color rgb="FF000000"/>
      </bottom>
      <diagonal/>
    </border>
    <border>
      <left style="medium">
        <color indexed="64"/>
      </left>
      <right/>
      <top style="medium">
        <color rgb="FF000000"/>
      </top>
      <bottom style="medium">
        <color rgb="FF000000"/>
      </bottom>
      <diagonal/>
    </border>
  </borders>
  <cellStyleXfs count="9">
    <xf numFmtId="0" fontId="8" fillId="0" borderId="0"/>
    <xf numFmtId="164" fontId="2" fillId="0" borderId="0"/>
    <xf numFmtId="0" fontId="6" fillId="0" borderId="0"/>
    <xf numFmtId="0" fontId="9" fillId="0" borderId="3"/>
    <xf numFmtId="0" fontId="10" fillId="0" borderId="4"/>
    <xf numFmtId="0" fontId="11" fillId="0" borderId="0"/>
    <xf numFmtId="0" fontId="24" fillId="0" borderId="0"/>
    <xf numFmtId="0" fontId="26" fillId="0" borderId="0"/>
    <xf numFmtId="0" fontId="6" fillId="0" borderId="0"/>
  </cellStyleXfs>
  <cellXfs count="161">
    <xf numFmtId="0" fontId="0" fillId="0" borderId="0" pivotButton="0" quotePrefix="0" xfId="0"/>
    <xf numFmtId="0" fontId="1" fillId="2" borderId="0" pivotButton="0" quotePrefix="0" xfId="0"/>
    <xf numFmtId="164" fontId="3" fillId="3" borderId="1" applyAlignment="1" pivotButton="0" quotePrefix="0" xfId="1">
      <alignment horizontal="left" vertical="center" wrapText="1"/>
    </xf>
    <xf numFmtId="164" fontId="3" fillId="3" borderId="1" applyAlignment="1" pivotButton="0" quotePrefix="1" xfId="1">
      <alignment horizontal="left" vertical="center" wrapText="1"/>
    </xf>
    <xf numFmtId="164" fontId="4" fillId="3" borderId="1" applyAlignment="1" pivotButton="0" quotePrefix="0" xfId="1">
      <alignment horizontal="left" vertical="center" wrapText="1"/>
    </xf>
    <xf numFmtId="164" fontId="3" fillId="4" borderId="1" applyAlignment="1" pivotButton="0" quotePrefix="0" xfId="1">
      <alignment horizontal="left" vertical="center" wrapText="1"/>
    </xf>
    <xf numFmtId="164" fontId="3" fillId="5" borderId="1" applyAlignment="1" pivotButton="0" quotePrefix="0" xfId="1">
      <alignment horizontal="left" vertical="center" wrapText="1"/>
    </xf>
    <xf numFmtId="0" fontId="7" fillId="0" borderId="2" applyAlignment="1" pivotButton="0" quotePrefix="0" xfId="2">
      <alignment horizontal="center" vertical="center"/>
    </xf>
    <xf numFmtId="164" fontId="3" fillId="4" borderId="1" applyAlignment="1" pivotButton="0" quotePrefix="1" xfId="1">
      <alignment horizontal="left" vertical="center" wrapText="1"/>
    </xf>
    <xf numFmtId="0" fontId="12" fillId="6" borderId="5" applyAlignment="1" pivotButton="0" quotePrefix="0" xfId="5">
      <alignment vertical="center" wrapText="1"/>
    </xf>
    <xf numFmtId="0" fontId="12" fillId="6" borderId="6" applyAlignment="1" pivotButton="0" quotePrefix="0" xfId="5">
      <alignment vertical="center" wrapText="1"/>
    </xf>
    <xf numFmtId="0" fontId="11" fillId="0" borderId="0" pivotButton="0" quotePrefix="0" xfId="5"/>
    <xf numFmtId="0" fontId="13" fillId="7" borderId="0" applyAlignment="1" pivotButton="0" quotePrefix="0" xfId="5">
      <alignment vertical="center" wrapText="1"/>
    </xf>
    <xf numFmtId="0" fontId="14" fillId="0" borderId="9" applyAlignment="1" pivotButton="0" quotePrefix="0" xfId="5">
      <alignment vertical="center" wrapText="1"/>
    </xf>
    <xf numFmtId="0" fontId="14" fillId="0" borderId="11" applyAlignment="1" pivotButton="0" quotePrefix="0" xfId="5">
      <alignment vertical="center" wrapText="1"/>
    </xf>
    <xf numFmtId="0" fontId="16" fillId="0" borderId="12" applyAlignment="1" pivotButton="0" quotePrefix="0" xfId="5">
      <alignment vertical="center" wrapText="1"/>
    </xf>
    <xf numFmtId="0" fontId="17" fillId="0" borderId="13" applyAlignment="1" pivotButton="0" quotePrefix="0" xfId="5">
      <alignment vertical="center" wrapText="1"/>
    </xf>
    <xf numFmtId="0" fontId="12" fillId="0" borderId="11" applyAlignment="1" pivotButton="0" quotePrefix="0" xfId="5">
      <alignment vertical="center" wrapText="1"/>
    </xf>
    <xf numFmtId="0" fontId="15" fillId="0" borderId="12" applyAlignment="1" pivotButton="0" quotePrefix="0" xfId="5">
      <alignment vertical="center" wrapText="1"/>
    </xf>
    <xf numFmtId="0" fontId="17" fillId="0" borderId="0" applyAlignment="1" pivotButton="0" quotePrefix="0" xfId="5">
      <alignment vertical="center" wrapText="1"/>
    </xf>
    <xf numFmtId="0" fontId="14" fillId="0" borderId="12" applyAlignment="1" pivotButton="0" quotePrefix="0" xfId="5">
      <alignment vertical="center" wrapText="1"/>
    </xf>
    <xf numFmtId="0" fontId="11" fillId="0" borderId="0" applyAlignment="1" pivotButton="0" quotePrefix="0" xfId="5">
      <alignment vertical="top" wrapText="1"/>
    </xf>
    <xf numFmtId="0" fontId="11" fillId="0" borderId="9" applyAlignment="1" pivotButton="0" quotePrefix="0" xfId="5">
      <alignment vertical="top" wrapText="1"/>
    </xf>
    <xf numFmtId="0" fontId="12" fillId="0" borderId="12" applyAlignment="1" pivotButton="0" quotePrefix="0" xfId="5">
      <alignment vertical="center" wrapText="1"/>
    </xf>
    <xf numFmtId="0" fontId="18" fillId="0" borderId="9" applyAlignment="1" pivotButton="0" quotePrefix="0" xfId="5">
      <alignment vertical="center" wrapText="1"/>
    </xf>
    <xf numFmtId="0" fontId="19" fillId="0" borderId="12" applyAlignment="1" pivotButton="0" quotePrefix="0" xfId="5">
      <alignment vertical="center" wrapText="1"/>
    </xf>
    <xf numFmtId="0" fontId="17" fillId="0" borderId="15" applyAlignment="1" pivotButton="0" quotePrefix="0" xfId="5">
      <alignment vertical="center" wrapText="1"/>
    </xf>
    <xf numFmtId="0" fontId="14" fillId="0" borderId="17" applyAlignment="1" pivotButton="0" quotePrefix="0" xfId="5">
      <alignment vertical="center" wrapText="1"/>
    </xf>
    <xf numFmtId="0" fontId="14" fillId="0" borderId="20" applyAlignment="1" pivotButton="0" quotePrefix="0" xfId="5">
      <alignment vertical="center" wrapText="1"/>
    </xf>
    <xf numFmtId="0" fontId="11" fillId="0" borderId="20" applyAlignment="1" pivotButton="0" quotePrefix="0" xfId="5">
      <alignment vertical="top" wrapText="1"/>
    </xf>
    <xf numFmtId="0" fontId="11" fillId="0" borderId="17" applyAlignment="1" pivotButton="0" quotePrefix="0" xfId="5">
      <alignment vertical="top" wrapText="1"/>
    </xf>
    <xf numFmtId="0" fontId="17" fillId="0" borderId="20" applyAlignment="1" pivotButton="0" quotePrefix="0" xfId="5">
      <alignment vertical="center" wrapText="1"/>
    </xf>
    <xf numFmtId="0" fontId="17" fillId="0" borderId="17" applyAlignment="1" pivotButton="0" quotePrefix="0" xfId="5">
      <alignment vertical="center" wrapText="1"/>
    </xf>
    <xf numFmtId="0" fontId="15" fillId="0" borderId="17" applyAlignment="1" pivotButton="0" quotePrefix="0" xfId="5">
      <alignment vertical="center" wrapText="1"/>
    </xf>
    <xf numFmtId="0" fontId="11" fillId="0" borderId="24" pivotButton="0" quotePrefix="0" xfId="5"/>
    <xf numFmtId="0" fontId="11" fillId="0" borderId="25" pivotButton="0" quotePrefix="0" xfId="5"/>
    <xf numFmtId="0" fontId="11" fillId="0" borderId="26" pivotButton="0" quotePrefix="0" xfId="5"/>
    <xf numFmtId="49" fontId="20" fillId="8" borderId="27" applyAlignment="1" pivotButton="0" quotePrefix="0" xfId="1">
      <alignment horizontal="center" vertical="center" wrapText="1"/>
    </xf>
    <xf numFmtId="0" fontId="11" fillId="0" borderId="28" pivotButton="0" quotePrefix="0" xfId="5"/>
    <xf numFmtId="0" fontId="11" fillId="0" borderId="29" pivotButton="0" quotePrefix="0" xfId="5"/>
    <xf numFmtId="0" fontId="9" fillId="0" borderId="3" pivotButton="0" quotePrefix="0" xfId="3"/>
    <xf numFmtId="0" fontId="21" fillId="0" borderId="0" pivotButton="0" quotePrefix="0" xfId="5"/>
    <xf numFmtId="0" fontId="22" fillId="9" borderId="0" applyAlignment="1" pivotButton="0" quotePrefix="0" xfId="5">
      <alignment horizontal="center" vertical="center" wrapText="1"/>
    </xf>
    <xf numFmtId="0" fontId="8" fillId="0" borderId="30" applyAlignment="1" pivotButton="0" quotePrefix="0" xfId="5">
      <alignment horizontal="left" vertical="center" wrapText="1"/>
    </xf>
    <xf numFmtId="0" fontId="11" fillId="0" borderId="30" pivotButton="0" quotePrefix="0" xfId="5"/>
    <xf numFmtId="0" fontId="10" fillId="0" borderId="4" pivotButton="0" quotePrefix="0" xfId="4"/>
    <xf numFmtId="0" fontId="11" fillId="0" borderId="0" applyAlignment="1" pivotButton="0" quotePrefix="0" xfId="5">
      <alignment horizontal="left" vertical="center"/>
    </xf>
    <xf numFmtId="164" fontId="23" fillId="0" borderId="0" pivotButton="0" quotePrefix="0" xfId="1"/>
    <xf numFmtId="164" fontId="23" fillId="0" borderId="0" applyAlignment="1" pivotButton="0" quotePrefix="0" xfId="1">
      <alignment horizontal="center" vertical="center"/>
    </xf>
    <xf numFmtId="0" fontId="14" fillId="0" borderId="0" applyAlignment="1" pivotButton="0" quotePrefix="0" xfId="5">
      <alignment horizontal="justify" vertical="center"/>
    </xf>
    <xf numFmtId="0" fontId="8" fillId="0" borderId="31" applyAlignment="1" pivotButton="0" quotePrefix="0" xfId="5">
      <alignment horizontal="left" vertical="center" wrapText="1"/>
    </xf>
    <xf numFmtId="0" fontId="11" fillId="0" borderId="31" pivotButton="0" quotePrefix="0" xfId="5"/>
    <xf numFmtId="0" fontId="11" fillId="0" borderId="30" applyAlignment="1" pivotButton="0" quotePrefix="0" xfId="5">
      <alignment wrapText="1"/>
    </xf>
    <xf numFmtId="0" fontId="25" fillId="0" borderId="0" pivotButton="0" quotePrefix="0" xfId="6"/>
    <xf numFmtId="164" fontId="2" fillId="0" borderId="0" applyAlignment="1" pivotButton="0" quotePrefix="0" xfId="1">
      <alignment horizontal="center" vertical="center"/>
    </xf>
    <xf numFmtId="0" fontId="11" fillId="0" borderId="0" applyAlignment="1" pivotButton="0" quotePrefix="0" xfId="5">
      <alignment horizontal="center" vertical="center"/>
    </xf>
    <xf numFmtId="0" fontId="11" fillId="10" borderId="31" pivotButton="0" quotePrefix="0" xfId="5"/>
    <xf numFmtId="0" fontId="8" fillId="0" borderId="0" applyAlignment="1" pivotButton="0" quotePrefix="0" xfId="5">
      <alignment horizontal="left" vertical="center"/>
    </xf>
    <xf numFmtId="0" fontId="11" fillId="0" borderId="31" applyAlignment="1" pivotButton="0" quotePrefix="0" xfId="5">
      <alignment wrapText="1"/>
    </xf>
    <xf numFmtId="164" fontId="3" fillId="3" borderId="32" applyAlignment="1" pivotButton="0" quotePrefix="0" xfId="1">
      <alignment horizontal="left" vertical="center" wrapText="1"/>
    </xf>
    <xf numFmtId="0" fontId="0" fillId="10" borderId="0" pivotButton="0" quotePrefix="0" xfId="0"/>
    <xf numFmtId="164" fontId="27" fillId="11" borderId="34" applyAlignment="1" pivotButton="0" quotePrefix="0" xfId="1">
      <alignment horizontal="center" vertical="center" wrapText="1"/>
    </xf>
    <xf numFmtId="164" fontId="5" fillId="11" borderId="35" applyAlignment="1" pivotButton="0" quotePrefix="0" xfId="1">
      <alignment horizontal="center" vertical="center" wrapText="1"/>
    </xf>
    <xf numFmtId="49" fontId="28" fillId="12" borderId="35" applyAlignment="1" pivotButton="0" quotePrefix="0" xfId="8">
      <alignment horizontal="center" vertical="center" wrapText="1"/>
    </xf>
    <xf numFmtId="164" fontId="7" fillId="11" borderId="34" applyAlignment="1" pivotButton="0" quotePrefix="0" xfId="1">
      <alignment horizontal="center" vertical="center" wrapText="1"/>
    </xf>
    <xf numFmtId="0" fontId="6" fillId="12" borderId="36" applyAlignment="1" pivotButton="0" quotePrefix="0" xfId="8">
      <alignment horizontal="center" vertical="center"/>
    </xf>
    <xf numFmtId="164" fontId="7" fillId="11" borderId="37" applyAlignment="1" pivotButton="0" quotePrefix="0" xfId="1">
      <alignment horizontal="center" vertical="center" wrapText="1"/>
    </xf>
    <xf numFmtId="0" fontId="29" fillId="0" borderId="0" pivotButton="0" quotePrefix="0" xfId="0"/>
    <xf numFmtId="164" fontId="3" fillId="13" borderId="30" applyAlignment="1" pivotButton="0" quotePrefix="0" xfId="1">
      <alignment horizontal="left" vertical="center" wrapText="1"/>
    </xf>
    <xf numFmtId="164" fontId="3" fillId="14" borderId="33" applyAlignment="1" pivotButton="0" quotePrefix="0" xfId="1">
      <alignment horizontal="center" vertical="center" wrapText="1"/>
    </xf>
    <xf numFmtId="164" fontId="26" fillId="13" borderId="30" applyAlignment="1" pivotButton="0" quotePrefix="0" xfId="7">
      <alignment horizontal="left" vertical="center" wrapText="1"/>
    </xf>
    <xf numFmtId="164" fontId="3" fillId="5" borderId="30" applyAlignment="1" pivotButton="0" quotePrefix="0" xfId="1">
      <alignment horizontal="left" vertical="center" wrapText="1"/>
    </xf>
    <xf numFmtId="164" fontId="4" fillId="13" borderId="33" applyAlignment="1" pivotButton="0" quotePrefix="0" xfId="1">
      <alignment horizontal="left" vertical="center" wrapText="1"/>
    </xf>
    <xf numFmtId="164" fontId="4" fillId="13" borderId="30" applyAlignment="1" pivotButton="0" quotePrefix="0" xfId="1">
      <alignment horizontal="left" vertical="center" wrapText="1"/>
    </xf>
    <xf numFmtId="164" fontId="4" fillId="14" borderId="33" applyAlignment="1" pivotButton="0" quotePrefix="0" xfId="1">
      <alignment horizontal="center" vertical="center" wrapText="1"/>
    </xf>
    <xf numFmtId="164" fontId="26" fillId="5" borderId="33" applyAlignment="1" pivotButton="0" quotePrefix="0" xfId="7">
      <alignment horizontal="left" vertical="center" wrapText="1"/>
    </xf>
    <xf numFmtId="164" fontId="3" fillId="5" borderId="33" applyAlignment="1" pivotButton="0" quotePrefix="0" xfId="1">
      <alignment horizontal="left" vertical="center" wrapText="1"/>
    </xf>
    <xf numFmtId="164" fontId="3" fillId="13" borderId="33" applyAlignment="1" pivotButton="0" quotePrefix="0" xfId="1">
      <alignment horizontal="left" vertical="center" wrapText="1"/>
    </xf>
    <xf numFmtId="164" fontId="3" fillId="15" borderId="33" applyAlignment="1" pivotButton="0" quotePrefix="0" xfId="1">
      <alignment horizontal="center" vertical="center" wrapText="1"/>
    </xf>
    <xf numFmtId="0" fontId="5" fillId="0" borderId="2" applyAlignment="1" pivotButton="0" quotePrefix="0" xfId="2">
      <alignment horizontal="center" vertical="center"/>
    </xf>
    <xf numFmtId="0" fontId="7" fillId="0" borderId="39" applyAlignment="1" pivotButton="0" quotePrefix="0" xfId="2">
      <alignment horizontal="center" vertical="center"/>
    </xf>
    <xf numFmtId="0" fontId="4" fillId="16" borderId="2" applyAlignment="1" pivotButton="0" quotePrefix="0" xfId="0">
      <alignment horizontal="center"/>
    </xf>
    <xf numFmtId="0" fontId="33" fillId="17" borderId="2" applyAlignment="1" pivotButton="0" quotePrefix="0" xfId="0">
      <alignment horizontal="center"/>
    </xf>
    <xf numFmtId="0" fontId="34" fillId="16" borderId="2" applyAlignment="1" pivotButton="0" quotePrefix="0" xfId="0">
      <alignment horizontal="center"/>
    </xf>
    <xf numFmtId="0" fontId="35" fillId="16" borderId="2" applyAlignment="1" pivotButton="0" quotePrefix="0" xfId="0">
      <alignment horizontal="center"/>
    </xf>
    <xf numFmtId="0" fontId="36" fillId="16" borderId="2" applyAlignment="1" pivotButton="0" quotePrefix="0" xfId="0">
      <alignment horizontal="center"/>
    </xf>
    <xf numFmtId="0" fontId="37" fillId="16" borderId="2" applyAlignment="1" pivotButton="0" quotePrefix="0" xfId="0">
      <alignment horizontal="center"/>
    </xf>
    <xf numFmtId="0" fontId="38" fillId="16" borderId="2" applyAlignment="1" pivotButton="0" quotePrefix="0" xfId="0">
      <alignment horizontal="center"/>
    </xf>
    <xf numFmtId="0" fontId="42" fillId="18" borderId="2" applyAlignment="1" pivotButton="0" quotePrefix="0" xfId="0">
      <alignment horizontal="center"/>
    </xf>
    <xf numFmtId="0" fontId="42" fillId="17" borderId="2" applyAlignment="1" pivotButton="0" quotePrefix="0" xfId="0">
      <alignment horizontal="center"/>
    </xf>
    <xf numFmtId="0" fontId="42" fillId="16" borderId="2" applyAlignment="1" pivotButton="0" quotePrefix="0" xfId="0">
      <alignment horizontal="center"/>
    </xf>
    <xf numFmtId="0" fontId="5" fillId="0" borderId="39" applyAlignment="1" pivotButton="0" quotePrefix="0" xfId="2">
      <alignment horizontal="center" vertical="center"/>
    </xf>
    <xf numFmtId="0" fontId="44" fillId="2" borderId="31" applyAlignment="1" pivotButton="0" quotePrefix="0" xfId="0">
      <alignment horizontal="center"/>
    </xf>
    <xf numFmtId="49" fontId="1" fillId="2" borderId="0" pivotButton="0" quotePrefix="0" xfId="0"/>
    <xf numFmtId="49" fontId="3" fillId="3" borderId="1" applyAlignment="1" pivotButton="0" quotePrefix="0" xfId="1">
      <alignment horizontal="left" vertical="center" wrapText="1"/>
    </xf>
    <xf numFmtId="49" fontId="5" fillId="3" borderId="1" applyAlignment="1" pivotButton="0" quotePrefix="0" xfId="1">
      <alignment horizontal="left" vertical="center" wrapText="1"/>
    </xf>
    <xf numFmtId="49" fontId="3" fillId="3" borderId="1" applyAlignment="1" pivotButton="0" quotePrefix="1" xfId="1">
      <alignment horizontal="left" vertical="center" wrapText="1"/>
    </xf>
    <xf numFmtId="49" fontId="3" fillId="3" borderId="0" applyAlignment="1" pivotButton="0" quotePrefix="0" xfId="1">
      <alignment horizontal="left" vertical="center" wrapText="1"/>
    </xf>
    <xf numFmtId="49" fontId="4" fillId="3" borderId="1" applyAlignment="1" pivotButton="0" quotePrefix="0" xfId="1">
      <alignment horizontal="left" vertical="center" wrapText="1"/>
    </xf>
    <xf numFmtId="164" fontId="5" fillId="3" borderId="1" applyAlignment="1" pivotButton="0" quotePrefix="0" xfId="1">
      <alignment horizontal="left" vertical="center" wrapText="1"/>
    </xf>
    <xf numFmtId="164" fontId="5" fillId="3" borderId="1" applyAlignment="1" pivotButton="0" quotePrefix="1" xfId="1">
      <alignment horizontal="left" vertical="center" wrapText="1"/>
    </xf>
    <xf numFmtId="164" fontId="5" fillId="4" borderId="1" applyAlignment="1" pivotButton="0" quotePrefix="0" xfId="1">
      <alignment horizontal="left" vertical="center" wrapText="1"/>
    </xf>
    <xf numFmtId="49" fontId="3" fillId="4" borderId="1" applyAlignment="1" pivotButton="0" quotePrefix="0" xfId="1">
      <alignment horizontal="left" vertical="center" wrapText="1"/>
    </xf>
    <xf numFmtId="0" fontId="0" fillId="20" borderId="0" pivotButton="0" quotePrefix="0" xfId="0"/>
    <xf numFmtId="0" fontId="1" fillId="19" borderId="41" applyAlignment="1" pivotButton="0" quotePrefix="0" xfId="0">
      <alignment horizontal="center"/>
    </xf>
    <xf numFmtId="0" fontId="7" fillId="0" borderId="40" applyAlignment="1" pivotButton="0" quotePrefix="0" xfId="2">
      <alignment horizontal="center" vertical="center"/>
    </xf>
    <xf numFmtId="0" fontId="7" fillId="0" borderId="39" applyAlignment="1" pivotButton="0" quotePrefix="0" xfId="2">
      <alignment horizontal="center" vertical="center"/>
    </xf>
    <xf numFmtId="0" fontId="4" fillId="10" borderId="40" applyAlignment="1" pivotButton="0" quotePrefix="0" xfId="0">
      <alignment horizontal="center" vertical="center"/>
    </xf>
    <xf numFmtId="0" fontId="4" fillId="10" borderId="39" applyAlignment="1" pivotButton="0" quotePrefix="0" xfId="0">
      <alignment horizontal="center" vertical="center"/>
    </xf>
    <xf numFmtId="0" fontId="7" fillId="0" borderId="38" applyAlignment="1" pivotButton="0" quotePrefix="0" xfId="2">
      <alignment horizontal="center" vertical="center"/>
    </xf>
    <xf numFmtId="0" fontId="39" fillId="16" borderId="38" applyAlignment="1" pivotButton="0" quotePrefix="0" xfId="0">
      <alignment horizontal="center" vertical="center"/>
    </xf>
    <xf numFmtId="0" fontId="39" fillId="16" borderId="40" applyAlignment="1" pivotButton="0" quotePrefix="0" xfId="0">
      <alignment horizontal="center" vertical="center"/>
    </xf>
    <xf numFmtId="0" fontId="39" fillId="16" borderId="39" applyAlignment="1" pivotButton="0" quotePrefix="0" xfId="0">
      <alignment horizontal="center" vertical="center"/>
    </xf>
    <xf numFmtId="0" fontId="40" fillId="17" borderId="38" applyAlignment="1" pivotButton="0" quotePrefix="0" xfId="0">
      <alignment horizontal="center" vertical="center"/>
    </xf>
    <xf numFmtId="0" fontId="40" fillId="17" borderId="40" applyAlignment="1" pivotButton="0" quotePrefix="0" xfId="0">
      <alignment horizontal="center" vertical="center"/>
    </xf>
    <xf numFmtId="0" fontId="40" fillId="17" borderId="39" applyAlignment="1" pivotButton="0" quotePrefix="0" xfId="0">
      <alignment horizontal="center" vertical="center"/>
    </xf>
    <xf numFmtId="0" fontId="41" fillId="10" borderId="38" applyAlignment="1" pivotButton="0" quotePrefix="0" xfId="0">
      <alignment horizontal="center" vertical="center"/>
    </xf>
    <xf numFmtId="0" fontId="41" fillId="10" borderId="39" applyAlignment="1" pivotButton="0" quotePrefix="0" xfId="0">
      <alignment horizontal="center" vertical="center"/>
    </xf>
    <xf numFmtId="0" fontId="43" fillId="19" borderId="31" applyAlignment="1" pivotButton="0" quotePrefix="0" xfId="0">
      <alignment horizontal="center"/>
    </xf>
    <xf numFmtId="0" fontId="34" fillId="17" borderId="38" applyAlignment="1" pivotButton="0" quotePrefix="0" xfId="0">
      <alignment horizontal="center" vertical="center"/>
    </xf>
    <xf numFmtId="0" fontId="34" fillId="17" borderId="40" applyAlignment="1" pivotButton="0" quotePrefix="0" xfId="0">
      <alignment horizontal="center" vertical="center"/>
    </xf>
    <xf numFmtId="0" fontId="34" fillId="17" borderId="39" applyAlignment="1" pivotButton="0" quotePrefix="0" xfId="0">
      <alignment horizontal="center" vertical="center"/>
    </xf>
    <xf numFmtId="0" fontId="14" fillId="0" borderId="16" applyAlignment="1" pivotButton="0" quotePrefix="0" xfId="5">
      <alignment vertical="center" wrapText="1"/>
    </xf>
    <xf numFmtId="0" fontId="14" fillId="0" borderId="19" applyAlignment="1" pivotButton="0" quotePrefix="0" xfId="5">
      <alignment vertical="center" wrapText="1"/>
    </xf>
    <xf numFmtId="0" fontId="14" fillId="0" borderId="18" applyAlignment="1" pivotButton="0" quotePrefix="0" xfId="5">
      <alignment vertical="center" wrapText="1"/>
    </xf>
    <xf numFmtId="0" fontId="14" fillId="0" borderId="21" applyAlignment="1" pivotButton="0" quotePrefix="0" xfId="5">
      <alignment vertical="center" wrapText="1"/>
    </xf>
    <xf numFmtId="0" fontId="14" fillId="0" borderId="22" applyAlignment="1" pivotButton="0" quotePrefix="0" xfId="5">
      <alignment vertical="center" wrapText="1"/>
    </xf>
    <xf numFmtId="0" fontId="14" fillId="0" borderId="23" applyAlignment="1" pivotButton="0" quotePrefix="0" xfId="5">
      <alignment vertical="center" wrapText="1"/>
    </xf>
    <xf numFmtId="0" fontId="19" fillId="0" borderId="16" applyAlignment="1" pivotButton="0" quotePrefix="0" xfId="5">
      <alignment vertical="center" wrapText="1"/>
    </xf>
    <xf numFmtId="0" fontId="19" fillId="0" borderId="19" applyAlignment="1" pivotButton="0" quotePrefix="0" xfId="5">
      <alignment vertical="center" wrapText="1"/>
    </xf>
    <xf numFmtId="0" fontId="14" fillId="0" borderId="7" applyAlignment="1" pivotButton="0" quotePrefix="0" xfId="5">
      <alignment vertical="center" wrapText="1"/>
    </xf>
    <xf numFmtId="0" fontId="14" fillId="0" borderId="10" applyAlignment="1" pivotButton="0" quotePrefix="0" xfId="5">
      <alignment vertical="center" wrapText="1"/>
    </xf>
    <xf numFmtId="0" fontId="14" fillId="0" borderId="8" applyAlignment="1" pivotButton="0" quotePrefix="0" xfId="5">
      <alignment vertical="center" wrapText="1"/>
    </xf>
    <xf numFmtId="0" fontId="14" fillId="0" borderId="11" applyAlignment="1" pivotButton="0" quotePrefix="0" xfId="5">
      <alignment vertical="center" wrapText="1"/>
    </xf>
    <xf numFmtId="0" fontId="14" fillId="0" borderId="14" applyAlignment="1" pivotButton="0" quotePrefix="0" xfId="5">
      <alignment vertical="center" wrapText="1"/>
    </xf>
    <xf numFmtId="0" fontId="14" fillId="0" borderId="12" applyAlignment="1" pivotButton="0" quotePrefix="0" xfId="5">
      <alignment vertical="center" wrapText="1"/>
    </xf>
    <xf numFmtId="0" fontId="15" fillId="0" borderId="7" applyAlignment="1" pivotButton="0" quotePrefix="0" xfId="5">
      <alignment vertical="center" wrapText="1"/>
    </xf>
    <xf numFmtId="0" fontId="15" fillId="0" borderId="10" applyAlignment="1" pivotButton="0" quotePrefix="0" xfId="5">
      <alignment vertical="center" wrapText="1"/>
    </xf>
    <xf numFmtId="0" fontId="0" fillId="0" borderId="45" pivotButton="0" quotePrefix="0" xfId="0"/>
    <xf numFmtId="0" fontId="0" fillId="0" borderId="46" pivotButton="0" quotePrefix="0" xfId="0"/>
    <xf numFmtId="0" fontId="0" fillId="0" borderId="41" pivotButton="0" quotePrefix="0" xfId="0"/>
    <xf numFmtId="0" fontId="0" fillId="0" borderId="39" pivotButton="0" quotePrefix="0" xfId="0"/>
    <xf numFmtId="0" fontId="39" fillId="16" borderId="2" applyAlignment="1" pivotButton="0" quotePrefix="0" xfId="0">
      <alignment horizontal="center" vertical="center"/>
    </xf>
    <xf numFmtId="0" fontId="0" fillId="0" borderId="40" pivotButton="0" quotePrefix="0" xfId="0"/>
    <xf numFmtId="0" fontId="34" fillId="17" borderId="2" applyAlignment="1" pivotButton="0" quotePrefix="0" xfId="0">
      <alignment horizontal="center" vertical="center"/>
    </xf>
    <xf numFmtId="0" fontId="40" fillId="17" borderId="2" applyAlignment="1" pivotButton="0" quotePrefix="0" xfId="0">
      <alignment horizontal="center" vertical="center"/>
    </xf>
    <xf numFmtId="0" fontId="41" fillId="10" borderId="2" applyAlignment="1" pivotButton="0" quotePrefix="0" xfId="0">
      <alignment horizontal="center" vertical="center"/>
    </xf>
    <xf numFmtId="0" fontId="14" fillId="0" borderId="47" applyAlignment="1" pivotButton="0" quotePrefix="0" xfId="5">
      <alignment vertical="center" wrapText="1"/>
    </xf>
    <xf numFmtId="0" fontId="15" fillId="0" borderId="47" applyAlignment="1" pivotButton="0" quotePrefix="0" xfId="5">
      <alignment vertical="center" wrapText="1"/>
    </xf>
    <xf numFmtId="0" fontId="14" fillId="0" borderId="6" applyAlignment="1" pivotButton="0" quotePrefix="0" xfId="5">
      <alignment vertical="center" wrapText="1"/>
    </xf>
    <xf numFmtId="0" fontId="0" fillId="0" borderId="10" pivotButton="0" quotePrefix="0" xfId="0"/>
    <xf numFmtId="0" fontId="0" fillId="0" borderId="11" pivotButton="0" quotePrefix="0" xfId="0"/>
    <xf numFmtId="0" fontId="0" fillId="0" borderId="14" pivotButton="0" quotePrefix="0" xfId="0"/>
    <xf numFmtId="0" fontId="0" fillId="0" borderId="12" pivotButton="0" quotePrefix="0" xfId="0"/>
    <xf numFmtId="0" fontId="14" fillId="0" borderId="48" applyAlignment="1" pivotButton="0" quotePrefix="0" xfId="5">
      <alignment vertical="center" wrapText="1"/>
    </xf>
    <xf numFmtId="0" fontId="14" fillId="0" borderId="49" applyAlignment="1" pivotButton="0" quotePrefix="0" xfId="5">
      <alignment vertical="center" wrapText="1"/>
    </xf>
    <xf numFmtId="0" fontId="0" fillId="0" borderId="19" pivotButton="0" quotePrefix="0" xfId="0"/>
    <xf numFmtId="0" fontId="0" fillId="0" borderId="21" pivotButton="0" quotePrefix="0" xfId="0"/>
    <xf numFmtId="0" fontId="0" fillId="0" borderId="22" pivotButton="0" quotePrefix="0" xfId="0"/>
    <xf numFmtId="0" fontId="0" fillId="0" borderId="23" pivotButton="0" quotePrefix="0" xfId="0"/>
    <xf numFmtId="0" fontId="19" fillId="0" borderId="48" applyAlignment="1" pivotButton="0" quotePrefix="0" xfId="5">
      <alignment vertical="center" wrapText="1"/>
    </xf>
  </cellXfs>
  <cellStyles count="9">
    <cellStyle name="Normal" xfId="0" builtinId="0"/>
    <cellStyle name="Excel Built-in Normal 1" xfId="1"/>
    <cellStyle name="Normal 11" xfId="2"/>
    <cellStyle name="Título 3" xfId="3" builtinId="18"/>
    <cellStyle name="Total" xfId="4" builtinId="25"/>
    <cellStyle name="Normal 2" xfId="5"/>
    <cellStyle name="Hiperlink 2" xfId="6"/>
    <cellStyle name="Hiperlink" xfId="7" builtinId="8"/>
    <cellStyle name="Normal 2 2" xfId="8"/>
  </cellStyles>
  <dxfs count="3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name val="Calibri"/>
        <strike val="0"/>
        <outline val="0"/>
        <shadow val="0"/>
        <color rgb="FF000000"/>
        <sz val="10"/>
        <vertAlign val="baseline"/>
      </font>
      <numFmt numFmtId="164" formatCode="[$-181A]General"/>
      <fill>
        <patternFill patternType="solid">
          <fgColor indexed="64"/>
          <bgColor theme="9" tint="0.7999816888943144"/>
        </patternFill>
      </fill>
      <alignment horizontal="center" vertical="center" wrapText="1"/>
      <border>
        <left style="thin">
          <color indexed="64"/>
        </left>
        <right style="thin">
          <color indexed="64"/>
        </right>
        <top/>
        <bottom style="thin">
          <color indexed="64"/>
        </bottom>
      </border>
    </dxf>
    <dxf>
      <font>
        <name val="Calibri"/>
        <strike val="0"/>
        <outline val="0"/>
        <shadow val="0"/>
        <color rgb="FF000000"/>
        <sz val="10"/>
        <vertAlign val="baseline"/>
      </font>
      <numFmt numFmtId="164" formatCode="[$-181A]General"/>
      <fill>
        <patternFill patternType="solid">
          <fgColor indexed="64"/>
          <bgColor theme="9" tint="0.7999816888943144"/>
        </patternFill>
      </fill>
      <alignment horizontal="center" vertical="center" wrapText="1"/>
      <border>
        <left style="thin">
          <color indexed="64"/>
        </left>
        <right style="thin">
          <color indexed="64"/>
        </right>
        <top/>
        <bottom style="thin">
          <color indexed="64"/>
        </bottom>
      </border>
    </dxf>
    <dxf>
      <font>
        <name val="Calibri"/>
        <strike val="0"/>
        <outline val="0"/>
        <shadow val="0"/>
        <color rgb="FF000000"/>
        <sz val="10"/>
        <vertAlign val="baseline"/>
      </font>
      <numFmt numFmtId="164" formatCode="[$-181A]General"/>
      <fill>
        <patternFill patternType="solid">
          <fgColor rgb="FFDBEEF4"/>
          <bgColor rgb="FFC6E0B4"/>
        </patternFill>
      </fill>
      <alignment horizontal="left" vertical="center" wrapText="1"/>
      <border outline="0">
        <left style="thin">
          <color indexed="64"/>
        </left>
        <right style="thin">
          <color indexed="64"/>
        </right>
        <top/>
        <bottom style="thin">
          <color indexed="64"/>
        </bottom>
      </border>
    </dxf>
    <dxf>
      <font>
        <name val="Calibri"/>
        <strike val="0"/>
        <outline val="0"/>
        <shadow val="0"/>
        <color rgb="FF000000"/>
        <sz val="10"/>
        <vertAlign val="baseline"/>
      </font>
      <numFmt numFmtId="164" formatCode="[$-181A]General"/>
      <fill>
        <patternFill patternType="solid">
          <fgColor rgb="FFDBEEF4"/>
          <bgColor rgb="FFC6E0B4"/>
        </patternFill>
      </fill>
      <alignment horizontal="left" vertical="center" wrapText="1"/>
      <border outline="0">
        <left style="thin">
          <color indexed="64"/>
        </left>
        <right style="thin">
          <color indexed="64"/>
        </right>
        <top/>
        <bottom style="thin">
          <color indexed="64"/>
        </bottom>
      </border>
    </dxf>
    <dxf>
      <font>
        <name val="Calibri"/>
        <strike val="0"/>
        <outline val="0"/>
        <shadow val="0"/>
        <color rgb="FF000000"/>
        <sz val="10"/>
        <vertAlign val="baseline"/>
      </font>
      <numFmt numFmtId="164" formatCode="[$-181A]General"/>
      <fill>
        <patternFill patternType="solid">
          <fgColor rgb="FFDBEEF4"/>
          <bgColor rgb="FFC6E0B4"/>
        </patternFill>
      </fill>
      <alignment horizontal="left" vertical="center" wrapText="1"/>
      <border outline="0">
        <left style="thin">
          <color indexed="64"/>
        </left>
        <right style="thin">
          <color indexed="64"/>
        </right>
        <top/>
        <bottom style="thin">
          <color indexed="64"/>
        </bottom>
      </border>
    </dxf>
    <dxf>
      <font>
        <name val="Calibri"/>
        <strike val="0"/>
        <outline val="0"/>
        <shadow val="0"/>
        <color rgb="FF000000"/>
        <sz val="10"/>
        <vertAlign val="baseline"/>
      </font>
      <numFmt numFmtId="164" formatCode="[$-181A]General"/>
      <fill>
        <patternFill patternType="solid">
          <fgColor rgb="FFDBEEF4"/>
          <bgColor rgb="FFC6E0B4"/>
        </patternFill>
      </fill>
      <alignment horizontal="left" vertical="center" wrapText="1"/>
      <border outline="0">
        <left style="thin">
          <color indexed="64"/>
        </left>
        <right style="thin">
          <color indexed="64"/>
        </right>
        <top/>
        <bottom style="thin">
          <color indexed="64"/>
        </bottom>
      </border>
    </dxf>
    <dxf>
      <font>
        <name val="Calibri"/>
        <strike val="0"/>
        <outline val="0"/>
        <shadow val="0"/>
        <color rgb="FF000000"/>
        <sz val="10"/>
        <vertAlign val="baseline"/>
      </font>
      <numFmt numFmtId="164" formatCode="[$-181A]General"/>
      <fill>
        <patternFill patternType="solid">
          <fgColor rgb="FFDBEEF4"/>
          <bgColor rgb="FFC6E0B4"/>
        </patternFill>
      </fill>
      <alignment horizontal="left" vertical="center" wrapText="1"/>
      <border outline="0">
        <left style="thin">
          <color indexed="64"/>
        </left>
        <right style="thin">
          <color indexed="64"/>
        </right>
        <top/>
        <bottom style="thin">
          <color indexed="64"/>
        </bottom>
      </border>
    </dxf>
    <dxf>
      <font>
        <name val="Calibri"/>
        <strike val="0"/>
        <outline val="0"/>
        <shadow val="0"/>
        <color rgb="FF000000"/>
        <sz val="10"/>
        <vertAlign val="baseline"/>
      </font>
      <numFmt numFmtId="164" formatCode="[$-181A]General"/>
      <fill>
        <patternFill patternType="solid">
          <fgColor rgb="FFDBEEF4"/>
          <bgColor rgb="FFC6E0B4"/>
        </patternFill>
      </fill>
      <alignment horizontal="left" vertical="center" wrapText="1"/>
      <border outline="0">
        <left style="thin">
          <color indexed="64"/>
        </left>
        <right style="thin">
          <color indexed="64"/>
        </right>
        <top/>
        <bottom style="thin">
          <color indexed="64"/>
        </bottom>
      </border>
    </dxf>
    <dxf>
      <font>
        <name val="Calibri"/>
        <strike val="0"/>
        <outline val="0"/>
        <shadow val="0"/>
        <color rgb="FF000000"/>
        <sz val="10"/>
        <vertAlign val="baseline"/>
      </font>
      <numFmt numFmtId="164" formatCode="[$-181A]General"/>
      <fill>
        <patternFill patternType="solid">
          <fgColor rgb="FFDBEEF4"/>
          <bgColor rgb="FFC6E0B4"/>
        </patternFill>
      </fill>
      <alignment horizontal="left" vertical="center" wrapText="1"/>
      <border outline="0">
        <left style="thin">
          <color indexed="64"/>
        </left>
        <right style="thin">
          <color indexed="64"/>
        </right>
        <top/>
        <bottom style="thin">
          <color indexed="64"/>
        </bottom>
      </border>
    </dxf>
    <dxf>
      <font>
        <name val="Calibri"/>
        <strike val="0"/>
        <outline val="0"/>
        <shadow val="0"/>
        <color rgb="FF000000"/>
        <sz val="10"/>
        <vertAlign val="baseline"/>
      </font>
      <numFmt numFmtId="164" formatCode="[$-181A]General"/>
      <fill>
        <patternFill patternType="solid">
          <fgColor rgb="FFDBEEF4"/>
          <bgColor rgb="FFC6E0B4"/>
        </patternFill>
      </fill>
      <alignment horizontal="left" vertical="center" wrapText="1"/>
      <border outline="0">
        <left style="thin">
          <color indexed="64"/>
        </left>
        <right style="thin">
          <color indexed="64"/>
        </right>
        <top/>
        <bottom style="thin">
          <color indexed="64"/>
        </bottom>
      </border>
    </dxf>
    <dxf>
      <font>
        <name val="Calibri"/>
        <strike val="0"/>
        <outline val="0"/>
        <shadow val="0"/>
        <condense val="0"/>
        <color rgb="FF000000"/>
        <extend val="0"/>
        <sz val="10"/>
        <vertAlign val="baseline"/>
      </font>
      <numFmt numFmtId="164" formatCode="[$-181A]General"/>
      <fill>
        <patternFill patternType="solid">
          <fgColor rgb="FFDBEEF4"/>
          <bgColor rgb="FFC6E0B4"/>
        </patternFill>
      </fill>
      <alignment horizontal="left" vertical="center" wrapText="1"/>
      <border outline="0">
        <left style="thin">
          <color indexed="64"/>
        </left>
        <right style="thin">
          <color indexed="64"/>
        </right>
        <top/>
        <bottom style="thin">
          <color indexed="64"/>
        </bottom>
      </border>
      <protection locked="1" hidden="0"/>
    </dxf>
    <dxf>
      <font>
        <name val="Calibri"/>
        <strike val="0"/>
        <outline val="0"/>
        <shadow val="0"/>
        <color rgb="FF000000"/>
        <sz val="10"/>
        <vertAlign val="baseline"/>
      </font>
      <numFmt numFmtId="164" formatCode="[$-181A]General"/>
      <fill>
        <patternFill patternType="solid">
          <fgColor rgb="FFDBEEF4"/>
          <bgColor rgb="FFC6E0B4"/>
        </patternFill>
      </fill>
      <alignment horizontal="left" vertical="center" wrapText="1"/>
      <border outline="0">
        <left style="thin">
          <color indexed="64"/>
        </left>
        <right style="thin">
          <color indexed="64"/>
        </right>
        <top/>
        <bottom style="thin">
          <color indexed="64"/>
        </bottom>
      </border>
      <protection locked="1" hidden="0"/>
    </dxf>
    <dxf>
      <border outline="0">
        <top style="medium">
          <color rgb="FF000000"/>
        </top>
        <bottom style="thin">
          <color rgb="FF000000"/>
        </bottom>
      </border>
    </dxf>
    <dxf>
      <font>
        <strike val="0"/>
        <outline val="0"/>
        <shadow val="0"/>
        <sz val="10"/>
        <vertAlign val="baseline"/>
      </font>
      <fill>
        <patternFill patternType="solid">
          <fgColor indexed="64"/>
          <bgColor theme="9" tint="0.7999816888943144"/>
        </patternFill>
      </fill>
      <alignment horizontal="center" vertical="center"/>
    </dxf>
    <dxf>
      <border>
        <bottom style="medium">
          <color indexed="64"/>
        </bottom>
      </border>
    </dxf>
    <dxf>
      <font>
        <name val="Calibri"/>
        <b val="1"/>
        <strike val="0"/>
        <outline val="0"/>
        <shadow val="0"/>
        <condense val="0"/>
        <color auto="1"/>
        <extend val="0"/>
        <sz val="10"/>
        <vertAlign val="baseline"/>
      </font>
      <fill>
        <patternFill patternType="solid">
          <fgColor rgb="FFDBEEF4"/>
          <bgColor rgb="FF92D050"/>
        </patternFill>
      </fill>
      <alignment horizontal="center" vertical="center" wrapText="1"/>
      <border outline="0">
        <left style="medium">
          <color indexed="64"/>
        </left>
        <right style="medium">
          <color indexed="64"/>
        </right>
        <top/>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externalLink" Target="/xl/externalLinks/externalLink1.xml" Id="rId11"/><Relationship Type="http://schemas.openxmlformats.org/officeDocument/2006/relationships/externalLink" Target="/xl/externalLinks/externalLink2.xml" Id="rId12"/><Relationship Type="http://schemas.openxmlformats.org/officeDocument/2006/relationships/externalLink" Target="/xl/externalLinks/externalLink3.xml" Id="rId13"/><Relationship Type="http://schemas.openxmlformats.org/officeDocument/2006/relationships/externalLink" Target="/xl/externalLinks/externalLink4.xml" Id="rId14"/><Relationship Type="http://schemas.openxmlformats.org/officeDocument/2006/relationships/styles" Target="styles.xml" Id="rId15"/><Relationship Type="http://schemas.openxmlformats.org/officeDocument/2006/relationships/theme" Target="theme/theme1.xml" Id="rId16"/></Relationships>
</file>

<file path=xl/comments/comment1.xml><?xml version="1.0" encoding="utf-8"?>
<comments xmlns="http://schemas.openxmlformats.org/spreadsheetml/2006/main">
  <authors>
    <author>tc={052A235D-8072-49FB-A5AC-93736261AF44}</author>
    <author>tc={48308C52-85E3-4657-9383-9EA78373C044}</author>
    <author>tc={A216ADAF-BB87-4CD3-B815-B87C35FE286C}</author>
    <author>tc={3E61C65E-AA5B-4618-8C0D-80A35D39A03C}</author>
    <author>tc={E9D88ABC-8997-4479-A42D-9579288DAE4E}</author>
    <author>tc={D0EA704F-D615-4860-ADFB-01B8AC2757DC}</author>
    <author>tc={00556614-9E75-4431-9B6A-9F700B3AE1EC}</author>
    <author>tc={72C31D3B-009D-4895-80F5-6257150B381D}</author>
  </authors>
  <commentList>
    <comment ref="F224" authorId="0" shapeId="0">
      <text>
        <t>[Comentário encadeado]
Sua versão do Excel permite que você leia este comentário encadeado, no entanto, as edições serão removidas se o arquivo for aberto em uma versão mais recente do Excel. Saiba mais: https://go.microsoft.com/fwlink/?linkid=870924
Comentário:
    Atualmente, não possui um MM com a severidade SA para RecloserLockout</t>
      </text>
    </comment>
    <comment ref="B237" authorId="1" shapeId="0">
      <text>
        <t>[Comentário encadeado]
Sua versão do Excel permite que você leia este comentário encadeado, no entanto, as edições serão removidas se o arquivo for aberto em uma versão mais recente do Excel. Saiba mais: https://go.microsoft.com/fwlink/?linkid=870924
Comentário:
    Só tem em MAA. Verificar se não é sobre e sub funcao</t>
      </text>
    </comment>
    <comment ref="B238" authorId="2" shapeId="0">
      <text>
        <t>[Comentário encadeado]
Sua versão do Excel permite que você leia este comentário encadeado, no entanto, as edições serão removidas se o arquivo for aberto em uma versão mais recente do Excel. Saiba mais: https://go.microsoft.com/fwlink/?linkid=870924
Comentário:
    Só tem em MAA. Verificar se não é sobre e sub funcao</t>
      </text>
    </comment>
    <comment ref="B294" authorId="3" shapeId="0">
      <text>
        <t>[Comentário encadeado]
Sua versão do Excel permite que você leia este comentário encadeado, no entanto, as edições serão removidas se o arquivo for aberto em uma versão mais recente do Excel. Saiba mais: https://go.microsoft.com/fwlink/?linkid=870924
Comentário:
    NÃO USAR.
Conforme consulta às UTRs, é TRIP Geral (Usar sinal "TRIP")</t>
      </text>
    </comment>
    <comment ref="A530" authorId="4" shapeId="0">
      <text>
        <t>[Comentário encadeado]
Sua versão do Excel permite que você leia este comentário encadeado, no entanto, as edições serão removidas se o arquivo for aberto em uma versão mais recente do Excel. Saiba mais: https://go.microsoft.com/fwlink/?linkid=870924
Comentário:
    Troca de ajustes, tendo mais de um grupo (roda)</t>
      </text>
    </comment>
    <comment ref="A581" authorId="5" shapeId="0">
      <text>
        <t>[Comentário encadeado]
Sua versão do Excel permite que você leia este comentário encadeado, no entanto, as edições serão removidas se o arquivo for aberto em uma versão mais recente do Excel. Saiba mais: https://go.microsoft.com/fwlink/?linkid=870924
Comentário:
    VERIFICAR COM SUB O FUNCIONAMENTO DO SINAL</t>
      </text>
    </comment>
    <comment ref="A686" authorId="6" shapeId="0">
      <text>
        <t>[Comentário encadeado]
Sua versão do Excel permite que você leia este comentário encadeado, no entanto, as edições serão removidas se o arquivo for aberto em uma versão mais recente do Excel. Saiba mais: https://go.microsoft.com/fwlink/?linkid=870924
Comentário:
    NÃO utilizar</t>
      </text>
    </comment>
    <comment ref="A687" authorId="7" shapeId="0">
      <text>
        <t>[Comentário encadeado]
Sua versão do Excel permite que você leia este comentário encadeado, no entanto, as edições serão removidas se o arquivo for aberto em uma versão mais recente do Excel. Saiba mais: https://go.microsoft.com/fwlink/?linkid=870924
Comentário:
    NÃO utilizar</t>
      </text>
    </comment>
  </commentList>
</comments>
</file>

<file path=xl/comments/comment2.xml><?xml version="1.0" encoding="utf-8"?>
<comments xmlns="http://schemas.openxmlformats.org/spreadsheetml/2006/main">
  <authors>
    <author>tc={4E2BA673-8B11-46FD-B490-ECC3E1F355AC}</author>
    <author>tc={BAEBAA4E-B17F-4908-A7A5-F99142DDD79D}</author>
    <author>tc={5D77F35F-9677-4B76-AA81-AB5FB0497E79}</author>
    <author>tc={3B4BCBDD-DF8F-4EBE-8420-D02C5318A1CF}</author>
    <author>tc={3AB88AE1-320B-4756-ABF2-A1A35563B21E}</author>
  </authors>
  <commentList>
    <comment ref="B188" authorId="0" shapeId="0">
      <text>
        <t>[Comentário encadeado]
Sua versão do Excel permite que você leia este comentário encadeado, no entanto, as edições serão removidas se o arquivo for aberto em uma versão mais recente do Excel. Saiba mais: https://go.microsoft.com/fwlink/?linkid=870924
Comentário:
    Verificar descriçao. Somente existem em ARV 67+50</t>
      </text>
    </comment>
    <comment ref="B190" authorId="1" shapeId="0">
      <text>
        <t>[Comentário encadeado]
Sua versão do Excel permite que você leia este comentário encadeado, no entanto, as edições serão removidas se o arquivo for aberto em uma versão mais recente do Excel. Saiba mais: https://go.microsoft.com/fwlink/?linkid=870924
Comentário:
    Verificar descriçao. Somente existem em ARV 67+50</t>
      </text>
    </comment>
    <comment ref="B192" authorId="2" shapeId="0">
      <text>
        <t>[Comentário encadeado]
Sua versão do Excel permite que você leia este comentário encadeado, no entanto, as edições serão removidas se o arquivo for aberto em uma versão mais recente do Excel. Saiba mais: https://go.microsoft.com/fwlink/?linkid=870924
Comentário:
    Verificar descriçao. Somente existem em ARV 67+50</t>
      </text>
    </comment>
    <comment ref="B250" authorId="3" shapeId="0">
      <text>
        <t>[Comentário encadeado]
Sua versão do Excel permite que você leia este comentário encadeado, no entanto, as edições serão removidas se o arquivo for aberto em uma versão mais recente do Excel. Saiba mais: https://go.microsoft.com/fwlink/?linkid=870924
Comentário:
    Só tem em MAA. Verificar se não é sobre e sub funcao</t>
      </text>
    </comment>
    <comment ref="B251" authorId="4" shapeId="0">
      <text>
        <t>[Comentário encadeado]
Sua versão do Excel permite que você leia este comentário encadeado, no entanto, as edições serão removidas se o arquivo for aberto em uma versão mais recente do Excel. Saiba mais: https://go.microsoft.com/fwlink/?linkid=870924
Comentário:
    Só tem em MAA. Verificar se não é sobre e sub funcao</t>
      </text>
    </comment>
  </commentList>
</comments>
</file>

<file path=xl/comments/comment3.xml><?xml version="1.0" encoding="utf-8"?>
<comments xmlns="http://schemas.openxmlformats.org/spreadsheetml/2006/main">
  <authors>
    <author>tc={DC0B0423-5422-4749-990C-537485532BE1}</author>
  </authors>
  <commentList>
    <comment ref="A64" authorId="0" shapeId="0">
      <text>
        <t>[Comentário encadeado]
Sua versão do Excel permite que você leia este comentário encadeado, no entanto, as edições serão removidas se o arquivo for aberto em uma versão mais recente do Excel. Saiba mais: https://go.microsoft.com/fwlink/?linkid=870924
Comentário:
    Alterar para 21</t>
      </text>
    </comment>
  </commentList>
</comments>
</file>

<file path=xl/comments/comment4.xml><?xml version="1.0" encoding="utf-8"?>
<comments xmlns="http://schemas.openxmlformats.org/spreadsheetml/2006/main">
  <authors>
    <author>Nebojsa Obradovic</author>
    <author>tc={44B1F9AB-239C-4E3D-AD60-53A939F88D6F}</author>
    <author>tc={2B4BFE32-EFDB-4D7B-8F26-418950AC6530}</author>
  </authors>
  <commentList>
    <comment ref="A1" authorId="0" shapeId="0">
      <text>
        <t>User definable name of the message mapping.</t>
      </text>
    </comment>
    <comment ref="B1" authorId="0" shapeId="0">
      <text>
        <t xml:space="preserve">Optional string describing an alternate name of the message mapping.
</t>
      </text>
    </comment>
    <comment ref="C1" authorId="0" shapeId="0">
      <text>
        <t xml:space="preserve">List of strings associated with possible values, in the same order as Values. An empty string denotes that the corresponding value cannot occur as read from the field (i.e. may be used only for commanding). Elements in list are separated using ";" character, e.g. Transit; Open; Close; Error
</t>
      </text>
    </comment>
    <comment ref="D1" authorId="0" shapeId="0">
      <text>
        <t xml:space="preserve">List of possible values that the signal can obtain. Elements in list are separated using ";" character, e.g. 0; 1; 2; 3.
</t>
      </text>
    </comment>
    <comment ref="E1" authorId="0" shapeId="0">
      <text>
        <t xml:space="preserve">Integer values in SCADA which correspond to DMS values in values attribute. SCADA plugin does the translation in both directions. If empty, no translation is perfomed, and SCADA values are translated as-is. Elements in list are separated using ";" character, e.g. 0; 1; 2; 3.
</t>
      </text>
    </comment>
    <comment ref="F1" authorId="0" shapeId="0">
      <text>
        <t xml:space="preserve">List of strings associated with possible values, used for commanding, in the same order as Values. If the value is not commandable, an empty string is used. Elements in list are separated using ";" character, e.g. ;ON;OFF;
</t>
      </text>
    </comment>
    <comment ref="G1" authorId="0" shapeId="0">
      <text>
        <t xml:space="preserve">Color associated with the state. Color is represented as six digits hexadecimal RGB value, where the first two hexa numbers represent Red color, following Green and Blue.  Additionally, FF or 00 value added prior to RGB format determines whether color is used by default or not, respectively. 
Examples:  
#00FF0000 - represents Red color; color is NOT used by default 
#FF00FF00 - represents Green color; color IS used by default
#FF0000FF - represents Blue color; color IS used by default
 </t>
      </text>
    </comment>
    <comment ref="H1" authorId="0" shapeId="0">
      <text>
        <t>For each value in the list, specifies if it is treated as abnormal. 
Abnormal values are listed in the Abnormal Summary, and an alarm might be rised, depending on Severity attribute.
Supported values are:
Normal
Abnormal
Auto</t>
      </text>
    </comment>
    <comment ref="I1" authorId="0" shapeId="0">
      <text>
        <t xml:space="preserve">Specifies whether every possible value can be entered as manual override. 
</t>
      </text>
    </comment>
    <comment ref="J1" authorId="0" shapeId="0">
      <text>
        <t xml:space="preserve">List of references to an alarm/event catalogs assigned to this message mapping setting. Elements in list are seperated using ";" character.
</t>
      </text>
    </comment>
    <comment ref="A807" authorId="1" shapeId="0">
      <text>
        <t>[Comentário encadeado]
Sua versão do Excel permite que você leia este comentário encadeado, no entanto, as edições serão removidas se o arquivo for aberto em uma versão mais recente do Excel. Saiba mais: https://go.microsoft.com/fwlink/?linkid=870924
Comentário:
    Criar esse novo mm</t>
      </text>
    </comment>
    <comment ref="A808" authorId="2" shapeId="0">
      <text>
        <t>[Comentário encadeado]
Sua versão do Excel permite que você leia este comentário encadeado, no entanto, as edições serão removidas se o arquivo for aberto em uma versão mais recente do Excel. Saiba mais: https://go.microsoft.com/fwlink/?linkid=870924
Comentário:
    Criar MM novo. Grupo 81</t>
      </text>
    </comment>
  </commentList>
</comments>
</file>

<file path=xl/comments/comment5.xml><?xml version="1.0" encoding="utf-8"?>
<comments xmlns="http://schemas.openxmlformats.org/spreadsheetml/2006/main">
  <authors>
    <author>tc={99BB2C3E-CC5E-4674-B6B0-8FE1FFB58A72}</author>
    <author>tc={5B04D3B7-6E37-410A-9722-71E7579DFF28}</author>
    <author>tc={29EE7A84-9321-43B7-A203-A16244D0F618}</author>
    <author>tc={6A58D5BD-A303-4191-B101-3C8BC40F17BE}</author>
    <author>tc={2E5AB503-CEA8-4524-B32E-5D9440949733}</author>
    <author>tc={F3BECDF5-F592-461B-BB98-3AA37CFA5C13}</author>
    <author>tc={BD6AD60B-25AC-433A-8BA4-3552167FE991}</author>
    <author>tc={6D70048F-9B64-4FD6-BB20-7E3B30E9B2C7}</author>
    <author>tc={64DCF02A-9CA0-4C0D-A89D-915CE280FEC5}</author>
    <author>tc={AA5090C6-A6E0-4D55-819D-B0F44F2F061D}</author>
    <author>tc={DFD6FDA9-2652-4998-9006-DE8C548D3118}</author>
    <author>tc={454595D9-1A25-426E-A065-91B696B01AAD}</author>
    <author>tc={581E8CD1-52EA-497B-A7DB-93520C63F88D}</author>
  </authors>
  <commentList>
    <comment ref="A3" authorId="0" shapeId="0">
      <text>
        <t>[Comentário encadeado]
Sua versão do Excel permite que você leia este comentário encadeado, no entanto, as edições serão removidas se o arquivo for aberto em uma versão mais recente do Excel. Saiba mais: https://go.microsoft.com/fwlink/?linkid=870924
Comentário:
    USAR NOME AJAL E MUDAR ALIAS</t>
      </text>
    </comment>
    <comment ref="A5" authorId="1" shapeId="0">
      <text>
        <t>[Comentário encadeado]
Sua versão do Excel permite que você leia este comentário encadeado, no entanto, as edições serão removidas se o arquivo for aberto em uma versão mais recente do Excel. Saiba mais: https://go.microsoft.com/fwlink/?linkid=870924
Comentário:
    NÃO USAR</t>
      </text>
    </comment>
    <comment ref="B7" authorId="2" shapeId="0">
      <text>
        <t>[Comentário encadeado]
Sua versão do Excel permite que você leia este comentário encadeado, no entanto, as edições serão removidas se o arquivo for aberto em uma versão mais recente do Excel. Saiba mais: https://go.microsoft.com/fwlink/?linkid=870924
Comentário:
    VER COM CAMPO FUNCIONAMENTO</t>
      </text>
    </comment>
    <comment ref="B10" authorId="3" shapeId="0">
      <text>
        <t>[Comentário encadeado]
Sua versão do Excel permite que você leia este comentário encadeado, no entanto, as edições serão removidas se o arquivo for aberto em uma versão mais recente do Excel. Saiba mais: https://go.microsoft.com/fwlink/?linkid=870924
Comentário:
    USAR MDTP</t>
      </text>
    </comment>
    <comment ref="B11" authorId="4" shapeId="0">
      <text>
        <t>[Comentário encadeado]
Sua versão do Excel permite que você leia este comentário encadeado, no entanto, as edições serão removidas se o arquivo for aberto em uma versão mais recente do Excel. Saiba mais: https://go.microsoft.com/fwlink/?linkid=870924
Comentário:
    USAR MDTP</t>
      </text>
    </comment>
    <comment ref="B12" authorId="5" shapeId="0">
      <text>
        <t>[Comentário encadeado]
Sua versão do Excel permite que você leia este comentário encadeado, no entanto, as edições serão removidas se o arquivo for aberto em uma versão mais recente do Excel. Saiba mais: https://go.microsoft.com/fwlink/?linkid=870924
Comentário:
    USAR MDTP</t>
      </text>
    </comment>
    <comment ref="B13" authorId="6" shapeId="0">
      <text>
        <t>[Comentário encadeado]
Sua versão do Excel permite que você leia este comentário encadeado, no entanto, as edições serão removidas se o arquivo for aberto em uma versão mais recente do Excel. Saiba mais: https://go.microsoft.com/fwlink/?linkid=870924
Comentário:
    USAR MDTP</t>
      </text>
    </comment>
    <comment ref="B14" authorId="7" shapeId="0">
      <text>
        <t>[Comentário encadeado]
Sua versão do Excel permite que você leia este comentário encadeado, no entanto, as edições serão removidas se o arquivo for aberto em uma versão mais recente do Excel. Saiba mais: https://go.microsoft.com/fwlink/?linkid=870924
Comentário:
    VER COM CAMPO O FUNCIONAMENTO</t>
      </text>
    </comment>
    <comment ref="B15" authorId="8" shapeId="0">
      <text>
        <t>[Comentário encadeado]
Sua versão do Excel permite que você leia este comentário encadeado, no entanto, as edições serão removidas se o arquivo for aberto em uma versão mais recente do Excel. Saiba mais: https://go.microsoft.com/fwlink/?linkid=870924
Comentário:
    FAZER MULTI VF1 E VF2 (AVALIAR)</t>
      </text>
    </comment>
    <comment ref="B16" authorId="9" shapeId="0">
      <text>
        <t>[Comentário encadeado]
Sua versão do Excel permite que você leia este comentário encadeado, no entanto, as edições serão removidas se o arquivo for aberto em uma versão mais recente do Excel. Saiba mais: https://go.microsoft.com/fwlink/?linkid=870924
Comentário:
    OK</t>
      </text>
    </comment>
    <comment ref="B17" authorId="10" shapeId="0">
      <text>
        <t>[Comentário encadeado]
Sua versão do Excel permite que você leia este comentário encadeado, no entanto, as edições serão removidas se o arquivo for aberto em uma versão mais recente do Excel. Saiba mais: https://go.microsoft.com/fwlink/?linkid=870924
Comentário:
    FAZER MULTI VF1 E VF2 (AVALIAR)</t>
      </text>
    </comment>
    <comment ref="B18" authorId="11" shapeId="0">
      <text>
        <t>[Comentário encadeado]
Sua versão do Excel permite que você leia este comentário encadeado, no entanto, as edições serão removidas se o arquivo for aberto em uma versão mais recente do Excel. Saiba mais: https://go.microsoft.com/fwlink/?linkid=870924
Comentário:
    OK</t>
      </text>
    </comment>
    <comment ref="A20" authorId="12" shapeId="0">
      <text>
        <t>[Comentário encadeado]
Sua versão do Excel permite que você leia este comentário encadeado, no entanto, as edições serão removidas se o arquivo for aberto em uma versão mais recente do Excel. Saiba mais: https://go.microsoft.com/fwlink/?linkid=870924
Comentário:
    VERIFICAR COM SUB O FUNCIONAMENTO DO SINAL</t>
      </text>
    </comment>
  </commentList>
</comments>
</file>

<file path=xl/comments/comment6.xml><?xml version="1.0" encoding="utf-8"?>
<comments xmlns="http://schemas.openxmlformats.org/spreadsheetml/2006/main">
  <authors>
    <author>tc={31FB2B95-E0D7-443A-9454-5D3C56AD10C8}</author>
    <author>tc={5F049A5C-CBAA-4C5E-BD4C-B6AF9C119846}</author>
    <author>tc={7D8A081B-FCAB-4427-B931-4C4EA387D5DC}</author>
    <author>tc={C9FA33FE-1C31-486B-A539-649DE8B16881}</author>
    <author>tc={19D01D8D-087D-4BD9-84FD-8FF7A313F978}</author>
  </authors>
  <commentList>
    <comment ref="B142" authorId="0" shapeId="0">
      <text>
        <t>[Comentário encadeado]
Sua versão do Excel permite que você leia este comentário encadeado, no entanto, as edições serão removidas se o arquivo for aberto em uma versão mais recente do Excel. Saiba mais: https://go.microsoft.com/fwlink/?linkid=870924
Comentário:
    Verificar descriçao. Somente existem em ARV 67+50</t>
      </text>
    </comment>
    <comment ref="B144" authorId="1" shapeId="0">
      <text>
        <t>[Comentário encadeado]
Sua versão do Excel permite que você leia este comentário encadeado, no entanto, as edições serão removidas se o arquivo for aberto em uma versão mais recente do Excel. Saiba mais: https://go.microsoft.com/fwlink/?linkid=870924
Comentário:
    Verificar descriçao. Somente existem em ARV 67+50</t>
      </text>
    </comment>
    <comment ref="B146" authorId="2" shapeId="0">
      <text>
        <t>[Comentário encadeado]
Sua versão do Excel permite que você leia este comentário encadeado, no entanto, as edições serão removidas se o arquivo for aberto em uma versão mais recente do Excel. Saiba mais: https://go.microsoft.com/fwlink/?linkid=870924
Comentário:
    Verificar descriçao. Somente existem em ARV 67+50</t>
      </text>
    </comment>
    <comment ref="B204" authorId="3" shapeId="0">
      <text>
        <t>[Comentário encadeado]
Sua versão do Excel permite que você leia este comentário encadeado, no entanto, as edições serão removidas se o arquivo for aberto em uma versão mais recente do Excel. Saiba mais: https://go.microsoft.com/fwlink/?linkid=870924
Comentário:
    Só tem em MAA. Verificar se não é sobre e sub funcao</t>
      </text>
    </comment>
    <comment ref="B205" authorId="4" shapeId="0">
      <text>
        <t>[Comentário encadeado]
Sua versão do Excel permite que você leia este comentário encadeado, no entanto, as edições serão removidas se o arquivo for aberto em uma versão mais recente do Excel. Saiba mais: https://go.microsoft.com/fwlink/?linkid=870924
Comentário:
    Só tem em MAA. Verificar se não é sobre e sub funcao</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15</col>
      <colOff>163942</colOff>
      <row>0</row>
      <rowOff>115421</rowOff>
    </from>
    <to>
      <col>16</col>
      <colOff>583075</colOff>
      <row>2</row>
      <rowOff>52564</rowOff>
    </to>
    <pic macro="[3]!GenerateReport">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2128592" y="115421"/>
          <a:ext cx="1219233" cy="765818"/>
        </a:xfrm>
        <a:prstGeom xmlns:a="http://schemas.openxmlformats.org/drawingml/2006/main" prst="rect">
          <avLst/>
        </a:prstGeom>
        <a:ln xmlns:a="http://schemas.openxmlformats.org/drawingml/2006/mai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file:///\\FB0D0597\CPFL%20RGE%20FCU%20-%20Substation%20Hierarchy.xlsm" TargetMode="External" Id="rId1"/></Relationships>
</file>

<file path=xl/externalLinks/_rels/externalLink2.xml.rels><Relationships xmlns="http://schemas.openxmlformats.org/package/2006/relationships"><Relationship Type="http://schemas.openxmlformats.org/officeDocument/2006/relationships/externalLinkPath" Target="http://portais.cpfl.com.br/Shkee%20D%20part/Public/Smiljanic/test/TDT_DNP3_example%20for%20SDDT%20-%20VRS_Full%20(version%201)_SKIIII.xlsb.xlsm" TargetMode="External" Id="rId1"/></Relationships>
</file>

<file path=xl/externalLinks/_rels/externalLink3.xml.rels><Relationships xmlns="http://schemas.openxmlformats.org/package/2006/relationships"><Relationship Type="http://schemas.openxmlformats.org/officeDocument/2006/relationships/externalLinkPath" Target="http://portais.cpfl.com.br/sites/vpr/ro/ADMS/Programa%20ADMS/ADMS%20Project/2.%20Design/Data/SCADA/eTerra/Signals%20Explanation/Signals%20explanations%20-%20DMS%20Signal%20Type_ETERRA_V3.xlsx" TargetMode="External" Id="rId1"/></Relationships>
</file>

<file path=xl/externalLinks/_rels/externalLink4.xml.rels><Relationships xmlns="http://schemas.openxmlformats.org/package/2006/relationships"><Relationship Type="http://schemas.openxmlformats.org/officeDocument/2006/relationships/externalLinkPath" Target="file:///\\172.16.222.24\UserData\bb.xlsx" TargetMode="External" Id="rId2"/></Relationships>
</file>

<file path=xl/externalLinks/externalLink1.xml><?xml version="1.0" encoding="utf-8"?>
<externalLink xmlns="http://schemas.openxmlformats.org/spreadsheetml/2006/main">
  <externalBook xmlns:r="http://schemas.openxmlformats.org/officeDocument/2006/relationships" r:id="rId1">
    <sheetNames>
      <sheetName val="Substation"/>
      <sheetName val="Accumulator"/>
      <sheetName val="ACLineSegment"/>
      <sheetName val="Analog"/>
      <sheetName val="AnalogAlternateLimit"/>
      <sheetName val="AnalogLimit"/>
      <sheetName val="AnalogLimitSet"/>
      <sheetName val="AnalogRateLimit"/>
      <sheetName val="AutoSelectionCriteria"/>
      <sheetName val="AuxiliaryLoad"/>
      <sheetName val="BlockLoadShedDuplicate"/>
      <sheetName val="BlockLoadShedPoint"/>
      <sheetName val="BusBarSection"/>
      <sheetName val="Calculation"/>
      <sheetName val="CalculationArgument"/>
      <sheetName val="CombustionTurbine"/>
      <sheetName val="Command"/>
      <sheetName val="CommandLock"/>
      <sheetName val="ConductorLength"/>
      <sheetName val="CongestionZone"/>
      <sheetName val="ConnectivityNode"/>
      <sheetName val="ConstantArgument"/>
      <sheetName val="CurrentRelay"/>
      <sheetName val="CurrentTransformer"/>
      <sheetName val="DCConverter"/>
      <sheetName val="DCPole"/>
      <sheetName val="Discrete"/>
      <sheetName val="EquipmentGroup"/>
      <sheetName val="EquipmentGroupControlLock"/>
      <sheetName val="EquivalentBranch"/>
      <sheetName val="EquivalentLoad"/>
      <sheetName val="EquivalentShunt"/>
      <sheetName val="ForbiddenZone"/>
      <sheetName val="FrequencyRelay"/>
      <sheetName val="Fuel"/>
      <sheetName val="GeneratingUnit"/>
      <sheetName val="GenericEquipment"/>
      <sheetName val="GrossToNetActivePowerCurve"/>
      <sheetName val="HostControlArea"/>
      <sheetName val="HydroTurbine"/>
      <sheetName val="ImpedanceRelay"/>
      <sheetName val="IncrementalHeatRateCurve"/>
      <sheetName val="InterSiteAliasName"/>
      <sheetName val="LoadTransfer"/>
      <sheetName val="Market"/>
      <sheetName val="OperatingShare"/>
      <sheetName val="OperationalLimit"/>
      <sheetName val="OperationalLimitSet"/>
      <sheetName val="PlantGenVsDischargeCurve"/>
      <sheetName val="PowerTransformer"/>
      <sheetName val="ProtectionEq_Switch"/>
      <sheetName val="PulseCalibration"/>
      <sheetName val="ResContentVsElevCurve"/>
      <sheetName val="ResourceController"/>
      <sheetName val="SeriesCompensator"/>
      <sheetName val="SetPoint"/>
      <sheetName val="SetPointLock"/>
      <sheetName val="ShuntCompensator"/>
      <sheetName val="StaticVarCompensator"/>
      <sheetName val="SteamSup_SteamTurb"/>
      <sheetName val="SteamTurbine"/>
      <sheetName val="SubstationControlLock"/>
      <sheetName val="Switch"/>
      <sheetName val="Switch_SynchrMachine"/>
      <sheetName val="SynchrocheckRelay"/>
      <sheetName val="SynchronousMachine"/>
      <sheetName val="TailElevVsDischargeCurve"/>
      <sheetName val="TapChanger"/>
      <sheetName val="Terminal"/>
      <sheetName val="TieCorridor"/>
      <sheetName val="TieFlow"/>
      <sheetName val="TransformerWinding"/>
      <sheetName val="VLSBusBarMonitored"/>
      <sheetName val="VoltageLevel"/>
      <sheetName val="VoltageRelay"/>
      <sheetName val="VoltageSourceConverter"/>
      <sheetName val="WaveTrap"/>
      <sheetName val="WeatherStation"/>
      <sheetName val="WindSpeedCurve"/>
      <sheetName val="Substation_zzz"/>
      <sheetName val="AlarmLocation"/>
      <sheetName val="YesNo_PL"/>
      <sheetName val="AreaOfResponsibility"/>
      <sheetName val="AlarmExceptionDefinition"/>
      <sheetName val="AlarmCategory"/>
      <sheetName val="SubGeographicalRegion"/>
      <sheetName val="FrequencyRelay_zzz"/>
      <sheetName val="EquipmentGroupType"/>
      <sheetName val="ProtectionEq_Switch_zzz"/>
      <sheetName val="CloseOpenNone_PL"/>
      <sheetName val="AlternatePreferred_PL"/>
      <sheetName val="VoltageRelay_zzz"/>
      <sheetName val="VoltageLevel_zzz"/>
      <sheetName val="BaseVoltage"/>
      <sheetName val="EquivalentBranch_zzz"/>
      <sheetName val="Terminal_zzz"/>
      <sheetName val="TerminalType_PL"/>
      <sheetName val="Analog_zzz"/>
      <sheetName val="AnalogAlarmCategory"/>
      <sheetName val="AnalogName"/>
      <sheetName val="GeographicalRegion"/>
      <sheetName val="MeasurementType"/>
      <sheetName val="MeasurementUnit_PL"/>
      <sheetName val="MeasurementNormalSource_PL"/>
      <sheetName val="Site"/>
      <sheetName val="ScadaHistory"/>
      <sheetName val="UnitMultiplier_PL"/>
      <sheetName val="UnitSymbol_PL"/>
      <sheetName val="Discrete_zzz"/>
      <sheetName val="TemporaryInhibitionUnit_PL"/>
      <sheetName val="ConversionTable"/>
      <sheetName val="DiscreteAlarmCategory"/>
      <sheetName val="DiscreteName"/>
      <sheetName val="DiscreteType"/>
      <sheetName val="Accumulator_zzz"/>
      <sheetName val="EquivalentShunt_zzz"/>
      <sheetName val="ACLineSegment_zzz"/>
      <sheetName val="CurrentRelay_zzz"/>
      <sheetName val="ImpedanceRelay_zzz"/>
      <sheetName val="ConductorLength_zzz"/>
      <sheetName val="OperationalLimitSet_zzz"/>
      <sheetName val="OperationalLimit_zzz"/>
      <sheetName val="EMSLimitType_PL"/>
      <sheetName val="OpLimitType_PL"/>
      <sheetName val="AuxiliaryLoad_zzz"/>
      <sheetName val="BusBarSection_zzz"/>
      <sheetName val="VLSBusBarMonitored_zzz"/>
      <sheetName val="DCConverter_zzz"/>
      <sheetName val="EquivalentLoad_zzz"/>
      <sheetName val="EnergyConsumerType_PL"/>
      <sheetName val="PhaseList_PL"/>
      <sheetName val="LoadTransfer_zzz"/>
      <sheetName val="SynchronousMachine_zzz"/>
      <sheetName val="CondenserOperatingMode_PL"/>
      <sheetName val="CondenserType_PL"/>
      <sheetName val="CoolantType_PL"/>
      <sheetName val="CombustionTurbine_zzz"/>
      <sheetName val="HydroTurbine_zzz"/>
      <sheetName val="SteamTurbine_zzz"/>
      <sheetName val="SteamSup_SteamTurb_zzz"/>
      <sheetName val="Switch_SynchrMachine_zzz"/>
      <sheetName val="SeriesCompensator_zzz"/>
      <sheetName val="ShuntCompensator_zzz"/>
      <sheetName val="StaticVarCompensator_zzz"/>
      <sheetName val="Switch_zzz"/>
      <sheetName val="SwitchType_PL"/>
      <sheetName val="SynchrocheckRelay_zzz"/>
      <sheetName val="VoltageSourceConverter_zzz"/>
      <sheetName val="PowerTransformer_zzz"/>
      <sheetName val="TransformerConnectionType_P"/>
      <sheetName val="TransformerWinding_zzz"/>
      <sheetName val="WindingType_PL"/>
      <sheetName val="TapChanger_zzz"/>
      <sheetName val="TransformerControlMode_PL"/>
      <sheetName val="TapChangerKind_PL"/>
      <sheetName val="CurrentTransformer_zzz"/>
      <sheetName val="WaveTrap_zzz"/>
      <sheetName val="GeneratingUnit_zzz"/>
      <sheetName val="UnitControlSource_PL"/>
      <sheetName val="RTGENDataTransferType_PL"/>
      <sheetName val="GeneratingUnitType_PL"/>
      <sheetName val="NonPhysicalUnitType_PL"/>
      <sheetName val="FuelMixSchedulesType_PL"/>
      <sheetName val="ConnectivityNode_zzz"/>
      <sheetName val="ACDC_PL"/>
      <sheetName val="SubstationControlLock_zzz"/>
      <sheetName val="EquipmentGroup_zzz"/>
      <sheetName val="BayType"/>
      <sheetName val="EquipmentGroupControlLock_zzz"/>
      <sheetName val="AnalogLimitSet_zzz"/>
      <sheetName val="LimitSetType_PL"/>
      <sheetName val="AnalogLimit_zzz"/>
      <sheetName val="AnalogLimitName"/>
      <sheetName val="LimitAlarmCategory"/>
      <sheetName val="LimitType_PL"/>
      <sheetName val="AnalogAlternateLimit_zzz"/>
      <sheetName val="InterSiteAliasName_zzz"/>
      <sheetName val="AnalogRateLimit_zzz"/>
      <sheetName val="ScadaTriggerTimer"/>
      <sheetName val="SetPoint_zzz"/>
      <sheetName val="SetPointLock_zzz"/>
      <sheetName val="Command_zzz"/>
      <sheetName val="CommandName"/>
      <sheetName val="ClosedOpen_PL"/>
      <sheetName val="CommandLock_zzz"/>
      <sheetName val="ConstantArgument_zzz"/>
      <sheetName val="Calculation_zzz"/>
      <sheetName val="CalculationFunction"/>
      <sheetName val="ControlCalculationType_PL"/>
      <sheetName val="CalculationArgument_zzz"/>
      <sheetName val="CalculationFunctionArg"/>
      <sheetName val="BlockLoadShedDuplicate_zzz"/>
      <sheetName val="BlockLoadShedPoint_zzz"/>
      <sheetName val="TieCorridor_zzz"/>
      <sheetName val="TieAdjustementFocusType_PL"/>
      <sheetName val="CalculatedFactorType_PL"/>
      <sheetName val="JAGCTieType_PL"/>
      <sheetName val="TieDevParamUsageType_PL"/>
      <sheetName val="TieCorridorStatusType_PL"/>
      <sheetName val="TieDevAdjustType_PL"/>
      <sheetName val="DCPole_zzz"/>
      <sheetName val="IncrementalHeatRateCurve_zzz"/>
      <sheetName val="CurveStyle_PL"/>
      <sheetName val="ResourceController_zzz"/>
      <sheetName val="FactorSourceType_PL"/>
      <sheetName val="PLCBasepointModeType_PL"/>
      <sheetName val="ControlFeedbackType_PL"/>
      <sheetName val="PLCControlStatusType_PL"/>
      <sheetName val="PLCControlType_PL"/>
      <sheetName val="GenAllocationMethodType_PL"/>
      <sheetName val="RegPreferenceType_PL"/>
      <sheetName val="HostControlArea_zzz"/>
      <sheetName val="AreaControlModeType_PL"/>
      <sheetName val="AreaControlStatusType_PL"/>
      <sheetName val="AreaEDCostCompType_PL"/>
      <sheetName val="BackupSchedRampType_PL"/>
      <sheetName val="ControlAreaTypeKind_PL"/>
      <sheetName val="RegAllocationType_PL"/>
      <sheetName val="PLCBPRampType_PL"/>
      <sheetName val="EDRequirementType_PL"/>
      <sheetName val="WECCATECMaxType_PL"/>
      <sheetName val="CongestionZone_zzz"/>
      <sheetName val="TieFlow_zzz"/>
      <sheetName val="Market_zzz"/>
      <sheetName val="GenericEquipment_zzz"/>
      <sheetName val="WeatherStation_zzz"/>
      <sheetName val="ResContentVsElevCurve_zzz"/>
      <sheetName val="TailElevVsDischargeCurve_zzz"/>
      <sheetName val="PlantGenVsDischargeCurve_zzz"/>
      <sheetName val="PulseCalibration_zzz"/>
      <sheetName val="ForbiddenZone_zzz"/>
      <sheetName val="Fuel_zzz"/>
      <sheetName val="AutoSelectionCriteria_zzz"/>
      <sheetName val="GrossToNetActivePowerCurve_zzz"/>
      <sheetName val="WindSpeedCurve_zzz"/>
      <sheetName val="OperatingShare_zzz"/>
      <sheetName val="AAE5CAE5BEF442EF8D8A3EF0212"/>
      <sheetName val="AA6698752EBF4A74BB0481C61ED"/>
      <sheetName val="Inf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ow r="2">
          <cell r="B2" t="str">
            <v>3I0</v>
          </cell>
        </row>
        <row r="3">
          <cell r="B3" t="str">
            <v>A51F</v>
          </cell>
        </row>
        <row r="4">
          <cell r="B4" t="str">
            <v>A51N</v>
          </cell>
        </row>
        <row r="5">
          <cell r="B5" t="str">
            <v>ANO</v>
          </cell>
        </row>
        <row r="6">
          <cell r="B6" t="str">
            <v>ANTN</v>
          </cell>
        </row>
        <row r="7">
          <cell r="B7" t="str">
            <v>ASGF</v>
          </cell>
        </row>
        <row r="8">
          <cell r="B8" t="str">
            <v>BIHI</v>
          </cell>
        </row>
        <row r="9">
          <cell r="B9" t="str">
            <v>BILO</v>
          </cell>
        </row>
        <row r="10">
          <cell r="B10" t="str">
            <v>CHUV</v>
          </cell>
        </row>
        <row r="11">
          <cell r="B11" t="str">
            <v>DIA</v>
          </cell>
        </row>
        <row r="12">
          <cell r="B12" t="str">
            <v>ENER</v>
          </cell>
        </row>
        <row r="13">
          <cell r="B13" t="str">
            <v>FP</v>
          </cell>
        </row>
        <row r="14">
          <cell r="B14" t="str">
            <v>FREQ</v>
          </cell>
        </row>
        <row r="15">
          <cell r="B15" t="str">
            <v>I1</v>
          </cell>
        </row>
        <row r="16">
          <cell r="B16" t="str">
            <v>I2</v>
          </cell>
        </row>
        <row r="17">
          <cell r="B17" t="str">
            <v>IA</v>
          </cell>
        </row>
        <row r="18">
          <cell r="B18" t="str">
            <v>IACC</v>
          </cell>
        </row>
        <row r="19">
          <cell r="B19" t="str">
            <v>IB</v>
          </cell>
        </row>
        <row r="20">
          <cell r="B20" t="str">
            <v>IBCC</v>
          </cell>
        </row>
        <row r="21">
          <cell r="B21" t="str">
            <v>IC</v>
          </cell>
        </row>
        <row r="22">
          <cell r="B22" t="str">
            <v>ICCC</v>
          </cell>
        </row>
        <row r="23">
          <cell r="B23" t="str">
            <v>IN</v>
          </cell>
        </row>
        <row r="24">
          <cell r="B24" t="str">
            <v>IN61</v>
          </cell>
        </row>
        <row r="25">
          <cell r="B25" t="str">
            <v>INB1</v>
          </cell>
        </row>
        <row r="26">
          <cell r="B26" t="str">
            <v>INB2</v>
          </cell>
        </row>
        <row r="27">
          <cell r="B27" t="str">
            <v>INCC</v>
          </cell>
        </row>
        <row r="28">
          <cell r="B28" t="str">
            <v>I_C</v>
          </cell>
        </row>
        <row r="29">
          <cell r="B29" t="str">
            <v>I_F</v>
          </cell>
        </row>
        <row r="30">
          <cell r="B30" t="str">
            <v>KMDF</v>
          </cell>
        </row>
        <row r="31">
          <cell r="B31" t="str">
            <v>MES</v>
          </cell>
        </row>
        <row r="32">
          <cell r="B32" t="str">
            <v>MODN</v>
          </cell>
        </row>
        <row r="33">
          <cell r="B33" t="str">
            <v>NOME</v>
          </cell>
        </row>
        <row r="34">
          <cell r="B34" t="str">
            <v>OPER</v>
          </cell>
        </row>
        <row r="35">
          <cell r="B35" t="str">
            <v>P</v>
          </cell>
        </row>
        <row r="36">
          <cell r="B36" t="str">
            <v>PCVA</v>
          </cell>
        </row>
        <row r="37">
          <cell r="B37" t="str">
            <v>PRAT</v>
          </cell>
        </row>
        <row r="38">
          <cell r="B38" t="str">
            <v>P_CA</v>
          </cell>
        </row>
        <row r="39">
          <cell r="B39" t="str">
            <v>Q</v>
          </cell>
        </row>
        <row r="40">
          <cell r="B40" t="str">
            <v>RTC</v>
          </cell>
        </row>
        <row r="41">
          <cell r="B41" t="str">
            <v>S</v>
          </cell>
        </row>
        <row r="42">
          <cell r="B42" t="str">
            <v>TAP</v>
          </cell>
        </row>
        <row r="43">
          <cell r="B43" t="str">
            <v>TEMP</v>
          </cell>
        </row>
        <row r="44">
          <cell r="B44" t="str">
            <v>TENR</v>
          </cell>
        </row>
        <row r="45">
          <cell r="B45" t="str">
            <v>TINT</v>
          </cell>
        </row>
        <row r="46">
          <cell r="B46" t="str">
            <v>TMPI</v>
          </cell>
        </row>
        <row r="47">
          <cell r="B47" t="str">
            <v>TOLE</v>
          </cell>
        </row>
        <row r="48">
          <cell r="B48" t="str">
            <v>TPAM</v>
          </cell>
        </row>
        <row r="49">
          <cell r="B49" t="str">
            <v>TPBT</v>
          </cell>
        </row>
        <row r="50">
          <cell r="B50" t="str">
            <v>UMDI</v>
          </cell>
        </row>
        <row r="51">
          <cell r="B51" t="str">
            <v>UMID</v>
          </cell>
        </row>
        <row r="52">
          <cell r="B52" t="str">
            <v>V</v>
          </cell>
        </row>
        <row r="53">
          <cell r="B53" t="str">
            <v>VA</v>
          </cell>
        </row>
        <row r="54">
          <cell r="B54" t="str">
            <v>VAB</v>
          </cell>
        </row>
        <row r="55">
          <cell r="B55" t="str">
            <v>VABC</v>
          </cell>
        </row>
        <row r="56">
          <cell r="B56" t="str">
            <v>VABL</v>
          </cell>
        </row>
        <row r="57">
          <cell r="B57" t="str">
            <v>VA_B</v>
          </cell>
        </row>
        <row r="58">
          <cell r="B58" t="str">
            <v>VA_L</v>
          </cell>
        </row>
        <row r="59">
          <cell r="B59" t="str">
            <v>VB</v>
          </cell>
        </row>
        <row r="60">
          <cell r="B60" t="str">
            <v>VBAT</v>
          </cell>
        </row>
        <row r="61">
          <cell r="B61" t="str">
            <v>VBC</v>
          </cell>
        </row>
        <row r="62">
          <cell r="B62" t="str">
            <v>VB_B</v>
          </cell>
        </row>
        <row r="63">
          <cell r="B63" t="str">
            <v>VB_L</v>
          </cell>
        </row>
        <row r="64">
          <cell r="B64" t="str">
            <v>VC</v>
          </cell>
        </row>
        <row r="65">
          <cell r="B65" t="str">
            <v>VCA</v>
          </cell>
        </row>
        <row r="66">
          <cell r="B66" t="str">
            <v>VCA1</v>
          </cell>
        </row>
        <row r="67">
          <cell r="B67" t="str">
            <v>VCA2</v>
          </cell>
        </row>
        <row r="68">
          <cell r="B68" t="str">
            <v>VCA3</v>
          </cell>
        </row>
        <row r="69">
          <cell r="B69" t="str">
            <v>VCC</v>
          </cell>
        </row>
        <row r="70">
          <cell r="B70" t="str">
            <v>VC_B</v>
          </cell>
        </row>
        <row r="71">
          <cell r="B71" t="str">
            <v>VC_L</v>
          </cell>
        </row>
        <row r="72">
          <cell r="B72" t="str">
            <v>VIN</v>
          </cell>
        </row>
        <row r="73">
          <cell r="B73" t="str">
            <v>VNTD</v>
          </cell>
        </row>
        <row r="74">
          <cell r="B74" t="str">
            <v>VNTV</v>
          </cell>
        </row>
        <row r="75">
          <cell r="B75" t="str">
            <v>VOUT</v>
          </cell>
        </row>
        <row r="76">
          <cell r="B76" t="str">
            <v>VREF</v>
          </cell>
        </row>
        <row r="77">
          <cell r="B77" t="str">
            <v>V_C</v>
          </cell>
        </row>
        <row r="78">
          <cell r="B78" t="str">
            <v>V_F</v>
          </cell>
        </row>
      </sheetData>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Info"/>
      <sheetName val="DMSMatchingTemplateInfo"/>
      <sheetName val="DNP3_RTUs"/>
      <sheetName val="DNP3_ScanGroups"/>
      <sheetName val="DNP3_CommLinks"/>
      <sheetName val="DNP3_DiscreteSignals"/>
      <sheetName val="DNP3_AnalogSignals"/>
      <sheetName val="PtoEstSE_PFE"/>
      <sheetName val="PtoDadSE_PFE"/>
      <sheetName val="UTR_Pirateninga"/>
      <sheetName val="SDDT"/>
    </sheetNames>
    <sheetDataSet>
      <sheetData sheetId="0">
        <row r="28">
          <cell r="L28" t="str">
            <v>Custom</v>
          </cell>
        </row>
        <row r="29">
          <cell r="L29" t="str">
            <v>MeasuredValue</v>
          </cell>
        </row>
        <row r="30">
          <cell r="L30" t="str">
            <v>ControlSetValue</v>
          </cell>
        </row>
        <row r="31">
          <cell r="L31" t="str">
            <v>ControlBandwidth</v>
          </cell>
        </row>
        <row r="32">
          <cell r="L32" t="str">
            <v>ControlDelay</v>
          </cell>
        </row>
        <row r="33">
          <cell r="L33" t="str">
            <v>ControlSubDelay</v>
          </cell>
        </row>
        <row r="34">
          <cell r="L34" t="str">
            <v>ControlLimitHigh</v>
          </cell>
        </row>
        <row r="35">
          <cell r="L35" t="str">
            <v>ControlLimitLow</v>
          </cell>
        </row>
        <row r="36">
          <cell r="L36" t="str">
            <v>ControlSlopeReal</v>
          </cell>
        </row>
        <row r="37">
          <cell r="L37" t="str">
            <v>ControlSlopeImag</v>
          </cell>
        </row>
        <row r="38">
          <cell r="L38" t="str">
            <v>FaultRecorder</v>
          </cell>
        </row>
        <row r="39">
          <cell r="L39" t="str">
            <v>WeatherData</v>
          </cell>
        </row>
        <row r="40">
          <cell r="L40" t="str">
            <v>BellwetherMeter</v>
          </cell>
        </row>
        <row r="41">
          <cell r="L41" t="str">
            <v>RecloseDelay</v>
          </cell>
        </row>
        <row r="42">
          <cell r="L42" t="str">
            <v>FaultCurrentSub</v>
          </cell>
        </row>
        <row r="43">
          <cell r="L43" t="str">
            <v>FaultAngleSub</v>
          </cell>
        </row>
        <row r="44">
          <cell r="L44" t="str">
            <v>FaultCurrentTrans</v>
          </cell>
        </row>
        <row r="45">
          <cell r="L45" t="str">
            <v>FaultAngleTrans</v>
          </cell>
        </row>
        <row r="46">
          <cell r="L46" t="str">
            <v>DeltaVoltage</v>
          </cell>
        </row>
        <row r="47">
          <cell r="L47" t="str">
            <v>MaxRampUp</v>
          </cell>
        </row>
        <row r="48">
          <cell r="L48" t="str">
            <v>MaxRampDown</v>
          </cell>
        </row>
        <row r="49">
          <cell r="L49" t="str">
            <v>Charged</v>
          </cell>
        </row>
        <row r="50">
          <cell r="L50" t="str">
            <v>EnergyPrice</v>
          </cell>
        </row>
        <row r="51">
          <cell r="L51" t="str">
            <v>GenerationPrice</v>
          </cell>
        </row>
      </sheetData>
      <sheetData sheetId="1"/>
      <sheetData sheetId="2"/>
      <sheetData sheetId="3"/>
      <sheetData sheetId="4"/>
      <sheetData sheetId="5"/>
      <sheetData sheetId="6"/>
      <sheetData sheetId="7"/>
      <sheetData sheetId="8"/>
      <sheetData sheetId="9"/>
      <sheetData sheetId="10"/>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Info"/>
      <sheetName val="ETERRA"/>
      <sheetName val="apoio"/>
      <sheetName val="Information"/>
      <sheetName val="DMS Singnal Explanation"/>
      <sheetName val="Discrete"/>
      <sheetName val="DiscreteName"/>
      <sheetName val="DiscreteType"/>
      <sheetName val="DiscreteAlarmCategory"/>
      <sheetName val="CommandName"/>
      <sheetName val="Command"/>
      <sheetName val="Signals explanations - DMS Sign"/>
    </sheetNames>
    <definedNames>
      <definedName name="GenerateReport"/>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Info"/>
      <sheetName val="DMSMatchingTemplateInfo"/>
      <sheetName val="NoteCatalog"/>
      <sheetName val="AlarmCatalog"/>
      <sheetName val="EventCatalog"/>
      <sheetName val="AlarmLimits"/>
      <sheetName val="LimitSets"/>
      <sheetName val="TagCatalog"/>
      <sheetName val="MessageMappings"/>
      <sheetName val="DOMCatalog"/>
    </sheetNames>
    <sheetDataSet>
      <sheetData sheetId="0"/>
      <sheetData sheetId="1"/>
      <sheetData sheetId="2"/>
      <sheetData sheetId="3">
        <row r="1">
          <cell r="A1" t="str">
            <v>Alarm Catalog</v>
          </cell>
          <cell r="B1"/>
          <cell r="C1"/>
          <cell r="D1"/>
          <cell r="E1"/>
          <cell r="F1"/>
          <cell r="G1"/>
          <cell r="H1"/>
          <cell r="I1"/>
          <cell r="J1"/>
          <cell r="K1"/>
          <cell r="L1"/>
          <cell r="M1"/>
        </row>
        <row r="2">
          <cell r="A2" t="str">
            <v>ALARMEVENTC</v>
          </cell>
          <cell r="B2"/>
          <cell r="C2"/>
          <cell r="D2"/>
          <cell r="E2"/>
          <cell r="F2"/>
          <cell r="G2"/>
          <cell r="H2"/>
          <cell r="I2"/>
          <cell r="J2"/>
          <cell r="K2"/>
          <cell r="L2"/>
          <cell r="M2"/>
        </row>
        <row r="3">
          <cell r="A3" t="str">
            <v>IDOBJ_NAME</v>
          </cell>
          <cell r="B3" t="str">
            <v>DELETE</v>
          </cell>
          <cell r="C3" t="str">
            <v>IDOBJ_ALIAS</v>
          </cell>
          <cell r="D3" t="str">
            <v>IDOBJ_CUSTOMID</v>
          </cell>
          <cell r="E3" t="str">
            <v>ALARMEVENTC_DOALARM</v>
          </cell>
          <cell r="F3" t="str">
            <v>ALARMEVENTC_TEXT</v>
          </cell>
          <cell r="G3" t="str">
            <v>ALARMEVENTC_INFO</v>
          </cell>
          <cell r="H3" t="str">
            <v>ALARMEVENTC_DELAY</v>
          </cell>
          <cell r="I3" t="str">
            <v>ALARMEVENTC_ESCALATION</v>
          </cell>
          <cell r="J3" t="str">
            <v>ALARMEVENTC_CAUSE</v>
          </cell>
          <cell r="K3" t="str">
            <v>ALARMEVENTC_SEVERITY</v>
          </cell>
          <cell r="L3" t="str">
            <v>ALARMEVENTC_ESCALATEDSEVERITY</v>
          </cell>
          <cell r="M3" t="str">
            <v>ALARMEVENTC_AUTOACKRTN</v>
          </cell>
        </row>
        <row r="4">
          <cell r="A4" t="str">
            <v>Name</v>
          </cell>
          <cell r="B4" t="str">
            <v>Delete</v>
          </cell>
          <cell r="C4" t="str">
            <v>Alias</v>
          </cell>
          <cell r="D4" t="str">
            <v>Custom ID</v>
          </cell>
          <cell r="E4" t="str">
            <v>Do alarm</v>
          </cell>
          <cell r="F4" t="str">
            <v>Text</v>
          </cell>
          <cell r="G4" t="str">
            <v>Alarm Information</v>
          </cell>
          <cell r="H4" t="str">
            <v>Delay [s]</v>
          </cell>
          <cell r="I4" t="str">
            <v>Escalation Timeout [s]</v>
          </cell>
          <cell r="J4" t="str">
            <v>Cause</v>
          </cell>
          <cell r="K4" t="str">
            <v>Severity</v>
          </cell>
          <cell r="L4" t="str">
            <v>Escalated Severity</v>
          </cell>
          <cell r="M4" t="str">
            <v>Auto Acknowledge RTN</v>
          </cell>
        </row>
        <row r="5">
          <cell r="A5" t="str">
            <v>[Default] Alarm/Event Analog creep</v>
          </cell>
          <cell r="B5" t="str"/>
          <cell r="C5" t="str"/>
          <cell r="D5" t="str">
            <v>Default_CREEP</v>
          </cell>
          <cell r="E5" t="b">
            <v>1</v>
          </cell>
          <cell r="F5" t="str">
            <v>Valor = {0: G} {1} (ocorrência de CREEP) {2}</v>
          </cell>
          <cell r="G5" t="str"/>
          <cell r="H5">
            <v>0</v>
          </cell>
          <cell r="I5">
            <v>0</v>
          </cell>
          <cell r="J5" t="str">
            <v>AnalogCreep</v>
          </cell>
          <cell r="K5" t="str">
            <v>Severidade 15</v>
          </cell>
          <cell r="L5" t="str">
            <v>Severidade 16</v>
          </cell>
          <cell r="M5" t="b">
            <v>0</v>
          </cell>
        </row>
        <row r="6">
          <cell r="A6" t="str">
            <v>[Default] Alarm/Event Analog drop rate</v>
          </cell>
          <cell r="B6" t="str"/>
          <cell r="C6" t="str">
            <v>ALVARI</v>
          </cell>
          <cell r="D6" t="str">
            <v>Default_ROC_DROP</v>
          </cell>
          <cell r="E6" t="b">
            <v>1</v>
          </cell>
          <cell r="F6" t="str">
            <v>ALVARI - Valor {0: G} {1} {2} - Inferior []</v>
          </cell>
          <cell r="G6" t="str">
            <v>Variação brusca - ocorrência de ROC inferior</v>
          </cell>
          <cell r="H6">
            <v>0</v>
          </cell>
          <cell r="I6">
            <v>0</v>
          </cell>
          <cell r="J6" t="str">
            <v>AnalogDrop</v>
          </cell>
          <cell r="K6" t="str">
            <v>Severidade 15</v>
          </cell>
          <cell r="L6" t="str">
            <v>Severidade 16</v>
          </cell>
          <cell r="M6" t="b">
            <v>0</v>
          </cell>
        </row>
        <row r="7">
          <cell r="A7" t="str">
            <v>[Default] Alarm/Event Analog flatline</v>
          </cell>
          <cell r="B7" t="str"/>
          <cell r="C7" t="str">
            <v>DADCNG</v>
          </cell>
          <cell r="D7" t="str">
            <v>Default_FLAT</v>
          </cell>
          <cell r="E7" t="b">
            <v>1</v>
          </cell>
          <cell r="F7" t="str">
            <v>DADCNG - Valor {0: G} {1} ( {2} segundos) []</v>
          </cell>
          <cell r="G7" t="str">
            <v>Dados congelados</v>
          </cell>
          <cell r="H7">
            <v>0</v>
          </cell>
          <cell r="I7">
            <v>0</v>
          </cell>
          <cell r="J7" t="str">
            <v>AnalogFlatline</v>
          </cell>
          <cell r="K7" t="str">
            <v>Severidade 15</v>
          </cell>
          <cell r="L7" t="str">
            <v>Severidade 16</v>
          </cell>
          <cell r="M7" t="b">
            <v>0</v>
          </cell>
        </row>
        <row r="8">
          <cell r="A8" t="str">
            <v>[Default] Alarm/Event Analog flatline return-to-normal</v>
          </cell>
          <cell r="B8" t="str"/>
          <cell r="C8" t="str">
            <v>FIMCNG</v>
          </cell>
          <cell r="D8" t="str">
            <v>Default_FLAT_RTN</v>
          </cell>
          <cell r="E8" t="b">
            <v>1</v>
          </cell>
          <cell r="F8" t="str">
            <v>FIMCNG - Valor {0: G} {1} []</v>
          </cell>
          <cell r="G8" t="str">
            <v>Fim de congelamento de dados</v>
          </cell>
          <cell r="H8">
            <v>0</v>
          </cell>
          <cell r="I8">
            <v>0</v>
          </cell>
          <cell r="J8" t="str">
            <v>AnalogFlatline</v>
          </cell>
          <cell r="K8" t="str">
            <v>Severidade 15</v>
          </cell>
          <cell r="L8" t="str">
            <v>Severidade 16</v>
          </cell>
          <cell r="M8" t="b">
            <v>0</v>
          </cell>
        </row>
        <row r="9">
          <cell r="A9" t="str">
            <v>[Default] Alarm/Event Analog growth rate</v>
          </cell>
          <cell r="B9" t="str"/>
          <cell r="C9" t="str">
            <v>ALVARI</v>
          </cell>
          <cell r="D9" t="str">
            <v>Default_ROC_GROWTH</v>
          </cell>
          <cell r="E9" t="b">
            <v>1</v>
          </cell>
          <cell r="F9" t="str">
            <v>ALVARI - Valor {0: G} {1} {2} - Superior []</v>
          </cell>
          <cell r="G9" t="str">
            <v>Variação Brusca - ocorrência de ROC Superior</v>
          </cell>
          <cell r="H9">
            <v>0</v>
          </cell>
          <cell r="I9">
            <v>0</v>
          </cell>
          <cell r="J9" t="str">
            <v>AnalogGrowth</v>
          </cell>
          <cell r="K9" t="str">
            <v>Severidade 15</v>
          </cell>
          <cell r="L9" t="str">
            <v>Severidade 16</v>
          </cell>
          <cell r="M9" t="b">
            <v>0</v>
          </cell>
        </row>
        <row r="10">
          <cell r="A10" t="str">
            <v>[Default] Alarm/Event Analog high</v>
          </cell>
          <cell r="B10" t="str"/>
          <cell r="C10" t="str"/>
          <cell r="D10" t="str">
            <v>Default_HIGH</v>
          </cell>
          <cell r="E10" t="b">
            <v>1</v>
          </cell>
          <cell r="F10" t="str">
            <v>Valor = {0: G} {1} (acima do valor limite NÍVEL ALTO {2} {3: 0,00}) {4}</v>
          </cell>
          <cell r="G10" t="str"/>
          <cell r="H10">
            <v>0</v>
          </cell>
          <cell r="I10">
            <v>0</v>
          </cell>
          <cell r="J10" t="str">
            <v>AnalogHigh</v>
          </cell>
          <cell r="K10" t="str">
            <v>Severidade 11</v>
          </cell>
          <cell r="L10" t="str">
            <v>Severidade 16</v>
          </cell>
          <cell r="M10" t="b">
            <v>0</v>
          </cell>
        </row>
        <row r="11">
          <cell r="A11" t="str">
            <v>[Default] Alarm/Event Analog low</v>
          </cell>
          <cell r="B11" t="str"/>
          <cell r="C11" t="str"/>
          <cell r="D11" t="str">
            <v>Default_LOW</v>
          </cell>
          <cell r="E11" t="b">
            <v>1</v>
          </cell>
          <cell r="F11" t="str">
            <v>Valor = {0: G} {1} (abaixo do valor limite LOW LEVEL {2} {3: 0,00}) {4}</v>
          </cell>
          <cell r="G11" t="str"/>
          <cell r="H11">
            <v>0</v>
          </cell>
          <cell r="I11">
            <v>0</v>
          </cell>
          <cell r="J11" t="str">
            <v>AnalogLow</v>
          </cell>
          <cell r="K11" t="str">
            <v>Severidade 11</v>
          </cell>
          <cell r="L11" t="str">
            <v>Severidade 16</v>
          </cell>
          <cell r="M11" t="b">
            <v>0</v>
          </cell>
        </row>
        <row r="12">
          <cell r="A12" t="str">
            <v>[Default] Alarm/Event Analog return-to-normal</v>
          </cell>
          <cell r="B12" t="str"/>
          <cell r="C12" t="str"/>
          <cell r="D12" t="str">
            <v>Default_ANALOG_RTN</v>
          </cell>
          <cell r="E12" t="b">
            <v>1</v>
          </cell>
          <cell r="F12" t="str">
            <v>Valor = {0:G} {1} (estado NORMAL) {2}</v>
          </cell>
          <cell r="G12" t="str"/>
          <cell r="H12">
            <v>0</v>
          </cell>
          <cell r="I12">
            <v>0</v>
          </cell>
          <cell r="J12" t="str">
            <v>AnalogRTN</v>
          </cell>
          <cell r="K12" t="str">
            <v>Severidade 15</v>
          </cell>
          <cell r="L12" t="str">
            <v>Severidade 16</v>
          </cell>
          <cell r="M12" t="b">
            <v>0</v>
          </cell>
        </row>
        <row r="13">
          <cell r="A13" t="str">
            <v>[Default] Alarm/Event Discrete state</v>
          </cell>
          <cell r="B13" t="str"/>
          <cell r="C13" t="str"/>
          <cell r="D13" t="str">
            <v>Default_DISCRETE</v>
          </cell>
          <cell r="E13" t="b">
            <v>1</v>
          </cell>
          <cell r="F13" t="str">
            <v>{0} of state to {1} ({2} state)</v>
          </cell>
          <cell r="G13" t="str"/>
          <cell r="H13">
            <v>0</v>
          </cell>
          <cell r="I13">
            <v>0</v>
          </cell>
          <cell r="J13" t="str">
            <v>DiscreteState</v>
          </cell>
          <cell r="K13" t="str">
            <v>Severidade 15</v>
          </cell>
          <cell r="L13" t="str">
            <v>Severidade 16</v>
          </cell>
          <cell r="M13" t="b">
            <v>0</v>
          </cell>
        </row>
        <row r="14">
          <cell r="A14" t="str">
            <v>Abnormal ADC Failure alarm event catalog</v>
          </cell>
          <cell r="B14" t="str"/>
          <cell r="C14" t="str"/>
          <cell r="D14" t="str">
            <v>ADC_Failure</v>
          </cell>
          <cell r="E14" t="b">
            <v>1</v>
          </cell>
          <cell r="F14" t="str">
            <v>Falha no ADC detectada na RTU.</v>
          </cell>
          <cell r="G14" t="str"/>
          <cell r="H14">
            <v>0</v>
          </cell>
          <cell r="I14">
            <v>0</v>
          </cell>
          <cell r="J14" t="str">
            <v>ApplicationAlarm</v>
          </cell>
          <cell r="K14" t="str">
            <v>Severidade 6</v>
          </cell>
          <cell r="L14" t="str">
            <v>Severidade 16</v>
          </cell>
          <cell r="M14" t="b">
            <v>0</v>
          </cell>
        </row>
        <row r="15">
          <cell r="A15" t="str">
            <v>Acquisition queue limit exceeded</v>
          </cell>
          <cell r="B15" t="str"/>
          <cell r="C15" t="str"/>
          <cell r="D15" t="str">
            <v>FEP_ACQUISITION_QUEUE_LIMIT_EXCEEDED</v>
          </cell>
          <cell r="E15" t="b">
            <v>1</v>
          </cell>
          <cell r="F15" t="str">
            <v>A capacidade da fila de aquisição {0} excedeu com o tipo: {1}.</v>
          </cell>
          <cell r="G15" t="str"/>
          <cell r="H15">
            <v>0</v>
          </cell>
          <cell r="I15">
            <v>0</v>
          </cell>
          <cell r="J15" t="str">
            <v>ApplicationAlarm</v>
          </cell>
          <cell r="K15" t="str">
            <v>Severidade 9</v>
          </cell>
          <cell r="L15" t="str">
            <v>Severidade 16</v>
          </cell>
          <cell r="M15" t="b">
            <v>0</v>
          </cell>
        </row>
        <row r="16">
          <cell r="A16" t="str">
            <v>Activate Modem Link Failed</v>
          </cell>
          <cell r="B16" t="str"/>
          <cell r="C16" t="str"/>
          <cell r="D16" t="str">
            <v>FEP_MODEM_ACTIVATE_FAILED</v>
          </cell>
          <cell r="E16" t="b">
            <v>0</v>
          </cell>
          <cell r="F16" t="str">
            <v>Falha ao estabelecer a chamada discada para a RTU no número {0}.</v>
          </cell>
          <cell r="G16" t="str"/>
          <cell r="H16">
            <v>0</v>
          </cell>
          <cell r="I16">
            <v>0</v>
          </cell>
          <cell r="J16" t="str">
            <v>ApplicationAlarm</v>
          </cell>
          <cell r="K16" t="str">
            <v>Severidade 16</v>
          </cell>
          <cell r="L16" t="str">
            <v>Severidade 16</v>
          </cell>
          <cell r="M16" t="b">
            <v>0</v>
          </cell>
        </row>
        <row r="17">
          <cell r="A17" t="str">
            <v>ADC returned to normal</v>
          </cell>
          <cell r="B17" t="str"/>
          <cell r="C17" t="str"/>
          <cell r="D17" t="str">
            <v>MGMS_ADC_SUSPEND_MODE_RTN</v>
          </cell>
          <cell r="E17" t="b">
            <v>1</v>
          </cell>
          <cell r="F17" t="str">
            <v>A função ADC não está mais suspensa.</v>
          </cell>
          <cell r="G17" t="str"/>
          <cell r="H17">
            <v>0</v>
          </cell>
          <cell r="I17">
            <v>0</v>
          </cell>
          <cell r="J17" t="str">
            <v>ApplicationAlarm</v>
          </cell>
          <cell r="K17" t="str">
            <v>Severidade 8</v>
          </cell>
          <cell r="L17" t="str">
            <v>Severidade 16</v>
          </cell>
          <cell r="M17" t="b">
            <v>0</v>
          </cell>
        </row>
        <row r="18">
          <cell r="A18" t="str">
            <v>ADC suspended</v>
          </cell>
          <cell r="B18" t="str"/>
          <cell r="C18" t="str"/>
          <cell r="D18" t="str">
            <v>MGMS_ADC_SUSPEND_MODE</v>
          </cell>
          <cell r="E18" t="b">
            <v>1</v>
          </cell>
          <cell r="F18" t="str">
            <v>A função ADC está suspensa. {0}</v>
          </cell>
          <cell r="G18" t="str"/>
          <cell r="H18">
            <v>0</v>
          </cell>
          <cell r="I18">
            <v>0</v>
          </cell>
          <cell r="J18" t="str">
            <v>ApplicationAlarm</v>
          </cell>
          <cell r="K18" t="str">
            <v>Severidade 8</v>
          </cell>
          <cell r="L18" t="str">
            <v>Severidade 16</v>
          </cell>
          <cell r="M18" t="b">
            <v>0</v>
          </cell>
        </row>
        <row r="19">
          <cell r="A19" t="str">
            <v>Adequate protection settings</v>
          </cell>
          <cell r="B19" t="str"/>
          <cell r="C19" t="str"/>
          <cell r="D19" t="str">
            <v>DMS_CFS_PE_GOOD_SETTING</v>
          </cell>
          <cell r="E19" t="b">
            <v>0</v>
          </cell>
          <cell r="F19" t="str">
            <v>A configuração de proteção do dispositivo é adequada.</v>
          </cell>
          <cell r="G19" t="str"/>
          <cell r="H19">
            <v>0</v>
          </cell>
          <cell r="I19">
            <v>0</v>
          </cell>
          <cell r="J19" t="str">
            <v>ApplicationAlarm</v>
          </cell>
          <cell r="K19" t="str">
            <v>Severidade 10</v>
          </cell>
          <cell r="L19" t="str">
            <v>Severidade 16</v>
          </cell>
          <cell r="M19" t="b">
            <v>0</v>
          </cell>
        </row>
        <row r="20">
          <cell r="A20" t="str">
            <v>Admin Pager Error</v>
          </cell>
          <cell r="B20" t="str"/>
          <cell r="C20" t="str"/>
          <cell r="D20" t="str">
            <v>SYSTEM_ADMINPAGER_ADMINPAGERERROR_2</v>
          </cell>
          <cell r="E20" t="b">
            <v>0</v>
          </cell>
          <cell r="F20" t="str">
            <v>Mensagem de administrador inválida recebida para o tópico {0}. O mecanismo PubSub não está conectado.</v>
          </cell>
          <cell r="G20" t="str"/>
          <cell r="H20">
            <v>0</v>
          </cell>
          <cell r="I20">
            <v>0</v>
          </cell>
          <cell r="J20" t="str">
            <v>SystemAlarm</v>
          </cell>
          <cell r="K20" t="str">
            <v>Severidade 14</v>
          </cell>
          <cell r="L20" t="str">
            <v>Severidade 16</v>
          </cell>
          <cell r="M20" t="b">
            <v>0</v>
          </cell>
        </row>
        <row r="21">
          <cell r="A21" t="str">
            <v>Admin Pager Message</v>
          </cell>
          <cell r="B21" t="str"/>
          <cell r="C21" t="str"/>
          <cell r="D21" t="str">
            <v>SYSTEM_ADMINPAGER_ADMINPAGERMESSAGE_1</v>
          </cell>
          <cell r="E21" t="b">
            <v>0</v>
          </cell>
          <cell r="F21" t="str">
            <v>PubSub engine is connected. Any custom admin pager messageâ€¦</v>
          </cell>
          <cell r="G21" t="str"/>
          <cell r="H21">
            <v>0</v>
          </cell>
          <cell r="I21">
            <v>0</v>
          </cell>
          <cell r="J21" t="str">
            <v>SystemAlarm</v>
          </cell>
          <cell r="K21" t="str">
            <v>Severidade 14</v>
          </cell>
          <cell r="L21" t="str">
            <v>Severidade 16</v>
          </cell>
          <cell r="M21" t="b">
            <v>0</v>
          </cell>
        </row>
        <row r="22">
          <cell r="A22" t="str">
            <v>Admin Pager Uncategorized Event</v>
          </cell>
          <cell r="B22" t="str"/>
          <cell r="C22" t="str"/>
          <cell r="D22" t="str">
            <v>SYSTEM_ADMINPAGER_ADMINPAGERUNCATEGORIZEDEVENT_3</v>
          </cell>
          <cell r="E22" t="b">
            <v>0</v>
          </cell>
          <cell r="F22" t="str">
            <v>â€¦</v>
          </cell>
          <cell r="G22" t="str"/>
          <cell r="H22">
            <v>0</v>
          </cell>
          <cell r="I22">
            <v>0</v>
          </cell>
          <cell r="J22" t="str">
            <v>SystemAlarm</v>
          </cell>
          <cell r="K22" t="str">
            <v>Severidade 14</v>
          </cell>
          <cell r="L22" t="str">
            <v>Severidade 16</v>
          </cell>
          <cell r="M22" t="b">
            <v>0</v>
          </cell>
        </row>
        <row r="23">
          <cell r="A23" t="str">
            <v>AGC returned to normal</v>
          </cell>
          <cell r="B23" t="str"/>
          <cell r="C23" t="str"/>
          <cell r="D23" t="str">
            <v>GMS_AGC_SUSPEND_MODE_RTN</v>
          </cell>
          <cell r="E23" t="b">
            <v>1</v>
          </cell>
          <cell r="F23" t="str">
            <v>A função AGC não é mais suspensa.</v>
          </cell>
          <cell r="G23" t="str"/>
          <cell r="H23">
            <v>0</v>
          </cell>
          <cell r="I23">
            <v>0</v>
          </cell>
          <cell r="J23" t="str">
            <v>ApplicationAlarm</v>
          </cell>
          <cell r="K23" t="str">
            <v>Severidade 8</v>
          </cell>
          <cell r="L23" t="str">
            <v>Severidade 16</v>
          </cell>
          <cell r="M23" t="b">
            <v>0</v>
          </cell>
        </row>
        <row r="24">
          <cell r="A24" t="str">
            <v>AGC suspended</v>
          </cell>
          <cell r="B24" t="str"/>
          <cell r="C24" t="str"/>
          <cell r="D24" t="str">
            <v>GMS_AGC_SUSPEND_MODE</v>
          </cell>
          <cell r="E24" t="b">
            <v>1</v>
          </cell>
          <cell r="F24" t="str">
            <v>A função AGC está suspensa. {0}</v>
          </cell>
          <cell r="G24" t="str"/>
          <cell r="H24">
            <v>0</v>
          </cell>
          <cell r="I24">
            <v>0</v>
          </cell>
          <cell r="J24" t="str">
            <v>ApplicationAlarm</v>
          </cell>
          <cell r="K24" t="str">
            <v>Severidade 8</v>
          </cell>
          <cell r="L24" t="str">
            <v>Severidade 16</v>
          </cell>
          <cell r="M24" t="b">
            <v>0</v>
          </cell>
        </row>
        <row r="25">
          <cell r="A25" t="str">
            <v>Alarm/Event Analog Command Failed</v>
          </cell>
          <cell r="B25" t="str"/>
          <cell r="C25" t="str">
            <v>CNEXEC</v>
          </cell>
          <cell r="D25" t="str">
            <v>CMD_FAIL_ANALOG</v>
          </cell>
          <cell r="E25" t="b">
            <v>1</v>
          </cell>
          <cell r="F25" t="str">
            <v>CNEXEC - Ponto de ajuste para {0} Falhou devido a: {1}. O valor atual é: {2} []</v>
          </cell>
          <cell r="G25" t="str"/>
          <cell r="H25">
            <v>0</v>
          </cell>
          <cell r="I25">
            <v>0</v>
          </cell>
          <cell r="J25" t="str">
            <v>ApplicationAlarm</v>
          </cell>
          <cell r="K25" t="str">
            <v>Severidade 5</v>
          </cell>
          <cell r="L25" t="str">
            <v>Severidade 16</v>
          </cell>
          <cell r="M25" t="b">
            <v>0</v>
          </cell>
        </row>
        <row r="26">
          <cell r="A26" t="str">
            <v>Alarm/Event Analog flatline DoNotAlarm</v>
          </cell>
          <cell r="B26" t="str"/>
          <cell r="C26" t="str"/>
          <cell r="D26" t="str">
            <v>12ce3f88-7c61-46d8-8433-42e5b9f9d7db</v>
          </cell>
          <cell r="E26" t="b">
            <v>0</v>
          </cell>
          <cell r="F26" t="str">
            <v>Valor = {0: G} {1} (FLATLINE por {2} segundos)</v>
          </cell>
          <cell r="G26" t="str"/>
          <cell r="H26">
            <v>0</v>
          </cell>
          <cell r="I26">
            <v>0</v>
          </cell>
          <cell r="J26" t="str">
            <v>AnalogFlatline</v>
          </cell>
          <cell r="K26" t="str">
            <v>Severidade 15</v>
          </cell>
          <cell r="L26" t="str">
            <v>Severidade 16</v>
          </cell>
          <cell r="M26" t="b">
            <v>0</v>
          </cell>
        </row>
        <row r="27">
          <cell r="A27" t="str">
            <v>Alarm/Event Analog invalid value</v>
          </cell>
          <cell r="B27" t="str"/>
          <cell r="C27" t="str"/>
          <cell r="D27" t="str">
            <v>INVALID_ANALOG_VALUE</v>
          </cell>
          <cell r="E27" t="b">
            <v>1</v>
          </cell>
          <cell r="F27" t="str">
            <v>Valor = {0} {1} (RAZOÁVEL)</v>
          </cell>
          <cell r="G27" t="str"/>
          <cell r="H27">
            <v>0</v>
          </cell>
          <cell r="I27">
            <v>0</v>
          </cell>
          <cell r="J27" t="str">
            <v>AnalogReasonability</v>
          </cell>
          <cell r="K27" t="str">
            <v>Severidade 16</v>
          </cell>
          <cell r="L27" t="str">
            <v>Severidade 16</v>
          </cell>
          <cell r="M27" t="b">
            <v>0</v>
          </cell>
        </row>
        <row r="28">
          <cell r="A28" t="str">
            <v xml:space="preserve">Alarm/Event Discrete Command Failed </v>
          </cell>
          <cell r="B28" t="str"/>
          <cell r="C28" t="str">
            <v>CNEXEC</v>
          </cell>
          <cell r="D28" t="str">
            <v>CMD_FAIL_DISCRETE</v>
          </cell>
          <cell r="E28" t="b">
            <v>1</v>
          </cell>
          <cell r="F28" t="str">
            <v>CNEXEC - Falhou ({1}). Estado atual {2} []</v>
          </cell>
          <cell r="G28" t="str">
            <v>Comando não executado</v>
          </cell>
          <cell r="H28">
            <v>0</v>
          </cell>
          <cell r="I28">
            <v>0</v>
          </cell>
          <cell r="J28" t="str">
            <v>ApplicationAlarm</v>
          </cell>
          <cell r="K28" t="str">
            <v>Severidade 5</v>
          </cell>
          <cell r="L28" t="str">
            <v>Severidade 16</v>
          </cell>
          <cell r="M28" t="b">
            <v>0</v>
          </cell>
        </row>
        <row r="29">
          <cell r="A29" t="str">
            <v>Alarm/Event Discrete state</v>
          </cell>
          <cell r="B29" t="str"/>
          <cell r="C29" t="str"/>
          <cell r="D29" t="str">
            <v>90748a1d-b51f-43b2-af7c-7458073fafff</v>
          </cell>
          <cell r="E29" t="b">
            <v>1</v>
          </cell>
          <cell r="F29" t="str">
            <v>{0} do estado para {1} ({2} estado)</v>
          </cell>
          <cell r="G29" t="str"/>
          <cell r="H29">
            <v>0</v>
          </cell>
          <cell r="I29">
            <v>0</v>
          </cell>
          <cell r="J29" t="str">
            <v>DiscreteState</v>
          </cell>
          <cell r="K29" t="str">
            <v>Severidade 16</v>
          </cell>
          <cell r="L29" t="str">
            <v>Severidade 16</v>
          </cell>
          <cell r="M29" t="b">
            <v>0</v>
          </cell>
        </row>
        <row r="30">
          <cell r="A30" t="str">
            <v>Alarm/Event FEP Connection State Transition</v>
          </cell>
          <cell r="B30" t="str"/>
          <cell r="C30" t="str"/>
          <cell r="D30" t="str">
            <v>DMS_NDS_FEP_CONNECTION_STATE_TRANSITION</v>
          </cell>
          <cell r="E30" t="b">
            <v>1</v>
          </cell>
          <cell r="F30" t="str">
            <v>A conexão do FEP {0} foi alterado para {1}</v>
          </cell>
          <cell r="G30" t="str">
            <v>Mudança de estado da conexão do FEP</v>
          </cell>
          <cell r="H30">
            <v>0</v>
          </cell>
          <cell r="I30">
            <v>0</v>
          </cell>
          <cell r="J30" t="str">
            <v>ApplicationAlarm</v>
          </cell>
          <cell r="K30" t="str">
            <v>Severidade 16</v>
          </cell>
          <cell r="L30" t="str">
            <v>Severidade 16</v>
          </cell>
          <cell r="M30" t="b">
            <v>0</v>
          </cell>
        </row>
        <row r="31">
          <cell r="A31" t="str">
            <v>Alarm/Event FEP Connection State Transition Return To Normal</v>
          </cell>
          <cell r="B31" t="str"/>
          <cell r="C31" t="str"/>
          <cell r="D31" t="str">
            <v>DMS_NDS_FEP_CONNECTION_STATE_RTN_TRANSITION</v>
          </cell>
          <cell r="E31" t="b">
            <v>1</v>
          </cell>
          <cell r="F31" t="str">
            <v>O estado da conexão para FCS com o ID {0} foi alterado para {1}.</v>
          </cell>
          <cell r="G31" t="str"/>
          <cell r="H31">
            <v>0</v>
          </cell>
          <cell r="I31">
            <v>0</v>
          </cell>
          <cell r="J31" t="str">
            <v>ApplicationAlarm</v>
          </cell>
          <cell r="K31" t="str">
            <v>Severidade 16</v>
          </cell>
          <cell r="L31" t="str">
            <v>Severidade 16</v>
          </cell>
          <cell r="M31" t="b">
            <v>0</v>
          </cell>
        </row>
        <row r="32">
          <cell r="A32" t="str">
            <v>Alarm/Event FEP Model Alignment Failed</v>
          </cell>
          <cell r="B32" t="str"/>
          <cell r="C32" t="str"/>
          <cell r="D32" t="str">
            <v>Default_FCS_CONNECTION_FAIL</v>
          </cell>
          <cell r="E32" t="b">
            <v>1</v>
          </cell>
          <cell r="F32" t="str">
            <v>O alinhamento do modelo com o serviço de Comunicação de Campo falhou.</v>
          </cell>
          <cell r="G32" t="str"/>
          <cell r="H32">
            <v>0</v>
          </cell>
          <cell r="I32">
            <v>0</v>
          </cell>
          <cell r="J32" t="str">
            <v>SystemAlarm</v>
          </cell>
          <cell r="K32" t="str">
            <v>Severidade 15</v>
          </cell>
          <cell r="L32" t="str">
            <v>Severidade 16</v>
          </cell>
          <cell r="M32" t="b">
            <v>0</v>
          </cell>
        </row>
        <row r="33">
          <cell r="A33" t="str">
            <v>Alternative protection setting is adequate</v>
          </cell>
          <cell r="B33" t="str"/>
          <cell r="C33" t="str"/>
          <cell r="D33" t="str">
            <v>DMS_CFS_PE_SUSPICIOUS_SETTING</v>
          </cell>
          <cell r="E33" t="b">
            <v>0</v>
          </cell>
          <cell r="F33" t="str">
            <v>A configuração de proteção do dispositivo não é adequada, mas há uma configuração adequada alternativa.</v>
          </cell>
          <cell r="G33" t="str"/>
          <cell r="H33">
            <v>0</v>
          </cell>
          <cell r="I33">
            <v>0</v>
          </cell>
          <cell r="J33" t="str">
            <v>ApplicationAlarm</v>
          </cell>
          <cell r="K33" t="str">
            <v>Severidade 10</v>
          </cell>
          <cell r="L33" t="str">
            <v>Severidade 16</v>
          </cell>
          <cell r="M33" t="b">
            <v>0</v>
          </cell>
        </row>
        <row r="34">
          <cell r="A34" t="str">
            <v>Application calculation failed</v>
          </cell>
          <cell r="B34" t="str"/>
          <cell r="C34" t="str"/>
          <cell r="D34" t="str">
            <v>DMS_CFS_FUNC_CALC_FAIL</v>
          </cell>
          <cell r="E34" t="b">
            <v>0</v>
          </cell>
          <cell r="F34" t="str">
            <v>Falha ao executar {0}.</v>
          </cell>
          <cell r="G34" t="str"/>
          <cell r="H34">
            <v>0</v>
          </cell>
          <cell r="I34">
            <v>0</v>
          </cell>
          <cell r="J34" t="str">
            <v>ApplicationAlarm</v>
          </cell>
          <cell r="K34" t="str">
            <v>Severidade 15</v>
          </cell>
          <cell r="L34" t="str">
            <v>Severidade 16</v>
          </cell>
          <cell r="M34" t="b">
            <v>0</v>
          </cell>
        </row>
        <row r="35">
          <cell r="A35" t="str">
            <v>Application calculation failed on significant network part</v>
          </cell>
          <cell r="B35" t="str"/>
          <cell r="C35" t="str"/>
          <cell r="D35" t="str">
            <v>DMS_CFS_FUNC_CALC_FAIL_ON_SIGNIF_NETWORK_PART</v>
          </cell>
          <cell r="E35" t="b">
            <v>0</v>
          </cell>
          <cell r="F35" t="str">
            <v>Falha na execução de {0} para {1}% da rede.</v>
          </cell>
          <cell r="G35" t="str"/>
          <cell r="H35">
            <v>0</v>
          </cell>
          <cell r="I35">
            <v>0</v>
          </cell>
          <cell r="J35" t="str">
            <v>ApplicationAlarm</v>
          </cell>
          <cell r="K35" t="str">
            <v>Severidade 15</v>
          </cell>
          <cell r="L35" t="str">
            <v>Severidade 16</v>
          </cell>
          <cell r="M35" t="b">
            <v>0</v>
          </cell>
        </row>
        <row r="36">
          <cell r="A36" t="str">
            <v>Application calculation failed on significant network part returned to normal</v>
          </cell>
          <cell r="B36" t="str"/>
          <cell r="C36" t="str"/>
          <cell r="D36" t="str">
            <v>DMS_CFS_RTN_FUNC_CALC_FAIL_ON_SIGNIF_NETWORK_PART</v>
          </cell>
          <cell r="E36" t="b">
            <v>0</v>
          </cell>
          <cell r="F36" t="str">
            <v>A porcentagem de falha {0} é abaixo do limite.</v>
          </cell>
          <cell r="G36" t="str"/>
          <cell r="H36">
            <v>0</v>
          </cell>
          <cell r="I36">
            <v>0</v>
          </cell>
          <cell r="J36" t="str">
            <v>ApplicationAlarm</v>
          </cell>
          <cell r="K36" t="str">
            <v>Severidade 10</v>
          </cell>
          <cell r="L36" t="str">
            <v>Severidade 16</v>
          </cell>
          <cell r="M36" t="b">
            <v>0</v>
          </cell>
        </row>
        <row r="37">
          <cell r="A37" t="str">
            <v>Application calculation failed returned to normal</v>
          </cell>
          <cell r="B37" t="str"/>
          <cell r="C37" t="str"/>
          <cell r="D37" t="str">
            <v>DMS_CFS_RTN_FUNC_CALC_FAIL</v>
          </cell>
          <cell r="E37" t="b">
            <v>0</v>
          </cell>
          <cell r="F37" t="str">
            <v>{0} foi executado com sucesso.</v>
          </cell>
          <cell r="G37" t="str"/>
          <cell r="H37">
            <v>0</v>
          </cell>
          <cell r="I37">
            <v>0</v>
          </cell>
          <cell r="J37" t="str">
            <v>ApplicationAlarm</v>
          </cell>
          <cell r="K37" t="str">
            <v>Severidade 10</v>
          </cell>
          <cell r="L37" t="str">
            <v>Severidade 16</v>
          </cell>
          <cell r="M37" t="b">
            <v>0</v>
          </cell>
        </row>
        <row r="38">
          <cell r="A38" t="str">
            <v>Arbitration Both Hosts Hot</v>
          </cell>
          <cell r="B38" t="str"/>
          <cell r="C38" t="str"/>
          <cell r="D38" t="str">
            <v>SYSTEM_ARBITRATION_HOSTSTATEINFORMATION_9</v>
          </cell>
          <cell r="E38" t="b">
            <v>0</v>
          </cell>
          <cell r="F38" t="str">
            <v>Ambos os serviços são quentes! {1} irá parar.</v>
          </cell>
          <cell r="G38" t="str"/>
          <cell r="H38">
            <v>0</v>
          </cell>
          <cell r="I38">
            <v>0</v>
          </cell>
          <cell r="J38" t="str">
            <v>SystemAlarm</v>
          </cell>
          <cell r="K38" t="str">
            <v>Severidade 14</v>
          </cell>
          <cell r="L38" t="str">
            <v>Severidade 16</v>
          </cell>
          <cell r="M38" t="b">
            <v>0</v>
          </cell>
        </row>
        <row r="39">
          <cell r="A39" t="str">
            <v>Arbitration Child Script Command Failed</v>
          </cell>
          <cell r="B39" t="str"/>
          <cell r="C39" t="str"/>
          <cell r="D39" t="str">
            <v>SYSTEM_ARBITRATION_CHILDEXECUTABLESCRIPTFAILURE_24</v>
          </cell>
          <cell r="E39" t="b">
            <v>0</v>
          </cell>
          <cell r="F39" t="str">
            <v>O comando {0} falhou no serviço {1} no computador {2} (motivo '{3}').</v>
          </cell>
          <cell r="G39" t="str"/>
          <cell r="H39">
            <v>0</v>
          </cell>
          <cell r="I39">
            <v>0</v>
          </cell>
          <cell r="J39" t="str">
            <v>SystemAlarm</v>
          </cell>
          <cell r="K39" t="str">
            <v>Severidade 14</v>
          </cell>
          <cell r="L39" t="str">
            <v>Severidade 16</v>
          </cell>
          <cell r="M39" t="b">
            <v>0</v>
          </cell>
        </row>
        <row r="40">
          <cell r="A40" t="str">
            <v>Arbitration Child Script Failed</v>
          </cell>
          <cell r="B40" t="str"/>
          <cell r="C40" t="str"/>
          <cell r="D40" t="str">
            <v>SYSTEM_ARBITRATION_CHILDEXECUTABLESCRIPTFAILURE_38</v>
          </cell>
          <cell r="E40" t="b">
            <v>0</v>
          </cell>
          <cell r="F40" t="str">
            <v>{0} {1} falhou ao executar o serviço {2} no computador {3}. {4} foi retornado (0 = sucesso).</v>
          </cell>
          <cell r="G40" t="str"/>
          <cell r="H40">
            <v>0</v>
          </cell>
          <cell r="I40">
            <v>0</v>
          </cell>
          <cell r="J40" t="str">
            <v>SystemAlarm</v>
          </cell>
          <cell r="K40" t="str">
            <v>Severidade 14</v>
          </cell>
          <cell r="L40" t="str">
            <v>Severidade 16</v>
          </cell>
          <cell r="M40" t="b">
            <v>0</v>
          </cell>
        </row>
        <row r="41">
          <cell r="A41" t="str">
            <v>Arbitration Child Script Not Exist</v>
          </cell>
          <cell r="B41" t="str"/>
          <cell r="C41" t="str"/>
          <cell r="D41" t="str">
            <v>SYSTEM_ARBITRATION_CHILDEXECUTABLESCRIPTFAILURE_40</v>
          </cell>
          <cell r="E41" t="b">
            <v>0</v>
          </cell>
          <cell r="F41" t="str">
            <v>{0} {1} falhou ao executar o serviço {2} no computador {3}. {4} existe?</v>
          </cell>
          <cell r="G41" t="str"/>
          <cell r="H41">
            <v>0</v>
          </cell>
          <cell r="I41">
            <v>0</v>
          </cell>
          <cell r="J41" t="str">
            <v>SystemAlarm</v>
          </cell>
          <cell r="K41" t="str">
            <v>Severidade 14</v>
          </cell>
          <cell r="L41" t="str">
            <v>Severidade 16</v>
          </cell>
          <cell r="M41" t="b">
            <v>0</v>
          </cell>
        </row>
        <row r="42">
          <cell r="A42" t="str">
            <v>Arbitration Child Script Timeout</v>
          </cell>
          <cell r="B42" t="str"/>
          <cell r="C42" t="str"/>
          <cell r="D42" t="str">
            <v>SYSTEM_ARBITRATION_CHILDEXECUTABLESCRIPTFAILURE_39</v>
          </cell>
          <cell r="E42" t="b">
            <v>0</v>
          </cell>
          <cell r="F42" t="str">
            <v>{0} {1} falhou ao executar o serviço {2} no computador {3}. O processo levou mais do que o tempo limite de {4} segundos para ser concluído.</v>
          </cell>
          <cell r="G42" t="str"/>
          <cell r="H42">
            <v>0</v>
          </cell>
          <cell r="I42">
            <v>0</v>
          </cell>
          <cell r="J42" t="str">
            <v>SystemAlarm</v>
          </cell>
          <cell r="K42" t="str">
            <v>Severidade 14</v>
          </cell>
          <cell r="L42" t="str">
            <v>Severidade 16</v>
          </cell>
          <cell r="M42" t="b">
            <v>0</v>
          </cell>
        </row>
        <row r="43">
          <cell r="A43" t="str">
            <v>Arbitration Dependent Services Not Found</v>
          </cell>
          <cell r="B43" t="str"/>
          <cell r="C43" t="str"/>
          <cell r="D43" t="str">
            <v>SYSTEM_ARBITRATION_DNASERVICESHUTDOWN_21</v>
          </cell>
          <cell r="E43" t="b">
            <v>0</v>
          </cell>
          <cell r="F43" t="str">
            <v>Falha ao recuperar a lista de serviços dependentes do serviço {0} no computador {1}.</v>
          </cell>
          <cell r="G43" t="str"/>
          <cell r="H43">
            <v>0</v>
          </cell>
          <cell r="I43">
            <v>0</v>
          </cell>
          <cell r="J43" t="str">
            <v>SystemAlarm</v>
          </cell>
          <cell r="K43" t="str">
            <v>Severidade 14</v>
          </cell>
          <cell r="L43" t="str">
            <v>Severidade 16</v>
          </cell>
          <cell r="M43" t="b">
            <v>0</v>
          </cell>
        </row>
        <row r="44">
          <cell r="A44" t="str">
            <v>Arbitration Dependent Services Shut Down</v>
          </cell>
          <cell r="B44" t="str"/>
          <cell r="C44" t="str"/>
          <cell r="D44" t="str">
            <v>SYSTEM_ARBITRATION_DNASERVICESHUTDOWN_47</v>
          </cell>
          <cell r="E44" t="b">
            <v>0</v>
          </cell>
          <cell r="F44" t="str">
            <v>O serviço {0} e todos os serviços dependentes ({1}) no computador {2} agora estão parados (conforme solicitado pelo usuário {3} em {4}).</v>
          </cell>
          <cell r="G44" t="str"/>
          <cell r="H44">
            <v>0</v>
          </cell>
          <cell r="I44">
            <v>0</v>
          </cell>
          <cell r="J44" t="str">
            <v>SystemAlarm</v>
          </cell>
          <cell r="K44" t="str">
            <v>Severidade 14</v>
          </cell>
          <cell r="L44" t="str">
            <v>Severidade 16</v>
          </cell>
          <cell r="M44" t="b">
            <v>0</v>
          </cell>
        </row>
        <row r="45">
          <cell r="A45" t="str">
            <v>Arbitration Dependent Services Started</v>
          </cell>
          <cell r="B45" t="str"/>
          <cell r="C45" t="str"/>
          <cell r="D45" t="str">
            <v>SYSTEM_ARBITRATION_DNASERVICESTARTUP_45</v>
          </cell>
          <cell r="E45" t="b">
            <v>0</v>
          </cell>
          <cell r="F45" t="str">
            <v>O serviço {0} e todos os serviços dependentes ({1}) no computador {2} agora são iniciados (conforme solicitado pelo usuário {3} em {4}).</v>
          </cell>
          <cell r="G45" t="str"/>
          <cell r="H45">
            <v>0</v>
          </cell>
          <cell r="I45">
            <v>0</v>
          </cell>
          <cell r="J45" t="str">
            <v>SystemAlarm</v>
          </cell>
          <cell r="K45" t="str">
            <v>Severidade 14</v>
          </cell>
          <cell r="L45" t="str">
            <v>Severidade 16</v>
          </cell>
          <cell r="M45" t="b">
            <v>0</v>
          </cell>
        </row>
        <row r="46">
          <cell r="A46" t="str">
            <v>Arbitration Failover Rejected Cluster Error</v>
          </cell>
          <cell r="B46" t="str"/>
          <cell r="C46" t="str"/>
          <cell r="D46" t="str">
            <v>SYSTEM_ARBITRATION_FAILOVEREVENTS_65</v>
          </cell>
          <cell r="E46" t="b">
            <v>1</v>
          </cell>
          <cell r="F46" t="str">
            <v>O failover do serviço {0} no sistema {1} falhou. Consulte o log do MSCS Cluster para obter detalhes (conforme solicitado pelo usuário {2} em {3}).</v>
          </cell>
          <cell r="G46" t="str"/>
          <cell r="H46">
            <v>0</v>
          </cell>
          <cell r="I46">
            <v>0</v>
          </cell>
          <cell r="J46" t="str">
            <v>SystemAlarm</v>
          </cell>
          <cell r="K46" t="str">
            <v>Severidade 14</v>
          </cell>
          <cell r="L46" t="str">
            <v>Severidade 16</v>
          </cell>
          <cell r="M46" t="b">
            <v>0</v>
          </cell>
        </row>
        <row r="47">
          <cell r="A47" t="str">
            <v>Arbitration Failover Rejected Not Dual</v>
          </cell>
          <cell r="B47" t="str"/>
          <cell r="C47" t="str"/>
          <cell r="D47" t="str">
            <v>SYSTEM_ARBITRATION_FAILOVEREVENTS_51</v>
          </cell>
          <cell r="E47" t="b">
            <v>1</v>
          </cell>
          <cell r="F47" t="str">
            <v>O failover do serviço {0} no sistema {1} foi rejeitado porque o serviço não possui hospedagem dupla (conforme solicitado pelo usuário {2} em {3}).</v>
          </cell>
          <cell r="G47" t="str"/>
          <cell r="H47">
            <v>0</v>
          </cell>
          <cell r="I47">
            <v>0</v>
          </cell>
          <cell r="J47" t="str">
            <v>SystemAlarm</v>
          </cell>
          <cell r="K47" t="str">
            <v>Severidade 14</v>
          </cell>
          <cell r="L47" t="str">
            <v>Severidade 16</v>
          </cell>
          <cell r="M47" t="b">
            <v>0</v>
          </cell>
        </row>
        <row r="48">
          <cell r="A48" t="str">
            <v>Arbitration Failover Rejected Not Hot</v>
          </cell>
          <cell r="B48" t="str"/>
          <cell r="C48" t="str"/>
          <cell r="D48" t="str">
            <v>SYSTEM_ARBITRATION_FAILOVEREVENTS_52</v>
          </cell>
          <cell r="E48" t="b">
            <v>1</v>
          </cell>
          <cell r="F48" t="str">
            <v>O failover do serviço {0} no computador {1} foi rejeitado porque este serviço não está quente. Solicitações de failover devem ser feitas no computador HOT (conforme solicitado pelo usuário {2} em {3}).</v>
          </cell>
          <cell r="G48" t="str"/>
          <cell r="H48">
            <v>0</v>
          </cell>
          <cell r="I48">
            <v>0</v>
          </cell>
          <cell r="J48" t="str">
            <v>SystemAlarm</v>
          </cell>
          <cell r="K48" t="str">
            <v>Severidade 14</v>
          </cell>
          <cell r="L48" t="str">
            <v>Severidade 16</v>
          </cell>
          <cell r="M48" t="b">
            <v>0</v>
          </cell>
        </row>
        <row r="49">
          <cell r="A49" t="str">
            <v>Arbitration Failover Rejected Not Synchronized</v>
          </cell>
          <cell r="B49" t="str"/>
          <cell r="C49" t="str"/>
          <cell r="D49" t="str">
            <v>SYSTEM_ARBITRATION_FAILOVEREVENTS_53</v>
          </cell>
          <cell r="E49" t="b">
            <v>1</v>
          </cell>
          <cell r="F49" t="str">
            <v>O failover do serviço {0} no sistema {1} foi rejeitado porque o host do parceiro não está sincronizado. Failover manual somente pode ser realizado se o serviço estiver sincronizado (conforme solicitado pelo usuário {2} em {3}).</v>
          </cell>
          <cell r="G49" t="str"/>
          <cell r="H49">
            <v>0</v>
          </cell>
          <cell r="I49">
            <v>0</v>
          </cell>
          <cell r="J49" t="str">
            <v>SystemAlarm</v>
          </cell>
          <cell r="K49" t="str">
            <v>Severidade 14</v>
          </cell>
          <cell r="L49" t="str">
            <v>Severidade 16</v>
          </cell>
          <cell r="M49" t="b">
            <v>0</v>
          </cell>
        </row>
        <row r="50">
          <cell r="A50" t="str">
            <v>Arbitration Failover Rejected Script Busy</v>
          </cell>
          <cell r="B50" t="str"/>
          <cell r="C50" t="str"/>
          <cell r="D50" t="str">
            <v>SYSTEM_ARBITRATION_FAILOVEREVENTS_57</v>
          </cell>
          <cell r="E50" t="b">
            <v>1</v>
          </cell>
          <cell r="F50" t="str">
            <v>O failover do serviço {0} no sistema {1} foi rejeitado porque a arbitragem está executando o script '{2}' e, portanto, o failover manual não é permitido (conforme solicitado pelo usuário {3} em {4}).</v>
          </cell>
          <cell r="G50" t="str"/>
          <cell r="H50">
            <v>0</v>
          </cell>
          <cell r="I50">
            <v>0</v>
          </cell>
          <cell r="J50" t="str">
            <v>SystemAlarm</v>
          </cell>
          <cell r="K50" t="str">
            <v>Severidade 14</v>
          </cell>
          <cell r="L50" t="str">
            <v>Severidade 16</v>
          </cell>
          <cell r="M50" t="b">
            <v>0</v>
          </cell>
        </row>
        <row r="51">
          <cell r="A51" t="str">
            <v>Arbitration Failover Set DoSwitch Error</v>
          </cell>
          <cell r="B51" t="str"/>
          <cell r="C51" t="str"/>
          <cell r="D51" t="str">
            <v>SYSTEM_ARBITRATION_FAILOVEREVENTS_58</v>
          </cell>
          <cell r="E51" t="b">
            <v>1</v>
          </cell>
          <cell r="F51" t="str">
            <v>Não foi possível definir o estado do serviço {0} para doswitch.</v>
          </cell>
          <cell r="G51" t="str"/>
          <cell r="H51">
            <v>0</v>
          </cell>
          <cell r="I51">
            <v>0</v>
          </cell>
          <cell r="J51" t="str">
            <v>SystemAlarm</v>
          </cell>
          <cell r="K51" t="str">
            <v>Severidade 14</v>
          </cell>
          <cell r="L51" t="str">
            <v>Severidade 16</v>
          </cell>
          <cell r="M51" t="b">
            <v>0</v>
          </cell>
        </row>
        <row r="52">
          <cell r="A52" t="str">
            <v>Arbitration Failover Started</v>
          </cell>
          <cell r="B52" t="str"/>
          <cell r="C52" t="str"/>
          <cell r="D52" t="str">
            <v>SYSTEM_ARBITRATION_FAILOVEREVENTS_60</v>
          </cell>
          <cell r="E52" t="b">
            <v>1</v>
          </cell>
          <cell r="F52" t="str">
            <v>Failover do serviço '{0}' no sistema '{1}' iniciado pelo usuário '{2}' em '{3}'.</v>
          </cell>
          <cell r="G52" t="str"/>
          <cell r="H52">
            <v>0</v>
          </cell>
          <cell r="I52">
            <v>0</v>
          </cell>
          <cell r="J52" t="str">
            <v>SystemAlarm</v>
          </cell>
          <cell r="K52" t="str">
            <v>Severidade 14</v>
          </cell>
          <cell r="L52" t="str">
            <v>Severidade 16</v>
          </cell>
          <cell r="M52" t="b">
            <v>0</v>
          </cell>
        </row>
        <row r="53">
          <cell r="A53" t="str">
            <v>Arbitration Host Assert</v>
          </cell>
          <cell r="B53" t="str"/>
          <cell r="C53" t="str"/>
          <cell r="D53" t="str">
            <v>SYSTEM_ARBITRATION_HOSTSTATEINFORMATION_8</v>
          </cell>
          <cell r="E53" t="b">
            <v>0</v>
          </cell>
          <cell r="F53" t="str">
            <v>Nenhum serviço {0} está quente, {1} afirmará.</v>
          </cell>
          <cell r="G53" t="str"/>
          <cell r="H53">
            <v>0</v>
          </cell>
          <cell r="I53">
            <v>0</v>
          </cell>
          <cell r="J53" t="str">
            <v>SystemAlarm</v>
          </cell>
          <cell r="K53" t="str">
            <v>Severidade 14</v>
          </cell>
          <cell r="L53" t="str">
            <v>Severidade 16</v>
          </cell>
          <cell r="M53" t="b">
            <v>0</v>
          </cell>
        </row>
        <row r="54">
          <cell r="A54" t="str">
            <v>Arbitration Host Assert Failed</v>
          </cell>
          <cell r="B54" t="str"/>
          <cell r="C54" t="str"/>
          <cell r="D54" t="str">
            <v>SYSTEM_ARBITRATION_HOSTSTATEINFORMATION_4</v>
          </cell>
          <cell r="E54" t="b">
            <v>0</v>
          </cell>
          <cell r="F54" t="str">
            <v>O serviço {0} em {1} não foi afirmado completamente.</v>
          </cell>
          <cell r="G54" t="str"/>
          <cell r="H54">
            <v>0</v>
          </cell>
          <cell r="I54">
            <v>0</v>
          </cell>
          <cell r="J54" t="str">
            <v>SystemAlarm</v>
          </cell>
          <cell r="K54" t="str">
            <v>Severidade 14</v>
          </cell>
          <cell r="L54" t="str">
            <v>Severidade 16</v>
          </cell>
          <cell r="M54" t="b">
            <v>0</v>
          </cell>
        </row>
        <row r="55">
          <cell r="A55" t="str">
            <v>Arbitration Host Communication Lost</v>
          </cell>
          <cell r="B55" t="str"/>
          <cell r="C55" t="str"/>
          <cell r="D55" t="str">
            <v>SYSTEM_ARBITRATION_HOSTSTATEINFORMATION_2</v>
          </cell>
          <cell r="E55" t="b">
            <v>0</v>
          </cell>
          <cell r="F55" t="str">
            <v>O serviço {0} em {1} não está se comunicando com o serviço do parceiro em {2}. Configurando o estado do serviço {3} em {4} para FAIL.</v>
          </cell>
          <cell r="G55" t="str"/>
          <cell r="H55">
            <v>0</v>
          </cell>
          <cell r="I55">
            <v>0</v>
          </cell>
          <cell r="J55" t="str">
            <v>SystemAlarm</v>
          </cell>
          <cell r="K55" t="str">
            <v>Severidade 14</v>
          </cell>
          <cell r="L55" t="str">
            <v>Severidade 16</v>
          </cell>
          <cell r="M55" t="b">
            <v>0</v>
          </cell>
        </row>
        <row r="56">
          <cell r="A56" t="str">
            <v>Arbitration Host Communication Restored</v>
          </cell>
          <cell r="B56" t="str"/>
          <cell r="C56" t="str"/>
          <cell r="D56" t="str">
            <v>SYSTEM_ARBITRATION_HOSTSTATEINFORMATION_3</v>
          </cell>
          <cell r="E56" t="b">
            <v>0</v>
          </cell>
          <cell r="F56" t="str">
            <v>O serviço {0} em {1} agora está se comunicando com o parceiro em {2}.</v>
          </cell>
          <cell r="G56" t="str"/>
          <cell r="H56">
            <v>0</v>
          </cell>
          <cell r="I56">
            <v>0</v>
          </cell>
          <cell r="J56" t="str">
            <v>SystemAlarm</v>
          </cell>
          <cell r="K56" t="str">
            <v>Severidade 14</v>
          </cell>
          <cell r="L56" t="str">
            <v>Severidade 16</v>
          </cell>
          <cell r="M56" t="b">
            <v>0</v>
          </cell>
        </row>
        <row r="57">
          <cell r="A57" t="str">
            <v>Arbitration Host Failover Ignored</v>
          </cell>
          <cell r="B57" t="str"/>
          <cell r="C57" t="str"/>
          <cell r="D57" t="str">
            <v>SYSTEM_ARBITRATION_HOSTSTATEINFORMATION_10</v>
          </cell>
          <cell r="E57" t="b">
            <v>0</v>
          </cell>
          <cell r="F57" t="str">
            <v>O failover solicitado pelo usuário em {0} para {1} ignorou, {2} não está em espera.</v>
          </cell>
          <cell r="G57" t="str"/>
          <cell r="H57">
            <v>0</v>
          </cell>
          <cell r="I57">
            <v>0</v>
          </cell>
          <cell r="J57" t="str">
            <v>SystemAlarm</v>
          </cell>
          <cell r="K57" t="str">
            <v>Severidade 14</v>
          </cell>
          <cell r="L57" t="str">
            <v>Severidade 16</v>
          </cell>
          <cell r="M57" t="b">
            <v>0</v>
          </cell>
        </row>
        <row r="58">
          <cell r="A58" t="str">
            <v>Arbitration Host Reassert</v>
          </cell>
          <cell r="B58" t="str"/>
          <cell r="C58" t="str"/>
          <cell r="D58" t="str">
            <v>SYSTEM_ARBITRATION_HOSTSTATEINFORMATION_7</v>
          </cell>
          <cell r="E58" t="b">
            <v>0</v>
          </cell>
          <cell r="F58" t="str">
            <v>O serviço {0} em {1} não aqueceu, {2} será reafirmado.</v>
          </cell>
          <cell r="G58" t="str"/>
          <cell r="H58">
            <v>0</v>
          </cell>
          <cell r="I58">
            <v>0</v>
          </cell>
          <cell r="J58" t="str">
            <v>SystemAlarm</v>
          </cell>
          <cell r="K58" t="str">
            <v>Severidade 14</v>
          </cell>
          <cell r="L58" t="str">
            <v>Severidade 16</v>
          </cell>
          <cell r="M58" t="b">
            <v>0</v>
          </cell>
        </row>
        <row r="59">
          <cell r="A59" t="str">
            <v>Arbitration Host Stand Down Failed</v>
          </cell>
          <cell r="B59" t="str"/>
          <cell r="C59" t="str"/>
          <cell r="D59" t="str">
            <v>SYSTEM_ARBITRATION_HOSTSTATEINFORMATION_5</v>
          </cell>
          <cell r="E59" t="b">
            <v>0</v>
          </cell>
          <cell r="F59" t="str">
            <v>O serviço {0} em {1} não parou completamente.</v>
          </cell>
          <cell r="G59" t="str"/>
          <cell r="H59">
            <v>0</v>
          </cell>
          <cell r="I59">
            <v>0</v>
          </cell>
          <cell r="J59" t="str">
            <v>SystemAlarm</v>
          </cell>
          <cell r="K59" t="str">
            <v>Severidade 14</v>
          </cell>
          <cell r="L59" t="str">
            <v>Severidade 16</v>
          </cell>
          <cell r="M59" t="b">
            <v>0</v>
          </cell>
        </row>
        <row r="60">
          <cell r="A60" t="str">
            <v>Arbitration Host State Chenged</v>
          </cell>
          <cell r="B60" t="str"/>
          <cell r="C60" t="str"/>
          <cell r="D60" t="str">
            <v>SYSTEM_ARBITRATION_HOSTSTATEINFORMATION_6</v>
          </cell>
          <cell r="E60" t="b">
            <v>0</v>
          </cell>
          <cell r="F60" t="str">
            <v>O serviço {0} em {1} foi alterado de {2} para {3}.</v>
          </cell>
          <cell r="G60" t="str"/>
          <cell r="H60">
            <v>0</v>
          </cell>
          <cell r="I60">
            <v>0</v>
          </cell>
          <cell r="J60" t="str">
            <v>SystemAlarm</v>
          </cell>
          <cell r="K60" t="str">
            <v>Severidade 14</v>
          </cell>
          <cell r="L60" t="str">
            <v>Severidade 16</v>
          </cell>
          <cell r="M60" t="b">
            <v>0</v>
          </cell>
        </row>
        <row r="61">
          <cell r="A61" t="str">
            <v>Arbitration Process Monitor Registration Failed</v>
          </cell>
          <cell r="B61" t="str"/>
          <cell r="C61" t="str"/>
          <cell r="D61" t="str">
            <v>SYSTEM_ARBITRATION_CHILDEXECUTABLESCRIPTFAILURE_26</v>
          </cell>
          <cell r="E61" t="b">
            <v>0</v>
          </cell>
          <cell r="F61" t="str">
            <v>A inicialização do serviço {0} falhou no computador {1}. Falha ao registrar o serviço no monitor de processos.</v>
          </cell>
          <cell r="G61" t="str"/>
          <cell r="H61">
            <v>0</v>
          </cell>
          <cell r="I61">
            <v>0</v>
          </cell>
          <cell r="J61" t="str">
            <v>SystemAlarm</v>
          </cell>
          <cell r="K61" t="str">
            <v>Severidade 14</v>
          </cell>
          <cell r="L61" t="str">
            <v>Severidade 16</v>
          </cell>
          <cell r="M61" t="b">
            <v>0</v>
          </cell>
        </row>
        <row r="62">
          <cell r="A62" t="str">
            <v>Arbitration PubSub Checkin Failed</v>
          </cell>
          <cell r="B62" t="str"/>
          <cell r="C62" t="str"/>
          <cell r="D62" t="str">
            <v>SYSTEM_ARBITRATION_DNASERVICESTARTUP_27</v>
          </cell>
          <cell r="E62" t="b">
            <v>0</v>
          </cell>
          <cell r="F62" t="str">
            <v>A inicialização do serviço {0} falhou no computador {1}. Falha ao fazer check-in do mecanismo do pubsub (pid {2}) com o monitor do processo.</v>
          </cell>
          <cell r="G62" t="str"/>
          <cell r="H62">
            <v>0</v>
          </cell>
          <cell r="I62">
            <v>0</v>
          </cell>
          <cell r="J62" t="str">
            <v>SystemAlarm</v>
          </cell>
          <cell r="K62" t="str">
            <v>Severidade 14</v>
          </cell>
          <cell r="L62" t="str">
            <v>Severidade 16</v>
          </cell>
          <cell r="M62" t="b">
            <v>0</v>
          </cell>
        </row>
        <row r="63">
          <cell r="A63" t="str">
            <v>Arbitration PubSub Initialize Failed</v>
          </cell>
          <cell r="B63" t="str"/>
          <cell r="C63" t="str"/>
          <cell r="D63" t="str">
            <v>SYSTEM_ARBITRATION_CHILDEXECUTABLESCRIPTFAILURE_37</v>
          </cell>
          <cell r="E63" t="b">
            <v>0</v>
          </cell>
          <cell r="F63" t="str">
            <v>A inicialização do serviço {0} falhou no computador {1}. O PubSub falhou ao inicializar corretamente (argumentos = '{2}'). Consulte as mensagens anteriores (e o arquivo de log) para obter detalhes.</v>
          </cell>
          <cell r="G63" t="str"/>
          <cell r="H63">
            <v>0</v>
          </cell>
          <cell r="I63">
            <v>0</v>
          </cell>
          <cell r="J63" t="str">
            <v>SystemAlarm</v>
          </cell>
          <cell r="K63" t="str">
            <v>Severidade 14</v>
          </cell>
          <cell r="L63" t="str">
            <v>Severidade 16</v>
          </cell>
          <cell r="M63" t="b">
            <v>0</v>
          </cell>
        </row>
        <row r="64">
          <cell r="A64" t="str">
            <v>Arbitration Rejected Partner Not Standby</v>
          </cell>
          <cell r="B64" t="str"/>
          <cell r="C64" t="str"/>
          <cell r="D64" t="str">
            <v>SYSTEM_ARBITRATION_FAILOVEREVENTS_55</v>
          </cell>
          <cell r="E64" t="b">
            <v>1</v>
          </cell>
          <cell r="F64" t="str">
            <v>O failover do serviço {0} no sistema {1} foi rejeitado porque o host do parceiro não está em espera (conforme solicitado pelo usuário {2} em {3}).</v>
          </cell>
          <cell r="G64" t="str"/>
          <cell r="H64">
            <v>0</v>
          </cell>
          <cell r="I64">
            <v>0</v>
          </cell>
          <cell r="J64" t="str">
            <v>SystemAlarm</v>
          </cell>
          <cell r="K64" t="str">
            <v>Severidade 14</v>
          </cell>
          <cell r="L64" t="str">
            <v>Severidade 16</v>
          </cell>
          <cell r="M64" t="b">
            <v>0</v>
          </cell>
        </row>
        <row r="65">
          <cell r="A65" t="str">
            <v>Arbitration Service Already Running</v>
          </cell>
          <cell r="B65" t="str"/>
          <cell r="C65" t="str"/>
          <cell r="D65" t="str">
            <v>SYSTEM_ARBITRATION_DNASERVICESTARTUP_14</v>
          </cell>
          <cell r="E65" t="b">
            <v>0</v>
          </cell>
          <cell r="F65" t="str">
            <v>Ignorando a solicitação do usuário para iniciar o {0} no computador {1}, pois o serviço já está em execução.</v>
          </cell>
          <cell r="G65" t="str"/>
          <cell r="H65">
            <v>0</v>
          </cell>
          <cell r="I65">
            <v>0</v>
          </cell>
          <cell r="J65" t="str">
            <v>SystemAlarm</v>
          </cell>
          <cell r="K65" t="str">
            <v>Severidade 14</v>
          </cell>
          <cell r="L65" t="str">
            <v>Severidade 16</v>
          </cell>
          <cell r="M65" t="b">
            <v>0</v>
          </cell>
        </row>
        <row r="66">
          <cell r="A66" t="str">
            <v>Arbitration Service Already Shut Down</v>
          </cell>
          <cell r="B66" t="str"/>
          <cell r="C66" t="str"/>
          <cell r="D66" t="str">
            <v>SYSTEM_ARBITRATION_DNASERVICESHUTDOWN_15</v>
          </cell>
          <cell r="E66" t="b">
            <v>0</v>
          </cell>
          <cell r="F66" t="str">
            <v>Ignorando a solicitação do usuário para desligar o {0} no computador {1}, pois o serviço já está parado.</v>
          </cell>
          <cell r="G66" t="str"/>
          <cell r="H66">
            <v>0</v>
          </cell>
          <cell r="I66">
            <v>0</v>
          </cell>
          <cell r="J66" t="str">
            <v>SystemAlarm</v>
          </cell>
          <cell r="K66" t="str">
            <v>Severidade 14</v>
          </cell>
          <cell r="L66" t="str">
            <v>Severidade 16</v>
          </cell>
          <cell r="M66" t="b">
            <v>0</v>
          </cell>
        </row>
        <row r="67">
          <cell r="A67" t="str">
            <v>Arbitration Service Command Failed</v>
          </cell>
          <cell r="B67" t="str"/>
          <cell r="C67" t="str"/>
          <cell r="D67" t="str">
            <v>SYSTEM_ARBITRATION_DNASERVICESTARTUP_24</v>
          </cell>
          <cell r="E67" t="b">
            <v>0</v>
          </cell>
          <cell r="F67" t="str">
            <v>O comando {0} falhou no serviço {1} no computador {2} (motivo '{3}').</v>
          </cell>
          <cell r="G67" t="str"/>
          <cell r="H67">
            <v>0</v>
          </cell>
          <cell r="I67">
            <v>0</v>
          </cell>
          <cell r="J67" t="str">
            <v>SystemAlarm</v>
          </cell>
          <cell r="K67" t="str">
            <v>Severidade 14</v>
          </cell>
          <cell r="L67" t="str">
            <v>Severidade 16</v>
          </cell>
          <cell r="M67" t="b">
            <v>0</v>
          </cell>
        </row>
        <row r="68">
          <cell r="A68" t="str">
            <v>Arbitration Service Control Manager Open Failed</v>
          </cell>
          <cell r="B68" t="str"/>
          <cell r="C68" t="str"/>
          <cell r="D68" t="str">
            <v>SYSTEM_ARBITRATION_DNASERVICESTARTUP_23</v>
          </cell>
          <cell r="E68" t="b">
            <v>0</v>
          </cell>
          <cell r="F68" t="str">
            <v>Falha ao abrir o Service Control Manager para o serviço '{0}' no computador {1} (motivo '{2}').</v>
          </cell>
          <cell r="G68" t="str"/>
          <cell r="H68">
            <v>0</v>
          </cell>
          <cell r="I68">
            <v>0</v>
          </cell>
          <cell r="J68" t="str">
            <v>SystemAlarm</v>
          </cell>
          <cell r="K68" t="str">
            <v>Severidade 14</v>
          </cell>
          <cell r="L68" t="str">
            <v>Severidade 16</v>
          </cell>
          <cell r="M68" t="b">
            <v>0</v>
          </cell>
        </row>
        <row r="69">
          <cell r="A69" t="str">
            <v>Arbitration Service Name Transalation Failed</v>
          </cell>
          <cell r="B69" t="str"/>
          <cell r="C69" t="str"/>
          <cell r="D69" t="str">
            <v>SYSTEM_ARBITRATION_DNASERVICESHUTDOWN_20</v>
          </cell>
          <cell r="E69" t="b">
            <v>0</v>
          </cell>
          <cell r="F69" t="str">
            <v>Falha ao converter o nome do serviço de DNA '{0}' em um nome de serviço básico do Windows.</v>
          </cell>
          <cell r="G69" t="str"/>
          <cell r="H69">
            <v>0</v>
          </cell>
          <cell r="I69">
            <v>0</v>
          </cell>
          <cell r="J69" t="str">
            <v>SystemAlarm</v>
          </cell>
          <cell r="K69" t="str">
            <v>Severidade 14</v>
          </cell>
          <cell r="L69" t="str">
            <v>Severidade 16</v>
          </cell>
          <cell r="M69" t="b">
            <v>0</v>
          </cell>
        </row>
        <row r="70">
          <cell r="A70" t="str">
            <v>Arbitration Service Not Found On Failover</v>
          </cell>
          <cell r="B70" t="str"/>
          <cell r="C70" t="str"/>
          <cell r="D70" t="str">
            <v>SYSTEM_ARBITRATION_FAILOVEREVENTS_19</v>
          </cell>
          <cell r="E70" t="b">
            <v>1</v>
          </cell>
          <cell r="F70" t="str">
            <v>Falha ao converter o nome do serviço '{0}' em um número de tipo de serviço. Esse tipo de serviço foi registrado no armazenamento de dados de configuração?</v>
          </cell>
          <cell r="G70" t="str"/>
          <cell r="H70">
            <v>0</v>
          </cell>
          <cell r="I70">
            <v>0</v>
          </cell>
          <cell r="J70" t="str">
            <v>SystemAlarm</v>
          </cell>
          <cell r="K70" t="str">
            <v>Severidade 14</v>
          </cell>
          <cell r="L70" t="str">
            <v>Severidade 16</v>
          </cell>
          <cell r="M70" t="b">
            <v>0</v>
          </cell>
        </row>
        <row r="71">
          <cell r="A71" t="str">
            <v>Arbitration Service Not Found On Shutdown</v>
          </cell>
          <cell r="B71" t="str"/>
          <cell r="C71" t="str"/>
          <cell r="D71" t="str">
            <v>SYSTEM_ARBITRATION_DNASERVICESHUTDOWN_19</v>
          </cell>
          <cell r="E71" t="b">
            <v>0</v>
          </cell>
          <cell r="F71" t="str">
            <v>Falha ao converter o nome do serviço '{0}' em um número de tipo de serviço. Esse tipo de serviço foi registrado no armazenamento de dados de configuração?</v>
          </cell>
          <cell r="G71" t="str"/>
          <cell r="H71">
            <v>0</v>
          </cell>
          <cell r="I71">
            <v>0</v>
          </cell>
          <cell r="J71" t="str">
            <v>SystemAlarm</v>
          </cell>
          <cell r="K71" t="str">
            <v>Severidade 14</v>
          </cell>
          <cell r="L71" t="str">
            <v>Severidade 16</v>
          </cell>
          <cell r="M71" t="b">
            <v>0</v>
          </cell>
        </row>
        <row r="72">
          <cell r="A72" t="str">
            <v>Arbitration Service Not Found On Stratup</v>
          </cell>
          <cell r="B72" t="str"/>
          <cell r="C72" t="str"/>
          <cell r="D72" t="str">
            <v>SYSTEM_ARBITRATION_DNASERVICESTARTUP_19</v>
          </cell>
          <cell r="E72" t="b">
            <v>0</v>
          </cell>
          <cell r="F72" t="str">
            <v>Falha ao converter o nome do serviço '{0}' em um número de tipo de serviço. Esse tipo de serviço foi registrado no armazenamento de dados de configuração?</v>
          </cell>
          <cell r="G72" t="str"/>
          <cell r="H72">
            <v>0</v>
          </cell>
          <cell r="I72">
            <v>0</v>
          </cell>
          <cell r="J72" t="str">
            <v>SystemAlarm</v>
          </cell>
          <cell r="K72" t="str">
            <v>Severidade 14</v>
          </cell>
          <cell r="L72" t="str">
            <v>Severidade 16</v>
          </cell>
          <cell r="M72" t="b">
            <v>0</v>
          </cell>
        </row>
        <row r="73">
          <cell r="A73" t="str">
            <v>Arbitration Service Open Failed</v>
          </cell>
          <cell r="B73" t="str"/>
          <cell r="C73" t="str"/>
          <cell r="D73" t="str">
            <v>SYSTEM_ARBITRATION_DNASERVICESTARTUP_22</v>
          </cell>
          <cell r="E73" t="b">
            <v>0</v>
          </cell>
          <cell r="F73" t="str">
            <v>Falha ao abrir o serviço '{0}' no computador {1} (motivo '{2}'). Este serviço está registrado no painel de controle do Windows?</v>
          </cell>
          <cell r="G73" t="str"/>
          <cell r="H73">
            <v>0</v>
          </cell>
          <cell r="I73">
            <v>0</v>
          </cell>
          <cell r="J73" t="str">
            <v>SystemAlarm</v>
          </cell>
          <cell r="K73" t="str">
            <v>Severidade 14</v>
          </cell>
          <cell r="L73" t="str">
            <v>Severidade 16</v>
          </cell>
          <cell r="M73" t="b">
            <v>0</v>
          </cell>
        </row>
        <row r="74">
          <cell r="A74" t="str">
            <v>Arbitration Service Shut Down</v>
          </cell>
          <cell r="B74" t="str"/>
          <cell r="C74" t="str"/>
          <cell r="D74" t="str">
            <v>SYSTEM_ARBITRATION_DNASERVICESHUTDOWN_35</v>
          </cell>
          <cell r="E74" t="b">
            <v>1</v>
          </cell>
          <cell r="F74" t="str">
            <v>Parando o serviço {0} no computador {1}, conforme solicitado pelo painel de controle.</v>
          </cell>
          <cell r="G74" t="str"/>
          <cell r="H74">
            <v>0</v>
          </cell>
          <cell r="I74">
            <v>0</v>
          </cell>
          <cell r="J74" t="str">
            <v>SystemAlarm</v>
          </cell>
          <cell r="K74" t="str">
            <v>Severidade 14</v>
          </cell>
          <cell r="L74" t="str">
            <v>Severidade 16</v>
          </cell>
          <cell r="M74" t="b">
            <v>0</v>
          </cell>
        </row>
        <row r="75">
          <cell r="A75" t="str">
            <v>Arbitration Service Shutdown Failed</v>
          </cell>
          <cell r="B75" t="str"/>
          <cell r="C75" t="str"/>
          <cell r="D75" t="str">
            <v>SYSTEM_ARBITRATION_DNASERVICESHUTDOWN_63</v>
          </cell>
          <cell r="E75" t="b">
            <v>0</v>
          </cell>
          <cell r="F75" t="str">
            <v>O desligamento falhou no serviço {0} no computador {1}. Consulte as mensagens de log anteriores para obter detalhes.</v>
          </cell>
          <cell r="G75" t="str"/>
          <cell r="H75">
            <v>0</v>
          </cell>
          <cell r="I75">
            <v>0</v>
          </cell>
          <cell r="J75" t="str">
            <v>SystemAlarm</v>
          </cell>
          <cell r="K75" t="str">
            <v>Severidade 14</v>
          </cell>
          <cell r="L75" t="str">
            <v>Severidade 16</v>
          </cell>
          <cell r="M75" t="b">
            <v>0</v>
          </cell>
        </row>
        <row r="76">
          <cell r="A76" t="str">
            <v>Arbitration Service Shutdown Ignored</v>
          </cell>
          <cell r="B76" t="str"/>
          <cell r="C76" t="str"/>
          <cell r="D76" t="str">
            <v>SYSTEM_ARBITRATION_DNASERVICESHUTDOWN_18</v>
          </cell>
          <cell r="E76" t="b">
            <v>0</v>
          </cell>
          <cell r="F76" t="str">
            <v>Desligamento do {0} no computador {1} solicitado pelo usuário {2} em {3} ignorado, pois o serviço já está parado.</v>
          </cell>
          <cell r="G76" t="str"/>
          <cell r="H76">
            <v>0</v>
          </cell>
          <cell r="I76">
            <v>0</v>
          </cell>
          <cell r="J76" t="str">
            <v>SystemAlarm</v>
          </cell>
          <cell r="K76" t="str">
            <v>Severidade 14</v>
          </cell>
          <cell r="L76" t="str">
            <v>Severidade 16</v>
          </cell>
          <cell r="M76" t="b">
            <v>0</v>
          </cell>
        </row>
        <row r="77">
          <cell r="A77" t="str">
            <v>Arbitration Service Shutdown Request</v>
          </cell>
          <cell r="B77" t="str"/>
          <cell r="C77" t="str"/>
          <cell r="D77" t="str">
            <v>SYSTEM_ARBITRATION_DNASERVICESHUTDOWN_12</v>
          </cell>
          <cell r="E77" t="b">
            <v>1</v>
          </cell>
          <cell r="F77" t="str">
            <v>Encerramento do serviço {0} no computador {1} solicitado pelo usuário {2} em {3}.</v>
          </cell>
          <cell r="G77" t="str"/>
          <cell r="H77">
            <v>0</v>
          </cell>
          <cell r="I77">
            <v>0</v>
          </cell>
          <cell r="J77" t="str">
            <v>SystemAlarm</v>
          </cell>
          <cell r="K77" t="str">
            <v>Severidade 14</v>
          </cell>
          <cell r="L77" t="str">
            <v>Severidade 16</v>
          </cell>
          <cell r="M77" t="b">
            <v>0</v>
          </cell>
        </row>
        <row r="78">
          <cell r="A78" t="str">
            <v>Arbitration Service Shutdown Timeout</v>
          </cell>
          <cell r="B78" t="str"/>
          <cell r="C78" t="str"/>
          <cell r="D78" t="str">
            <v>SYSTEM_ARBITRATION_DNASERVICESHUTDOWN_64</v>
          </cell>
          <cell r="E78" t="b">
            <v>0</v>
          </cell>
          <cell r="F78" t="str">
            <v>O desligamento falhou no serviço {0} no computador {1} devido ao tempo limite.</v>
          </cell>
          <cell r="G78" t="str"/>
          <cell r="H78">
            <v>0</v>
          </cell>
          <cell r="I78">
            <v>0</v>
          </cell>
          <cell r="J78" t="str">
            <v>SystemAlarm</v>
          </cell>
          <cell r="K78" t="str">
            <v>Severidade 14</v>
          </cell>
          <cell r="L78" t="str">
            <v>Severidade 16</v>
          </cell>
          <cell r="M78" t="b">
            <v>0</v>
          </cell>
        </row>
        <row r="79">
          <cell r="A79" t="str">
            <v>Arbitration Service Started</v>
          </cell>
          <cell r="B79" t="str"/>
          <cell r="C79" t="str"/>
          <cell r="D79" t="str">
            <v>SYSTEM_ARBITRATION_DNASERVICESTARTUP_46</v>
          </cell>
          <cell r="E79" t="b">
            <v>0</v>
          </cell>
          <cell r="F79" t="str">
            <v>O serviço {0} no computador {1} foi iniciado (conforme solicitado pelo usuário {2} em {3}).</v>
          </cell>
          <cell r="G79" t="str"/>
          <cell r="H79">
            <v>0</v>
          </cell>
          <cell r="I79">
            <v>0</v>
          </cell>
          <cell r="J79" t="str">
            <v>SystemAlarm</v>
          </cell>
          <cell r="K79" t="str">
            <v>Severidade 14</v>
          </cell>
          <cell r="L79" t="str">
            <v>Severidade 16</v>
          </cell>
          <cell r="M79" t="b">
            <v>0</v>
          </cell>
        </row>
        <row r="80">
          <cell r="A80" t="str">
            <v>Arbitration Service Starting</v>
          </cell>
          <cell r="B80" t="str"/>
          <cell r="C80" t="str"/>
          <cell r="D80" t="str">
            <v>SYSTEM_ARBITRATION_DNASERVICESTARTUP_34</v>
          </cell>
          <cell r="E80" t="b">
            <v>0</v>
          </cell>
          <cell r="F80" t="str">
            <v>Iniciando o serviço {0} no computador {1}, conforme solicitado pelo painel de controle.</v>
          </cell>
          <cell r="G80" t="str"/>
          <cell r="H80">
            <v>0</v>
          </cell>
          <cell r="I80">
            <v>0</v>
          </cell>
          <cell r="J80" t="str">
            <v>SystemAlarm</v>
          </cell>
          <cell r="K80" t="str">
            <v>Severidade 14</v>
          </cell>
          <cell r="L80" t="str">
            <v>Severidade 16</v>
          </cell>
          <cell r="M80" t="b">
            <v>0</v>
          </cell>
        </row>
        <row r="81">
          <cell r="A81" t="str">
            <v>Arbitration Service Startup Failed</v>
          </cell>
          <cell r="B81" t="str"/>
          <cell r="C81" t="str"/>
          <cell r="D81" t="str">
            <v>SYSTEM_ARBITRATION_DNASERVICESTARTUP_61</v>
          </cell>
          <cell r="E81" t="b">
            <v>0</v>
          </cell>
          <cell r="F81" t="str">
            <v>Falha na inicialização do serviço {0} no computador {1}. Consulte as mensagens de log anteriores para obter detalhes.</v>
          </cell>
          <cell r="G81" t="str"/>
          <cell r="H81">
            <v>0</v>
          </cell>
          <cell r="I81">
            <v>0</v>
          </cell>
          <cell r="J81" t="str">
            <v>SystemAlarm</v>
          </cell>
          <cell r="K81" t="str">
            <v>Severidade 14</v>
          </cell>
          <cell r="L81" t="str">
            <v>Severidade 16</v>
          </cell>
          <cell r="M81" t="b">
            <v>0</v>
          </cell>
        </row>
        <row r="82">
          <cell r="A82" t="str">
            <v>Arbitration Service Startup Ignored</v>
          </cell>
          <cell r="B82" t="str"/>
          <cell r="C82" t="str"/>
          <cell r="D82" t="str">
            <v>SYSTEM_ARBITRATION_DNASERVICESTARTUP_17</v>
          </cell>
          <cell r="E82" t="b">
            <v>0</v>
          </cell>
          <cell r="F82" t="str">
            <v>A inicialização do {0} no computador {1} solicitada pelo usuário {2} em {3} é ignorada, pois o serviço já está em execução.</v>
          </cell>
          <cell r="G82" t="str"/>
          <cell r="H82">
            <v>0</v>
          </cell>
          <cell r="I82">
            <v>0</v>
          </cell>
          <cell r="J82" t="str">
            <v>SystemAlarm</v>
          </cell>
          <cell r="K82" t="str">
            <v>Severidade 14</v>
          </cell>
          <cell r="L82" t="str">
            <v>Severidade 16</v>
          </cell>
          <cell r="M82" t="b">
            <v>0</v>
          </cell>
        </row>
        <row r="83">
          <cell r="A83" t="str">
            <v>Arbitration Service Startup Requested</v>
          </cell>
          <cell r="B83" t="str"/>
          <cell r="C83" t="str"/>
          <cell r="D83" t="str">
            <v>SYSTEM_ARBITRATION_DNASERVICESTARTUP_13</v>
          </cell>
          <cell r="E83" t="b">
            <v>1</v>
          </cell>
          <cell r="F83" t="str">
            <v>Inicialização do serviço {0} no computador {1} solicitado pelo usuário {2} em {3}.</v>
          </cell>
          <cell r="G83" t="str"/>
          <cell r="H83">
            <v>0</v>
          </cell>
          <cell r="I83">
            <v>0</v>
          </cell>
          <cell r="J83" t="str">
            <v>SystemAlarm</v>
          </cell>
          <cell r="K83" t="str">
            <v>Severidade 14</v>
          </cell>
          <cell r="L83" t="str">
            <v>Severidade 16</v>
          </cell>
          <cell r="M83" t="b">
            <v>0</v>
          </cell>
        </row>
        <row r="84">
          <cell r="A84" t="str">
            <v>Arbitration Service Startup Timeout</v>
          </cell>
          <cell r="B84" t="str"/>
          <cell r="C84" t="str"/>
          <cell r="D84" t="str">
            <v>SYSTEM_ARBITRATION_DNASERVICESTARTUP_62</v>
          </cell>
          <cell r="E84" t="b">
            <v>0</v>
          </cell>
          <cell r="F84" t="str">
            <v>A inicialização falhou no serviço {0} no computador {1} devido ao tempo limite.</v>
          </cell>
          <cell r="G84" t="str"/>
          <cell r="H84">
            <v>0</v>
          </cell>
          <cell r="I84">
            <v>0</v>
          </cell>
          <cell r="J84" t="str">
            <v>SystemAlarm</v>
          </cell>
          <cell r="K84" t="str">
            <v>Severidade 14</v>
          </cell>
          <cell r="L84" t="str">
            <v>Severidade 16</v>
          </cell>
          <cell r="M84" t="b">
            <v>0</v>
          </cell>
        </row>
        <row r="85">
          <cell r="A85" t="str">
            <v>Arbitration Service Stopped</v>
          </cell>
          <cell r="B85" t="str"/>
          <cell r="C85" t="str"/>
          <cell r="D85" t="str">
            <v>SYSTEM_ARBITRATION_DNASERVICESHUTDOWN_48</v>
          </cell>
          <cell r="E85" t="b">
            <v>0</v>
          </cell>
          <cell r="F85" t="str">
            <v>O serviço {0} no computador {1} agora está parado (conforme solicitado pelo usuário {2} em {3}).</v>
          </cell>
          <cell r="G85" t="str"/>
          <cell r="H85">
            <v>0</v>
          </cell>
          <cell r="I85">
            <v>0</v>
          </cell>
          <cell r="J85" t="str">
            <v>SystemAlarm</v>
          </cell>
          <cell r="K85" t="str">
            <v>Severidade 14</v>
          </cell>
          <cell r="L85" t="str">
            <v>Severidade 16</v>
          </cell>
          <cell r="M85" t="b">
            <v>0</v>
          </cell>
        </row>
        <row r="86">
          <cell r="A86" t="str">
            <v>Arbitration Service Stopping</v>
          </cell>
          <cell r="B86" t="str"/>
          <cell r="C86" t="str"/>
          <cell r="D86" t="str">
            <v>SYSTEM_ARBITRATION_DNASERVICESHUTDOWN_43</v>
          </cell>
          <cell r="E86" t="b">
            <v>0</v>
          </cell>
          <cell r="F86" t="str">
            <v>Parando o serviço {0} e todos os serviços dependentes ({1}) no computador {2} conforme solicitado pelo usuário {3} em {4}.</v>
          </cell>
          <cell r="G86" t="str"/>
          <cell r="H86">
            <v>0</v>
          </cell>
          <cell r="I86">
            <v>0</v>
          </cell>
          <cell r="J86" t="str">
            <v>SystemAlarm</v>
          </cell>
          <cell r="K86" t="str">
            <v>Severidade 14</v>
          </cell>
          <cell r="L86" t="str">
            <v>Severidade 16</v>
          </cell>
          <cell r="M86" t="b">
            <v>0</v>
          </cell>
        </row>
        <row r="87">
          <cell r="A87" t="str">
            <v>Arbitration Shutdown Child Script Failed</v>
          </cell>
          <cell r="B87" t="str"/>
          <cell r="C87" t="str"/>
          <cell r="D87" t="str">
            <v>SYSTEM_ARBITRATION_CHILDEXECUTABLESCRIPTFAILURE_36</v>
          </cell>
          <cell r="E87" t="b">
            <v>0</v>
          </cell>
          <cell r="F87" t="str">
            <v>O desligamento do serviço {0} falhou no computador {1}. {2} falhou ao executar. Consulte as mensagens anteriores (e o arquivo de log) para obter detalhes.</v>
          </cell>
          <cell r="G87" t="str"/>
          <cell r="H87">
            <v>0</v>
          </cell>
          <cell r="I87">
            <v>0</v>
          </cell>
          <cell r="J87" t="str">
            <v>SystemAlarm</v>
          </cell>
          <cell r="K87" t="str">
            <v>Severidade 14</v>
          </cell>
          <cell r="L87" t="str">
            <v>Severidade 16</v>
          </cell>
          <cell r="M87" t="b">
            <v>0</v>
          </cell>
        </row>
        <row r="88">
          <cell r="A88" t="str">
            <v>Arbitration Shutdown Ok</v>
          </cell>
          <cell r="B88" t="str"/>
          <cell r="C88" t="str"/>
          <cell r="D88" t="str">
            <v>SYSTEM_ARBITRATION_DNASERVICESHUTDOWN_33</v>
          </cell>
          <cell r="E88" t="b">
            <v>0</v>
          </cell>
          <cell r="F88" t="str">
            <v>O serviço {0} no computador {1} agora está parado (conforme solicitado pelo painel de controle).</v>
          </cell>
          <cell r="G88" t="str"/>
          <cell r="H88">
            <v>0</v>
          </cell>
          <cell r="I88">
            <v>0</v>
          </cell>
          <cell r="J88" t="str">
            <v>SystemAlarm</v>
          </cell>
          <cell r="K88" t="str">
            <v>Severidade 14</v>
          </cell>
          <cell r="L88" t="str">
            <v>Severidade 16</v>
          </cell>
          <cell r="M88" t="b">
            <v>0</v>
          </cell>
        </row>
        <row r="89">
          <cell r="A89" t="str">
            <v>Arbitration Shutdown Script Failed</v>
          </cell>
          <cell r="B89" t="str"/>
          <cell r="C89" t="str"/>
          <cell r="D89" t="str">
            <v>SYSTEM_ARBITRATION_DNASERVICESTARTUP_29</v>
          </cell>
          <cell r="E89" t="b">
            <v>0</v>
          </cell>
          <cell r="F89" t="str">
            <v>O script de encerramento do serviço {0} falhou no computador {1}. Falha ao limpar os recursos antigos. Interrompendo a inicialização do serviço.</v>
          </cell>
          <cell r="G89" t="str"/>
          <cell r="H89">
            <v>0</v>
          </cell>
          <cell r="I89">
            <v>0</v>
          </cell>
          <cell r="J89" t="str">
            <v>SystemAlarm</v>
          </cell>
          <cell r="K89" t="str">
            <v>Severidade 14</v>
          </cell>
          <cell r="L89" t="str">
            <v>Severidade 16</v>
          </cell>
          <cell r="M89" t="b">
            <v>0</v>
          </cell>
        </row>
        <row r="90">
          <cell r="A90" t="str">
            <v>Arbitration Shutdown Script Succeeded</v>
          </cell>
          <cell r="B90" t="str"/>
          <cell r="C90" t="str"/>
          <cell r="D90" t="str">
            <v>SYSTEM_ARBITRATION_DNASERVICESTARTUP_30</v>
          </cell>
          <cell r="E90" t="b">
            <v>0</v>
          </cell>
          <cell r="F90" t="str">
            <v>O script de desligamento do serviço {0} foi bem-sucedido no computador {1}. Recursos foram liberados. Tentando novamente a inicialização do serviço.</v>
          </cell>
          <cell r="G90" t="str"/>
          <cell r="H90">
            <v>0</v>
          </cell>
          <cell r="I90">
            <v>0</v>
          </cell>
          <cell r="J90" t="str">
            <v>SystemAlarm</v>
          </cell>
          <cell r="K90" t="str">
            <v>Severidade 14</v>
          </cell>
          <cell r="L90" t="str">
            <v>Severidade 16</v>
          </cell>
          <cell r="M90" t="b">
            <v>0</v>
          </cell>
        </row>
        <row r="91">
          <cell r="A91" t="str">
            <v>Arbitration Shutdown Service Busy</v>
          </cell>
          <cell r="B91" t="str"/>
          <cell r="C91" t="str"/>
          <cell r="D91" t="str">
            <v>SYSTEM_ARBITRATION_DNASERVICESHUTDOWN_42</v>
          </cell>
          <cell r="E91" t="b">
            <v>0</v>
          </cell>
          <cell r="F91" t="str">
            <v>Encerramento do serviço {0} no computador {1} rejeitado porque o serviço está ocupado (estado atual = '{2}').</v>
          </cell>
          <cell r="G91" t="str"/>
          <cell r="H91">
            <v>0</v>
          </cell>
          <cell r="I91">
            <v>0</v>
          </cell>
          <cell r="J91" t="str">
            <v>SystemAlarm</v>
          </cell>
          <cell r="K91" t="str">
            <v>Severidade 14</v>
          </cell>
          <cell r="L91" t="str">
            <v>Severidade 16</v>
          </cell>
          <cell r="M91" t="b">
            <v>0</v>
          </cell>
        </row>
        <row r="92">
          <cell r="A92" t="str">
            <v>Arbitration Shutdown Service Busy_1</v>
          </cell>
          <cell r="B92" t="str"/>
          <cell r="C92" t="str"/>
          <cell r="D92" t="str">
            <v>SYSTEM_ARBITRATION_DNASERVICESHUTDOWN_41</v>
          </cell>
          <cell r="E92" t="b">
            <v>0</v>
          </cell>
          <cell r="F92" t="str">
            <v>Pedido para encerrar o serviço {0} no computador {1} pelo usuário {2} em {3} rejeitado porque o serviço está ocupado (estado atual = '{4}').</v>
          </cell>
          <cell r="G92" t="str"/>
          <cell r="H92">
            <v>0</v>
          </cell>
          <cell r="I92">
            <v>0</v>
          </cell>
          <cell r="J92" t="str">
            <v>SystemAlarm</v>
          </cell>
          <cell r="K92" t="str">
            <v>Severidade 14</v>
          </cell>
          <cell r="L92" t="str">
            <v>Severidade 16</v>
          </cell>
          <cell r="M92" t="b">
            <v>0</v>
          </cell>
        </row>
        <row r="93">
          <cell r="A93" t="str">
            <v>Arbitration Shutdown Service Command Failed</v>
          </cell>
          <cell r="B93" t="str"/>
          <cell r="C93" t="str"/>
          <cell r="D93" t="str">
            <v>SYSTEM_ARBITRATION_DNASERVICESHUTDOWN_24</v>
          </cell>
          <cell r="E93" t="b">
            <v>0</v>
          </cell>
          <cell r="F93" t="str">
            <v>O comando {0} falhou no serviço {1} no computador {2} (motivo '{Motivo}').</v>
          </cell>
          <cell r="G93" t="str"/>
          <cell r="H93">
            <v>0</v>
          </cell>
          <cell r="I93">
            <v>0</v>
          </cell>
          <cell r="J93" t="str">
            <v>SystemAlarm</v>
          </cell>
          <cell r="K93" t="str">
            <v>Severidade 14</v>
          </cell>
          <cell r="L93" t="str">
            <v>Severidade 16</v>
          </cell>
          <cell r="M93" t="b">
            <v>0</v>
          </cell>
        </row>
        <row r="94">
          <cell r="A94" t="str">
            <v>Arbitration Shutdown Service Open Failed</v>
          </cell>
          <cell r="B94" t="str"/>
          <cell r="C94" t="str"/>
          <cell r="D94" t="str">
            <v>SYSTEM_ARBITRATION_DNASERVICESHUTDOWN_22</v>
          </cell>
          <cell r="E94" t="b">
            <v>0</v>
          </cell>
          <cell r="F94" t="str">
            <v>Falha ao abrir o serviço '{0}' no computador {1} (motivo '{2}'). Este serviço está registrado no painel de controle do Windows?</v>
          </cell>
          <cell r="G94" t="str"/>
          <cell r="H94">
            <v>0</v>
          </cell>
          <cell r="I94">
            <v>0</v>
          </cell>
          <cell r="J94" t="str">
            <v>SystemAlarm</v>
          </cell>
          <cell r="K94" t="str">
            <v>Severidade 14</v>
          </cell>
          <cell r="L94" t="str">
            <v>Severidade 16</v>
          </cell>
          <cell r="M94" t="b">
            <v>0</v>
          </cell>
        </row>
        <row r="95">
          <cell r="A95" t="str">
            <v>Arbitration Startup Child Script Failed</v>
          </cell>
          <cell r="B95" t="str"/>
          <cell r="C95" t="str"/>
          <cell r="D95" t="str">
            <v>SYSTEM_ARBITRATION_CHILDEXECUTABLESCRIPTFAILURE_25</v>
          </cell>
          <cell r="E95" t="b">
            <v>0</v>
          </cell>
          <cell r="F95" t="str">
            <v>A inicialização do serviço {0} falhou no computador {1}. {2} falhou ao executar. Consulte as mensagens anteriores (e o arquivo de log) para obter detalhes.</v>
          </cell>
          <cell r="G95" t="str"/>
          <cell r="H95">
            <v>0</v>
          </cell>
          <cell r="I95">
            <v>0</v>
          </cell>
          <cell r="J95" t="str">
            <v>SystemAlarm</v>
          </cell>
          <cell r="K95" t="str">
            <v>Severidade 14</v>
          </cell>
          <cell r="L95" t="str">
            <v>Severidade 16</v>
          </cell>
          <cell r="M95" t="b">
            <v>0</v>
          </cell>
        </row>
        <row r="96">
          <cell r="A96" t="str">
            <v>Arbitration Startup Dependent Services</v>
          </cell>
          <cell r="B96" t="str"/>
          <cell r="C96" t="str"/>
          <cell r="D96" t="str">
            <v>SYSTEM_ARBITRATION_DNASERVICESTARTUP_44</v>
          </cell>
          <cell r="E96" t="b">
            <v>0</v>
          </cell>
          <cell r="F96" t="str">
            <v>Iniciando o serviço {0} e todos os serviços dependentes {1} no computador {2} conforme solicitado pelo usuário {3} em {4}.</v>
          </cell>
          <cell r="G96" t="str"/>
          <cell r="H96">
            <v>0</v>
          </cell>
          <cell r="I96">
            <v>0</v>
          </cell>
          <cell r="J96" t="str">
            <v>SystemAlarm</v>
          </cell>
          <cell r="K96" t="str">
            <v>Severidade 14</v>
          </cell>
          <cell r="L96" t="str">
            <v>Severidade 16</v>
          </cell>
          <cell r="M96" t="b">
            <v>0</v>
          </cell>
        </row>
        <row r="97">
          <cell r="A97" t="str">
            <v>Arbitration Startup Ok</v>
          </cell>
          <cell r="B97" t="str"/>
          <cell r="C97" t="str"/>
          <cell r="D97" t="str">
            <v>SYSTEM_ARBITRATION_DNASERVICESTARTUP_32</v>
          </cell>
          <cell r="E97" t="b">
            <v>1</v>
          </cell>
          <cell r="F97" t="str">
            <v>O serviço {0} no computador {1} foi iniciado (conforme solicitado pelo painel de controle).</v>
          </cell>
          <cell r="G97" t="str"/>
          <cell r="H97">
            <v>0</v>
          </cell>
          <cell r="I97">
            <v>0</v>
          </cell>
          <cell r="J97" t="str">
            <v>SystemAlarm</v>
          </cell>
          <cell r="K97" t="str">
            <v>Severidade 14</v>
          </cell>
          <cell r="L97" t="str">
            <v>Severidade 16</v>
          </cell>
          <cell r="M97" t="b">
            <v>0</v>
          </cell>
        </row>
        <row r="98">
          <cell r="A98" t="str">
            <v>Arbitration Startup Script Failed</v>
          </cell>
          <cell r="B98" t="str"/>
          <cell r="C98" t="str"/>
          <cell r="D98" t="str">
            <v>SYSTEM_ARBITRATION_DNASERVICESTARTUP_28</v>
          </cell>
          <cell r="E98" t="b">
            <v>0</v>
          </cell>
          <cell r="F98" t="str">
            <v>{ScriptName} para o serviço {0} falhou no computador {1}. Executando o script de desligamento para limpar todos os recursos antigos.</v>
          </cell>
          <cell r="G98" t="str"/>
          <cell r="H98">
            <v>0</v>
          </cell>
          <cell r="I98">
            <v>0</v>
          </cell>
          <cell r="J98" t="str">
            <v>SystemAlarm</v>
          </cell>
          <cell r="K98" t="str">
            <v>Severidade 14</v>
          </cell>
          <cell r="L98" t="str">
            <v>Severidade 16</v>
          </cell>
          <cell r="M98" t="b">
            <v>0</v>
          </cell>
        </row>
        <row r="99">
          <cell r="A99" t="str">
            <v>Arbitration Startup Script Second Attempt Failed</v>
          </cell>
          <cell r="B99" t="str"/>
          <cell r="C99" t="str"/>
          <cell r="D99" t="str">
            <v>SYSTEM_ARBITRATION_DNASERVICESTARTUP_31</v>
          </cell>
          <cell r="E99" t="b">
            <v>0</v>
          </cell>
          <cell r="F99" t="str">
            <v>A segunda tentativa de script de inicialização para o serviço {0} falhou no computador {1}. Interrompendo a inicialização do serviço.</v>
          </cell>
          <cell r="G99" t="str"/>
          <cell r="H99">
            <v>0</v>
          </cell>
          <cell r="I99">
            <v>0</v>
          </cell>
          <cell r="J99" t="str">
            <v>SystemAlarm</v>
          </cell>
          <cell r="K99" t="str">
            <v>Severidade 14</v>
          </cell>
          <cell r="L99" t="str">
            <v>Severidade 16</v>
          </cell>
          <cell r="M99" t="b">
            <v>0</v>
          </cell>
        </row>
        <row r="100">
          <cell r="A100" t="str">
            <v>Arbitration Windows Service Control Manager Open Failed</v>
          </cell>
          <cell r="B100" t="str"/>
          <cell r="C100" t="str"/>
          <cell r="D100" t="str">
            <v>SYSTEM_ARBITRATION_WINDOWSSERVICESTATE_23</v>
          </cell>
          <cell r="E100" t="b">
            <v>0</v>
          </cell>
          <cell r="F100" t="str">
            <v>Falha ao abrir o Service Control Manager para o serviço '{0}' no computador {1} (motivo '{2}').</v>
          </cell>
          <cell r="G100" t="str"/>
          <cell r="H100">
            <v>0</v>
          </cell>
          <cell r="I100">
            <v>0</v>
          </cell>
          <cell r="J100" t="str">
            <v>SystemAlarm</v>
          </cell>
          <cell r="K100" t="str">
            <v>Severidade 14</v>
          </cell>
          <cell r="L100" t="str">
            <v>Severidade 16</v>
          </cell>
          <cell r="M100" t="b">
            <v>0</v>
          </cell>
        </row>
        <row r="101">
          <cell r="A101" t="str">
            <v>Arbitration Windows Service Open Failed</v>
          </cell>
          <cell r="B101" t="str"/>
          <cell r="C101" t="str"/>
          <cell r="D101" t="str">
            <v>SYSTEM_ARBITRATION_WINDOWSSERVICESTATE_22</v>
          </cell>
          <cell r="E101" t="b">
            <v>0</v>
          </cell>
          <cell r="F101" t="str">
            <v>Falha ao abrir o serviço '{0}' no computador {1} (motivo '{2}'). Este serviço está registrado no painel de controle do Windows?</v>
          </cell>
          <cell r="G101" t="str"/>
          <cell r="H101">
            <v>0</v>
          </cell>
          <cell r="I101">
            <v>0</v>
          </cell>
          <cell r="J101" t="str">
            <v>SystemAlarm</v>
          </cell>
          <cell r="K101" t="str">
            <v>Severidade 14</v>
          </cell>
          <cell r="L101" t="str">
            <v>Severidade 16</v>
          </cell>
          <cell r="M101" t="b">
            <v>0</v>
          </cell>
        </row>
        <row r="102">
          <cell r="A102" t="str">
            <v>Archive Copy Failed</v>
          </cell>
          <cell r="B102" t="str"/>
          <cell r="C102" t="str"/>
          <cell r="D102" t="str">
            <v>SYSTEM_ARCHIVE_ARCHIVEEVENTS_-5</v>
          </cell>
          <cell r="E102" t="b">
            <v>0</v>
          </cell>
          <cell r="F102" t="str">
            <v>Failed to copy to {0} failed â€“ {1}.</v>
          </cell>
          <cell r="G102" t="str"/>
          <cell r="H102">
            <v>0</v>
          </cell>
          <cell r="I102">
            <v>0</v>
          </cell>
          <cell r="J102" t="str">
            <v>SystemAlarm</v>
          </cell>
          <cell r="K102" t="str">
            <v>Severidade 14</v>
          </cell>
          <cell r="L102" t="str">
            <v>Severidade 16</v>
          </cell>
          <cell r="M102" t="b">
            <v>0</v>
          </cell>
        </row>
        <row r="103">
          <cell r="A103" t="str">
            <v>Archive Device Not Mounted</v>
          </cell>
          <cell r="B103" t="str"/>
          <cell r="C103" t="str"/>
          <cell r="D103" t="str">
            <v>SYSTEM_ARCHIVE_ARCHIVEEVENTS_-1</v>
          </cell>
          <cell r="E103" t="b">
            <v>0</v>
          </cell>
          <cell r="F103" t="str">
            <v>Monte e inicialize a mídia em {1}.</v>
          </cell>
          <cell r="G103" t="str"/>
          <cell r="H103">
            <v>0</v>
          </cell>
          <cell r="I103">
            <v>0</v>
          </cell>
          <cell r="J103" t="str">
            <v>SystemAlarm</v>
          </cell>
          <cell r="K103" t="str">
            <v>Severidade 14</v>
          </cell>
          <cell r="L103" t="str">
            <v>Severidade 16</v>
          </cell>
          <cell r="M103" t="b">
            <v>0</v>
          </cell>
        </row>
        <row r="104">
          <cell r="A104" t="str">
            <v>Archive Device Unavailable</v>
          </cell>
          <cell r="B104" t="str"/>
          <cell r="C104" t="str"/>
          <cell r="D104" t="str">
            <v>SYSTEM_ARCHIVE_ARCHIVEEVENTS_-12</v>
          </cell>
          <cell r="E104" t="b">
            <v>0</v>
          </cell>
          <cell r="F104" t="str">
            <v>O dispositivo de arquivamento {0} está indisponível.</v>
          </cell>
          <cell r="G104" t="str"/>
          <cell r="H104">
            <v>0</v>
          </cell>
          <cell r="I104">
            <v>0</v>
          </cell>
          <cell r="J104" t="str">
            <v>SystemAlarm</v>
          </cell>
          <cell r="K104" t="str">
            <v>Severidade 14</v>
          </cell>
          <cell r="L104" t="str">
            <v>Severidade 16</v>
          </cell>
          <cell r="M104" t="b">
            <v>0</v>
          </cell>
        </row>
        <row r="105">
          <cell r="A105" t="str">
            <v>Archive Device Unknown</v>
          </cell>
          <cell r="B105" t="str"/>
          <cell r="C105" t="str"/>
          <cell r="D105" t="str">
            <v>SYSTEM_ARCHIVE_ARCHIVEEVENTS_-11</v>
          </cell>
          <cell r="E105" t="b">
            <v>0</v>
          </cell>
          <cell r="F105" t="str">
            <v>Dispositivo de arquivamento desconhecido {0}.</v>
          </cell>
          <cell r="G105" t="str"/>
          <cell r="H105">
            <v>0</v>
          </cell>
          <cell r="I105">
            <v>0</v>
          </cell>
          <cell r="J105" t="str">
            <v>SystemAlarm</v>
          </cell>
          <cell r="K105" t="str">
            <v>Severidade 14</v>
          </cell>
          <cell r="L105" t="str">
            <v>Severidade 16</v>
          </cell>
          <cell r="M105" t="b">
            <v>0</v>
          </cell>
        </row>
        <row r="106">
          <cell r="A106" t="str">
            <v>Archive Failed To Close EOM</v>
          </cell>
          <cell r="B106" t="str"/>
          <cell r="C106" t="str"/>
          <cell r="D106" t="str">
            <v>SYSTEM_ARCHIVE_ARCHIVEEVENTS_-14</v>
          </cell>
          <cell r="E106" t="b">
            <v>0</v>
          </cell>
          <cell r="F106" t="str">
            <v>Failed to close end-of-media file {0} â€“ {1}.</v>
          </cell>
          <cell r="G106" t="str"/>
          <cell r="H106">
            <v>0</v>
          </cell>
          <cell r="I106">
            <v>0</v>
          </cell>
          <cell r="J106" t="str">
            <v>SystemAlarm</v>
          </cell>
          <cell r="K106" t="str">
            <v>Severidade 14</v>
          </cell>
          <cell r="L106" t="str">
            <v>Severidade 16</v>
          </cell>
          <cell r="M106" t="b">
            <v>0</v>
          </cell>
        </row>
        <row r="107">
          <cell r="A107" t="str">
            <v>Archive Failed To Get File System Info</v>
          </cell>
          <cell r="B107" t="str"/>
          <cell r="C107" t="str"/>
          <cell r="D107" t="str">
            <v>SYSTEM_ARCHIVE_ARCHIVEEVENTS_-7</v>
          </cell>
          <cell r="E107" t="b">
            <v>0</v>
          </cell>
          <cell r="F107" t="str">
            <v>Failed to get file system info. For {0} â€“ {1}.</v>
          </cell>
          <cell r="G107" t="str"/>
          <cell r="H107">
            <v>0</v>
          </cell>
          <cell r="I107">
            <v>0</v>
          </cell>
          <cell r="J107" t="str">
            <v>SystemAlarm</v>
          </cell>
          <cell r="K107" t="str">
            <v>Severidade 14</v>
          </cell>
          <cell r="L107" t="str">
            <v>Severidade 16</v>
          </cell>
          <cell r="M107" t="b">
            <v>0</v>
          </cell>
        </row>
        <row r="108">
          <cell r="A108" t="str">
            <v>Archive Failed To Write EOM</v>
          </cell>
          <cell r="B108" t="str"/>
          <cell r="C108" t="str"/>
          <cell r="D108" t="str">
            <v>SYSTEM_ARCHIVE_ARCHIVEEVENTS_-13</v>
          </cell>
          <cell r="E108" t="b">
            <v>0</v>
          </cell>
          <cell r="F108" t="str">
            <v>Failed to write end-of-media file {0} â€“ {1}.</v>
          </cell>
          <cell r="G108" t="str"/>
          <cell r="H108">
            <v>0</v>
          </cell>
          <cell r="I108">
            <v>0</v>
          </cell>
          <cell r="J108" t="str">
            <v>SystemAlarm</v>
          </cell>
          <cell r="K108" t="str">
            <v>Severidade 14</v>
          </cell>
          <cell r="L108" t="str">
            <v>Severidade 16</v>
          </cell>
          <cell r="M108" t="b">
            <v>0</v>
          </cell>
        </row>
        <row r="109">
          <cell r="A109" t="str">
            <v>Archive File Too Big</v>
          </cell>
          <cell r="B109" t="str"/>
          <cell r="C109" t="str"/>
          <cell r="D109" t="str">
            <v>SYSTEM_ARCHIVE_ARCHIVEEVENTS_-4</v>
          </cell>
          <cell r="E109" t="b">
            <v>0</v>
          </cell>
          <cell r="F109" t="str">
            <v>Arquivar arquivo maior que o espaço livre disponível em {0}.</v>
          </cell>
          <cell r="G109" t="str"/>
          <cell r="H109">
            <v>0</v>
          </cell>
          <cell r="I109">
            <v>0</v>
          </cell>
          <cell r="J109" t="str">
            <v>SystemAlarm</v>
          </cell>
          <cell r="K109" t="str">
            <v>Severidade 14</v>
          </cell>
          <cell r="L109" t="str">
            <v>Severidade 16</v>
          </cell>
          <cell r="M109" t="b">
            <v>0</v>
          </cell>
        </row>
        <row r="110">
          <cell r="A110" t="str">
            <v>Archive Invalid Physical Device</v>
          </cell>
          <cell r="B110" t="str"/>
          <cell r="C110" t="str"/>
          <cell r="D110" t="str">
            <v>SYSTEM_ARCHIVE_ARCHIVEEVENTS_-15</v>
          </cell>
          <cell r="E110" t="b">
            <v>0</v>
          </cell>
          <cell r="F110" t="str">
            <v>Dispositivo físico inválido especificado para {0}: {1}.</v>
          </cell>
          <cell r="G110" t="str"/>
          <cell r="H110">
            <v>0</v>
          </cell>
          <cell r="I110">
            <v>0</v>
          </cell>
          <cell r="J110" t="str">
            <v>SystemAlarm</v>
          </cell>
          <cell r="K110" t="str">
            <v>Severidade 14</v>
          </cell>
          <cell r="L110" t="str">
            <v>Severidade 16</v>
          </cell>
          <cell r="M110" t="b">
            <v>0</v>
          </cell>
        </row>
        <row r="111">
          <cell r="A111" t="str">
            <v>Archive Label Corrupt</v>
          </cell>
          <cell r="B111" t="str"/>
          <cell r="C111" t="str"/>
          <cell r="D111" t="str">
            <v>SYSTEM_ARCHIVE_ARCHIVEEVENTS_-9</v>
          </cell>
          <cell r="E111" t="b">
            <v>0</v>
          </cell>
          <cell r="F111" t="str">
            <v>O arquivo de etiqueta de archive {0} pode estar corrompido.</v>
          </cell>
          <cell r="G111" t="str"/>
          <cell r="H111">
            <v>0</v>
          </cell>
          <cell r="I111">
            <v>0</v>
          </cell>
          <cell r="J111" t="str">
            <v>SystemAlarm</v>
          </cell>
          <cell r="K111" t="str">
            <v>Severidade 14</v>
          </cell>
          <cell r="L111" t="str">
            <v>Severidade 16</v>
          </cell>
          <cell r="M111" t="b">
            <v>0</v>
          </cell>
        </row>
        <row r="112">
          <cell r="A112" t="str">
            <v>Archive Label Mismatch</v>
          </cell>
          <cell r="B112" t="str"/>
          <cell r="C112" t="str"/>
          <cell r="D112" t="str">
            <v>SYSTEM_ARCHIVE_ARCHIVEEVENTS_-10</v>
          </cell>
          <cell r="E112" t="b">
            <v>0</v>
          </cell>
          <cell r="F112" t="str">
            <v>O rótulo do arquivo morto não corresponde ao rótulo esperado.</v>
          </cell>
          <cell r="G112" t="str"/>
          <cell r="H112">
            <v>0</v>
          </cell>
          <cell r="I112">
            <v>0</v>
          </cell>
          <cell r="J112" t="str">
            <v>SystemAlarm</v>
          </cell>
          <cell r="K112" t="str">
            <v>Severidade 14</v>
          </cell>
          <cell r="L112" t="str">
            <v>Severidade 16</v>
          </cell>
          <cell r="M112" t="b">
            <v>0</v>
          </cell>
        </row>
        <row r="113">
          <cell r="A113" t="str">
            <v>Archive Media Full</v>
          </cell>
          <cell r="B113" t="str"/>
          <cell r="C113" t="str"/>
          <cell r="D113" t="str">
            <v>SYSTEM_ARCHIVE_ARCHIVEEVENTS_-3</v>
          </cell>
          <cell r="E113" t="b">
            <v>0</v>
          </cell>
          <cell r="F113" t="str">
            <v>{0} a mídia está cheia.</v>
          </cell>
          <cell r="G113" t="str"/>
          <cell r="H113">
            <v>0</v>
          </cell>
          <cell r="I113">
            <v>0</v>
          </cell>
          <cell r="J113" t="str">
            <v>SystemAlarm</v>
          </cell>
          <cell r="K113" t="str">
            <v>Severidade 14</v>
          </cell>
          <cell r="L113" t="str">
            <v>Severidade 16</v>
          </cell>
          <cell r="M113" t="b">
            <v>0</v>
          </cell>
        </row>
        <row r="114">
          <cell r="A114" t="str">
            <v>Archive Mount Label</v>
          </cell>
          <cell r="B114" t="str"/>
          <cell r="C114" t="str"/>
          <cell r="D114" t="str">
            <v>SYSTEM_ARCHIVE_ARCHIVEEVENTS_-6</v>
          </cell>
          <cell r="E114" t="b">
            <v>0</v>
          </cell>
          <cell r="F114" t="str">
            <v>Monte a mídia de arquivamento com o rótulo {0} no dispositivo {1}.</v>
          </cell>
          <cell r="G114" t="str"/>
          <cell r="H114">
            <v>0</v>
          </cell>
          <cell r="I114">
            <v>0</v>
          </cell>
          <cell r="J114" t="str">
            <v>SystemAlarm</v>
          </cell>
          <cell r="K114" t="str">
            <v>Severidade 14</v>
          </cell>
          <cell r="L114" t="str">
            <v>Severidade 16</v>
          </cell>
          <cell r="M114" t="b">
            <v>0</v>
          </cell>
        </row>
        <row r="115">
          <cell r="A115" t="str">
            <v>Archive Open Label Failed</v>
          </cell>
          <cell r="B115" t="str"/>
          <cell r="C115" t="str"/>
          <cell r="D115" t="str">
            <v>SYSTEM_ARCHIVE_ARCHIVEEVENTS_-8</v>
          </cell>
          <cell r="E115" t="b">
            <v>0</v>
          </cell>
          <cell r="F115" t="str">
            <v>Failed to open archive label file {0} â€“ {1}.</v>
          </cell>
          <cell r="G115" t="str"/>
          <cell r="H115">
            <v>0</v>
          </cell>
          <cell r="I115">
            <v>0</v>
          </cell>
          <cell r="J115" t="str">
            <v>SystemAlarm</v>
          </cell>
          <cell r="K115" t="str">
            <v>Severidade 14</v>
          </cell>
          <cell r="L115" t="str">
            <v>Severidade 16</v>
          </cell>
          <cell r="M115" t="b">
            <v>0</v>
          </cell>
        </row>
        <row r="116">
          <cell r="A116" t="str">
            <v>Area Control Error over limits</v>
          </cell>
          <cell r="B116" t="str"/>
          <cell r="C116" t="str"/>
          <cell r="D116" t="str">
            <v>GMS_AGC_ACE</v>
          </cell>
          <cell r="E116" t="b">
            <v>1</v>
          </cell>
          <cell r="F116" t="str">
            <v>O filtro ACE {0} está acima do seu limite {1} pelo valor absoluto.</v>
          </cell>
          <cell r="G116" t="str"/>
          <cell r="H116">
            <v>0</v>
          </cell>
          <cell r="I116">
            <v>0</v>
          </cell>
          <cell r="J116" t="str">
            <v>ApplicationAlarm</v>
          </cell>
          <cell r="K116" t="str">
            <v>Severidade 10</v>
          </cell>
          <cell r="L116" t="str">
            <v>Severidade 16</v>
          </cell>
          <cell r="M116" t="b">
            <v>0</v>
          </cell>
        </row>
        <row r="117">
          <cell r="A117" t="str">
            <v>Area Control Error over limits_1</v>
          </cell>
          <cell r="B117" t="str"/>
          <cell r="C117" t="str"/>
          <cell r="D117" t="str">
            <v>MGMS_ADC_ACE</v>
          </cell>
          <cell r="E117" t="b">
            <v>1</v>
          </cell>
          <cell r="F117" t="str">
            <v>O filtro ACE {0} está acima do seu limite {1} pelo valor absoluto.</v>
          </cell>
          <cell r="G117" t="str"/>
          <cell r="H117">
            <v>0</v>
          </cell>
          <cell r="I117">
            <v>0</v>
          </cell>
          <cell r="J117" t="str">
            <v>ApplicationAlarm</v>
          </cell>
          <cell r="K117" t="str">
            <v>Severidade 10</v>
          </cell>
          <cell r="L117" t="str">
            <v>Severidade 16</v>
          </cell>
          <cell r="M117" t="b">
            <v>0</v>
          </cell>
        </row>
        <row r="118">
          <cell r="A118" t="str">
            <v>Area Control Error returned to normal</v>
          </cell>
          <cell r="B118" t="str"/>
          <cell r="C118" t="str"/>
          <cell r="D118" t="str">
            <v>GMS_AGC_ACE_RTN</v>
          </cell>
          <cell r="E118" t="b">
            <v>1</v>
          </cell>
          <cell r="F118" t="str">
            <v>O filtro ACE {0} está dentro do seu limite.</v>
          </cell>
          <cell r="G118" t="str"/>
          <cell r="H118">
            <v>0</v>
          </cell>
          <cell r="I118">
            <v>0</v>
          </cell>
          <cell r="J118" t="str">
            <v>ApplicationAlarm</v>
          </cell>
          <cell r="K118" t="str">
            <v>Severidade 10</v>
          </cell>
          <cell r="L118" t="str">
            <v>Severidade 16</v>
          </cell>
          <cell r="M118" t="b">
            <v>0</v>
          </cell>
        </row>
        <row r="119">
          <cell r="A119" t="str">
            <v>Area Control Error returned to normal_1</v>
          </cell>
          <cell r="B119" t="str"/>
          <cell r="C119" t="str"/>
          <cell r="D119" t="str">
            <v>MGMS_ADC_ACE_RTN</v>
          </cell>
          <cell r="E119" t="b">
            <v>1</v>
          </cell>
          <cell r="F119" t="str">
            <v>O filtro ACE {0} está dentro do seu limite.</v>
          </cell>
          <cell r="G119" t="str"/>
          <cell r="H119">
            <v>0</v>
          </cell>
          <cell r="I119">
            <v>0</v>
          </cell>
          <cell r="J119" t="str">
            <v>ApplicationAlarm</v>
          </cell>
          <cell r="K119" t="str">
            <v>Severidade 10</v>
          </cell>
          <cell r="L119" t="str">
            <v>Severidade 16</v>
          </cell>
          <cell r="M119" t="b">
            <v>0</v>
          </cell>
        </row>
        <row r="120">
          <cell r="A120" t="str">
            <v>Auto FLISR started or finished</v>
          </cell>
          <cell r="B120" t="str"/>
          <cell r="C120" t="str">
            <v>FLISR inicio</v>
          </cell>
          <cell r="D120" t="str">
            <v>DMS_OPS_AUTO_FLISR_START</v>
          </cell>
          <cell r="E120" t="b">
            <v>1</v>
          </cell>
          <cell r="F120" t="str">
            <v>{0} - Automático {1} []</v>
          </cell>
          <cell r="G120" t="str"/>
          <cell r="H120">
            <v>0</v>
          </cell>
          <cell r="I120">
            <v>0</v>
          </cell>
          <cell r="J120" t="str">
            <v>ApplicationAlarm</v>
          </cell>
          <cell r="K120" t="str">
            <v>Severidade 15</v>
          </cell>
          <cell r="L120" t="str">
            <v>Severidade 16</v>
          </cell>
          <cell r="M120" t="b">
            <v>0</v>
          </cell>
        </row>
        <row r="121">
          <cell r="A121" t="str">
            <v>Auto FLISR stopped by contradictory fault indicators</v>
          </cell>
          <cell r="B121" t="str"/>
          <cell r="C121" t="str">
            <v>FLISR stop</v>
          </cell>
          <cell r="D121" t="str">
            <v>DMS_OPS_CONTRADICTORY_FI_STOPPED_AUTO_FLISR</v>
          </cell>
          <cell r="E121" t="b">
            <v>0</v>
          </cell>
          <cell r="F121" t="str">
            <v>FLISR - automático interrompido porque status contraditório de Indicação de Falha detectado no alimentador com falha []</v>
          </cell>
          <cell r="G121" t="str"/>
          <cell r="H121">
            <v>0</v>
          </cell>
          <cell r="I121">
            <v>0</v>
          </cell>
          <cell r="J121" t="str">
            <v>ApplicationAlarm</v>
          </cell>
          <cell r="K121" t="str">
            <v>Severidade 15</v>
          </cell>
          <cell r="L121" t="str">
            <v>Severidade 16</v>
          </cell>
          <cell r="M121" t="b">
            <v>0</v>
          </cell>
        </row>
        <row r="122">
          <cell r="A122" t="str">
            <v>Auto FLISR/LAR globally enabled</v>
          </cell>
          <cell r="B122" t="str"/>
          <cell r="C122" t="str">
            <v xml:space="preserve">FLISR </v>
          </cell>
          <cell r="D122" t="str">
            <v>DMS_OPS_AUTO_FLISR_LAR_GLOBALLY_ENABLED</v>
          </cell>
          <cell r="E122" t="b">
            <v>1</v>
          </cell>
          <cell r="F122" t="str">
            <v>FLISR / LAR - automático está {0} []</v>
          </cell>
          <cell r="G122" t="str"/>
          <cell r="H122">
            <v>0</v>
          </cell>
          <cell r="I122">
            <v>0</v>
          </cell>
          <cell r="J122" t="str">
            <v>ApplicationAlarm</v>
          </cell>
          <cell r="K122" t="str">
            <v>Severidade 15</v>
          </cell>
          <cell r="L122" t="str">
            <v>Severidade 16</v>
          </cell>
          <cell r="M122" t="b">
            <v>0</v>
          </cell>
        </row>
        <row r="123">
          <cell r="A123" t="str">
            <v>Bad generator data for ED</v>
          </cell>
          <cell r="B123" t="str"/>
          <cell r="C123" t="str"/>
          <cell r="D123" t="str">
            <v>GMS_ED_BAD_INPUT</v>
          </cell>
          <cell r="E123" t="b">
            <v>1</v>
          </cell>
          <cell r="F123" t="str">
            <v>Dados inválidos para cálculo de ED. {0}</v>
          </cell>
          <cell r="G123" t="str"/>
          <cell r="H123">
            <v>0</v>
          </cell>
          <cell r="I123">
            <v>0</v>
          </cell>
          <cell r="J123" t="str">
            <v>ApplicationAlarm</v>
          </cell>
          <cell r="K123" t="str">
            <v>Severidade 10</v>
          </cell>
          <cell r="L123" t="str">
            <v>Severidade 16</v>
          </cell>
          <cell r="M123" t="b">
            <v>0</v>
          </cell>
        </row>
        <row r="124">
          <cell r="A124" t="str">
            <v>Block auto-sectionalizing disabled</v>
          </cell>
          <cell r="B124" t="str"/>
          <cell r="C124" t="str"/>
          <cell r="D124" t="str">
            <v>DMS_OPS_LS_BLOCKING_DISABLED</v>
          </cell>
          <cell r="E124" t="b">
            <v>0</v>
          </cell>
          <cell r="F124" t="str">
            <v>Bloqueio de dispositivos de corte automático desativados</v>
          </cell>
          <cell r="G124" t="str"/>
          <cell r="H124">
            <v>0</v>
          </cell>
          <cell r="I124">
            <v>0</v>
          </cell>
          <cell r="J124" t="str">
            <v>ApplicationAlarm</v>
          </cell>
          <cell r="K124" t="str">
            <v>Severidade 10</v>
          </cell>
          <cell r="L124" t="str">
            <v>Severidade 16</v>
          </cell>
          <cell r="M124" t="b">
            <v>0</v>
          </cell>
        </row>
        <row r="125">
          <cell r="A125" t="str">
            <v>Block auto-sectionalizing failed</v>
          </cell>
          <cell r="B125" t="str"/>
          <cell r="C125" t="str"/>
          <cell r="D125" t="str">
            <v>DMS_OPS_BLOCKING_OF_AS_FAILED</v>
          </cell>
          <cell r="E125" t="b">
            <v>0</v>
          </cell>
          <cell r="F125" t="str">
            <v>Falha no bloqueio do dispositivo de corte automático</v>
          </cell>
          <cell r="G125" t="str"/>
          <cell r="H125">
            <v>0</v>
          </cell>
          <cell r="I125">
            <v>0</v>
          </cell>
          <cell r="J125" t="str">
            <v>ApplicationAlarm</v>
          </cell>
          <cell r="K125" t="str">
            <v>Severidade 10</v>
          </cell>
          <cell r="L125" t="str">
            <v>Severidade 16</v>
          </cell>
          <cell r="M125" t="b">
            <v>0</v>
          </cell>
        </row>
        <row r="126">
          <cell r="A126" t="str">
            <v>BLTHost Execution Too Long</v>
          </cell>
          <cell r="B126" t="str"/>
          <cell r="C126" t="str"/>
          <cell r="D126" t="str">
            <v>SYSTEM_BLTHOST_BLTTIMEOUT_1</v>
          </cell>
          <cell r="E126" t="b">
            <v>0</v>
          </cell>
          <cell r="F126" t="str">
            <v>{0} detectou que {1} está demorando muito para ser executado.</v>
          </cell>
          <cell r="G126" t="str"/>
          <cell r="H126">
            <v>0</v>
          </cell>
          <cell r="I126">
            <v>0</v>
          </cell>
          <cell r="J126" t="str">
            <v>SystemAlarm</v>
          </cell>
          <cell r="K126" t="str">
            <v>Severidade 14</v>
          </cell>
          <cell r="L126" t="str">
            <v>Severidade 16</v>
          </cell>
          <cell r="M126" t="b">
            <v>0</v>
          </cell>
        </row>
        <row r="127">
          <cell r="A127" t="str">
            <v>Calculation execution timeout expired</v>
          </cell>
          <cell r="B127" t="str"/>
          <cell r="C127" t="str"/>
          <cell r="D127" t="str">
            <v>GCSCalculationTimeOutAlarm</v>
          </cell>
          <cell r="E127" t="b">
            <v>0</v>
          </cell>
          <cell r="F127" t="str">
            <v>O cálculo falhou. O tempo limite da execução expirou.</v>
          </cell>
          <cell r="G127" t="str"/>
          <cell r="H127">
            <v>0</v>
          </cell>
          <cell r="I127">
            <v>0</v>
          </cell>
          <cell r="J127" t="str">
            <v>ApplicationAlarm</v>
          </cell>
          <cell r="K127" t="str">
            <v>Severidade 16</v>
          </cell>
          <cell r="L127" t="str">
            <v>Severidade 16</v>
          </cell>
          <cell r="M127" t="b">
            <v>0</v>
          </cell>
        </row>
        <row r="128">
          <cell r="A128" t="str">
            <v>Calculation has failed</v>
          </cell>
          <cell r="B128" t="str"/>
          <cell r="C128" t="str"/>
          <cell r="D128" t="str">
            <v>GCSCalculationFailAlarm</v>
          </cell>
          <cell r="E128" t="b">
            <v>0</v>
          </cell>
          <cell r="F128" t="str">
            <v>O cálculo falhou. Ocorreu uma exceção não tratada durante a execução deste cálculo.</v>
          </cell>
          <cell r="G128" t="str"/>
          <cell r="H128">
            <v>0</v>
          </cell>
          <cell r="I128">
            <v>0</v>
          </cell>
          <cell r="J128" t="str">
            <v>ApplicationAlarm</v>
          </cell>
          <cell r="K128" t="str">
            <v>Severidade 16</v>
          </cell>
          <cell r="L128" t="str">
            <v>Severidade 16</v>
          </cell>
          <cell r="M128" t="b">
            <v>0</v>
          </cell>
        </row>
        <row r="129">
          <cell r="A129" t="str">
            <v>Call from critical customer</v>
          </cell>
          <cell r="B129" t="str"/>
          <cell r="C129" t="str"/>
          <cell r="D129" t="str">
            <v>OMS_ALARM_CRITICAL_CUST_CALL_ADDED_TO_INC</v>
          </cell>
          <cell r="E129" t="b">
            <v>0</v>
          </cell>
          <cell r="F129" t="str">
            <v>Nova chamada de um cliente crítico adicionada ao incidente {0}</v>
          </cell>
          <cell r="G129" t="str"/>
          <cell r="H129">
            <v>0</v>
          </cell>
          <cell r="I129">
            <v>0</v>
          </cell>
          <cell r="J129" t="str">
            <v>ApplicationAlarm</v>
          </cell>
          <cell r="K129" t="str">
            <v>Severidade 8</v>
          </cell>
          <cell r="L129" t="str">
            <v>Severidade 16</v>
          </cell>
          <cell r="M129" t="b">
            <v>0</v>
          </cell>
        </row>
        <row r="130">
          <cell r="A130" t="str">
            <v>Callback profile changed</v>
          </cell>
          <cell r="B130" t="str"/>
          <cell r="C130" t="str"/>
          <cell r="D130" t="str">
            <v>OMS_ALARM_PROFILE_CONFIG_CHANGED_CALLBACK_PROF</v>
          </cell>
          <cell r="E130" t="b">
            <v>0</v>
          </cell>
          <cell r="F130" t="str">
            <v>A configuração do OMS para o perfil de retorno de chamada foi alterada de {0} para {1}</v>
          </cell>
          <cell r="G130" t="str"/>
          <cell r="H130">
            <v>0</v>
          </cell>
          <cell r="I130">
            <v>0</v>
          </cell>
          <cell r="J130" t="str">
            <v>ApplicationAlarm</v>
          </cell>
          <cell r="K130" t="str">
            <v>Severidade 10</v>
          </cell>
          <cell r="L130" t="str">
            <v>Severidade 16</v>
          </cell>
          <cell r="M130" t="b">
            <v>0</v>
          </cell>
        </row>
        <row r="131">
          <cell r="A131" t="str">
            <v>Cannot connect microgrid to grid</v>
          </cell>
          <cell r="B131" t="str"/>
          <cell r="C131" t="str"/>
          <cell r="D131" t="str">
            <v>GMS_AGC_CANNOT_CONNECT_TO_GRID</v>
          </cell>
          <cell r="E131" t="b">
            <v>1</v>
          </cell>
          <cell r="F131" t="str">
            <v>Não é possível conectar a microrrede à rede.</v>
          </cell>
          <cell r="G131" t="str"/>
          <cell r="H131">
            <v>0</v>
          </cell>
          <cell r="I131">
            <v>0</v>
          </cell>
          <cell r="J131" t="str">
            <v>ApplicationAlarm</v>
          </cell>
          <cell r="K131" t="str">
            <v>Severidade 10</v>
          </cell>
          <cell r="L131" t="str">
            <v>Severidade 16</v>
          </cell>
          <cell r="M131" t="b">
            <v>0</v>
          </cell>
        </row>
        <row r="132">
          <cell r="A132" t="str">
            <v>Cannot connect microgrid to grid_1</v>
          </cell>
          <cell r="B132" t="str"/>
          <cell r="C132" t="str"/>
          <cell r="D132" t="str">
            <v>MGMS_ADC_CANNOT_CONNECT_TO_GRID</v>
          </cell>
          <cell r="E132" t="b">
            <v>1</v>
          </cell>
          <cell r="F132" t="str">
            <v>Não é possível conectar a microrrede à rede.</v>
          </cell>
          <cell r="G132" t="str"/>
          <cell r="H132">
            <v>0</v>
          </cell>
          <cell r="I132">
            <v>0</v>
          </cell>
          <cell r="J132" t="str">
            <v>ApplicationAlarm</v>
          </cell>
          <cell r="K132" t="str">
            <v>Severidade 10</v>
          </cell>
          <cell r="L132" t="str">
            <v>Severidade 16</v>
          </cell>
          <cell r="M132" t="b">
            <v>0</v>
          </cell>
        </row>
        <row r="133">
          <cell r="A133" t="str">
            <v>Cannot separate microgrid from grid</v>
          </cell>
          <cell r="B133" t="str"/>
          <cell r="C133" t="str"/>
          <cell r="D133" t="str">
            <v>MGMS_ADC_CANNOT_SEPARATE_FROM_GRID</v>
          </cell>
          <cell r="E133" t="b">
            <v>1</v>
          </cell>
          <cell r="F133" t="str">
            <v>Não é possível separar a microrrede da rede.</v>
          </cell>
          <cell r="G133" t="str"/>
          <cell r="H133">
            <v>0</v>
          </cell>
          <cell r="I133">
            <v>0</v>
          </cell>
          <cell r="J133" t="str">
            <v>ApplicationAlarm</v>
          </cell>
          <cell r="K133" t="str">
            <v>Severidade 10</v>
          </cell>
          <cell r="L133" t="str">
            <v>Severidade 16</v>
          </cell>
          <cell r="M133" t="b">
            <v>0</v>
          </cell>
        </row>
        <row r="134">
          <cell r="A134" t="str">
            <v>Cannot separate microgrid from grid_1</v>
          </cell>
          <cell r="B134" t="str"/>
          <cell r="C134" t="str"/>
          <cell r="D134" t="str">
            <v>GMS_AGC_CANNOT_SEPARATE_FROM_GRID</v>
          </cell>
          <cell r="E134" t="b">
            <v>1</v>
          </cell>
          <cell r="F134" t="str">
            <v>Não é possível separar a microrrede da rede.</v>
          </cell>
          <cell r="G134" t="str"/>
          <cell r="H134">
            <v>0</v>
          </cell>
          <cell r="I134">
            <v>0</v>
          </cell>
          <cell r="J134" t="str">
            <v>ApplicationAlarm</v>
          </cell>
          <cell r="K134" t="str">
            <v>Severidade 10</v>
          </cell>
          <cell r="L134" t="str">
            <v>Severidade 16</v>
          </cell>
          <cell r="M134" t="b">
            <v>0</v>
          </cell>
        </row>
        <row r="135">
          <cell r="A135" t="str">
            <v>Communication Link connection lost</v>
          </cell>
          <cell r="B135" t="str"/>
          <cell r="C135" t="str">
            <v>LNKNR</v>
          </cell>
          <cell r="D135" t="str">
            <v>CONNECTION_LOST</v>
          </cell>
          <cell r="E135" t="b">
            <v>0</v>
          </cell>
          <cell r="F135" t="str">
            <v>LNKNR - Conexão perdida.</v>
          </cell>
          <cell r="G135" t="str">
            <v>Link de comunicação não responde</v>
          </cell>
          <cell r="H135">
            <v>180</v>
          </cell>
          <cell r="I135">
            <v>0</v>
          </cell>
          <cell r="J135" t="str">
            <v>ApplicationAlarm</v>
          </cell>
          <cell r="K135" t="str">
            <v>Severidade 9</v>
          </cell>
          <cell r="L135" t="str">
            <v>Severidade 16</v>
          </cell>
          <cell r="M135" t="b">
            <v>0</v>
          </cell>
        </row>
        <row r="136">
          <cell r="A136" t="str">
            <v>Communication Link failed connection establishment</v>
          </cell>
          <cell r="B136" t="str"/>
          <cell r="C136" t="str">
            <v>LNKFAL</v>
          </cell>
          <cell r="D136" t="str">
            <v>FAILED_TO_CONNECT</v>
          </cell>
          <cell r="E136" t="b">
            <v>0</v>
          </cell>
          <cell r="F136" t="str">
            <v>LNKFAL - Falha ao estabelecer a conexão.</v>
          </cell>
          <cell r="G136" t="str">
            <v>Link de comunicação não estabelecido</v>
          </cell>
          <cell r="H136">
            <v>180</v>
          </cell>
          <cell r="I136">
            <v>0</v>
          </cell>
          <cell r="J136" t="str">
            <v>ApplicationAlarm</v>
          </cell>
          <cell r="K136" t="str">
            <v>Severidade 9</v>
          </cell>
          <cell r="L136" t="str">
            <v>Severidade 16</v>
          </cell>
          <cell r="M136" t="b">
            <v>0</v>
          </cell>
        </row>
        <row r="137">
          <cell r="A137" t="str">
            <v>Communication Link return to normal</v>
          </cell>
          <cell r="B137" t="str"/>
          <cell r="C137" t="str">
            <v>LNKRES</v>
          </cell>
          <cell r="D137" t="str">
            <v>FAILED_TO_CONNECT_RTN</v>
          </cell>
          <cell r="E137" t="b">
            <v>0</v>
          </cell>
          <cell r="F137" t="str">
            <v>LNKRES - O link agora é {0}.</v>
          </cell>
          <cell r="G137" t="str">
            <v>Link de comunicação voltou a resopnder</v>
          </cell>
          <cell r="H137">
            <v>0</v>
          </cell>
          <cell r="I137">
            <v>0</v>
          </cell>
          <cell r="J137" t="str">
            <v>ApplicationAlarm</v>
          </cell>
          <cell r="K137" t="str">
            <v>Severidade 9</v>
          </cell>
          <cell r="L137" t="str">
            <v>Severidade 16</v>
          </cell>
          <cell r="M137" t="b">
            <v>0</v>
          </cell>
        </row>
        <row r="138">
          <cell r="A138" t="str">
            <v>Control Sequence State Change To Abnormal</v>
          </cell>
          <cell r="B138" t="str"/>
          <cell r="C138" t="str"/>
          <cell r="D138" t="str">
            <v>CON_SEQ_STATE_ABNORMAL</v>
          </cell>
          <cell r="E138" t="b">
            <v>1</v>
          </cell>
          <cell r="F138" t="str">
            <v>A sequência de controle '{0}' está no estado {1}</v>
          </cell>
          <cell r="G138" t="str"/>
          <cell r="H138">
            <v>0</v>
          </cell>
          <cell r="I138">
            <v>0</v>
          </cell>
          <cell r="J138" t="str">
            <v>ApplicationAlarm</v>
          </cell>
          <cell r="K138" t="str">
            <v>Severidade 16</v>
          </cell>
          <cell r="L138" t="str">
            <v>Severidade 16</v>
          </cell>
          <cell r="M138" t="b">
            <v>0</v>
          </cell>
        </row>
        <row r="139">
          <cell r="A139" t="str">
            <v>Control Sequence State Change To Locked</v>
          </cell>
          <cell r="B139" t="str"/>
          <cell r="C139" t="str"/>
          <cell r="D139" t="str">
            <v>CON_SEQ_STATE_LOCKED</v>
          </cell>
          <cell r="E139" t="b">
            <v>1</v>
          </cell>
          <cell r="F139" t="str">
            <v>A sequência de controle '{0}' está no estado {1}</v>
          </cell>
          <cell r="G139" t="str"/>
          <cell r="H139">
            <v>0</v>
          </cell>
          <cell r="I139">
            <v>0</v>
          </cell>
          <cell r="J139" t="str">
            <v>ApplicationAlarm</v>
          </cell>
          <cell r="K139" t="str">
            <v>Severidade 16</v>
          </cell>
          <cell r="L139" t="str">
            <v>Severidade 16</v>
          </cell>
          <cell r="M139" t="b">
            <v>0</v>
          </cell>
        </row>
        <row r="140">
          <cell r="A140" t="str">
            <v>Control Sequence State Change To Normal</v>
          </cell>
          <cell r="B140" t="str"/>
          <cell r="C140" t="str"/>
          <cell r="D140" t="str">
            <v>CON_SEQ_STATE_NORMAL</v>
          </cell>
          <cell r="E140" t="b">
            <v>1</v>
          </cell>
          <cell r="F140" t="str">
            <v>A sequência de controle '{0}' está no estado {1}</v>
          </cell>
          <cell r="G140" t="str"/>
          <cell r="H140">
            <v>0</v>
          </cell>
          <cell r="I140">
            <v>0</v>
          </cell>
          <cell r="J140" t="str">
            <v>ApplicationAlarm</v>
          </cell>
          <cell r="K140" t="str">
            <v>Severidade 16</v>
          </cell>
          <cell r="L140" t="str">
            <v>Severidade 16</v>
          </cell>
          <cell r="M140" t="b">
            <v>0</v>
          </cell>
        </row>
        <row r="141">
          <cell r="A141" t="str">
            <v>Crew assignment rejected</v>
          </cell>
          <cell r="B141" t="str"/>
          <cell r="C141" t="str"/>
          <cell r="D141" t="str">
            <v>OMS_CREW_ASSIGNMENT_REJECTED</v>
          </cell>
          <cell r="E141" t="b">
            <v>0</v>
          </cell>
          <cell r="F141" t="str">
            <v>A equipe {0} rejeitou a tarefa {1}. Tipo de rejeição: {2}. Motivo da rejeição: {3}</v>
          </cell>
          <cell r="G141" t="str"/>
          <cell r="H141">
            <v>0</v>
          </cell>
          <cell r="I141">
            <v>0</v>
          </cell>
          <cell r="J141" t="str">
            <v>ApplicationAlarm</v>
          </cell>
          <cell r="K141" t="str">
            <v>Severidade 10</v>
          </cell>
          <cell r="L141" t="str">
            <v>Severidade 16</v>
          </cell>
          <cell r="M141" t="b">
            <v>0</v>
          </cell>
        </row>
        <row r="142">
          <cell r="A142" t="str">
            <v>Crew not responded to assignment</v>
          </cell>
          <cell r="B142" t="str"/>
          <cell r="C142" t="str"/>
          <cell r="D142" t="str">
            <v>OMS_CREW_ASSIGNMENT_NOT_ACKNOWLEDGED</v>
          </cell>
          <cell r="E142" t="b">
            <v>0</v>
          </cell>
          <cell r="F142" t="str">
            <v>A equipe {0} não respondeu à tarefa no incidente {1} por mais de {2} minutos.</v>
          </cell>
          <cell r="G142" t="str"/>
          <cell r="H142">
            <v>0</v>
          </cell>
          <cell r="I142">
            <v>0</v>
          </cell>
          <cell r="J142" t="str">
            <v>ApplicationAlarm</v>
          </cell>
          <cell r="K142" t="str">
            <v>Severidade 10</v>
          </cell>
          <cell r="L142" t="str">
            <v>Severidade 16</v>
          </cell>
          <cell r="M142" t="b">
            <v>0</v>
          </cell>
        </row>
        <row r="143">
          <cell r="A143" t="str">
            <v>Crew reasigned after merge</v>
          </cell>
          <cell r="B143" t="str"/>
          <cell r="C143" t="str"/>
          <cell r="D143" t="str">
            <v>OMS_ALARM_CREW_REASIGNED_AFTER_MERGE</v>
          </cell>
          <cell r="E143" t="b">
            <v>0</v>
          </cell>
          <cell r="F143" t="str">
            <v>Incidente (s) {0} são mesclados ao incidente {1}, equipe (s) redirecionada (s): {2}.</v>
          </cell>
          <cell r="G143" t="str"/>
          <cell r="H143">
            <v>0</v>
          </cell>
          <cell r="I143">
            <v>0</v>
          </cell>
          <cell r="J143" t="str">
            <v>ApplicationAlarm</v>
          </cell>
          <cell r="K143" t="str">
            <v>Severidade 10</v>
          </cell>
          <cell r="L143" t="str">
            <v>Severidade 16</v>
          </cell>
          <cell r="M143" t="b">
            <v>0</v>
          </cell>
        </row>
        <row r="144">
          <cell r="A144" t="str">
            <v>Crew reasigned after rolldown</v>
          </cell>
          <cell r="B144" t="str"/>
          <cell r="C144" t="str"/>
          <cell r="D144" t="str">
            <v>OMS_ALARM_CREW_REASIGNED_AFTER_ROLLDOWN</v>
          </cell>
          <cell r="E144" t="b">
            <v>0</v>
          </cell>
          <cell r="F144" t="str">
            <v>O incidente {0} foi a jusante para o incidente {1}, equipe redirecionada: {2}</v>
          </cell>
          <cell r="G144" t="str"/>
          <cell r="H144">
            <v>0</v>
          </cell>
          <cell r="I144">
            <v>0</v>
          </cell>
          <cell r="J144" t="str">
            <v>ApplicationAlarm</v>
          </cell>
          <cell r="K144" t="str">
            <v>Severidade 10</v>
          </cell>
          <cell r="L144" t="str">
            <v>Severidade 16</v>
          </cell>
          <cell r="M144" t="b">
            <v>0</v>
          </cell>
        </row>
        <row r="145">
          <cell r="A145" t="str">
            <v>Crew working limit approaching</v>
          </cell>
          <cell r="B145" t="str"/>
          <cell r="C145" t="str"/>
          <cell r="D145" t="str">
            <v>OMS_CREW_WORKING_LIMIT_APPROACHING</v>
          </cell>
          <cell r="E145" t="b">
            <v>0</v>
          </cell>
          <cell r="F145" t="str">
            <v>A equipe {0} deve fazer uma pausa em menos de {1} minutos.</v>
          </cell>
          <cell r="G145" t="str"/>
          <cell r="H145">
            <v>0</v>
          </cell>
          <cell r="I145">
            <v>0</v>
          </cell>
          <cell r="J145" t="str">
            <v>ApplicationAlarm</v>
          </cell>
          <cell r="K145" t="str">
            <v>Severidade 10</v>
          </cell>
          <cell r="L145" t="str">
            <v>Severidade 16</v>
          </cell>
          <cell r="M145" t="b">
            <v>0</v>
          </cell>
        </row>
        <row r="146">
          <cell r="A146" t="str">
            <v>Current transfomer overload returned to normal</v>
          </cell>
          <cell r="B146" t="str"/>
          <cell r="C146" t="str"/>
          <cell r="D146" t="str">
            <v>DMS_CFS_RTN_OVERLOAD_CURRENT_TRANSFORMER</v>
          </cell>
          <cell r="E146" t="b">
            <v>0</v>
          </cell>
          <cell r="F146" t="str">
            <v>Carga do transformador de corrente dentro dos limites.</v>
          </cell>
          <cell r="G146" t="str"/>
          <cell r="H146">
            <v>0</v>
          </cell>
          <cell r="I146">
            <v>0</v>
          </cell>
          <cell r="J146" t="str">
            <v>ApplicationAlarm</v>
          </cell>
          <cell r="K146" t="str">
            <v>Severidade 14</v>
          </cell>
          <cell r="L146" t="str">
            <v>Severidade 16</v>
          </cell>
          <cell r="M146" t="b">
            <v>0</v>
          </cell>
        </row>
        <row r="147">
          <cell r="A147" t="str">
            <v>Current transformer overload</v>
          </cell>
          <cell r="B147" t="str"/>
          <cell r="C147" t="str"/>
          <cell r="D147" t="str">
            <v>DMS_CFS_OVERLOAD_CURRENT_TRANSFORMER</v>
          </cell>
          <cell r="E147" t="b">
            <v>0</v>
          </cell>
          <cell r="F147" t="str">
            <v>Carga do transformador de corrente acima do limite de {0} {1}.</v>
          </cell>
          <cell r="G147" t="str"/>
          <cell r="H147">
            <v>0</v>
          </cell>
          <cell r="I147">
            <v>0</v>
          </cell>
          <cell r="J147" t="str">
            <v>ApplicationAlarm</v>
          </cell>
          <cell r="K147" t="str">
            <v>Severidade 14</v>
          </cell>
          <cell r="L147" t="str">
            <v>Severidade 16</v>
          </cell>
          <cell r="M147" t="b">
            <v>0</v>
          </cell>
        </row>
        <row r="148">
          <cell r="A148" t="str">
            <v>Datapump Alarm</v>
          </cell>
          <cell r="B148" t="str"/>
          <cell r="C148" t="str"/>
          <cell r="D148" t="str">
            <v>SYSTEM_DATAPUMP_DATAPUMPALARM_1</v>
          </cell>
          <cell r="E148" t="b">
            <v>0</v>
          </cell>
          <cell r="F148" t="str">
            <v>Datapump [para {0}]: {1}.</v>
          </cell>
          <cell r="G148" t="str"/>
          <cell r="H148">
            <v>0</v>
          </cell>
          <cell r="I148">
            <v>0</v>
          </cell>
          <cell r="J148" t="str">
            <v>SystemAlarm</v>
          </cell>
          <cell r="K148" t="str">
            <v>Severidade 14</v>
          </cell>
          <cell r="L148" t="str">
            <v>Severidade 16</v>
          </cell>
          <cell r="M148" t="b">
            <v>0</v>
          </cell>
        </row>
        <row r="149">
          <cell r="A149" t="str">
            <v>Datapump Fatal Error</v>
          </cell>
          <cell r="B149" t="str"/>
          <cell r="C149" t="str"/>
          <cell r="D149" t="str">
            <v>SYSTEM_DATAPUMP_DATAPUMPFATALERROR_2</v>
          </cell>
          <cell r="E149" t="b">
            <v>0</v>
          </cell>
          <cell r="F149" t="str">
            <v>Datapump [para {0}]: {1}.</v>
          </cell>
          <cell r="G149" t="str"/>
          <cell r="H149">
            <v>0</v>
          </cell>
          <cell r="I149">
            <v>0</v>
          </cell>
          <cell r="J149" t="str">
            <v>SystemAlarm</v>
          </cell>
          <cell r="K149" t="str">
            <v>Severidade 14</v>
          </cell>
          <cell r="L149" t="str">
            <v>Severidade 16</v>
          </cell>
          <cell r="M149" t="b">
            <v>0</v>
          </cell>
        </row>
        <row r="150">
          <cell r="A150" t="str">
            <v>DDS area recovered</v>
          </cell>
          <cell r="B150" t="str"/>
          <cell r="C150" t="str"/>
          <cell r="D150" t="str">
            <v>DMS_DDS_AREA_RECOVERED</v>
          </cell>
          <cell r="E150" t="b">
            <v>0</v>
          </cell>
          <cell r="F150" t="str">
            <v>A área {0} é coberta.</v>
          </cell>
          <cell r="G150" t="str"/>
          <cell r="H150">
            <v>0</v>
          </cell>
          <cell r="I150">
            <v>0</v>
          </cell>
          <cell r="J150" t="str">
            <v>SystemAlarm</v>
          </cell>
          <cell r="K150" t="str">
            <v>Severidade 12</v>
          </cell>
          <cell r="L150" t="str">
            <v>Severidade 16</v>
          </cell>
          <cell r="M150" t="b">
            <v>0</v>
          </cell>
        </row>
        <row r="151">
          <cell r="A151" t="str">
            <v>DDS area uncovered</v>
          </cell>
          <cell r="B151" t="str"/>
          <cell r="C151" t="str"/>
          <cell r="D151" t="str">
            <v>DMS_DDS_AREA_UNCOVERED</v>
          </cell>
          <cell r="E151" t="b">
            <v>0</v>
          </cell>
          <cell r="F151" t="str">
            <v>A área {0} é descoberta.</v>
          </cell>
          <cell r="G151" t="str"/>
          <cell r="H151">
            <v>0</v>
          </cell>
          <cell r="I151">
            <v>0</v>
          </cell>
          <cell r="J151" t="str">
            <v>SystemAlarm</v>
          </cell>
          <cell r="K151" t="str">
            <v>Severidade 6</v>
          </cell>
          <cell r="L151" t="str">
            <v>Severidade 16</v>
          </cell>
          <cell r="M151" t="b">
            <v>0</v>
          </cell>
        </row>
        <row r="152">
          <cell r="A152" t="str">
            <v>DNP3 IIN Alarm</v>
          </cell>
          <cell r="B152" t="str"/>
          <cell r="C152" t="str"/>
          <cell r="D152" t="str">
            <v>DNP3_IIN_ALARM_RECEIVED</v>
          </cell>
          <cell r="E152" t="b">
            <v>0</v>
          </cell>
          <cell r="F152" t="str">
            <v>Bit {0} IIN recebido.</v>
          </cell>
          <cell r="G152" t="str"/>
          <cell r="H152">
            <v>0</v>
          </cell>
          <cell r="I152">
            <v>0</v>
          </cell>
          <cell r="J152" t="str">
            <v>ApplicationAlarm</v>
          </cell>
          <cell r="K152" t="str">
            <v>Severidade 15</v>
          </cell>
          <cell r="L152" t="str">
            <v>Severidade 16</v>
          </cell>
          <cell r="M152" t="b">
            <v>0</v>
          </cell>
        </row>
        <row r="153">
          <cell r="A153" t="str">
            <v>DNP3 IIN Event</v>
          </cell>
          <cell r="B153" t="str"/>
          <cell r="C153" t="str"/>
          <cell r="D153" t="str">
            <v>DNP3_IIN_RECEIVED</v>
          </cell>
          <cell r="E153" t="b">
            <v>0</v>
          </cell>
          <cell r="F153" t="str">
            <v>{0} bit IIN {1}.</v>
          </cell>
          <cell r="G153" t="str"/>
          <cell r="H153">
            <v>0</v>
          </cell>
          <cell r="I153">
            <v>0</v>
          </cell>
          <cell r="J153" t="str">
            <v>ApplicationAlarm</v>
          </cell>
          <cell r="K153" t="str">
            <v>Severidade 15</v>
          </cell>
          <cell r="L153" t="str">
            <v>Severidade 16</v>
          </cell>
          <cell r="M153" t="b">
            <v>0</v>
          </cell>
        </row>
        <row r="154">
          <cell r="A154" t="str">
            <v>Do not miss an incident</v>
          </cell>
          <cell r="B154" t="str"/>
          <cell r="C154" t="str"/>
          <cell r="D154" t="str">
            <v>OMS_ALARM_MISSED_INCIDENT</v>
          </cell>
          <cell r="E154" t="b">
            <v>0</v>
          </cell>
          <cell r="F154" t="str">
            <v>O incidente {0} está no estado inicial por mais de {1} minutos</v>
          </cell>
          <cell r="G154" t="str"/>
          <cell r="H154">
            <v>0</v>
          </cell>
          <cell r="I154">
            <v>0</v>
          </cell>
          <cell r="J154" t="str">
            <v>ApplicationAlarm</v>
          </cell>
          <cell r="K154" t="str">
            <v>Severidade 10</v>
          </cell>
          <cell r="L154" t="str">
            <v>Severidade 16</v>
          </cell>
          <cell r="M154" t="b">
            <v>0</v>
          </cell>
        </row>
        <row r="155">
          <cell r="A155" t="str">
            <v>DOM alarm limit reached.</v>
          </cell>
          <cell r="B155" t="str"/>
          <cell r="C155" t="str">
            <v>-</v>
          </cell>
          <cell r="D155" t="str">
            <v>DOM_ALARM_LIMIT_REACHED</v>
          </cell>
          <cell r="E155" t="b">
            <v>1</v>
          </cell>
          <cell r="F155" t="str">
            <v>Contador total de DOM = {0} (acima do valor limite de alarme configurado {1}).</v>
          </cell>
          <cell r="G155" t="str"/>
          <cell r="H155">
            <v>0</v>
          </cell>
          <cell r="I155">
            <v>0</v>
          </cell>
          <cell r="J155" t="str">
            <v>AnalogHigh</v>
          </cell>
          <cell r="K155" t="str">
            <v>Severidade 15</v>
          </cell>
          <cell r="L155" t="str">
            <v>Severidade 16</v>
          </cell>
          <cell r="M155" t="b">
            <v>0</v>
          </cell>
        </row>
        <row r="156">
          <cell r="A156" t="str">
            <v>DOM limit return to normal.</v>
          </cell>
          <cell r="B156" t="str"/>
          <cell r="C156" t="str">
            <v>-</v>
          </cell>
          <cell r="D156" t="str">
            <v>DOM_LIMIT_RETURN_TO_NORMAL</v>
          </cell>
          <cell r="E156" t="b">
            <v>1</v>
          </cell>
          <cell r="F156" t="str">
            <v>O contador total do DOM = {0} caiu abaixo ou é igual ao limite do DOM = {1}. O contador DOM não está mais em alarme.</v>
          </cell>
          <cell r="G156" t="str"/>
          <cell r="H156">
            <v>0</v>
          </cell>
          <cell r="I156">
            <v>0</v>
          </cell>
          <cell r="J156" t="str">
            <v>AnalogHigh</v>
          </cell>
          <cell r="K156" t="str">
            <v>Severidade 15</v>
          </cell>
          <cell r="L156" t="str">
            <v>Severidade 16</v>
          </cell>
          <cell r="M156" t="b">
            <v>0</v>
          </cell>
        </row>
        <row r="157">
          <cell r="A157" t="str">
            <v>DOM warning limit reached.</v>
          </cell>
          <cell r="B157" t="str"/>
          <cell r="C157" t="str">
            <v>-</v>
          </cell>
          <cell r="D157" t="str">
            <v>DOM_WARNING_LIMIT_REACHED</v>
          </cell>
          <cell r="E157" t="b">
            <v>1</v>
          </cell>
          <cell r="F157" t="str">
            <v>Contador total de DOM = {0} (acima do valor limite de aviso configurado {1}).</v>
          </cell>
          <cell r="G157" t="str"/>
          <cell r="H157">
            <v>0</v>
          </cell>
          <cell r="I157">
            <v>0</v>
          </cell>
          <cell r="J157" t="str">
            <v>AnalogHigh</v>
          </cell>
          <cell r="K157" t="str">
            <v>Severidade 15</v>
          </cell>
          <cell r="L157" t="str">
            <v>Severidade 16</v>
          </cell>
          <cell r="M157" t="b">
            <v>0</v>
          </cell>
        </row>
        <row r="158">
          <cell r="A158" t="str">
            <v>EMS active power reserve for base case above limit</v>
          </cell>
          <cell r="B158" t="str"/>
          <cell r="C158" t="str"/>
          <cell r="D158" t="str">
            <v>EMS_VS_RTN_ACTIVE_POWER_RESERVE</v>
          </cell>
          <cell r="E158" t="b">
            <v>0</v>
          </cell>
          <cell r="F158" t="str">
            <v>A reserva de energia do valor estimado é maior que {0} {1}.</v>
          </cell>
          <cell r="G158" t="str"/>
          <cell r="H158">
            <v>0</v>
          </cell>
          <cell r="I158">
            <v>0</v>
          </cell>
          <cell r="J158" t="str">
            <v>ApplicationAlarm</v>
          </cell>
          <cell r="K158" t="str">
            <v>Severidade 12</v>
          </cell>
          <cell r="L158" t="str">
            <v>Severidade 16</v>
          </cell>
          <cell r="M158" t="b">
            <v>0</v>
          </cell>
        </row>
        <row r="159">
          <cell r="A159" t="str">
            <v>EMS active power reserve for base case below limit</v>
          </cell>
          <cell r="B159" t="str"/>
          <cell r="C159" t="str"/>
          <cell r="D159" t="str">
            <v>EMS_VS_ACTIVE_POWER_RESERVE</v>
          </cell>
          <cell r="E159" t="b">
            <v>0</v>
          </cell>
          <cell r="F159" t="str">
            <v>O caso base do VS possui nível de gravidade {0}.</v>
          </cell>
          <cell r="G159" t="str"/>
          <cell r="H159">
            <v>0</v>
          </cell>
          <cell r="I159">
            <v>0</v>
          </cell>
          <cell r="J159" t="str">
            <v>ApplicationAlarm</v>
          </cell>
          <cell r="K159" t="str">
            <v>Severidade 12</v>
          </cell>
          <cell r="L159" t="str">
            <v>Severidade 16</v>
          </cell>
          <cell r="M159" t="b">
            <v>0</v>
          </cell>
        </row>
        <row r="160">
          <cell r="A160" t="str">
            <v>EMS active power reserve for outages above limit</v>
          </cell>
          <cell r="B160" t="str"/>
          <cell r="C160" t="str"/>
          <cell r="D160" t="str">
            <v>EMS_CFS_RTN_VS_OUTAGE</v>
          </cell>
          <cell r="E160" t="b">
            <v>0</v>
          </cell>
          <cell r="F160" t="str">
            <v>A reserva de energia do valor estimado para interrupções é maior que {0} {1}.</v>
          </cell>
          <cell r="G160" t="str"/>
          <cell r="H160">
            <v>0</v>
          </cell>
          <cell r="I160">
            <v>0</v>
          </cell>
          <cell r="J160" t="str">
            <v>ApplicationAlarm</v>
          </cell>
          <cell r="K160" t="str">
            <v>Severidade 14</v>
          </cell>
          <cell r="L160" t="str">
            <v>Severidade 16</v>
          </cell>
          <cell r="M160" t="b">
            <v>0</v>
          </cell>
        </row>
        <row r="161">
          <cell r="A161" t="str">
            <v>EMS active power reserve for outages below limit</v>
          </cell>
          <cell r="B161" t="str"/>
          <cell r="C161" t="str"/>
          <cell r="D161" t="str">
            <v>EMS_CFS_VS_OUTAGE</v>
          </cell>
          <cell r="E161" t="b">
            <v>0</v>
          </cell>
          <cell r="F161" t="str">
            <v>As interrupções do VS têm nível de gravidade {0}.</v>
          </cell>
          <cell r="G161" t="str"/>
          <cell r="H161">
            <v>0</v>
          </cell>
          <cell r="I161">
            <v>0</v>
          </cell>
          <cell r="J161" t="str">
            <v>ApplicationAlarm</v>
          </cell>
          <cell r="K161" t="str">
            <v>Severidade 14</v>
          </cell>
          <cell r="L161" t="str">
            <v>Severidade 16</v>
          </cell>
          <cell r="M161" t="b">
            <v>0</v>
          </cell>
        </row>
        <row r="162">
          <cell r="A162" t="str">
            <v>EMS BC checking</v>
          </cell>
          <cell r="B162" t="str"/>
          <cell r="C162" t="str"/>
          <cell r="D162" t="str">
            <v>EMS_CFS_BC_CHECKING</v>
          </cell>
          <cell r="E162" t="b">
            <v>0</v>
          </cell>
          <cell r="F162" t="str">
            <v>A capacidade do dispositivo de comutação é insuficiente.</v>
          </cell>
          <cell r="G162" t="str"/>
          <cell r="H162">
            <v>0</v>
          </cell>
          <cell r="I162">
            <v>0</v>
          </cell>
          <cell r="J162" t="str">
            <v>ApplicationAlarm</v>
          </cell>
          <cell r="K162" t="str">
            <v>Severidade 12</v>
          </cell>
          <cell r="L162" t="str">
            <v>Severidade 16</v>
          </cell>
          <cell r="M162" t="b">
            <v>0</v>
          </cell>
        </row>
        <row r="163">
          <cell r="A163" t="str">
            <v>EMS BC checking group</v>
          </cell>
          <cell r="B163" t="str"/>
          <cell r="C163" t="str"/>
          <cell r="D163" t="str">
            <v>EMS_CFS_BC_CHECKING_GROUP</v>
          </cell>
          <cell r="E163" t="b">
            <v>0</v>
          </cell>
          <cell r="F163" t="str">
            <v>O número de alarmes de BC é maior que o número máximo de alarmes especificado.</v>
          </cell>
          <cell r="G163" t="str"/>
          <cell r="H163">
            <v>0</v>
          </cell>
          <cell r="I163">
            <v>0</v>
          </cell>
          <cell r="J163" t="str">
            <v>ApplicationAlarm</v>
          </cell>
          <cell r="K163" t="str">
            <v>Severidade 12</v>
          </cell>
          <cell r="L163" t="str">
            <v>Severidade 16</v>
          </cell>
          <cell r="M163" t="b">
            <v>0</v>
          </cell>
        </row>
        <row r="164">
          <cell r="A164" t="str">
            <v>EMS BC checking returned to normal</v>
          </cell>
          <cell r="B164" t="str"/>
          <cell r="C164" t="str"/>
          <cell r="D164" t="str">
            <v>EMS_CFS_RTN_BC_CHECKING</v>
          </cell>
          <cell r="E164" t="b">
            <v>0</v>
          </cell>
          <cell r="F164" t="str">
            <v>A capacidade do dispositivo de comutação é suficiente.</v>
          </cell>
          <cell r="G164" t="str"/>
          <cell r="H164">
            <v>0</v>
          </cell>
          <cell r="I164">
            <v>0</v>
          </cell>
          <cell r="J164" t="str">
            <v>ApplicationAlarm</v>
          </cell>
          <cell r="K164" t="str">
            <v>Severidade 12</v>
          </cell>
          <cell r="L164" t="str">
            <v>Severidade 16</v>
          </cell>
          <cell r="M164" t="b">
            <v>0</v>
          </cell>
        </row>
        <row r="165">
          <cell r="A165" t="str">
            <v>EMS CA outage above limit</v>
          </cell>
          <cell r="B165" t="str"/>
          <cell r="C165" t="str"/>
          <cell r="D165" t="str">
            <v>EMS_CFS_CA_OUTAGE</v>
          </cell>
          <cell r="E165" t="b">
            <v>0</v>
          </cell>
          <cell r="F165" t="str">
            <v>CO [{0}, {1}] possui nível de gravidade {2}.</v>
          </cell>
          <cell r="G165" t="str"/>
          <cell r="H165">
            <v>0</v>
          </cell>
          <cell r="I165">
            <v>0</v>
          </cell>
          <cell r="J165" t="str">
            <v>ApplicationAlarm</v>
          </cell>
          <cell r="K165" t="str">
            <v>Severidade 10</v>
          </cell>
          <cell r="L165" t="str">
            <v>Severidade 16</v>
          </cell>
          <cell r="M165" t="b">
            <v>0</v>
          </cell>
        </row>
        <row r="166">
          <cell r="A166" t="str">
            <v>EMS CA outage group above limits</v>
          </cell>
          <cell r="B166" t="str"/>
          <cell r="C166" t="str"/>
          <cell r="D166" t="str">
            <v>EMS_CFS_CA_OUTAGE_GROUP</v>
          </cell>
          <cell r="E166" t="b">
            <v>0</v>
          </cell>
          <cell r="F166" t="str">
            <v>O perfil da análise de contigência {0} possui {1} interrupções.</v>
          </cell>
          <cell r="G166" t="str"/>
          <cell r="H166">
            <v>0</v>
          </cell>
          <cell r="I166">
            <v>0</v>
          </cell>
          <cell r="J166" t="str">
            <v>ApplicationAlarm</v>
          </cell>
          <cell r="K166" t="str">
            <v>Severidade 10</v>
          </cell>
          <cell r="L166" t="str">
            <v>Severidade 16</v>
          </cell>
          <cell r="M166" t="b">
            <v>0</v>
          </cell>
        </row>
        <row r="167">
          <cell r="A167" t="str">
            <v>EMS CA outage group within limits</v>
          </cell>
          <cell r="B167" t="str"/>
          <cell r="C167" t="str"/>
          <cell r="D167" t="str">
            <v>EMS_CFS_RTN_CA_OUTAGE_GROUP</v>
          </cell>
          <cell r="E167" t="b">
            <v>0</v>
          </cell>
          <cell r="F167" t="str">
            <v>O perfil da CA {0} não possui interrupções críticas.</v>
          </cell>
          <cell r="G167" t="str"/>
          <cell r="H167">
            <v>0</v>
          </cell>
          <cell r="I167">
            <v>0</v>
          </cell>
          <cell r="J167" t="str">
            <v>ApplicationAlarm</v>
          </cell>
          <cell r="K167" t="str">
            <v>Severidade 10</v>
          </cell>
          <cell r="L167" t="str">
            <v>Severidade 16</v>
          </cell>
          <cell r="M167" t="b">
            <v>0</v>
          </cell>
        </row>
        <row r="168">
          <cell r="A168" t="str">
            <v>EMS CA outage within limits</v>
          </cell>
          <cell r="B168" t="str"/>
          <cell r="C168" t="str"/>
          <cell r="D168" t="str">
            <v>EMS_CFS_RTN_CA_OUTAGE</v>
          </cell>
          <cell r="E168" t="b">
            <v>0</v>
          </cell>
          <cell r="F168" t="str">
            <v>CO [{0}, {1}] tem nível de gravidade bom.</v>
          </cell>
          <cell r="G168" t="str"/>
          <cell r="H168">
            <v>0</v>
          </cell>
          <cell r="I168">
            <v>0</v>
          </cell>
          <cell r="J168" t="str">
            <v>ApplicationAlarm</v>
          </cell>
          <cell r="K168" t="str">
            <v>Severidade 10</v>
          </cell>
          <cell r="L168" t="str">
            <v>Severidade 16</v>
          </cell>
          <cell r="M168" t="b">
            <v>0</v>
          </cell>
        </row>
        <row r="169">
          <cell r="A169" t="str">
            <v>EMS overvoltage aggregated returned to normal</v>
          </cell>
          <cell r="B169" t="str"/>
          <cell r="C169" t="str"/>
          <cell r="D169" t="str">
            <v>EMS_CFS_RTN_OVERVOLTAGE</v>
          </cell>
          <cell r="E169" t="b">
            <v>0</v>
          </cell>
          <cell r="F169" t="str">
            <v>Tensão do nó do barramento dentro dos limites.</v>
          </cell>
          <cell r="G169" t="str"/>
          <cell r="H169">
            <v>0</v>
          </cell>
          <cell r="I169">
            <v>0</v>
          </cell>
          <cell r="J169" t="str">
            <v>ApplicationAlarm</v>
          </cell>
          <cell r="K169" t="str">
            <v>Severidade 10</v>
          </cell>
          <cell r="L169" t="str">
            <v>Severidade 16</v>
          </cell>
          <cell r="M169" t="b">
            <v>0</v>
          </cell>
        </row>
        <row r="170">
          <cell r="A170" t="str">
            <v>EMS SE active power of energy storage</v>
          </cell>
          <cell r="B170" t="str"/>
          <cell r="C170" t="str"/>
          <cell r="D170" t="str">
            <v>EMS_CFS_ENERGY_STORAGE_P</v>
          </cell>
          <cell r="E170" t="b">
            <v>0</v>
          </cell>
          <cell r="F170" t="str">
            <v>A potência ativa do armazenamento de energia está fora do limite de {0}</v>
          </cell>
          <cell r="G170" t="str"/>
          <cell r="H170">
            <v>0</v>
          </cell>
          <cell r="I170">
            <v>0</v>
          </cell>
          <cell r="J170" t="str">
            <v>ApplicationAlarm</v>
          </cell>
          <cell r="K170" t="str">
            <v>Severidade 12</v>
          </cell>
          <cell r="L170" t="str">
            <v>Severidade 16</v>
          </cell>
          <cell r="M170" t="b">
            <v>0</v>
          </cell>
        </row>
        <row r="171">
          <cell r="A171" t="str">
            <v>EMS SE active power of energy storage returned to normal</v>
          </cell>
          <cell r="B171" t="str"/>
          <cell r="C171" t="str"/>
          <cell r="D171" t="str">
            <v>EMS_CFS_RTN_ENERGY_STORAGE_P</v>
          </cell>
          <cell r="E171" t="b">
            <v>0</v>
          </cell>
          <cell r="F171" t="str">
            <v>A potência ativa do armazenamento de energia está dentro dos limites</v>
          </cell>
          <cell r="G171" t="str"/>
          <cell r="H171">
            <v>0</v>
          </cell>
          <cell r="I171">
            <v>0</v>
          </cell>
          <cell r="J171" t="str">
            <v>ApplicationAlarm</v>
          </cell>
          <cell r="K171" t="str">
            <v>Severidade 12</v>
          </cell>
          <cell r="L171" t="str">
            <v>Severidade 16</v>
          </cell>
          <cell r="M171" t="b">
            <v>0</v>
          </cell>
        </row>
        <row r="172">
          <cell r="A172" t="str">
            <v>EMS SE bad measurement</v>
          </cell>
          <cell r="B172" t="str"/>
          <cell r="C172" t="str"/>
          <cell r="D172" t="str">
            <v>EMS_CFS_BAD_MEASUREMENT</v>
          </cell>
          <cell r="E172" t="b">
            <v>0</v>
          </cell>
          <cell r="F172" t="str">
            <v>A medição tem qualidade BAD SE e é usada no cálculo</v>
          </cell>
          <cell r="G172" t="str"/>
          <cell r="H172">
            <v>0</v>
          </cell>
          <cell r="I172">
            <v>0</v>
          </cell>
          <cell r="J172" t="str">
            <v>ApplicationAlarm</v>
          </cell>
          <cell r="K172" t="str">
            <v>Severidade 12</v>
          </cell>
          <cell r="L172" t="str">
            <v>Severidade 16</v>
          </cell>
          <cell r="M172" t="b">
            <v>0</v>
          </cell>
        </row>
        <row r="173">
          <cell r="A173" t="str">
            <v>EMS SE bad measurement group</v>
          </cell>
          <cell r="B173" t="str"/>
          <cell r="C173" t="str"/>
          <cell r="D173" t="str">
            <v>EMS_CFS_BAD_MEASUREMENT_GROUP</v>
          </cell>
          <cell r="E173" t="b">
            <v>0</v>
          </cell>
          <cell r="F173" t="str">
            <v>O número de medições incorretas é maior que o número máximo especificado de alarme</v>
          </cell>
          <cell r="G173" t="str"/>
          <cell r="H173">
            <v>0</v>
          </cell>
          <cell r="I173">
            <v>0</v>
          </cell>
          <cell r="J173" t="str">
            <v>ApplicationAlarm</v>
          </cell>
          <cell r="K173" t="str">
            <v>Severidade 12</v>
          </cell>
          <cell r="L173" t="str">
            <v>Severidade 16</v>
          </cell>
          <cell r="M173" t="b">
            <v>0</v>
          </cell>
        </row>
        <row r="174">
          <cell r="A174" t="str">
            <v>EMS SE bad measurement group obsolete</v>
          </cell>
          <cell r="B174" t="str"/>
          <cell r="C174" t="str"/>
          <cell r="D174" t="str">
            <v>EMS_CFS_BAD_MEASUREMENT_GROUP_OBSOLETE</v>
          </cell>
          <cell r="E174" t="b">
            <v>0</v>
          </cell>
          <cell r="F174" t="str">
            <v>O número de medições incorretas agora é menor que o número máximo especificado de alarme</v>
          </cell>
          <cell r="G174" t="str"/>
          <cell r="H174">
            <v>0</v>
          </cell>
          <cell r="I174">
            <v>0</v>
          </cell>
          <cell r="J174" t="str">
            <v>ApplicationAlarm</v>
          </cell>
          <cell r="K174" t="str">
            <v>Severidade 12</v>
          </cell>
          <cell r="L174" t="str">
            <v>Severidade 16</v>
          </cell>
          <cell r="M174" t="b">
            <v>0</v>
          </cell>
        </row>
        <row r="175">
          <cell r="A175" t="str">
            <v>EMS SE bad measurement returned to normal according to SE quality</v>
          </cell>
          <cell r="B175" t="str"/>
          <cell r="C175" t="str"/>
          <cell r="D175" t="str">
            <v>EMS_CFS_RTN_SE_QUALITY_BAD_MEASUREMENT</v>
          </cell>
          <cell r="E175" t="b">
            <v>0</v>
          </cell>
          <cell r="F175" t="str">
            <v>A medição não tem qualidade BAD SE</v>
          </cell>
          <cell r="G175" t="str"/>
          <cell r="H175">
            <v>0</v>
          </cell>
          <cell r="I175">
            <v>0</v>
          </cell>
          <cell r="J175" t="str">
            <v>ApplicationAlarm</v>
          </cell>
          <cell r="K175" t="str">
            <v>Severidade 12</v>
          </cell>
          <cell r="L175" t="str">
            <v>Severidade 16</v>
          </cell>
          <cell r="M175" t="b">
            <v>0</v>
          </cell>
        </row>
        <row r="176">
          <cell r="A176" t="str">
            <v>EMS SE bad measurement returned to normal according to trust factor</v>
          </cell>
          <cell r="B176" t="str"/>
          <cell r="C176" t="str"/>
          <cell r="D176" t="str">
            <v>EMS_CFS_RTN_TRUST_FACTOR_BAD_MEASUREMENT</v>
          </cell>
          <cell r="E176" t="b">
            <v>0</v>
          </cell>
          <cell r="F176" t="str">
            <v>A medição tem qualidade BAD SE, mas não é usada no cálculo</v>
          </cell>
          <cell r="G176" t="str"/>
          <cell r="H176">
            <v>0</v>
          </cell>
          <cell r="I176">
            <v>0</v>
          </cell>
          <cell r="J176" t="str">
            <v>ApplicationAlarm</v>
          </cell>
          <cell r="K176" t="str">
            <v>Severidade 12</v>
          </cell>
          <cell r="L176" t="str">
            <v>Severidade 16</v>
          </cell>
          <cell r="M176" t="b">
            <v>0</v>
          </cell>
        </row>
        <row r="177">
          <cell r="A177" t="str">
            <v>EMS SE bus voltage violations group</v>
          </cell>
          <cell r="B177" t="str"/>
          <cell r="C177" t="str"/>
          <cell r="D177" t="str">
            <v>EMS_CFS_SE_BUS_VOLTAGE_GROUP</v>
          </cell>
          <cell r="E177" t="b">
            <v>0</v>
          </cell>
          <cell r="F177" t="str">
            <v>O número de violações da tensão do barramento é maior que o número máximo especificado de alarme.</v>
          </cell>
          <cell r="G177" t="str"/>
          <cell r="H177">
            <v>0</v>
          </cell>
          <cell r="I177">
            <v>0</v>
          </cell>
          <cell r="J177" t="str">
            <v>ApplicationAlarm</v>
          </cell>
          <cell r="K177" t="str">
            <v>Severidade 10</v>
          </cell>
          <cell r="L177" t="str">
            <v>Severidade 16</v>
          </cell>
          <cell r="M177" t="b">
            <v>0</v>
          </cell>
        </row>
        <row r="178">
          <cell r="A178" t="str">
            <v>EMS SE energy storage group</v>
          </cell>
          <cell r="B178" t="str"/>
          <cell r="C178" t="str"/>
          <cell r="D178" t="str">
            <v>EMS_CFS_ENERGY_STORAGE_GROUP</v>
          </cell>
          <cell r="E178" t="b">
            <v>0</v>
          </cell>
          <cell r="F178" t="str">
            <v>O número de armazenamentos de energia violados é maior que o número máximo especificado de alarme</v>
          </cell>
          <cell r="G178" t="str"/>
          <cell r="H178">
            <v>0</v>
          </cell>
          <cell r="I178">
            <v>0</v>
          </cell>
          <cell r="J178" t="str">
            <v>ApplicationAlarm</v>
          </cell>
          <cell r="K178" t="str">
            <v>Severidade 12</v>
          </cell>
          <cell r="L178" t="str">
            <v>Severidade 16</v>
          </cell>
          <cell r="M178" t="b">
            <v>0</v>
          </cell>
        </row>
        <row r="179">
          <cell r="A179" t="str">
            <v>EMS SE generator violations group</v>
          </cell>
          <cell r="B179" t="str"/>
          <cell r="C179" t="str"/>
          <cell r="D179" t="str">
            <v>EMS_CFS_SE_GENERATOR_GROUP</v>
          </cell>
          <cell r="E179" t="b">
            <v>0</v>
          </cell>
          <cell r="F179" t="str">
            <v>O número de violações do gerador é maior que o número máximo especificado de alarme.</v>
          </cell>
          <cell r="G179" t="str"/>
          <cell r="H179">
            <v>0</v>
          </cell>
          <cell r="I179">
            <v>0</v>
          </cell>
          <cell r="J179" t="str">
            <v>ApplicationAlarm</v>
          </cell>
          <cell r="K179" t="str">
            <v>Severidade 10</v>
          </cell>
          <cell r="L179" t="str">
            <v>Severidade 16</v>
          </cell>
          <cell r="M179" t="b">
            <v>0</v>
          </cell>
        </row>
        <row r="180">
          <cell r="A180" t="str">
            <v>EMS SE interchange schedule</v>
          </cell>
          <cell r="B180" t="str"/>
          <cell r="C180" t="str"/>
          <cell r="D180" t="str">
            <v>EMS_CFS_INTERCHANGE_SCHEDULE</v>
          </cell>
          <cell r="E180" t="b">
            <v>0</v>
          </cell>
          <cell r="F180" t="str">
            <v>Troque a energia fora do limite {0}.</v>
          </cell>
          <cell r="G180" t="str"/>
          <cell r="H180">
            <v>0</v>
          </cell>
          <cell r="I180">
            <v>0</v>
          </cell>
          <cell r="J180" t="str">
            <v>ApplicationAlarm</v>
          </cell>
          <cell r="K180" t="str">
            <v>Severidade 12</v>
          </cell>
          <cell r="L180" t="str">
            <v>Severidade 16</v>
          </cell>
          <cell r="M180" t="b">
            <v>0</v>
          </cell>
        </row>
        <row r="181">
          <cell r="A181" t="str">
            <v>EMS SE interchange schedule group</v>
          </cell>
          <cell r="B181" t="str"/>
          <cell r="C181" t="str"/>
          <cell r="D181" t="str">
            <v>EMS_CFS_INTERCHANGE_SCHEDULE_GROUP</v>
          </cell>
          <cell r="E181" t="b">
            <v>0</v>
          </cell>
          <cell r="F181" t="str">
            <v>O número de agendas de intercâmbio violadas é maior que o número máximo especificado de alarme</v>
          </cell>
          <cell r="G181" t="str"/>
          <cell r="H181">
            <v>0</v>
          </cell>
          <cell r="I181">
            <v>0</v>
          </cell>
          <cell r="J181" t="str">
            <v>ApplicationAlarm</v>
          </cell>
          <cell r="K181" t="str">
            <v>Severidade 12</v>
          </cell>
          <cell r="L181" t="str">
            <v>Severidade 16</v>
          </cell>
          <cell r="M181" t="b">
            <v>0</v>
          </cell>
        </row>
        <row r="182">
          <cell r="A182" t="str">
            <v>EMS SE interchange schedule group obsolete</v>
          </cell>
          <cell r="B182" t="str"/>
          <cell r="C182" t="str"/>
          <cell r="D182" t="str">
            <v>EMS_CFS_INTERCHANGE_SCHEDULE_GROUP_OBSOLETE</v>
          </cell>
          <cell r="E182" t="b">
            <v>0</v>
          </cell>
          <cell r="F182" t="str">
            <v>O número de agendas de intercâmbio violadas agora é menor que o número máximo especificado de alarme</v>
          </cell>
          <cell r="G182" t="str"/>
          <cell r="H182">
            <v>0</v>
          </cell>
          <cell r="I182">
            <v>0</v>
          </cell>
          <cell r="J182" t="str">
            <v>ApplicationAlarm</v>
          </cell>
          <cell r="K182" t="str">
            <v>Severidade 12</v>
          </cell>
          <cell r="L182" t="str">
            <v>Severidade 16</v>
          </cell>
          <cell r="M182" t="b">
            <v>0</v>
          </cell>
        </row>
        <row r="183">
          <cell r="A183" t="str">
            <v>EMS SE interchange schedule returned to normal</v>
          </cell>
          <cell r="B183" t="str"/>
          <cell r="C183" t="str"/>
          <cell r="D183" t="str">
            <v>EMS_CFS_RTN_INTERCHANGE_CONTRACT</v>
          </cell>
          <cell r="E183" t="b">
            <v>0</v>
          </cell>
          <cell r="F183" t="str">
            <v>O poder do intercâmbio está dentro dos limites</v>
          </cell>
          <cell r="G183" t="str"/>
          <cell r="H183">
            <v>0</v>
          </cell>
          <cell r="I183">
            <v>0</v>
          </cell>
          <cell r="J183" t="str">
            <v>ApplicationAlarm</v>
          </cell>
          <cell r="K183" t="str">
            <v>Severidade 12</v>
          </cell>
          <cell r="L183" t="str">
            <v>Severidade 16</v>
          </cell>
          <cell r="M183" t="b">
            <v>0</v>
          </cell>
        </row>
        <row r="184">
          <cell r="A184" t="str">
            <v>EMS SE net position</v>
          </cell>
          <cell r="B184" t="str"/>
          <cell r="C184" t="str"/>
          <cell r="D184" t="str">
            <v>EMS_CFS_NET_POSITION</v>
          </cell>
          <cell r="E184" t="b">
            <v>0</v>
          </cell>
          <cell r="F184" t="str">
            <v>A posição líquida está fora do limite de {0}</v>
          </cell>
          <cell r="G184" t="str"/>
          <cell r="H184">
            <v>0</v>
          </cell>
          <cell r="I184">
            <v>0</v>
          </cell>
          <cell r="J184" t="str">
            <v>ApplicationAlarm</v>
          </cell>
          <cell r="K184" t="str">
            <v>Severidade 12</v>
          </cell>
          <cell r="L184" t="str">
            <v>Severidade 16</v>
          </cell>
          <cell r="M184" t="b">
            <v>0</v>
          </cell>
        </row>
        <row r="185">
          <cell r="A185" t="str">
            <v>EMS SE net position returned to normal</v>
          </cell>
          <cell r="B185" t="str"/>
          <cell r="C185" t="str"/>
          <cell r="D185" t="str">
            <v>EMS_CFS_RTN_NET_POSITION</v>
          </cell>
          <cell r="E185" t="b">
            <v>0</v>
          </cell>
          <cell r="F185" t="str">
            <v>A posição líquida está dentro dos limites</v>
          </cell>
          <cell r="G185" t="str"/>
          <cell r="H185">
            <v>0</v>
          </cell>
          <cell r="I185">
            <v>0</v>
          </cell>
          <cell r="J185" t="str">
            <v>ApplicationAlarm</v>
          </cell>
          <cell r="K185" t="str">
            <v>Severidade 12</v>
          </cell>
          <cell r="L185" t="str">
            <v>Severidade 16</v>
          </cell>
          <cell r="M185" t="b">
            <v>0</v>
          </cell>
        </row>
        <row r="186">
          <cell r="A186" t="str">
            <v>EMS SE power factor of energy storage</v>
          </cell>
          <cell r="B186" t="str"/>
          <cell r="C186" t="str"/>
          <cell r="D186" t="str">
            <v>EMS_CFS_ENERGY_STORAGE_PF</v>
          </cell>
          <cell r="E186" t="b">
            <v>0</v>
          </cell>
          <cell r="F186" t="str">
            <v>O fator de potência do armazenamento de energia está fora do limite de {0}</v>
          </cell>
          <cell r="G186" t="str"/>
          <cell r="H186">
            <v>0</v>
          </cell>
          <cell r="I186">
            <v>0</v>
          </cell>
          <cell r="J186" t="str">
            <v>ApplicationAlarm</v>
          </cell>
          <cell r="K186" t="str">
            <v>Severidade 12</v>
          </cell>
          <cell r="L186" t="str">
            <v>Severidade 16</v>
          </cell>
          <cell r="M186" t="b">
            <v>0</v>
          </cell>
        </row>
        <row r="187">
          <cell r="A187" t="str">
            <v>EMS SE power factor of energy storage returned to normal</v>
          </cell>
          <cell r="B187" t="str"/>
          <cell r="C187" t="str"/>
          <cell r="D187" t="str">
            <v>EMS_CFS_RTN_ENERGY_STORAGE_PF</v>
          </cell>
          <cell r="E187" t="b">
            <v>0</v>
          </cell>
          <cell r="F187" t="str">
            <v>O fator de potência do armazenamento de energia está dentro dos limites</v>
          </cell>
          <cell r="G187" t="str"/>
          <cell r="H187">
            <v>0</v>
          </cell>
          <cell r="I187">
            <v>0</v>
          </cell>
          <cell r="J187" t="str">
            <v>ApplicationAlarm</v>
          </cell>
          <cell r="K187" t="str">
            <v>Severidade 12</v>
          </cell>
          <cell r="L187" t="str">
            <v>Severidade 16</v>
          </cell>
          <cell r="M187" t="b">
            <v>0</v>
          </cell>
        </row>
        <row r="188">
          <cell r="A188" t="str">
            <v>EMS SE reactive power of energy storage</v>
          </cell>
          <cell r="B188" t="str"/>
          <cell r="C188" t="str"/>
          <cell r="D188" t="str">
            <v>EMS_CFS_ENERGY_STORAGE_Q</v>
          </cell>
          <cell r="E188" t="b">
            <v>0</v>
          </cell>
          <cell r="F188" t="str">
            <v>O poder reativo do armazenamento de energia está fora do limite de {0}</v>
          </cell>
          <cell r="G188" t="str"/>
          <cell r="H188">
            <v>0</v>
          </cell>
          <cell r="I188">
            <v>0</v>
          </cell>
          <cell r="J188" t="str">
            <v>ApplicationAlarm</v>
          </cell>
          <cell r="K188" t="str">
            <v>Severidade 12</v>
          </cell>
          <cell r="L188" t="str">
            <v>Severidade 16</v>
          </cell>
          <cell r="M188" t="b">
            <v>0</v>
          </cell>
        </row>
        <row r="189">
          <cell r="A189" t="str">
            <v>EMS SE reactive power of energy storage returned to normal</v>
          </cell>
          <cell r="B189" t="str"/>
          <cell r="C189" t="str"/>
          <cell r="D189" t="str">
            <v>EMS_CFS_RTN_ENERGY_STORAGE_Q</v>
          </cell>
          <cell r="E189" t="b">
            <v>0</v>
          </cell>
          <cell r="F189" t="str">
            <v>O poder reativo do armazenamento de energia está dentro dos limites</v>
          </cell>
          <cell r="G189" t="str"/>
          <cell r="H189">
            <v>0</v>
          </cell>
          <cell r="I189">
            <v>0</v>
          </cell>
          <cell r="J189" t="str">
            <v>ApplicationAlarm</v>
          </cell>
          <cell r="K189" t="str">
            <v>Severidade 12</v>
          </cell>
          <cell r="L189" t="str">
            <v>Severidade 16</v>
          </cell>
          <cell r="M189" t="b">
            <v>0</v>
          </cell>
        </row>
        <row r="190">
          <cell r="A190" t="str">
            <v>EMS SE section violations group</v>
          </cell>
          <cell r="B190" t="str"/>
          <cell r="C190" t="str"/>
          <cell r="D190" t="str">
            <v>EMS_CFS_SE_SECTION_GROUP</v>
          </cell>
          <cell r="E190" t="b">
            <v>0</v>
          </cell>
          <cell r="F190" t="str">
            <v>O número de violações da seção é maior que o número máximo especificado de alarme.</v>
          </cell>
          <cell r="G190" t="str"/>
          <cell r="H190">
            <v>0</v>
          </cell>
          <cell r="I190">
            <v>0</v>
          </cell>
          <cell r="J190" t="str">
            <v>ApplicationAlarm</v>
          </cell>
          <cell r="K190" t="str">
            <v>Severidade 12</v>
          </cell>
          <cell r="L190" t="str">
            <v>Severidade 16</v>
          </cell>
          <cell r="M190" t="b">
            <v>0</v>
          </cell>
        </row>
        <row r="191">
          <cell r="A191" t="str">
            <v>EMS SE state of charge of energy storage</v>
          </cell>
          <cell r="B191" t="str"/>
          <cell r="C191" t="str"/>
          <cell r="D191" t="str">
            <v>EMS_CFS_ENERGY_STORAGE_SOC</v>
          </cell>
          <cell r="E191" t="b">
            <v>0</v>
          </cell>
          <cell r="F191" t="str">
            <v>O estado da carga do armazenamento de energia está fora do limite de {0}</v>
          </cell>
          <cell r="G191" t="str"/>
          <cell r="H191">
            <v>0</v>
          </cell>
          <cell r="I191">
            <v>0</v>
          </cell>
          <cell r="J191" t="str">
            <v>ApplicationAlarm</v>
          </cell>
          <cell r="K191" t="str">
            <v>Severidade 12</v>
          </cell>
          <cell r="L191" t="str">
            <v>Severidade 16</v>
          </cell>
          <cell r="M191" t="b">
            <v>0</v>
          </cell>
        </row>
        <row r="192">
          <cell r="A192" t="str">
            <v>EMS SE state of charge of energy storage returned to normal</v>
          </cell>
          <cell r="B192" t="str"/>
          <cell r="C192" t="str"/>
          <cell r="D192" t="str">
            <v>EMS_CFS_RTN_ENERGY_STORAGE_SOC</v>
          </cell>
          <cell r="E192" t="b">
            <v>0</v>
          </cell>
          <cell r="F192" t="str">
            <v>O estado da carga do armazenamento de energia está dentro dos limites</v>
          </cell>
          <cell r="G192" t="str"/>
          <cell r="H192">
            <v>0</v>
          </cell>
          <cell r="I192">
            <v>0</v>
          </cell>
          <cell r="J192" t="str">
            <v>ApplicationAlarm</v>
          </cell>
          <cell r="K192" t="str">
            <v>Severidade 12</v>
          </cell>
          <cell r="L192" t="str">
            <v>Severidade 16</v>
          </cell>
          <cell r="M192" t="b">
            <v>0</v>
          </cell>
        </row>
        <row r="193">
          <cell r="A193" t="str">
            <v>EMS SE suspicious switch device status</v>
          </cell>
          <cell r="B193" t="str"/>
          <cell r="C193" t="str"/>
          <cell r="D193" t="str">
            <v>EMS_CFS_SWITCH_DEVICE_STATUS</v>
          </cell>
          <cell r="E193" t="b">
            <v>0</v>
          </cell>
          <cell r="F193" t="str">
            <v>Trocar dispositivo com status real suspeito</v>
          </cell>
          <cell r="G193" t="str"/>
          <cell r="H193">
            <v>0</v>
          </cell>
          <cell r="I193">
            <v>0</v>
          </cell>
          <cell r="J193" t="str">
            <v>ApplicationAlarm</v>
          </cell>
          <cell r="K193" t="str">
            <v>Severidade 12</v>
          </cell>
          <cell r="L193" t="str">
            <v>Severidade 16</v>
          </cell>
          <cell r="M193" t="b">
            <v>0</v>
          </cell>
        </row>
        <row r="194">
          <cell r="A194" t="str">
            <v>EMS SE suspicious switch device status group</v>
          </cell>
          <cell r="B194" t="str"/>
          <cell r="C194" t="str"/>
          <cell r="D194" t="str">
            <v>EMS_CFS_SWITCH_DEVICE_STATUS_GROUP</v>
          </cell>
          <cell r="E194" t="b">
            <v>0</v>
          </cell>
          <cell r="F194" t="str">
            <v>O número de status de dispositivo de comutação suspeito é maior que o número máximo especificado de alarme</v>
          </cell>
          <cell r="G194" t="str"/>
          <cell r="H194">
            <v>0</v>
          </cell>
          <cell r="I194">
            <v>0</v>
          </cell>
          <cell r="J194" t="str">
            <v>ApplicationAlarm</v>
          </cell>
          <cell r="K194" t="str">
            <v>Severidade 12</v>
          </cell>
          <cell r="L194" t="str">
            <v>Severidade 16</v>
          </cell>
          <cell r="M194" t="b">
            <v>0</v>
          </cell>
        </row>
        <row r="195">
          <cell r="A195" t="str">
            <v>EMS SE suspicious switch device status group obsolete</v>
          </cell>
          <cell r="B195" t="str"/>
          <cell r="C195" t="str"/>
          <cell r="D195" t="str">
            <v>EMS_CFS_SWITCH_DEVICE_STATUS_GROUP_OBSOLETE</v>
          </cell>
          <cell r="E195" t="b">
            <v>0</v>
          </cell>
          <cell r="F195" t="str">
            <v>O número de status de dispositivo de comutação suspeito agora é menor que o número máximo especificado de alarme</v>
          </cell>
          <cell r="G195" t="str"/>
          <cell r="H195">
            <v>0</v>
          </cell>
          <cell r="I195">
            <v>0</v>
          </cell>
          <cell r="J195" t="str">
            <v>ApplicationAlarm</v>
          </cell>
          <cell r="K195" t="str">
            <v>Severidade 12</v>
          </cell>
          <cell r="L195" t="str">
            <v>Severidade 16</v>
          </cell>
          <cell r="M195" t="b">
            <v>0</v>
          </cell>
        </row>
        <row r="196">
          <cell r="A196" t="str">
            <v>EMS SE suspicious switch device status returned to normal</v>
          </cell>
          <cell r="B196" t="str"/>
          <cell r="C196" t="str"/>
          <cell r="D196" t="str">
            <v>EMS_CFS_RTN_SWITCH_DEVICE_STATUS</v>
          </cell>
          <cell r="E196" t="b">
            <v>0</v>
          </cell>
          <cell r="F196" t="str">
            <v>Trocar de dispositivo não possui status real suspeito</v>
          </cell>
          <cell r="G196" t="str"/>
          <cell r="H196">
            <v>0</v>
          </cell>
          <cell r="I196">
            <v>0</v>
          </cell>
          <cell r="J196" t="str">
            <v>ApplicationAlarm</v>
          </cell>
          <cell r="K196" t="str">
            <v>Severidade 12</v>
          </cell>
          <cell r="L196" t="str">
            <v>Severidade 16</v>
          </cell>
          <cell r="M196" t="b">
            <v>0</v>
          </cell>
        </row>
        <row r="197">
          <cell r="A197" t="str">
            <v>EMS SE transformer violations group</v>
          </cell>
          <cell r="B197" t="str"/>
          <cell r="C197" t="str"/>
          <cell r="D197" t="str">
            <v>EMS_CFS_SE_TRANSFORMER_GROUP</v>
          </cell>
          <cell r="E197" t="b">
            <v>0</v>
          </cell>
          <cell r="F197" t="str">
            <v>O número de violações do transformador é maior que o número máximo de alarme especificado.</v>
          </cell>
          <cell r="G197" t="str"/>
          <cell r="H197">
            <v>0</v>
          </cell>
          <cell r="I197">
            <v>0</v>
          </cell>
          <cell r="J197" t="str">
            <v>ApplicationAlarm</v>
          </cell>
          <cell r="K197" t="str">
            <v>Severidade 10</v>
          </cell>
          <cell r="L197" t="str">
            <v>Severidade 16</v>
          </cell>
          <cell r="M197" t="b">
            <v>0</v>
          </cell>
        </row>
        <row r="198">
          <cell r="A198" t="str">
            <v>EMS SE voltage of energy storage</v>
          </cell>
          <cell r="B198" t="str"/>
          <cell r="C198" t="str"/>
          <cell r="D198" t="str">
            <v>EMS_CFS_ENERGY_STORAGE_V</v>
          </cell>
          <cell r="E198" t="b">
            <v>0</v>
          </cell>
          <cell r="F198" t="str">
            <v>A tensão do armazenamento de energia está fora do limite de {0}</v>
          </cell>
          <cell r="G198" t="str"/>
          <cell r="H198">
            <v>0</v>
          </cell>
          <cell r="I198">
            <v>0</v>
          </cell>
          <cell r="J198" t="str">
            <v>ApplicationAlarm</v>
          </cell>
          <cell r="K198" t="str">
            <v>Severidade 12</v>
          </cell>
          <cell r="L198" t="str">
            <v>Severidade 16</v>
          </cell>
          <cell r="M198" t="b">
            <v>0</v>
          </cell>
        </row>
        <row r="199">
          <cell r="A199" t="str">
            <v>EMS SE voltage of energy storage returned to normal</v>
          </cell>
          <cell r="B199" t="str"/>
          <cell r="C199" t="str"/>
          <cell r="D199" t="str">
            <v>EMS_CFS_RTN_ENERGY_STORAGE_V</v>
          </cell>
          <cell r="E199" t="b">
            <v>0</v>
          </cell>
          <cell r="F199" t="str">
            <v>A tensão do armazenamento de energia está dentro dos limites</v>
          </cell>
          <cell r="G199" t="str"/>
          <cell r="H199">
            <v>0</v>
          </cell>
          <cell r="I199">
            <v>0</v>
          </cell>
          <cell r="J199" t="str">
            <v>ApplicationAlarm</v>
          </cell>
          <cell r="K199" t="str">
            <v>Severidade 12</v>
          </cell>
          <cell r="L199" t="str">
            <v>Severidade 16</v>
          </cell>
          <cell r="M199" t="b">
            <v>0</v>
          </cell>
        </row>
        <row r="200">
          <cell r="A200" t="str">
            <v>EMS Substation overvoltage aggregated</v>
          </cell>
          <cell r="B200" t="str"/>
          <cell r="C200" t="str"/>
          <cell r="D200" t="str">
            <v>EMS_CFS_OVERVOLTAGE</v>
          </cell>
          <cell r="E200" t="b">
            <v>0</v>
          </cell>
          <cell r="F200" t="str">
            <v>Tensão do nó do barramento acima do limite {0} {1}.</v>
          </cell>
          <cell r="G200" t="str"/>
          <cell r="H200">
            <v>0</v>
          </cell>
          <cell r="I200">
            <v>0</v>
          </cell>
          <cell r="J200" t="str">
            <v>ApplicationAlarm</v>
          </cell>
          <cell r="K200" t="str">
            <v>Severidade 10</v>
          </cell>
          <cell r="L200" t="str">
            <v>Severidade 16</v>
          </cell>
          <cell r="M200" t="b">
            <v>0</v>
          </cell>
        </row>
        <row r="201">
          <cell r="A201" t="str">
            <v>EMS Substation undervoltage aggregated</v>
          </cell>
          <cell r="B201" t="str"/>
          <cell r="C201" t="str"/>
          <cell r="D201" t="str">
            <v>EMS_CFS_UNDERVOLTAGE</v>
          </cell>
          <cell r="E201" t="b">
            <v>0</v>
          </cell>
          <cell r="F201" t="str">
            <v>Tensão do nó do barramento abaixo do limite {0} {1}.</v>
          </cell>
          <cell r="G201" t="str"/>
          <cell r="H201">
            <v>0</v>
          </cell>
          <cell r="I201">
            <v>0</v>
          </cell>
          <cell r="J201" t="str">
            <v>ApplicationAlarm</v>
          </cell>
          <cell r="K201" t="str">
            <v>Severidade 10</v>
          </cell>
          <cell r="L201" t="str">
            <v>Severidade 16</v>
          </cell>
          <cell r="M201" t="b">
            <v>0</v>
          </cell>
        </row>
        <row r="202">
          <cell r="A202" t="str">
            <v>EMS undervoltage aggregated returned to normal</v>
          </cell>
          <cell r="B202" t="str"/>
          <cell r="C202" t="str"/>
          <cell r="D202" t="str">
            <v>EMS_CFS_RTN_UNDERVOLTAGE</v>
          </cell>
          <cell r="E202" t="b">
            <v>0</v>
          </cell>
          <cell r="F202" t="str">
            <v>Tensão do nó do barramento dentro dos limites.</v>
          </cell>
          <cell r="G202" t="str"/>
          <cell r="H202">
            <v>0</v>
          </cell>
          <cell r="I202">
            <v>0</v>
          </cell>
          <cell r="J202" t="str">
            <v>ApplicationAlarm</v>
          </cell>
          <cell r="K202" t="str">
            <v>Severidade 10</v>
          </cell>
          <cell r="L202" t="str">
            <v>Severidade 16</v>
          </cell>
          <cell r="M202" t="b">
            <v>0</v>
          </cell>
        </row>
        <row r="203">
          <cell r="A203" t="str">
            <v>Energized island exists</v>
          </cell>
          <cell r="B203" t="str"/>
          <cell r="C203" t="str"/>
          <cell r="D203" t="str">
            <v>DMS_CFS_ISLAND_ENERGIZED</v>
          </cell>
          <cell r="E203" t="b">
            <v>0</v>
          </cell>
          <cell r="F203" t="str">
            <v>Ilha energizada existe.</v>
          </cell>
          <cell r="G203" t="str"/>
          <cell r="H203">
            <v>0</v>
          </cell>
          <cell r="I203">
            <v>0</v>
          </cell>
          <cell r="J203" t="str">
            <v>ApplicationAlarm</v>
          </cell>
          <cell r="K203" t="str">
            <v>Severidade 10</v>
          </cell>
          <cell r="L203" t="str">
            <v>Severidade 16</v>
          </cell>
          <cell r="M203" t="b">
            <v>0</v>
          </cell>
        </row>
        <row r="204">
          <cell r="A204" t="str">
            <v>Energized island exists returned to normal</v>
          </cell>
          <cell r="B204" t="str"/>
          <cell r="C204" t="str"/>
          <cell r="D204" t="str">
            <v>DMS_CFS_RTN_ISLAND_ENERGIZED</v>
          </cell>
          <cell r="E204" t="b">
            <v>0</v>
          </cell>
          <cell r="F204" t="str">
            <v>Ilha energizada não existe mais.</v>
          </cell>
          <cell r="G204" t="str"/>
          <cell r="H204">
            <v>0</v>
          </cell>
          <cell r="I204">
            <v>0</v>
          </cell>
          <cell r="J204" t="str">
            <v>ApplicationAlarm</v>
          </cell>
          <cell r="K204" t="str">
            <v>Severidade 10</v>
          </cell>
          <cell r="L204" t="str">
            <v>Severidade 16</v>
          </cell>
          <cell r="M204" t="b">
            <v>0</v>
          </cell>
        </row>
        <row r="205">
          <cell r="A205" t="str">
            <v>Energy storage active charging overload</v>
          </cell>
          <cell r="B205" t="str"/>
          <cell r="C205" t="str"/>
          <cell r="D205" t="str">
            <v>DMS_CFS_STORAGE_P_CH_VIOLATION</v>
          </cell>
          <cell r="E205" t="b">
            <v>0</v>
          </cell>
          <cell r="F205" t="str">
            <v>Armazenamento de energia carregando energia ativa acima de {0}.</v>
          </cell>
          <cell r="G205" t="str"/>
          <cell r="H205">
            <v>0</v>
          </cell>
          <cell r="I205">
            <v>0</v>
          </cell>
          <cell r="J205" t="str">
            <v>ApplicationAlarm</v>
          </cell>
          <cell r="K205" t="str">
            <v>Severidade 10</v>
          </cell>
          <cell r="L205" t="str">
            <v>Severidade 16</v>
          </cell>
          <cell r="M205" t="b">
            <v>0</v>
          </cell>
        </row>
        <row r="206">
          <cell r="A206" t="str">
            <v>Energy storage active discharging overload</v>
          </cell>
          <cell r="B206" t="str"/>
          <cell r="C206" t="str"/>
          <cell r="D206" t="str">
            <v>DMS_CFS_STORAGE_P_DISCH_VIOLATION</v>
          </cell>
          <cell r="E206" t="b">
            <v>0</v>
          </cell>
          <cell r="F206" t="str">
            <v>Armazenamento de energia descarregando energia ativa acima de {0}.</v>
          </cell>
          <cell r="G206" t="str"/>
          <cell r="H206">
            <v>0</v>
          </cell>
          <cell r="I206">
            <v>0</v>
          </cell>
          <cell r="J206" t="str">
            <v>ApplicationAlarm</v>
          </cell>
          <cell r="K206" t="str">
            <v>Severidade 10</v>
          </cell>
          <cell r="L206" t="str">
            <v>Severidade 16</v>
          </cell>
          <cell r="M206" t="b">
            <v>0</v>
          </cell>
        </row>
        <row r="207">
          <cell r="A207" t="str">
            <v>Energy storage active overload returned to normal</v>
          </cell>
          <cell r="B207" t="str"/>
          <cell r="C207" t="str"/>
          <cell r="D207" t="str">
            <v>DMS_CFS_RTN_STORAGE_P_VIOLATION</v>
          </cell>
          <cell r="E207" t="b">
            <v>0</v>
          </cell>
          <cell r="F207" t="str">
            <v>Energia ativa de armazenamento de energia dentro dos limites.</v>
          </cell>
          <cell r="G207" t="str"/>
          <cell r="H207">
            <v>0</v>
          </cell>
          <cell r="I207">
            <v>0</v>
          </cell>
          <cell r="J207" t="str">
            <v>ApplicationAlarm</v>
          </cell>
          <cell r="K207" t="str">
            <v>Severidade 10</v>
          </cell>
          <cell r="L207" t="str">
            <v>Severidade 16</v>
          </cell>
          <cell r="M207" t="b">
            <v>0</v>
          </cell>
        </row>
        <row r="208">
          <cell r="A208" t="str">
            <v>Energy storage connected to a feeder in outage</v>
          </cell>
          <cell r="B208" t="str"/>
          <cell r="C208" t="str"/>
          <cell r="D208" t="str">
            <v>DMS_CFS_STORAGE_CONNECTED</v>
          </cell>
          <cell r="E208" t="b">
            <v>0</v>
          </cell>
          <cell r="F208" t="str">
            <v>Armazenamento de energia conectado a um alimentador em queda de energia.</v>
          </cell>
          <cell r="G208" t="str"/>
          <cell r="H208">
            <v>0</v>
          </cell>
          <cell r="I208">
            <v>0</v>
          </cell>
          <cell r="J208" t="str">
            <v>ApplicationAlarm</v>
          </cell>
          <cell r="K208" t="str">
            <v>Severidade 10</v>
          </cell>
          <cell r="L208" t="str">
            <v>Severidade 16</v>
          </cell>
          <cell r="M208" t="b">
            <v>0</v>
          </cell>
        </row>
        <row r="209">
          <cell r="A209" t="str">
            <v>Energy storage connected to a feeder in outage returned to normal</v>
          </cell>
          <cell r="B209" t="str"/>
          <cell r="C209" t="str"/>
          <cell r="D209" t="str">
            <v>DMS_CFS_STORAGE_NOT_CONNECTED</v>
          </cell>
          <cell r="E209" t="b">
            <v>0</v>
          </cell>
          <cell r="F209" t="str">
            <v>O armazenamento de energia não está mais conectado a um alimentador em queda de energia.</v>
          </cell>
          <cell r="G209" t="str"/>
          <cell r="H209">
            <v>0</v>
          </cell>
          <cell r="I209">
            <v>0</v>
          </cell>
          <cell r="J209" t="str">
            <v>ApplicationAlarm</v>
          </cell>
          <cell r="K209" t="str">
            <v>Severidade 10</v>
          </cell>
          <cell r="L209" t="str">
            <v>Severidade 16</v>
          </cell>
          <cell r="M209" t="b">
            <v>0</v>
          </cell>
        </row>
        <row r="210">
          <cell r="A210" t="str">
            <v>Energy storage has a high power factor</v>
          </cell>
          <cell r="B210" t="str"/>
          <cell r="C210" t="str"/>
          <cell r="D210" t="str">
            <v>DMS_CFS_STORAGE_PF_HIGH_VIOLATION</v>
          </cell>
          <cell r="E210" t="b">
            <v>0</v>
          </cell>
          <cell r="F210" t="str">
            <v>Fator de potência de armazenamento de energia acima de {0}.</v>
          </cell>
          <cell r="G210" t="str"/>
          <cell r="H210">
            <v>0</v>
          </cell>
          <cell r="I210">
            <v>0</v>
          </cell>
          <cell r="J210" t="str">
            <v>ApplicationAlarm</v>
          </cell>
          <cell r="K210" t="str">
            <v>Severidade 12</v>
          </cell>
          <cell r="L210" t="str">
            <v>Severidade 16</v>
          </cell>
          <cell r="M210" t="b">
            <v>0</v>
          </cell>
        </row>
        <row r="211">
          <cell r="A211" t="str">
            <v>Energy storage has a low power factor</v>
          </cell>
          <cell r="B211" t="str"/>
          <cell r="C211" t="str"/>
          <cell r="D211" t="str">
            <v>DMS_CFS_STORAGE_PF_LOW_VIOLATION</v>
          </cell>
          <cell r="E211" t="b">
            <v>0</v>
          </cell>
          <cell r="F211" t="str">
            <v>Fator de potência de armazenamento de energia abaixo de {0}.</v>
          </cell>
          <cell r="G211" t="str"/>
          <cell r="H211">
            <v>0</v>
          </cell>
          <cell r="I211">
            <v>0</v>
          </cell>
          <cell r="J211" t="str">
            <v>ApplicationAlarm</v>
          </cell>
          <cell r="K211" t="str">
            <v>Severidade 12</v>
          </cell>
          <cell r="L211" t="str">
            <v>Severidade 16</v>
          </cell>
          <cell r="M211" t="b">
            <v>0</v>
          </cell>
        </row>
        <row r="212">
          <cell r="A212" t="str">
            <v>Energy storage overvoltage</v>
          </cell>
          <cell r="B212" t="str"/>
          <cell r="C212" t="str"/>
          <cell r="D212" t="str">
            <v>DMS_CFS_STORAGE_OVERVOLTAGE_VIOLATION</v>
          </cell>
          <cell r="E212" t="b">
            <v>0</v>
          </cell>
          <cell r="F212" t="str">
            <v>Tensão de armazenamento de energia acima de {0}.</v>
          </cell>
          <cell r="G212" t="str"/>
          <cell r="H212">
            <v>0</v>
          </cell>
          <cell r="I212">
            <v>0</v>
          </cell>
          <cell r="J212" t="str">
            <v>ApplicationAlarm</v>
          </cell>
          <cell r="K212" t="str">
            <v>Severidade 10</v>
          </cell>
          <cell r="L212" t="str">
            <v>Severidade 16</v>
          </cell>
          <cell r="M212" t="b">
            <v>0</v>
          </cell>
        </row>
        <row r="213">
          <cell r="A213" t="str">
            <v>Energy storage power factor returned to normal</v>
          </cell>
          <cell r="B213" t="str"/>
          <cell r="C213" t="str"/>
          <cell r="D213" t="str">
            <v>DMS_CFS_RTN_STORAGE_PF_VIOLATION</v>
          </cell>
          <cell r="E213" t="b">
            <v>0</v>
          </cell>
          <cell r="F213" t="str">
            <v>Fator de potência para armazenamento de energia dentro dos limites.</v>
          </cell>
          <cell r="G213" t="str"/>
          <cell r="H213">
            <v>0</v>
          </cell>
          <cell r="I213">
            <v>0</v>
          </cell>
          <cell r="J213" t="str">
            <v>ApplicationAlarm</v>
          </cell>
          <cell r="K213" t="str">
            <v>Severidade 12</v>
          </cell>
          <cell r="L213" t="str">
            <v>Severidade 16</v>
          </cell>
          <cell r="M213" t="b">
            <v>0</v>
          </cell>
        </row>
        <row r="214">
          <cell r="A214" t="str">
            <v>Energy storage reactive charging overload</v>
          </cell>
          <cell r="B214" t="str"/>
          <cell r="C214" t="str"/>
          <cell r="D214" t="str">
            <v>DMS_CFS_STORAGE_Q_CH_VIOLATION</v>
          </cell>
          <cell r="E214" t="b">
            <v>0</v>
          </cell>
          <cell r="F214" t="str">
            <v>Potência reativa de armazenamento de energia abaixo de {0}.</v>
          </cell>
          <cell r="G214" t="str"/>
          <cell r="H214">
            <v>0</v>
          </cell>
          <cell r="I214">
            <v>0</v>
          </cell>
          <cell r="J214" t="str">
            <v>ApplicationAlarm</v>
          </cell>
          <cell r="K214" t="str">
            <v>Severidade 10</v>
          </cell>
          <cell r="L214" t="str">
            <v>Severidade 16</v>
          </cell>
          <cell r="M214" t="b">
            <v>0</v>
          </cell>
        </row>
        <row r="215">
          <cell r="A215" t="str">
            <v>Energy storage reactive discharging overload</v>
          </cell>
          <cell r="B215" t="str"/>
          <cell r="C215" t="str"/>
          <cell r="D215" t="str">
            <v>DMS_CFS_STORAGE_Q_DISCH_VIOLATION</v>
          </cell>
          <cell r="E215" t="b">
            <v>0</v>
          </cell>
          <cell r="F215" t="str">
            <v>Potência reativa de armazenamento de energia acima de {0}.</v>
          </cell>
          <cell r="G215" t="str"/>
          <cell r="H215">
            <v>0</v>
          </cell>
          <cell r="I215">
            <v>0</v>
          </cell>
          <cell r="J215" t="str">
            <v>ApplicationAlarm</v>
          </cell>
          <cell r="K215" t="str">
            <v>Severidade 10</v>
          </cell>
          <cell r="L215" t="str">
            <v>Severidade 16</v>
          </cell>
          <cell r="M215" t="b">
            <v>0</v>
          </cell>
        </row>
        <row r="216">
          <cell r="A216" t="str">
            <v>Energy storage reactive overload returned to normal</v>
          </cell>
          <cell r="B216" t="str"/>
          <cell r="C216" t="str"/>
          <cell r="D216" t="str">
            <v>DMS_CFS_RTN_STORAGE_Q_VIOLATION</v>
          </cell>
          <cell r="E216" t="b">
            <v>0</v>
          </cell>
          <cell r="F216" t="str">
            <v>Energia reativa de armazenamento de energia dentro dos limites.</v>
          </cell>
          <cell r="G216" t="str"/>
          <cell r="H216">
            <v>0</v>
          </cell>
          <cell r="I216">
            <v>0</v>
          </cell>
          <cell r="J216" t="str">
            <v>ApplicationAlarm</v>
          </cell>
          <cell r="K216" t="str">
            <v>Severidade 10</v>
          </cell>
          <cell r="L216" t="str">
            <v>Severidade 16</v>
          </cell>
          <cell r="M216" t="b">
            <v>0</v>
          </cell>
        </row>
        <row r="217">
          <cell r="A217" t="str">
            <v>Energy Storage SoC below limit</v>
          </cell>
          <cell r="B217" t="str"/>
          <cell r="C217" t="str"/>
          <cell r="D217" t="str">
            <v>DMS_CFS_STORAGE_UNDERCAPACITY_VIOLATION</v>
          </cell>
          <cell r="E217" t="b">
            <v>0</v>
          </cell>
          <cell r="F217" t="str">
            <v>Estado de carga de armazenamento de energia abaixo do limite de {0} {1}.</v>
          </cell>
          <cell r="G217" t="str"/>
          <cell r="H217">
            <v>0</v>
          </cell>
          <cell r="I217">
            <v>0</v>
          </cell>
          <cell r="J217" t="str">
            <v>ApplicationAlarm</v>
          </cell>
          <cell r="K217" t="str">
            <v>Severidade 10</v>
          </cell>
          <cell r="L217" t="str">
            <v>Severidade 16</v>
          </cell>
          <cell r="M217" t="b">
            <v>0</v>
          </cell>
        </row>
        <row r="218">
          <cell r="A218" t="str">
            <v>Energy Storage SoC returned to normal</v>
          </cell>
          <cell r="B218" t="str"/>
          <cell r="C218" t="str"/>
          <cell r="D218" t="str">
            <v>DMS_CFS_RTN_STORAGE_WP_VIOLATION</v>
          </cell>
          <cell r="E218" t="b">
            <v>0</v>
          </cell>
          <cell r="F218" t="str">
            <v>Estado de carga de armazenamento de energia dentro dos limites.</v>
          </cell>
          <cell r="G218" t="str"/>
          <cell r="H218">
            <v>0</v>
          </cell>
          <cell r="I218">
            <v>0</v>
          </cell>
          <cell r="J218" t="str">
            <v>ApplicationAlarm</v>
          </cell>
          <cell r="K218" t="str">
            <v>Severidade 10</v>
          </cell>
          <cell r="L218" t="str">
            <v>Severidade 16</v>
          </cell>
          <cell r="M218" t="b">
            <v>0</v>
          </cell>
        </row>
        <row r="219">
          <cell r="A219" t="str">
            <v>Energy storage undervoltage</v>
          </cell>
          <cell r="B219" t="str"/>
          <cell r="C219" t="str"/>
          <cell r="D219" t="str">
            <v>DMS_CFS_STORAGE_UNDERVOLTAGE_VIOLATION</v>
          </cell>
          <cell r="E219" t="b">
            <v>0</v>
          </cell>
          <cell r="F219" t="str">
            <v>Tensão de armazenamento de energia abaixo de {0}.</v>
          </cell>
          <cell r="G219" t="str"/>
          <cell r="H219">
            <v>0</v>
          </cell>
          <cell r="I219">
            <v>0</v>
          </cell>
          <cell r="J219" t="str">
            <v>ApplicationAlarm</v>
          </cell>
          <cell r="K219" t="str">
            <v>Severidade 10</v>
          </cell>
          <cell r="L219" t="str">
            <v>Severidade 16</v>
          </cell>
          <cell r="M219" t="b">
            <v>0</v>
          </cell>
        </row>
        <row r="220">
          <cell r="A220" t="str">
            <v>Energy storage voltage returned to normal</v>
          </cell>
          <cell r="B220" t="str"/>
          <cell r="C220" t="str"/>
          <cell r="D220" t="str">
            <v>DMS_CFS_RTN_STORAGE_V_VIOLATION</v>
          </cell>
          <cell r="E220" t="b">
            <v>0</v>
          </cell>
          <cell r="F220" t="str">
            <v>Tensão de armazenamento de energia dentro dos limites.</v>
          </cell>
          <cell r="G220" t="str"/>
          <cell r="H220">
            <v>0</v>
          </cell>
          <cell r="I220">
            <v>0</v>
          </cell>
          <cell r="J220" t="str">
            <v>ApplicationAlarm</v>
          </cell>
          <cell r="K220" t="str">
            <v>Severidade 10</v>
          </cell>
          <cell r="L220" t="str">
            <v>Severidade 16</v>
          </cell>
          <cell r="M220" t="b">
            <v>0</v>
          </cell>
        </row>
        <row r="221">
          <cell r="A221" t="str">
            <v>Estimated and telemetered discrepancy</v>
          </cell>
          <cell r="B221" t="str"/>
          <cell r="C221" t="str"/>
          <cell r="D221" t="str">
            <v>DMS_CFS_ANALOG_DISCREPANCY</v>
          </cell>
          <cell r="E221" t="b">
            <v>0</v>
          </cell>
          <cell r="F221" t="str">
            <v>O valor estimado entre telemedido excede o limite {0}.</v>
          </cell>
          <cell r="G221" t="str"/>
          <cell r="H221">
            <v>0</v>
          </cell>
          <cell r="I221">
            <v>0</v>
          </cell>
          <cell r="J221" t="str">
            <v>ApplicationAlarm</v>
          </cell>
          <cell r="K221" t="str">
            <v>Severidade 14</v>
          </cell>
          <cell r="L221" t="str">
            <v>Severidade 16</v>
          </cell>
          <cell r="M221" t="b">
            <v>0</v>
          </cell>
        </row>
        <row r="222">
          <cell r="A222" t="str">
            <v>Estimated and telemetered discrepancy returned to normal</v>
          </cell>
          <cell r="B222" t="str"/>
          <cell r="C222" t="str"/>
          <cell r="D222" t="str">
            <v>DMS_CFS_RTN_ANALOG_DISCREPANCY</v>
          </cell>
          <cell r="E222" t="b">
            <v>0</v>
          </cell>
          <cell r="F222" t="str">
            <v>Discrepância entre o valor estimado e o telemetria dentro dos limites.</v>
          </cell>
          <cell r="G222" t="str"/>
          <cell r="H222">
            <v>0</v>
          </cell>
          <cell r="I222">
            <v>0</v>
          </cell>
          <cell r="J222" t="str">
            <v>ApplicationAlarm</v>
          </cell>
          <cell r="K222" t="str">
            <v>Severidade 14</v>
          </cell>
          <cell r="L222" t="str">
            <v>Severidade 16</v>
          </cell>
          <cell r="M222" t="b">
            <v>0</v>
          </cell>
        </row>
        <row r="223">
          <cell r="A223" t="str">
            <v>ETR profile changed</v>
          </cell>
          <cell r="B223" t="str"/>
          <cell r="C223" t="str"/>
          <cell r="D223" t="str">
            <v>OMS_ALARM_PROFILE_CONFIG_CHANGED_ETR_PROF</v>
          </cell>
          <cell r="E223" t="b">
            <v>0</v>
          </cell>
          <cell r="F223" t="str">
            <v>A configuração do OMS para o perfil ETR foi alterada de {0} para {1}</v>
          </cell>
          <cell r="G223" t="str"/>
          <cell r="H223">
            <v>0</v>
          </cell>
          <cell r="I223">
            <v>0</v>
          </cell>
          <cell r="J223" t="str">
            <v>ApplicationAlarm</v>
          </cell>
          <cell r="K223" t="str">
            <v>Severidade 10</v>
          </cell>
          <cell r="L223" t="str">
            <v>Severidade 16</v>
          </cell>
          <cell r="M223" t="b">
            <v>0</v>
          </cell>
        </row>
        <row r="224">
          <cell r="A224" t="str">
            <v>Event indicating that crew availability is changed_1</v>
          </cell>
          <cell r="B224" t="str"/>
          <cell r="C224" t="str"/>
          <cell r="D224" t="str">
            <v>OMS_CREW_AVAILABILITY_CHANGED</v>
          </cell>
          <cell r="E224" t="b">
            <v>0</v>
          </cell>
          <cell r="F224" t="str">
            <v>Disponibilidade da equipe {0} definida como {1}</v>
          </cell>
          <cell r="G224" t="str"/>
          <cell r="H224">
            <v>0</v>
          </cell>
          <cell r="I224">
            <v>0</v>
          </cell>
          <cell r="J224" t="str">
            <v>ApplicationAlarm</v>
          </cell>
          <cell r="K224" t="str">
            <v>Severidade 10</v>
          </cell>
          <cell r="L224" t="str">
            <v>Severidade 16</v>
          </cell>
          <cell r="M224" t="b">
            <v>0</v>
          </cell>
        </row>
        <row r="225">
          <cell r="A225" t="str">
            <v>RELI RELI switch is deactivated</v>
          </cell>
          <cell r="B225" t="str"/>
          <cell r="C225" t="str"/>
          <cell r="D225" t="str">
            <v>RELI_MESSAGE_09</v>
          </cell>
          <cell r="E225" t="b">
            <v>0</v>
          </cell>
          <cell r="F225" t="str">
            <v>DGRELI - Chave RELI Desativada  []</v>
          </cell>
          <cell r="G225" t="str">
            <v>Gerado quando não ocorre um religamento quando a chave RELIGA da SE estiver bloqueada</v>
          </cell>
          <cell r="H225">
            <v>0</v>
          </cell>
          <cell r="I225">
            <v>0</v>
          </cell>
          <cell r="J225" t="str">
            <v>ApplicationAlarm</v>
          </cell>
          <cell r="K225" t="str">
            <v>Severidade 15</v>
          </cell>
          <cell r="L225" t="str">
            <v>Severidade 16</v>
          </cell>
          <cell r="M225" t="b">
            <v>0</v>
          </cell>
        </row>
        <row r="226">
          <cell r="A226" t="str">
            <v>RELI Individual switch set as local</v>
          </cell>
          <cell r="B226" t="str"/>
          <cell r="C226" t="str"/>
          <cell r="D226" t="str">
            <v>RELI_MESSAGE_08</v>
          </cell>
          <cell r="E226" t="b">
            <v>0</v>
          </cell>
          <cell r="F226" t="str">
            <v>DGRELI - Chave Individual em Local  []</v>
          </cell>
          <cell r="G226" t="str">
            <v>Gerado quando não ocorre um religamento devido a chave individual Local/Remoto do disjuntor estar em Local</v>
          </cell>
          <cell r="H226">
            <v>0</v>
          </cell>
          <cell r="I226">
            <v>0</v>
          </cell>
          <cell r="J226" t="str">
            <v>ApplicationAlarm</v>
          </cell>
          <cell r="K226" t="str">
            <v>Severidade 15</v>
          </cell>
          <cell r="L226" t="str">
            <v>Severidade 16</v>
          </cell>
          <cell r="M226" t="b">
            <v>0</v>
          </cell>
        </row>
        <row r="227">
          <cell r="A227" t="str">
            <v>Event reporting database file group full.</v>
          </cell>
          <cell r="B227" t="str"/>
          <cell r="C227" t="str"/>
          <cell r="D227" t="str">
            <v>EVENT_REPORTING_FILE_GROUP_FULL</v>
          </cell>
          <cell r="E227" t="b">
            <v>1</v>
          </cell>
          <cell r="F227" t="str">
            <v>O grupo de arquivos do banco de dados {1} está cheio no serviço sql {0}.</v>
          </cell>
          <cell r="G227" t="str">
            <v>Description:
Indicates that the file group for given database if full at given sql service instance.
0
Newly reported events will not be shown until this problem is fixed.
0
See AlarmsEventsService log for futher details.
0
Possible cause:
Automatic resizing of filegroup is disabled.
0
Operator steps:
Contact your system or database administrator.</v>
          </cell>
          <cell r="H227">
            <v>0</v>
          </cell>
          <cell r="I227">
            <v>0</v>
          </cell>
          <cell r="J227" t="str">
            <v>SystemAlarm</v>
          </cell>
          <cell r="K227" t="str">
            <v>Severidade 4</v>
          </cell>
          <cell r="L227" t="str">
            <v>Severidade 16</v>
          </cell>
          <cell r="M227" t="b">
            <v>0</v>
          </cell>
        </row>
        <row r="228">
          <cell r="A228" t="str">
            <v>Event reporting failed to establish connection to sql server</v>
          </cell>
          <cell r="B228" t="str"/>
          <cell r="C228" t="str"/>
          <cell r="D228" t="str">
            <v>EVENT_REPORTING_LOST_HDB_CONNECTION</v>
          </cell>
          <cell r="E228" t="b">
            <v>1</v>
          </cell>
          <cell r="F228" t="str">
            <v>O mecanismo de eventos perdeu a conexão com o serviço sql em {0}.</v>
          </cell>
          <cell r="G228" t="str">
            <v xml:space="preserve">Description:
Indicates that AES events engine has lost connection with sql service at given endpoint.
0
Possible causes: 
Historical server is down
Historical server machine is down
0
Operator steps:
Contact your system or database administrator
</v>
          </cell>
          <cell r="H228">
            <v>0</v>
          </cell>
          <cell r="I228">
            <v>0</v>
          </cell>
          <cell r="J228" t="str">
            <v>SystemAlarm</v>
          </cell>
          <cell r="K228" t="str">
            <v>Severidade 4</v>
          </cell>
          <cell r="L228" t="str">
            <v>Severidade 16</v>
          </cell>
          <cell r="M228" t="b">
            <v>0</v>
          </cell>
        </row>
        <row r="229">
          <cell r="A229" t="str">
            <v>Event reporting queue limit reached.</v>
          </cell>
          <cell r="B229" t="str"/>
          <cell r="C229" t="str"/>
          <cell r="D229" t="str">
            <v>EVENT_REPORTING_CIRCULAR_QUEUE_LIMIT</v>
          </cell>
          <cell r="E229" t="b">
            <v>1</v>
          </cell>
          <cell r="F229" t="str">
            <v>Nome da fila de eventos: {0} atingiu o limite de capacidade de {1}%.</v>
          </cell>
          <cell r="G229" t="str">
            <v>Description:
Reported when AlarmsEventsService events queue has reached capacity limit.
0
Possible cause:
System is generating abnormal number of events, or connection has been lost with sql server instance, and events are no being processed.
0
Operator steps:
Contact your system or database administrator.
or
Contact ADMS support service.</v>
          </cell>
          <cell r="H229">
            <v>0</v>
          </cell>
          <cell r="I229">
            <v>0</v>
          </cell>
          <cell r="J229" t="str">
            <v>SystemAlarm</v>
          </cell>
          <cell r="K229" t="str">
            <v>Severidade 6</v>
          </cell>
          <cell r="L229" t="str">
            <v>Severidade 16</v>
          </cell>
          <cell r="M229" t="b">
            <v>0</v>
          </cell>
        </row>
        <row r="230">
          <cell r="A230" t="str">
            <v>Event reporting queue limit return-to-normal</v>
          </cell>
          <cell r="B230" t="str"/>
          <cell r="C230" t="str"/>
          <cell r="D230" t="str">
            <v>EVENT_REPORTING_CIRCULAR_QUEUE_LIMIT_RTN</v>
          </cell>
          <cell r="E230" t="b">
            <v>1</v>
          </cell>
          <cell r="F230" t="str">
            <v>Nome da fila de eventos: {0} agora está abaixo do limite de {1} por cento.</v>
          </cell>
          <cell r="G230" t="str">
            <v>Description:
Indicates that queue capacity warning alarm has passed.</v>
          </cell>
          <cell r="H230">
            <v>0</v>
          </cell>
          <cell r="I230">
            <v>0</v>
          </cell>
          <cell r="J230" t="str">
            <v>SystemAlarm</v>
          </cell>
          <cell r="K230" t="str">
            <v>Severidade 14</v>
          </cell>
          <cell r="L230" t="str">
            <v>Severidade 16</v>
          </cell>
          <cell r="M230" t="b">
            <v>0</v>
          </cell>
        </row>
        <row r="231">
          <cell r="A231" t="str">
            <v>Event reporting queue max capacity reached.</v>
          </cell>
          <cell r="B231" t="str"/>
          <cell r="C231" t="str"/>
          <cell r="D231" t="str">
            <v>EVENT_REPORTING_CIRCULAR_QUEUE_MAX_LIMIT</v>
          </cell>
          <cell r="E231" t="b">
            <v>1</v>
          </cell>
          <cell r="F231" t="str">
            <v>O nome da fila de eventos: {0} atingiu a capacidade máxima.</v>
          </cell>
          <cell r="G231" t="str">
            <v>Description:
Reported when event queue with given name has reached maximum capacity.
When this happens newly reported events will be written over oldest unprocessed events.
0
Possible cause:
System is generating abnormal number of events or connection has been lost with database, and events are not being processed.
0
Operator Steps:
Contact your system or database administrator.
or
Contact ADMS support service.</v>
          </cell>
          <cell r="H231">
            <v>0</v>
          </cell>
          <cell r="I231">
            <v>0</v>
          </cell>
          <cell r="J231" t="str">
            <v>SystemAlarm</v>
          </cell>
          <cell r="K231" t="str">
            <v>Severidade 4</v>
          </cell>
          <cell r="L231" t="str">
            <v>Severidade 16</v>
          </cell>
          <cell r="M231" t="b">
            <v>0</v>
          </cell>
        </row>
        <row r="232">
          <cell r="A232" t="str">
            <v>Fault generator</v>
          </cell>
          <cell r="B232" t="str"/>
          <cell r="C232" t="str"/>
          <cell r="D232" t="str">
            <v>GMS_AGC_GENERATOR_FAULT</v>
          </cell>
          <cell r="E232" t="b">
            <v>1</v>
          </cell>
          <cell r="F232" t="str">
            <v>Unidade geradora definida para o modo de falha. {0}.</v>
          </cell>
          <cell r="G232" t="str"/>
          <cell r="H232">
            <v>0</v>
          </cell>
          <cell r="I232">
            <v>0</v>
          </cell>
          <cell r="J232" t="str">
            <v>ApplicationAlarm</v>
          </cell>
          <cell r="K232" t="str">
            <v>Severidade 10</v>
          </cell>
          <cell r="L232" t="str">
            <v>Severidade 16</v>
          </cell>
          <cell r="M232" t="b">
            <v>0</v>
          </cell>
        </row>
        <row r="233">
          <cell r="A233" t="str">
            <v>Fault generator_1</v>
          </cell>
          <cell r="B233" t="str"/>
          <cell r="C233" t="str"/>
          <cell r="D233" t="str">
            <v>MGMS_ADC_GENERATOR_FAULT</v>
          </cell>
          <cell r="E233" t="b">
            <v>1</v>
          </cell>
          <cell r="F233" t="str">
            <v>Unidade geradora definida para o modo de falha. {0}.</v>
          </cell>
          <cell r="G233" t="str"/>
          <cell r="H233">
            <v>0</v>
          </cell>
          <cell r="I233">
            <v>0</v>
          </cell>
          <cell r="J233" t="str">
            <v>ApplicationAlarm</v>
          </cell>
          <cell r="K233" t="str">
            <v>Severidade 10</v>
          </cell>
          <cell r="L233" t="str">
            <v>Severidade 16</v>
          </cell>
          <cell r="M233" t="b">
            <v>0</v>
          </cell>
        </row>
        <row r="234">
          <cell r="A234" t="str">
            <v>Feeder has a consumer with overvoltage</v>
          </cell>
          <cell r="B234" t="str"/>
          <cell r="C234" t="str"/>
          <cell r="D234" t="str">
            <v>DMS_CFS_OVERVOLTAGE</v>
          </cell>
          <cell r="E234" t="b">
            <v>0</v>
          </cell>
          <cell r="F234" t="str">
            <v>O alimentador possui um consumidor com tensão acima do limite de {0} {1}.</v>
          </cell>
          <cell r="G234" t="str"/>
          <cell r="H234">
            <v>0</v>
          </cell>
          <cell r="I234">
            <v>0</v>
          </cell>
          <cell r="J234" t="str">
            <v>ApplicationAlarm</v>
          </cell>
          <cell r="K234" t="str">
            <v>Severidade 10</v>
          </cell>
          <cell r="L234" t="str">
            <v>Severidade 16</v>
          </cell>
          <cell r="M234" t="b">
            <v>0</v>
          </cell>
        </row>
        <row r="235">
          <cell r="A235" t="str">
            <v>Feeder has a consumer with overvoltage returned to normal</v>
          </cell>
          <cell r="B235" t="str"/>
          <cell r="C235" t="str"/>
          <cell r="D235" t="str">
            <v>DMS_CFS_RTN_OVERVOLTAGE</v>
          </cell>
          <cell r="E235" t="b">
            <v>0</v>
          </cell>
          <cell r="F235" t="str">
            <v>O alimentador possui consumidores com tensões dentro dos limites.</v>
          </cell>
          <cell r="G235" t="str"/>
          <cell r="H235">
            <v>0</v>
          </cell>
          <cell r="I235">
            <v>0</v>
          </cell>
          <cell r="J235" t="str">
            <v>ApplicationAlarm</v>
          </cell>
          <cell r="K235" t="str">
            <v>Severidade 10</v>
          </cell>
          <cell r="L235" t="str">
            <v>Severidade 16</v>
          </cell>
          <cell r="M235" t="b">
            <v>0</v>
          </cell>
        </row>
        <row r="236">
          <cell r="A236" t="str">
            <v>Feeder has a consumer with undervoltage</v>
          </cell>
          <cell r="B236" t="str"/>
          <cell r="C236" t="str"/>
          <cell r="D236" t="str">
            <v>DMS_CFS_UNDERVOLTAGE</v>
          </cell>
          <cell r="E236" t="b">
            <v>0</v>
          </cell>
          <cell r="F236" t="str">
            <v>O alimentador possui um consumidor com tensão abaixo de {0} limite {1}.</v>
          </cell>
          <cell r="G236" t="str"/>
          <cell r="H236">
            <v>0</v>
          </cell>
          <cell r="I236">
            <v>0</v>
          </cell>
          <cell r="J236" t="str">
            <v>ApplicationAlarm</v>
          </cell>
          <cell r="K236" t="str">
            <v>Severidade 10</v>
          </cell>
          <cell r="L236" t="str">
            <v>Severidade 16</v>
          </cell>
          <cell r="M236" t="b">
            <v>0</v>
          </cell>
        </row>
        <row r="237">
          <cell r="A237" t="str">
            <v>Feeder has a consumer with undervoltage returned to normal</v>
          </cell>
          <cell r="B237" t="str"/>
          <cell r="C237" t="str"/>
          <cell r="D237" t="str">
            <v>DMS_CFS_RTN_UNDERVOLTAGE</v>
          </cell>
          <cell r="E237" t="b">
            <v>0</v>
          </cell>
          <cell r="F237" t="str">
            <v>O alimentador possui consumidores com tensões dentro dos limites.</v>
          </cell>
          <cell r="G237" t="str"/>
          <cell r="H237">
            <v>0</v>
          </cell>
          <cell r="I237">
            <v>0</v>
          </cell>
          <cell r="J237" t="str">
            <v>ApplicationAlarm</v>
          </cell>
          <cell r="K237" t="str">
            <v>Severidade 10</v>
          </cell>
          <cell r="L237" t="str">
            <v>Severidade 16</v>
          </cell>
          <cell r="M237" t="b">
            <v>0</v>
          </cell>
        </row>
        <row r="238">
          <cell r="A238" t="str">
            <v>Feeder has a section with overheat</v>
          </cell>
          <cell r="B238" t="str"/>
          <cell r="C238" t="str"/>
          <cell r="D238" t="str">
            <v>DMS_CFS_OVERHEAT_SECTION</v>
          </cell>
          <cell r="E238" t="b">
            <v>0</v>
          </cell>
          <cell r="F238" t="str">
            <v>O alimentador possui uma seção com temperatura acima do limite de {0} {1}.</v>
          </cell>
          <cell r="G238" t="str"/>
          <cell r="H238">
            <v>0</v>
          </cell>
          <cell r="I238">
            <v>0</v>
          </cell>
          <cell r="J238" t="str">
            <v>ApplicationAlarm</v>
          </cell>
          <cell r="K238" t="str">
            <v>Severidade 12</v>
          </cell>
          <cell r="L238" t="str">
            <v>Severidade 16</v>
          </cell>
          <cell r="M238" t="b">
            <v>0</v>
          </cell>
        </row>
        <row r="239">
          <cell r="A239" t="str">
            <v>Feeder has a section with overheat returned to normal</v>
          </cell>
          <cell r="B239" t="str"/>
          <cell r="C239" t="str"/>
          <cell r="D239" t="str">
            <v>DMS_CFS_RTN_OVERHEAT_SECTION</v>
          </cell>
          <cell r="E239" t="b">
            <v>0</v>
          </cell>
          <cell r="F239" t="str">
            <v>O alimentador possui seções com temperaturas dentro dos limites.</v>
          </cell>
          <cell r="G239" t="str"/>
          <cell r="H239">
            <v>0</v>
          </cell>
          <cell r="I239">
            <v>0</v>
          </cell>
          <cell r="J239" t="str">
            <v>ApplicationAlarm</v>
          </cell>
          <cell r="K239" t="str">
            <v>Severidade 12</v>
          </cell>
          <cell r="L239" t="str">
            <v>Severidade 16</v>
          </cell>
          <cell r="M239" t="b">
            <v>0</v>
          </cell>
        </row>
        <row r="240">
          <cell r="A240" t="str">
            <v>Feeder has a section with overload</v>
          </cell>
          <cell r="B240" t="str"/>
          <cell r="C240" t="str"/>
          <cell r="D240" t="str">
            <v>DMS_CFS_OVERLOAD_SECTION</v>
          </cell>
          <cell r="E240" t="b">
            <v>0</v>
          </cell>
          <cell r="F240" t="str">
            <v>O alimentador possui uma seção com carregamento acima do limite de {0} {1}.</v>
          </cell>
          <cell r="G240" t="str"/>
          <cell r="H240">
            <v>0</v>
          </cell>
          <cell r="I240">
            <v>0</v>
          </cell>
          <cell r="J240" t="str">
            <v>ApplicationAlarm</v>
          </cell>
          <cell r="K240" t="str">
            <v>Severidade 12</v>
          </cell>
          <cell r="L240" t="str">
            <v>Severidade 16</v>
          </cell>
          <cell r="M240" t="b">
            <v>0</v>
          </cell>
        </row>
        <row r="241">
          <cell r="A241" t="str">
            <v>Feeder has a section with overload returned to normal</v>
          </cell>
          <cell r="B241" t="str"/>
          <cell r="C241" t="str"/>
          <cell r="D241" t="str">
            <v>DMS_CFS_RTN_OVERLOAD_SECTION</v>
          </cell>
          <cell r="E241" t="b">
            <v>0</v>
          </cell>
          <cell r="F241" t="str">
            <v>O alimentador possui seções com cargas dentro dos limites.</v>
          </cell>
          <cell r="G241" t="str"/>
          <cell r="H241">
            <v>0</v>
          </cell>
          <cell r="I241">
            <v>0</v>
          </cell>
          <cell r="J241" t="str">
            <v>ApplicationAlarm</v>
          </cell>
          <cell r="K241" t="str">
            <v>Severidade 12</v>
          </cell>
          <cell r="L241" t="str">
            <v>Severidade 16</v>
          </cell>
          <cell r="M241" t="b">
            <v>0</v>
          </cell>
        </row>
        <row r="242">
          <cell r="A242" t="str">
            <v>Feeder has a service transformer with overheat</v>
          </cell>
          <cell r="B242" t="str"/>
          <cell r="C242" t="str"/>
          <cell r="D242" t="str">
            <v>DMS_CFS_OVERHEAT_SERVICE_TRANSFORMER</v>
          </cell>
          <cell r="E242" t="b">
            <v>0</v>
          </cell>
          <cell r="F242" t="str">
            <v>O alimentador possui um transformador de serviço com temperatura acima do limite de {0} {1}.</v>
          </cell>
          <cell r="G242" t="str"/>
          <cell r="H242">
            <v>0</v>
          </cell>
          <cell r="I242">
            <v>0</v>
          </cell>
          <cell r="J242" t="str">
            <v>ApplicationAlarm</v>
          </cell>
          <cell r="K242" t="str">
            <v>Severidade 12</v>
          </cell>
          <cell r="L242" t="str">
            <v>Severidade 16</v>
          </cell>
          <cell r="M242" t="b">
            <v>0</v>
          </cell>
        </row>
        <row r="243">
          <cell r="A243" t="str">
            <v>Feeder has a service transformer with overheat returned to normal</v>
          </cell>
          <cell r="B243" t="str"/>
          <cell r="C243" t="str"/>
          <cell r="D243" t="str">
            <v>DMS_CFS_RTN_OVERHEAT_SERVICE_TRANSFORMER</v>
          </cell>
          <cell r="E243" t="b">
            <v>0</v>
          </cell>
          <cell r="F243" t="str">
            <v>O alimentador possui transformadores de serviço com temperaturas dentro dos limites.</v>
          </cell>
          <cell r="G243" t="str"/>
          <cell r="H243">
            <v>0</v>
          </cell>
          <cell r="I243">
            <v>0</v>
          </cell>
          <cell r="J243" t="str">
            <v>ApplicationAlarm</v>
          </cell>
          <cell r="K243" t="str">
            <v>Severidade 12</v>
          </cell>
          <cell r="L243" t="str">
            <v>Severidade 16</v>
          </cell>
          <cell r="M243" t="b">
            <v>0</v>
          </cell>
        </row>
        <row r="244">
          <cell r="A244" t="str">
            <v>Feeder has a service transformer with overload</v>
          </cell>
          <cell r="B244" t="str"/>
          <cell r="C244" t="str"/>
          <cell r="D244" t="str">
            <v>DMS_CFS_OVERLOAD_SERVICE_TRANSFORMER</v>
          </cell>
          <cell r="E244" t="b">
            <v>0</v>
          </cell>
          <cell r="F244" t="str">
            <v>O alimentador possui um transformador de serviço com carga acima do limite de {0} {1}.</v>
          </cell>
          <cell r="G244" t="str"/>
          <cell r="H244">
            <v>0</v>
          </cell>
          <cell r="I244">
            <v>0</v>
          </cell>
          <cell r="J244" t="str">
            <v>ApplicationAlarm</v>
          </cell>
          <cell r="K244" t="str">
            <v>Severidade 12</v>
          </cell>
          <cell r="L244" t="str">
            <v>Severidade 16</v>
          </cell>
          <cell r="M244" t="b">
            <v>0</v>
          </cell>
        </row>
        <row r="245">
          <cell r="A245" t="str">
            <v>Feeder has a service transformer with overload returned to normal</v>
          </cell>
          <cell r="B245" t="str"/>
          <cell r="C245" t="str"/>
          <cell r="D245" t="str">
            <v>DMS_CFS_RTN_OVERLOAD_SERVICE_TRANSFORMER</v>
          </cell>
          <cell r="E245" t="b">
            <v>0</v>
          </cell>
          <cell r="F245" t="str">
            <v>O alimentador possui transformadores de serviço com cargas dentro dos limites.</v>
          </cell>
          <cell r="G245" t="str"/>
          <cell r="H245">
            <v>0</v>
          </cell>
          <cell r="I245">
            <v>0</v>
          </cell>
          <cell r="J245" t="str">
            <v>ApplicationAlarm</v>
          </cell>
          <cell r="K245" t="str">
            <v>Severidade 12</v>
          </cell>
          <cell r="L245" t="str">
            <v>Severidade 16</v>
          </cell>
          <cell r="M245" t="b">
            <v>0</v>
          </cell>
        </row>
        <row r="246">
          <cell r="A246" t="str">
            <v>Feeder load imbalance</v>
          </cell>
          <cell r="B246" t="str"/>
          <cell r="C246" t="str"/>
          <cell r="D246" t="str">
            <v>DMS_CFS_PHBALVIOLATION</v>
          </cell>
          <cell r="E246" t="b">
            <v>0</v>
          </cell>
          <cell r="F246" t="str">
            <v>Desequilíbrio de carga do alimentador acima do limite de {0} {1}.</v>
          </cell>
          <cell r="G246" t="str"/>
          <cell r="H246">
            <v>0</v>
          </cell>
          <cell r="I246">
            <v>0</v>
          </cell>
          <cell r="J246" t="str">
            <v>ApplicationAlarm</v>
          </cell>
          <cell r="K246" t="str">
            <v>Severidade 14</v>
          </cell>
          <cell r="L246" t="str">
            <v>Severidade 16</v>
          </cell>
          <cell r="M246" t="b">
            <v>0</v>
          </cell>
        </row>
        <row r="247">
          <cell r="A247" t="str">
            <v>Feeder load imbalance returned to normal</v>
          </cell>
          <cell r="B247" t="str"/>
          <cell r="C247" t="str"/>
          <cell r="D247" t="str">
            <v>DMS_CFS_RTN_PHBALVIOLATION</v>
          </cell>
          <cell r="E247" t="b">
            <v>0</v>
          </cell>
          <cell r="F247" t="str">
            <v>Desequilíbrio de carga do alimentador dentro dos limites.</v>
          </cell>
          <cell r="G247" t="str"/>
          <cell r="H247">
            <v>0</v>
          </cell>
          <cell r="I247">
            <v>0</v>
          </cell>
          <cell r="J247" t="str">
            <v>ApplicationAlarm</v>
          </cell>
          <cell r="K247" t="str">
            <v>Severidade 14</v>
          </cell>
          <cell r="L247" t="str">
            <v>Severidade 16</v>
          </cell>
          <cell r="M247" t="b">
            <v>0</v>
          </cell>
        </row>
        <row r="248">
          <cell r="A248" t="str">
            <v>Feeder overvoltage</v>
          </cell>
          <cell r="B248" t="str"/>
          <cell r="C248" t="str"/>
          <cell r="D248" t="str">
            <v>DMS_CFS_FEEDER_OVERVOLTAGE</v>
          </cell>
          <cell r="E248" t="b">
            <v>0</v>
          </cell>
          <cell r="F248" t="str">
            <v>Sobretensão com {0} ocorreu em {1}.</v>
          </cell>
          <cell r="G248" t="str"/>
          <cell r="H248">
            <v>0</v>
          </cell>
          <cell r="I248">
            <v>0</v>
          </cell>
          <cell r="J248" t="str">
            <v>ApplicationAlarm</v>
          </cell>
          <cell r="K248" t="str">
            <v>Severidade 10</v>
          </cell>
          <cell r="L248" t="str">
            <v>Severidade 16</v>
          </cell>
          <cell r="M248" t="b">
            <v>0</v>
          </cell>
        </row>
        <row r="249">
          <cell r="A249" t="str">
            <v>Feeder undervoltage</v>
          </cell>
          <cell r="B249" t="str"/>
          <cell r="C249" t="str"/>
          <cell r="D249" t="str">
            <v>DMS_CFS_FEEDER_UNDERVOLTAGE</v>
          </cell>
          <cell r="E249" t="b">
            <v>0</v>
          </cell>
          <cell r="F249" t="str">
            <v>Subtensão com {0} ocorreu em {1}.</v>
          </cell>
          <cell r="G249" t="str"/>
          <cell r="H249">
            <v>0</v>
          </cell>
          <cell r="I249">
            <v>0</v>
          </cell>
          <cell r="J249" t="str">
            <v>ApplicationAlarm</v>
          </cell>
          <cell r="K249" t="str">
            <v>Severidade 14</v>
          </cell>
          <cell r="L249" t="str">
            <v>Severidade 16</v>
          </cell>
          <cell r="M249" t="b">
            <v>0</v>
          </cell>
        </row>
        <row r="250">
          <cell r="A250" t="str">
            <v>Feeder with reverse flow</v>
          </cell>
          <cell r="B250" t="str"/>
          <cell r="C250" t="str"/>
          <cell r="D250" t="str">
            <v>DMS_FEEDER_REVERSE_FLOW</v>
          </cell>
          <cell r="E250" t="b">
            <v>0</v>
          </cell>
          <cell r="F250" t="str">
            <v>O alimentador tem fluxo de energia reverso.</v>
          </cell>
          <cell r="G250" t="str"/>
          <cell r="H250">
            <v>0</v>
          </cell>
          <cell r="I250">
            <v>0</v>
          </cell>
          <cell r="J250" t="str">
            <v>ApplicationAlarm</v>
          </cell>
          <cell r="K250" t="str">
            <v>Severidade 10</v>
          </cell>
          <cell r="L250" t="str">
            <v>Severidade 16</v>
          </cell>
          <cell r="M250" t="b">
            <v>0</v>
          </cell>
        </row>
        <row r="251">
          <cell r="A251" t="str">
            <v>Feeder with reverse flow returned to normal</v>
          </cell>
          <cell r="B251" t="str"/>
          <cell r="C251" t="str"/>
          <cell r="D251" t="str">
            <v>DMS_FEEDER_RTN_REVERSE_FLOW</v>
          </cell>
          <cell r="E251" t="b">
            <v>0</v>
          </cell>
          <cell r="F251" t="str">
            <v>O alimentador não possui mais fluxo de energia reverso.</v>
          </cell>
          <cell r="G251" t="str"/>
          <cell r="H251">
            <v>0</v>
          </cell>
          <cell r="I251">
            <v>0</v>
          </cell>
          <cell r="J251" t="str">
            <v>ApplicationAlarm</v>
          </cell>
          <cell r="K251" t="str">
            <v>Severidade 10</v>
          </cell>
          <cell r="L251" t="str">
            <v>Severidade 16</v>
          </cell>
          <cell r="M251" t="b">
            <v>0</v>
          </cell>
        </row>
        <row r="252">
          <cell r="A252" t="str">
            <v>FLISR aborted because function returned error</v>
          </cell>
          <cell r="B252" t="str"/>
          <cell r="C252" t="str">
            <v>FLISR abortado</v>
          </cell>
          <cell r="D252" t="str">
            <v>DMS_FUNCTION_RETURN_ERROR</v>
          </cell>
          <cell r="E252" t="b">
            <v>0</v>
          </cell>
          <cell r="F252" t="str">
            <v>{0} abortado porque '{1}' retornou erro []</v>
          </cell>
          <cell r="G252" t="str"/>
          <cell r="H252">
            <v>0</v>
          </cell>
          <cell r="I252">
            <v>0</v>
          </cell>
          <cell r="J252" t="str">
            <v>ApplicationAlarm</v>
          </cell>
          <cell r="K252" t="str">
            <v>Severidade 16</v>
          </cell>
          <cell r="L252" t="str">
            <v>Severidade 16</v>
          </cell>
          <cell r="M252" t="b">
            <v>0</v>
          </cell>
        </row>
        <row r="253">
          <cell r="A253" t="str">
            <v>FLISR disabled VVO Closed Loop</v>
          </cell>
          <cell r="B253" t="str"/>
          <cell r="C253" t="str">
            <v>VVO</v>
          </cell>
          <cell r="D253" t="str">
            <v>DMS_OPS_VVO_DISABLED</v>
          </cell>
          <cell r="E253" t="b">
            <v>0</v>
          </cell>
          <cell r="F253" t="str">
            <v>O loop fechado do VVO está desativado devido a {0}</v>
          </cell>
          <cell r="G253" t="str"/>
          <cell r="H253">
            <v>0</v>
          </cell>
          <cell r="I253">
            <v>0</v>
          </cell>
          <cell r="J253" t="str">
            <v>ApplicationAlarm</v>
          </cell>
          <cell r="K253" t="str">
            <v>Severidade 10</v>
          </cell>
          <cell r="L253" t="str">
            <v>Severidade 16</v>
          </cell>
          <cell r="M253" t="b">
            <v>0</v>
          </cell>
        </row>
        <row r="254">
          <cell r="A254" t="str">
            <v>FLISR enabled VVO Closed Loop</v>
          </cell>
          <cell r="B254" t="str"/>
          <cell r="C254" t="str">
            <v>VVO</v>
          </cell>
          <cell r="D254" t="str">
            <v>DMS_OPS_VVO_ENABLED</v>
          </cell>
          <cell r="E254" t="b">
            <v>0</v>
          </cell>
          <cell r="F254" t="str">
            <v>O loop fechado do VVO não é mais inibido devido a {0}</v>
          </cell>
          <cell r="G254" t="str"/>
          <cell r="H254">
            <v>0</v>
          </cell>
          <cell r="I254">
            <v>0</v>
          </cell>
          <cell r="J254" t="str">
            <v>ApplicationAlarm</v>
          </cell>
          <cell r="K254" t="str">
            <v>Severidade 10</v>
          </cell>
          <cell r="L254" t="str">
            <v>Severidade 16</v>
          </cell>
          <cell r="M254" t="b">
            <v>0</v>
          </cell>
        </row>
        <row r="255">
          <cell r="A255" t="str">
            <v>FLISR function calculation time out</v>
          </cell>
          <cell r="B255" t="str"/>
          <cell r="C255" t="str">
            <v>FLISR Falha</v>
          </cell>
          <cell r="D255" t="str">
            <v>DMS_OPS_AUTO_FLISR_FUNC_CALC_TIME_OUT</v>
          </cell>
          <cell r="E255" t="b">
            <v>1</v>
          </cell>
          <cell r="F255" t="str">
            <v>FLISR - Tempo limite expirou para a função {0}. A execução da função {1} foi cancelada []</v>
          </cell>
          <cell r="G255" t="str"/>
          <cell r="H255">
            <v>0</v>
          </cell>
          <cell r="I255">
            <v>0</v>
          </cell>
          <cell r="J255" t="str">
            <v>ApplicationAlarm</v>
          </cell>
          <cell r="K255" t="str">
            <v>Severidade 16</v>
          </cell>
          <cell r="L255" t="str">
            <v>Severidade 16</v>
          </cell>
          <cell r="M255" t="b">
            <v>0</v>
          </cell>
        </row>
        <row r="256">
          <cell r="A256" t="str">
            <v>FLISR function post process time out</v>
          </cell>
          <cell r="B256" t="str"/>
          <cell r="C256" t="str">
            <v xml:space="preserve">FLISR </v>
          </cell>
          <cell r="D256" t="str">
            <v>DMS_OPS_AUTO_FLISR_POST_PROCESS_TIME_OUT</v>
          </cell>
          <cell r="E256" t="b">
            <v>1</v>
          </cell>
          <cell r="F256" t="str">
            <v>FLISR - Tempo limite expirou para a função {0}. O pós-processamento da função {1} foi cancelado []</v>
          </cell>
          <cell r="G256" t="str"/>
          <cell r="H256">
            <v>0</v>
          </cell>
          <cell r="I256">
            <v>0</v>
          </cell>
          <cell r="J256" t="str">
            <v>ApplicationAlarm</v>
          </cell>
          <cell r="K256" t="str">
            <v>Severidade 16</v>
          </cell>
          <cell r="L256" t="str">
            <v>Severidade 16</v>
          </cell>
          <cell r="M256" t="b">
            <v>0</v>
          </cell>
        </row>
        <row r="257">
          <cell r="A257" t="str">
            <v>FLISR function sequence execution time out</v>
          </cell>
          <cell r="B257" t="str"/>
          <cell r="C257" t="str">
            <v>FLISR falha</v>
          </cell>
          <cell r="D257" t="str">
            <v>DMS_OPS_AUTO_FLISR_SEQ_EXE_TIME_OUT</v>
          </cell>
          <cell r="E257" t="b">
            <v>1</v>
          </cell>
          <cell r="F257" t="str">
            <v>FLISR - Tempo limite expirou para a função {0}. A execução de sequência para a função {1} é abortada []</v>
          </cell>
          <cell r="G257" t="str"/>
          <cell r="H257">
            <v>0</v>
          </cell>
          <cell r="I257">
            <v>0</v>
          </cell>
          <cell r="J257" t="str">
            <v>ApplicationAlarm</v>
          </cell>
          <cell r="K257" t="str">
            <v>Severidade 16</v>
          </cell>
          <cell r="L257" t="str">
            <v>Severidade 16</v>
          </cell>
          <cell r="M257" t="b">
            <v>0</v>
          </cell>
        </row>
        <row r="258">
          <cell r="A258" t="str">
            <v>FLISR function time out</v>
          </cell>
          <cell r="B258" t="str"/>
          <cell r="C258" t="str">
            <v>FLISR</v>
          </cell>
          <cell r="D258" t="str">
            <v>DMS_OPS_AUTO_FLISR_TIME_OUT</v>
          </cell>
          <cell r="E258" t="b">
            <v>1</v>
          </cell>
          <cell r="F258" t="str">
            <v>FLISR - Tempo limite expirou para a função {0}. Automático {1} está parado []</v>
          </cell>
          <cell r="G258" t="str"/>
          <cell r="H258">
            <v>0</v>
          </cell>
          <cell r="I258">
            <v>0</v>
          </cell>
          <cell r="J258" t="str">
            <v>ApplicationAlarm</v>
          </cell>
          <cell r="K258" t="str">
            <v>Severidade 16</v>
          </cell>
          <cell r="L258" t="str">
            <v>Severidade 16</v>
          </cell>
          <cell r="M258" t="b">
            <v>0</v>
          </cell>
        </row>
        <row r="259">
          <cell r="A259" t="str">
            <v>FLISR inhibited VVO Closed Loop</v>
          </cell>
          <cell r="B259" t="str"/>
          <cell r="C259" t="str">
            <v>VVO</v>
          </cell>
          <cell r="D259" t="str">
            <v>DMS_OPS_VVO_INHIBITED</v>
          </cell>
          <cell r="E259" t="b">
            <v>0</v>
          </cell>
          <cell r="F259" t="str">
            <v>O loop fechado do VVO é inibido devido a {0}</v>
          </cell>
          <cell r="G259" t="str"/>
          <cell r="H259">
            <v>0</v>
          </cell>
          <cell r="I259">
            <v>0</v>
          </cell>
          <cell r="J259" t="str">
            <v>ApplicationAlarm</v>
          </cell>
          <cell r="K259" t="str">
            <v>Severidade 10</v>
          </cell>
          <cell r="L259" t="str">
            <v>Severidade 16</v>
          </cell>
          <cell r="M259" t="b">
            <v>0</v>
          </cell>
        </row>
        <row r="260">
          <cell r="A260" t="str">
            <v>FLISR stopped because topology change occurred</v>
          </cell>
          <cell r="B260" t="str"/>
          <cell r="C260" t="str"/>
          <cell r="D260" t="str">
            <v>DMS_OPS_STOP_IF_SWG_DISCR</v>
          </cell>
          <cell r="E260" t="b">
            <v>0</v>
          </cell>
          <cell r="F260" t="str">
            <v>{0} foi interrompido porque ocorreu uma alteração na topologia no alimentador com falha</v>
          </cell>
          <cell r="G260" t="str"/>
          <cell r="H260">
            <v>0</v>
          </cell>
          <cell r="I260">
            <v>0</v>
          </cell>
          <cell r="J260" t="str">
            <v>ApplicationAlarm</v>
          </cell>
          <cell r="K260" t="str">
            <v>Severidade 8</v>
          </cell>
          <cell r="L260" t="str">
            <v>Severidade 16</v>
          </cell>
          <cell r="M260" t="b">
            <v>0</v>
          </cell>
        </row>
        <row r="261">
          <cell r="A261" t="str">
            <v>FLL meshed both breakers trip</v>
          </cell>
          <cell r="B261" t="str"/>
          <cell r="C261" t="str"/>
          <cell r="D261" t="str">
            <v>DMS_OPS_MESHED_FEEDER_FLL_BOTH_TRIP</v>
          </cell>
          <cell r="E261" t="b">
            <v>0</v>
          </cell>
          <cell r="F261" t="str">
            <v>Ambos os disjuntores voltaram a disparar para alimentadores em malha durante a FLL. O FLISR para</v>
          </cell>
          <cell r="G261" t="str"/>
          <cell r="H261">
            <v>0</v>
          </cell>
          <cell r="I261">
            <v>0</v>
          </cell>
          <cell r="J261" t="str">
            <v>ApplicationAlarm</v>
          </cell>
          <cell r="K261" t="str">
            <v>Severidade 10</v>
          </cell>
          <cell r="L261" t="str">
            <v>Severidade 16</v>
          </cell>
          <cell r="M261" t="b">
            <v>0</v>
          </cell>
        </row>
        <row r="262">
          <cell r="A262" t="str">
            <v>Generator active load returned to normal</v>
          </cell>
          <cell r="B262" t="str"/>
          <cell r="C262" t="str"/>
          <cell r="D262" t="str">
            <v>DMS_CFS_PGEN_RTN_VIOLATION</v>
          </cell>
          <cell r="E262" t="b">
            <v>0</v>
          </cell>
          <cell r="F262" t="str">
            <v>Potência ativa do gerador dentro dos limites.</v>
          </cell>
          <cell r="G262" t="str"/>
          <cell r="H262">
            <v>0</v>
          </cell>
          <cell r="I262">
            <v>0</v>
          </cell>
          <cell r="J262" t="str">
            <v>ApplicationAlarm</v>
          </cell>
          <cell r="K262" t="str">
            <v>Severidade 10</v>
          </cell>
          <cell r="L262" t="str">
            <v>Severidade 16</v>
          </cell>
          <cell r="M262" t="b">
            <v>0</v>
          </cell>
        </row>
        <row r="263">
          <cell r="A263" t="str">
            <v>Generator active overload</v>
          </cell>
          <cell r="B263" t="str"/>
          <cell r="C263" t="str"/>
          <cell r="D263" t="str">
            <v>DMS_CFS_PGEN_HI_VIOLATION</v>
          </cell>
          <cell r="E263" t="b">
            <v>0</v>
          </cell>
          <cell r="F263" t="str">
            <v>Potência ativa do gerador acima de {0}.</v>
          </cell>
          <cell r="G263" t="str"/>
          <cell r="H263">
            <v>0</v>
          </cell>
          <cell r="I263">
            <v>0</v>
          </cell>
          <cell r="J263" t="str">
            <v>ApplicationAlarm</v>
          </cell>
          <cell r="K263" t="str">
            <v>Severidade 10</v>
          </cell>
          <cell r="L263" t="str">
            <v>Severidade 16</v>
          </cell>
          <cell r="M263" t="b">
            <v>0</v>
          </cell>
        </row>
        <row r="264">
          <cell r="A264" t="str">
            <v>Generator active underload</v>
          </cell>
          <cell r="B264" t="str"/>
          <cell r="C264" t="str"/>
          <cell r="D264" t="str">
            <v>DMS_CFS_PGEN_LOW_VIOLATION</v>
          </cell>
          <cell r="E264" t="b">
            <v>0</v>
          </cell>
          <cell r="F264" t="str">
            <v>Potência ativa do gerador abaixo de {0}.</v>
          </cell>
          <cell r="G264" t="str"/>
          <cell r="H264">
            <v>0</v>
          </cell>
          <cell r="I264">
            <v>0</v>
          </cell>
          <cell r="J264" t="str">
            <v>ApplicationAlarm</v>
          </cell>
          <cell r="K264" t="str">
            <v>Severidade 10</v>
          </cell>
          <cell r="L264" t="str">
            <v>Severidade 16</v>
          </cell>
          <cell r="M264" t="b">
            <v>0</v>
          </cell>
        </row>
        <row r="265">
          <cell r="A265" t="str">
            <v>Generator connected to a feeder in outage</v>
          </cell>
          <cell r="B265" t="str"/>
          <cell r="C265" t="str"/>
          <cell r="D265" t="str">
            <v>DMS_CFS_GENERATOR_CONNECTED</v>
          </cell>
          <cell r="E265" t="b">
            <v>0</v>
          </cell>
          <cell r="F265" t="str">
            <v>Gerador conectado a um alimentador em queda de energia.</v>
          </cell>
          <cell r="G265" t="str"/>
          <cell r="H265">
            <v>0</v>
          </cell>
          <cell r="I265">
            <v>0</v>
          </cell>
          <cell r="J265" t="str">
            <v>ApplicationAlarm</v>
          </cell>
          <cell r="K265" t="str">
            <v>Severidade 10</v>
          </cell>
          <cell r="L265" t="str">
            <v>Severidade 16</v>
          </cell>
          <cell r="M265" t="b">
            <v>0</v>
          </cell>
        </row>
        <row r="266">
          <cell r="A266" t="str">
            <v>Generator connected to a feeder in outage returned to normal</v>
          </cell>
          <cell r="B266" t="str"/>
          <cell r="C266" t="str"/>
          <cell r="D266" t="str">
            <v>DMS_CFS_GENERATOR_NOT_CONNECTED</v>
          </cell>
          <cell r="E266" t="b">
            <v>0</v>
          </cell>
          <cell r="F266" t="str">
            <v>O gerador não está mais conectado a um alimentador em queda de energia.</v>
          </cell>
          <cell r="G266" t="str"/>
          <cell r="H266">
            <v>0</v>
          </cell>
          <cell r="I266">
            <v>0</v>
          </cell>
          <cell r="J266" t="str">
            <v>ApplicationAlarm</v>
          </cell>
          <cell r="K266" t="str">
            <v>Severidade 10</v>
          </cell>
          <cell r="L266" t="str">
            <v>Severidade 16</v>
          </cell>
          <cell r="M266" t="b">
            <v>0</v>
          </cell>
        </row>
        <row r="267">
          <cell r="A267" t="str">
            <v>Generator has a high lagging power factor</v>
          </cell>
          <cell r="B267" t="str"/>
          <cell r="C267" t="str"/>
          <cell r="D267" t="str">
            <v>DMS_CFS_PF_HIGH_LAG_VIOLATION</v>
          </cell>
          <cell r="E267" t="b">
            <v>0</v>
          </cell>
          <cell r="F267" t="str">
            <v>Fator de potência do gerador acima de {0}.</v>
          </cell>
          <cell r="G267" t="str"/>
          <cell r="H267">
            <v>0</v>
          </cell>
          <cell r="I267">
            <v>0</v>
          </cell>
          <cell r="J267" t="str">
            <v>ApplicationAlarm</v>
          </cell>
          <cell r="K267" t="str">
            <v>Severidade 12</v>
          </cell>
          <cell r="L267" t="str">
            <v>Severidade 16</v>
          </cell>
          <cell r="M267" t="b">
            <v>0</v>
          </cell>
        </row>
        <row r="268">
          <cell r="A268" t="str">
            <v>Generator has a high leading power factor</v>
          </cell>
          <cell r="B268" t="str"/>
          <cell r="C268" t="str"/>
          <cell r="D268" t="str">
            <v>DMS_CFS_PF_HIGH_LEAD_VIOLATION</v>
          </cell>
          <cell r="E268" t="b">
            <v>0</v>
          </cell>
          <cell r="F268" t="str">
            <v>Fator de potência do gerador acima de {0}.</v>
          </cell>
          <cell r="G268" t="str"/>
          <cell r="H268">
            <v>0</v>
          </cell>
          <cell r="I268">
            <v>0</v>
          </cell>
          <cell r="J268" t="str">
            <v>ApplicationAlarm</v>
          </cell>
          <cell r="K268" t="str">
            <v>Severidade 12</v>
          </cell>
          <cell r="L268" t="str">
            <v>Severidade 16</v>
          </cell>
          <cell r="M268" t="b">
            <v>0</v>
          </cell>
        </row>
        <row r="269">
          <cell r="A269" t="str">
            <v>Generator has a low lagging power factor</v>
          </cell>
          <cell r="B269" t="str"/>
          <cell r="C269" t="str"/>
          <cell r="D269" t="str">
            <v>DMS_CFS_PF_LOW_LAG_VIOLATION</v>
          </cell>
          <cell r="E269" t="b">
            <v>0</v>
          </cell>
          <cell r="F269" t="str">
            <v>Fator de potência do gerador abaixo de {0}.</v>
          </cell>
          <cell r="G269" t="str"/>
          <cell r="H269">
            <v>0</v>
          </cell>
          <cell r="I269">
            <v>0</v>
          </cell>
          <cell r="J269" t="str">
            <v>ApplicationAlarm</v>
          </cell>
          <cell r="K269" t="str">
            <v>Severidade 12</v>
          </cell>
          <cell r="L269" t="str">
            <v>Severidade 16</v>
          </cell>
          <cell r="M269" t="b">
            <v>0</v>
          </cell>
        </row>
        <row r="270">
          <cell r="A270" t="str">
            <v>Generator has a low leading power factor</v>
          </cell>
          <cell r="B270" t="str"/>
          <cell r="C270" t="str"/>
          <cell r="D270" t="str">
            <v>DMS_CFS_PF_LOW_LEAD_VIOLATION</v>
          </cell>
          <cell r="E270" t="b">
            <v>0</v>
          </cell>
          <cell r="F270" t="str">
            <v>Fator de potência do gerador abaixo de {0}.</v>
          </cell>
          <cell r="G270" t="str"/>
          <cell r="H270">
            <v>0</v>
          </cell>
          <cell r="I270">
            <v>0</v>
          </cell>
          <cell r="J270" t="str">
            <v>ApplicationAlarm</v>
          </cell>
          <cell r="K270" t="str">
            <v>Severidade 12</v>
          </cell>
          <cell r="L270" t="str">
            <v>Severidade 16</v>
          </cell>
          <cell r="M270" t="b">
            <v>0</v>
          </cell>
        </row>
        <row r="271">
          <cell r="A271" t="str">
            <v>Generator overvoltage</v>
          </cell>
          <cell r="B271" t="str"/>
          <cell r="C271" t="str"/>
          <cell r="D271" t="str">
            <v>DMS_CFS_GEN_OVERVOLTAGE_VIOLATION</v>
          </cell>
          <cell r="E271" t="b">
            <v>0</v>
          </cell>
          <cell r="F271" t="str">
            <v>Tensão do gerador acima de {0}.</v>
          </cell>
          <cell r="G271" t="str"/>
          <cell r="H271">
            <v>0</v>
          </cell>
          <cell r="I271">
            <v>0</v>
          </cell>
          <cell r="J271" t="str">
            <v>ApplicationAlarm</v>
          </cell>
          <cell r="K271" t="str">
            <v>Severidade 15</v>
          </cell>
          <cell r="L271" t="str">
            <v>Severidade 16</v>
          </cell>
          <cell r="M271" t="b">
            <v>0</v>
          </cell>
        </row>
        <row r="272">
          <cell r="A272" t="str">
            <v>Generator overvoltage returned to normal</v>
          </cell>
          <cell r="B272" t="str"/>
          <cell r="C272" t="str"/>
          <cell r="D272" t="str">
            <v>DMS_RTN_VOLTAGE_VIOLATION</v>
          </cell>
          <cell r="E272" t="b">
            <v>0</v>
          </cell>
          <cell r="F272" t="str">
            <v>Tensão do gerador dentro dos limites.</v>
          </cell>
          <cell r="G272" t="str"/>
          <cell r="H272">
            <v>0</v>
          </cell>
          <cell r="I272">
            <v>0</v>
          </cell>
          <cell r="J272" t="str">
            <v>ApplicationAlarm</v>
          </cell>
          <cell r="K272" t="str">
            <v>Severidade 10</v>
          </cell>
          <cell r="L272" t="str">
            <v>Severidade 16</v>
          </cell>
          <cell r="M272" t="b">
            <v>0</v>
          </cell>
        </row>
        <row r="273">
          <cell r="A273" t="str">
            <v>Generator power factor returned to normal</v>
          </cell>
          <cell r="B273" t="str"/>
          <cell r="C273" t="str"/>
          <cell r="D273" t="str">
            <v>DMS_CFS_RTN_PF_VIOLATION</v>
          </cell>
          <cell r="E273" t="b">
            <v>0</v>
          </cell>
          <cell r="F273" t="str">
            <v>Fator de potência do gerador dentro dos limites.</v>
          </cell>
          <cell r="G273" t="str"/>
          <cell r="H273">
            <v>0</v>
          </cell>
          <cell r="I273">
            <v>0</v>
          </cell>
          <cell r="J273" t="str">
            <v>ApplicationAlarm</v>
          </cell>
          <cell r="K273" t="str">
            <v>Severidade 12</v>
          </cell>
          <cell r="L273" t="str">
            <v>Severidade 16</v>
          </cell>
          <cell r="M273" t="b">
            <v>0</v>
          </cell>
        </row>
        <row r="274">
          <cell r="A274" t="str">
            <v>Generator reactive load returned to normal</v>
          </cell>
          <cell r="B274" t="str"/>
          <cell r="C274" t="str"/>
          <cell r="D274" t="str">
            <v>DMS_CFS_QGEN_RTN_VIOLATION</v>
          </cell>
          <cell r="E274" t="b">
            <v>0</v>
          </cell>
          <cell r="F274" t="str">
            <v>Potência reativa do gerador dentro dos limites.</v>
          </cell>
          <cell r="G274" t="str"/>
          <cell r="H274">
            <v>0</v>
          </cell>
          <cell r="I274">
            <v>0</v>
          </cell>
          <cell r="J274" t="str">
            <v>ApplicationAlarm</v>
          </cell>
          <cell r="K274" t="str">
            <v>Severidade 10</v>
          </cell>
          <cell r="L274" t="str">
            <v>Severidade 16</v>
          </cell>
          <cell r="M274" t="b">
            <v>0</v>
          </cell>
        </row>
        <row r="275">
          <cell r="A275" t="str">
            <v>Generator reactive overload</v>
          </cell>
          <cell r="B275" t="str"/>
          <cell r="C275" t="str"/>
          <cell r="D275" t="str">
            <v>DMS_CFS_QGEN_HI_VIOLATION</v>
          </cell>
          <cell r="E275" t="b">
            <v>0</v>
          </cell>
          <cell r="F275" t="str">
            <v>Potência reativa do gerador acima de {0}.</v>
          </cell>
          <cell r="G275" t="str"/>
          <cell r="H275">
            <v>0</v>
          </cell>
          <cell r="I275">
            <v>0</v>
          </cell>
          <cell r="J275" t="str">
            <v>ApplicationAlarm</v>
          </cell>
          <cell r="K275" t="str">
            <v>Severidade 10</v>
          </cell>
          <cell r="L275" t="str">
            <v>Severidade 16</v>
          </cell>
          <cell r="M275" t="b">
            <v>0</v>
          </cell>
        </row>
        <row r="276">
          <cell r="A276" t="str">
            <v>Generator reactive underload</v>
          </cell>
          <cell r="B276" t="str"/>
          <cell r="C276" t="str"/>
          <cell r="D276" t="str">
            <v>DMS_CFS_QGEN_LOW_VIOLATION</v>
          </cell>
          <cell r="E276" t="b">
            <v>0</v>
          </cell>
          <cell r="F276" t="str">
            <v>Potência reativa do gerador abaixo de {0}.</v>
          </cell>
          <cell r="G276" t="str"/>
          <cell r="H276">
            <v>0</v>
          </cell>
          <cell r="I276">
            <v>0</v>
          </cell>
          <cell r="J276" t="str">
            <v>ApplicationAlarm</v>
          </cell>
          <cell r="K276" t="str">
            <v>Severidade 10</v>
          </cell>
          <cell r="L276" t="str">
            <v>Severidade 16</v>
          </cell>
          <cell r="M276" t="b">
            <v>0</v>
          </cell>
        </row>
        <row r="277">
          <cell r="A277" t="str">
            <v>Generator returned to normal</v>
          </cell>
          <cell r="B277" t="str"/>
          <cell r="C277" t="str"/>
          <cell r="D277" t="str">
            <v>GMS_AGC_GENERATOR_FAULT_RTN</v>
          </cell>
          <cell r="E277" t="b">
            <v>1</v>
          </cell>
          <cell r="F277" t="str">
            <v>A unidade geradora não está mais com defeito.</v>
          </cell>
          <cell r="G277" t="str"/>
          <cell r="H277">
            <v>0</v>
          </cell>
          <cell r="I277">
            <v>0</v>
          </cell>
          <cell r="J277" t="str">
            <v>ApplicationAlarm</v>
          </cell>
          <cell r="K277" t="str">
            <v>Severidade 10</v>
          </cell>
          <cell r="L277" t="str">
            <v>Severidade 16</v>
          </cell>
          <cell r="M277" t="b">
            <v>0</v>
          </cell>
        </row>
        <row r="278">
          <cell r="A278" t="str">
            <v>Generator returned to normal_1</v>
          </cell>
          <cell r="B278" t="str"/>
          <cell r="C278" t="str"/>
          <cell r="D278" t="str">
            <v>MGMS_ADC_GENERATOR_FAULT_RTN</v>
          </cell>
          <cell r="E278" t="b">
            <v>1</v>
          </cell>
          <cell r="F278" t="str">
            <v>A unidade geradora não está mais com defeito.</v>
          </cell>
          <cell r="G278" t="str"/>
          <cell r="H278">
            <v>0</v>
          </cell>
          <cell r="I278">
            <v>0</v>
          </cell>
          <cell r="J278" t="str">
            <v>ApplicationAlarm</v>
          </cell>
          <cell r="K278" t="str">
            <v>Severidade 10</v>
          </cell>
          <cell r="L278" t="str">
            <v>Severidade 16</v>
          </cell>
          <cell r="M278" t="b">
            <v>0</v>
          </cell>
        </row>
        <row r="279">
          <cell r="A279" t="str">
            <v>Generator undervoltage</v>
          </cell>
          <cell r="B279" t="str"/>
          <cell r="C279" t="str"/>
          <cell r="D279" t="str">
            <v>DMS_CFS_GEN_UNDERVOLTAGE_VIOLATION</v>
          </cell>
          <cell r="E279" t="b">
            <v>0</v>
          </cell>
          <cell r="F279" t="str">
            <v>Tensão do gerador abaixo de {0}.</v>
          </cell>
          <cell r="G279" t="str"/>
          <cell r="H279">
            <v>0</v>
          </cell>
          <cell r="I279">
            <v>0</v>
          </cell>
          <cell r="J279" t="str">
            <v>ApplicationAlarm</v>
          </cell>
          <cell r="K279" t="str">
            <v>Severidade 15</v>
          </cell>
          <cell r="L279" t="str">
            <v>Severidade 16</v>
          </cell>
          <cell r="M279" t="b">
            <v>0</v>
          </cell>
        </row>
        <row r="280">
          <cell r="A280" t="str">
            <v>Health Monitor Automatic Service Shutdown Failed</v>
          </cell>
          <cell r="B280" t="str"/>
          <cell r="C280" t="str"/>
          <cell r="D280" t="str">
            <v>SYSTEM_HEALTHMONITOR_ARBITRATIONAUTOSHUTDOWNFAILURE_25</v>
          </cell>
          <cell r="E280" t="b">
            <v>0</v>
          </cell>
          <cell r="F280" t="str">
            <v>O desligamento automático falhou no serviço {0} no computador {1}.</v>
          </cell>
          <cell r="G280" t="str"/>
          <cell r="H280">
            <v>0</v>
          </cell>
          <cell r="I280">
            <v>0</v>
          </cell>
          <cell r="J280" t="str">
            <v>SystemAlarm</v>
          </cell>
          <cell r="K280" t="str">
            <v>Severidade 14</v>
          </cell>
          <cell r="L280" t="str">
            <v>Severidade 16</v>
          </cell>
          <cell r="M280" t="b">
            <v>0</v>
          </cell>
        </row>
        <row r="281">
          <cell r="A281" t="str">
            <v>Health Monitor Automatic Service Shutdown Initiated</v>
          </cell>
          <cell r="B281" t="str"/>
          <cell r="C281" t="str"/>
          <cell r="D281" t="str">
            <v>SYSTEM_HEALTHMONITOR_AUTOSHUTDOWN_5</v>
          </cell>
          <cell r="E281" t="b">
            <v>0</v>
          </cell>
          <cell r="F281" t="str">
            <v>Iniciando o desligamento automático para o serviço {0} no computador {1}. (Razão: '{2}').</v>
          </cell>
          <cell r="G281" t="str"/>
          <cell r="H281">
            <v>0</v>
          </cell>
          <cell r="I281">
            <v>0</v>
          </cell>
          <cell r="J281" t="str">
            <v>SystemAlarm</v>
          </cell>
          <cell r="K281" t="str">
            <v>Severidade 14</v>
          </cell>
          <cell r="L281" t="str">
            <v>Severidade 16</v>
          </cell>
          <cell r="M281" t="b">
            <v>0</v>
          </cell>
        </row>
        <row r="282">
          <cell r="A282" t="str">
            <v>Health Monitor Automatic Service Shutdown Request Received No Reason</v>
          </cell>
          <cell r="B282" t="str"/>
          <cell r="C282" t="str"/>
          <cell r="D282" t="str">
            <v>SYSTEM_HEALTHMONITOR_EMERGENCYNOREASON_12</v>
          </cell>
          <cell r="E282" t="b">
            <v>0</v>
          </cell>
          <cell r="F282" t="str">
            <v>Solicitação automática recebida para encerrar o serviço {0} no computador {1}. Nenhuma explicação detalhada fornecida, consulte o log para obter detalhes (tópico de encerramento de emergência '{2}').</v>
          </cell>
          <cell r="G282" t="str"/>
          <cell r="H282">
            <v>0</v>
          </cell>
          <cell r="I282">
            <v>0</v>
          </cell>
          <cell r="J282" t="str">
            <v>SystemAlarm</v>
          </cell>
          <cell r="K282" t="str">
            <v>Severidade 14</v>
          </cell>
          <cell r="L282" t="str">
            <v>Severidade 16</v>
          </cell>
          <cell r="M282" t="b">
            <v>0</v>
          </cell>
        </row>
        <row r="283">
          <cell r="A283" t="str">
            <v>Health Monitor Automatic Service Shutdown Request Received With Reason</v>
          </cell>
          <cell r="B283" t="str"/>
          <cell r="C283" t="str"/>
          <cell r="D283" t="str">
            <v>SYSTEM_HEALTHMONITOR_EMERGENCYWITHREASON_18</v>
          </cell>
          <cell r="E283" t="b">
            <v>0</v>
          </cell>
          <cell r="F283" t="str">
            <v>Solicitação automática recebida para encerrar o serviço {0} no computador {1}. Explicação fornecida '{2}' (tópico relacionado '{3}').</v>
          </cell>
          <cell r="G283" t="str"/>
          <cell r="H283">
            <v>0</v>
          </cell>
          <cell r="I283">
            <v>0</v>
          </cell>
          <cell r="J283" t="str">
            <v>SystemAlarm</v>
          </cell>
          <cell r="K283" t="str">
            <v>Severidade 14</v>
          </cell>
          <cell r="L283" t="str">
            <v>Severidade 16</v>
          </cell>
          <cell r="M283" t="b">
            <v>0</v>
          </cell>
        </row>
        <row r="284">
          <cell r="A284" t="str">
            <v>Health Monitor Automatic Service Shutdown Succeeded</v>
          </cell>
          <cell r="B284" t="str"/>
          <cell r="C284" t="str"/>
          <cell r="D284" t="str">
            <v>SYSTEM_HEALTHMONITOR_ARBITRATIONAUTOSHUTDOWNSUCCESS_24</v>
          </cell>
          <cell r="E284" t="b">
            <v>0</v>
          </cell>
          <cell r="F284" t="str">
            <v>Encerramento automático bem-sucedido para o serviço {0} no computador {1}.</v>
          </cell>
          <cell r="G284" t="str"/>
          <cell r="H284">
            <v>0</v>
          </cell>
          <cell r="I284">
            <v>0</v>
          </cell>
          <cell r="J284" t="str">
            <v>SystemAlarm</v>
          </cell>
          <cell r="K284" t="str">
            <v>Severidade 14</v>
          </cell>
          <cell r="L284" t="str">
            <v>Severidade 16</v>
          </cell>
          <cell r="M284" t="b">
            <v>0</v>
          </cell>
        </row>
        <row r="285">
          <cell r="A285" t="str">
            <v>Health Monitor Error Message</v>
          </cell>
          <cell r="B285" t="str"/>
          <cell r="C285" t="str"/>
          <cell r="D285" t="str">
            <v>SYSTEM_HEALTHMONITOR_HEALTHSTATE_0</v>
          </cell>
          <cell r="E285" t="b">
            <v>0</v>
          </cell>
          <cell r="F285" t="str">
            <v>{0}</v>
          </cell>
          <cell r="G285" t="str"/>
          <cell r="H285">
            <v>0</v>
          </cell>
          <cell r="I285">
            <v>0</v>
          </cell>
          <cell r="J285" t="str">
            <v>SystemAlarm</v>
          </cell>
          <cell r="K285" t="str">
            <v>Severidade 14</v>
          </cell>
          <cell r="L285" t="str">
            <v>Severidade 16</v>
          </cell>
          <cell r="M285" t="b">
            <v>0</v>
          </cell>
        </row>
        <row r="286">
          <cell r="A286" t="str">
            <v>Health Monitor Failover Before Shutdown</v>
          </cell>
          <cell r="B286" t="str"/>
          <cell r="C286" t="str"/>
          <cell r="D286" t="str">
            <v>SYSTEM_HEALTHMONITOR_ARBITRATIONAUTOFAILOVER_8</v>
          </cell>
          <cell r="E286" t="b">
            <v>1</v>
          </cell>
          <cell r="F286" t="str">
            <v>Falha no serviço {0} no computador {1} antes de iniciar um desligamento.</v>
          </cell>
          <cell r="G286" t="str"/>
          <cell r="H286">
            <v>0</v>
          </cell>
          <cell r="I286">
            <v>0</v>
          </cell>
          <cell r="J286" t="str">
            <v>SystemAlarm</v>
          </cell>
          <cell r="K286" t="str">
            <v>Severidade 14</v>
          </cell>
          <cell r="L286" t="str">
            <v>Severidade 16</v>
          </cell>
          <cell r="M286" t="b">
            <v>0</v>
          </cell>
        </row>
        <row r="287">
          <cell r="A287" t="str">
            <v>Health Monitor Failover Failed Proceed Shutdown</v>
          </cell>
          <cell r="B287" t="str"/>
          <cell r="C287" t="str"/>
          <cell r="D287" t="str">
            <v>SYSTEM_HEALTHMONITOR_ARBITRATIONFAILOVERFAILED_9</v>
          </cell>
          <cell r="E287" t="b">
            <v>1</v>
          </cell>
          <cell r="F287" t="str">
            <v>O failover do serviço {0} no computador {1} não foi concluído, mas a espera está disponível. Prosseguindo com o desligamento.</v>
          </cell>
          <cell r="G287" t="str"/>
          <cell r="H287">
            <v>0</v>
          </cell>
          <cell r="I287">
            <v>0</v>
          </cell>
          <cell r="J287" t="str">
            <v>SystemAlarm</v>
          </cell>
          <cell r="K287" t="str">
            <v>Severidade 14</v>
          </cell>
          <cell r="L287" t="str">
            <v>Severidade 16</v>
          </cell>
          <cell r="M287" t="b">
            <v>0</v>
          </cell>
        </row>
        <row r="288">
          <cell r="A288" t="str">
            <v>Health Monitor Failover Succeeded</v>
          </cell>
          <cell r="B288" t="str"/>
          <cell r="C288" t="str"/>
          <cell r="D288" t="str">
            <v>SYSTEM_HEALTHMONITOR_ARBITRATIONFAILOVERSUCCESS_10</v>
          </cell>
          <cell r="E288" t="b">
            <v>1</v>
          </cell>
          <cell r="F288" t="str">
            <v>O failover do serviço {0} no computador {1} foi bem-sucedido. Prosseguindo com o desligamento.</v>
          </cell>
          <cell r="G288" t="str"/>
          <cell r="H288">
            <v>0</v>
          </cell>
          <cell r="I288">
            <v>0</v>
          </cell>
          <cell r="J288" t="str">
            <v>SystemAlarm</v>
          </cell>
          <cell r="K288" t="str">
            <v>Severidade 14</v>
          </cell>
          <cell r="L288" t="str">
            <v>Severidade 16</v>
          </cell>
          <cell r="M288" t="b">
            <v>0</v>
          </cell>
        </row>
        <row r="289">
          <cell r="A289" t="str">
            <v>Health Monitor Process Monitor Dead</v>
          </cell>
          <cell r="B289" t="str"/>
          <cell r="C289" t="str"/>
          <cell r="D289" t="str">
            <v>SYSTEM_HEALTHMONITOR_EMERGENCYPROCESSMONITORDEAD_16</v>
          </cell>
          <cell r="E289" t="b">
            <v>0</v>
          </cell>
          <cell r="F289" t="str">
            <v>O ProcessMonitor associado ao serviço {0} no computador {1} está morto. Colocando o serviço em uma condição de desligamento.</v>
          </cell>
          <cell r="G289" t="str"/>
          <cell r="H289">
            <v>0</v>
          </cell>
          <cell r="I289">
            <v>0</v>
          </cell>
          <cell r="J289" t="str">
            <v>SystemAlarm</v>
          </cell>
          <cell r="K289" t="str">
            <v>Severidade 14</v>
          </cell>
          <cell r="L289" t="str">
            <v>Severidade 16</v>
          </cell>
          <cell r="M289" t="b">
            <v>0</v>
          </cell>
        </row>
        <row r="290">
          <cell r="A290" t="str">
            <v>Health Monitor Service And Dependant Services In Shutdown Condition</v>
          </cell>
          <cell r="B290" t="str"/>
          <cell r="C290" t="str"/>
          <cell r="D290" t="str">
            <v>SYSTEM_HEALTHMONITOR_SHUTDOWNEVENT_20</v>
          </cell>
          <cell r="E290" t="b">
            <v>0</v>
          </cell>
          <cell r="F290" t="str">
            <v>O serviço {0} e todos os seus serviços dependentes ({1}) no computador {2} estão agora em uma condição de desligamento. Esses serviços serão encerrados na primeira chance disponível.</v>
          </cell>
          <cell r="G290" t="str"/>
          <cell r="H290">
            <v>0</v>
          </cell>
          <cell r="I290">
            <v>0</v>
          </cell>
          <cell r="J290" t="str">
            <v>SystemAlarm</v>
          </cell>
          <cell r="K290" t="str">
            <v>Severidade 14</v>
          </cell>
          <cell r="L290" t="str">
            <v>Severidade 16</v>
          </cell>
          <cell r="M290" t="b">
            <v>0</v>
          </cell>
        </row>
        <row r="291">
          <cell r="A291" t="str">
            <v>Health Monitor Service And Dependant Services Not In Shutdown Condition</v>
          </cell>
          <cell r="B291" t="str"/>
          <cell r="C291" t="str"/>
          <cell r="D291" t="str">
            <v>SYSTEM_HEALTHMONITOR_SHUTDOWNEVENT_19</v>
          </cell>
          <cell r="E291" t="b">
            <v>0</v>
          </cell>
          <cell r="F291" t="str">
            <v>O serviço {0} no computador {1} não está mais em uma condição de desligamento. Os seguintes serviços dependentes não serão mais afetados por essa condição: {2}</v>
          </cell>
          <cell r="G291" t="str"/>
          <cell r="H291">
            <v>0</v>
          </cell>
          <cell r="I291">
            <v>0</v>
          </cell>
          <cell r="J291" t="str">
            <v>SystemAlarm</v>
          </cell>
          <cell r="K291" t="str">
            <v>Severidade 14</v>
          </cell>
          <cell r="L291" t="str">
            <v>Severidade 16</v>
          </cell>
          <cell r="M291" t="b">
            <v>0</v>
          </cell>
        </row>
        <row r="292">
          <cell r="A292" t="str">
            <v>Health Monitor Service In Shutdown Condition</v>
          </cell>
          <cell r="B292" t="str"/>
          <cell r="C292" t="str"/>
          <cell r="D292" t="str">
            <v>SYSTEM_HEALTHMONITOR_SHUTDOWNEVENT_1</v>
          </cell>
          <cell r="E292" t="b">
            <v>0</v>
          </cell>
          <cell r="F292" t="str">
            <v>O serviço {0} no computador {1} está agora em uma condição de desligamento. O serviço será encerrado na primeira chance disponível.</v>
          </cell>
          <cell r="G292" t="str"/>
          <cell r="H292">
            <v>0</v>
          </cell>
          <cell r="I292">
            <v>0</v>
          </cell>
          <cell r="J292" t="str">
            <v>SystemAlarm</v>
          </cell>
          <cell r="K292" t="str">
            <v>Severidade 14</v>
          </cell>
          <cell r="L292" t="str">
            <v>Severidade 16</v>
          </cell>
          <cell r="M292" t="b">
            <v>0</v>
          </cell>
        </row>
        <row r="293">
          <cell r="A293" t="str">
            <v>Health Monitor Service Not In Shutdown Condition</v>
          </cell>
          <cell r="B293" t="str"/>
          <cell r="C293" t="str"/>
          <cell r="D293" t="str">
            <v>SYSTEM_HEALTHMONITOR_SHUTDOWNEVENT_2</v>
          </cell>
          <cell r="E293" t="b">
            <v>0</v>
          </cell>
          <cell r="F293" t="str">
            <v>O serviço {0} no computador {1} não está mais em uma condição de desligamento.</v>
          </cell>
          <cell r="G293" t="str"/>
          <cell r="H293">
            <v>0</v>
          </cell>
          <cell r="I293">
            <v>0</v>
          </cell>
          <cell r="J293" t="str">
            <v>SystemAlarm</v>
          </cell>
          <cell r="K293" t="str">
            <v>Severidade 14</v>
          </cell>
          <cell r="L293" t="str">
            <v>Severidade 16</v>
          </cell>
          <cell r="M293" t="b">
            <v>0</v>
          </cell>
        </row>
        <row r="294">
          <cell r="A294" t="str">
            <v>Health Monitor Service Shutdown Condition Cleared</v>
          </cell>
          <cell r="B294" t="str"/>
          <cell r="C294" t="str"/>
          <cell r="D294" t="str">
            <v>SYSTEM_HEALTHMONITOR_CLEARFAILSHUTDOWN_4</v>
          </cell>
          <cell r="E294" t="b">
            <v>0</v>
          </cell>
          <cell r="F294" t="str">
            <v>A condição de desligamento {0} foi limpa para o serviço {1} no computador {2}.</v>
          </cell>
          <cell r="G294" t="str"/>
          <cell r="H294">
            <v>0</v>
          </cell>
          <cell r="I294">
            <v>0</v>
          </cell>
          <cell r="J294" t="str">
            <v>SystemAlarm</v>
          </cell>
          <cell r="K294" t="str">
            <v>Severidade 14</v>
          </cell>
          <cell r="L294" t="str">
            <v>Severidade 16</v>
          </cell>
          <cell r="M294" t="b">
            <v>0</v>
          </cell>
        </row>
        <row r="295">
          <cell r="A295" t="str">
            <v>Health Monitor Service Shutdown Requested</v>
          </cell>
          <cell r="B295" t="str"/>
          <cell r="C295" t="str"/>
          <cell r="D295" t="str">
            <v>SYSTEM_HEALTHMONITOR_SETFAILNOREASON_3</v>
          </cell>
          <cell r="E295" t="b">
            <v>0</v>
          </cell>
          <cell r="F295" t="str">
            <v>O Health Monitor recebeu uma solicitação de {0} para encerrar o serviço {1} no computador {2}.</v>
          </cell>
          <cell r="G295" t="str"/>
          <cell r="H295">
            <v>0</v>
          </cell>
          <cell r="I295">
            <v>0</v>
          </cell>
          <cell r="J295" t="str">
            <v>SystemAlarm</v>
          </cell>
          <cell r="K295" t="str">
            <v>Severidade 14</v>
          </cell>
          <cell r="L295" t="str">
            <v>Severidade 16</v>
          </cell>
          <cell r="M295" t="b">
            <v>0</v>
          </cell>
        </row>
        <row r="296">
          <cell r="A296" t="str">
            <v>Health Monitor Service Warning</v>
          </cell>
          <cell r="B296" t="str"/>
          <cell r="C296" t="str"/>
          <cell r="D296" t="str">
            <v>SYSTEM_HEALTHMONITOR_SETWARNINGNOREASON_13</v>
          </cell>
          <cell r="E296" t="b">
            <v>0</v>
          </cell>
          <cell r="F296" t="str">
            <v>O Health Monitor recebeu uma notificação de aviso de {0} para o serviço {1} no computador {2}.</v>
          </cell>
          <cell r="G296" t="str"/>
          <cell r="H296">
            <v>0</v>
          </cell>
          <cell r="I296">
            <v>0</v>
          </cell>
          <cell r="J296" t="str">
            <v>SystemAlarm</v>
          </cell>
          <cell r="K296" t="str">
            <v>Severidade 14</v>
          </cell>
          <cell r="L296" t="str">
            <v>Severidade 16</v>
          </cell>
          <cell r="M296" t="b">
            <v>0</v>
          </cell>
        </row>
        <row r="297">
          <cell r="A297" t="str">
            <v>Health Monitor Service Warning Cleared</v>
          </cell>
          <cell r="B297" t="str"/>
          <cell r="C297" t="str"/>
          <cell r="D297" t="str">
            <v>SYSTEM_HEALTHMONITOR_CLEARWARNING_14</v>
          </cell>
          <cell r="E297" t="b">
            <v>0</v>
          </cell>
          <cell r="F297" t="str">
            <v>A condição de aviso {0} foi limpa para o serviço {1} no computador {2}.</v>
          </cell>
          <cell r="G297" t="str"/>
          <cell r="H297">
            <v>0</v>
          </cell>
          <cell r="I297">
            <v>0</v>
          </cell>
          <cell r="J297" t="str">
            <v>SystemAlarm</v>
          </cell>
          <cell r="K297" t="str">
            <v>Severidade 14</v>
          </cell>
          <cell r="L297" t="str">
            <v>Severidade 16</v>
          </cell>
          <cell r="M297" t="b">
            <v>0</v>
          </cell>
        </row>
        <row r="298">
          <cell r="A298" t="str">
            <v>Health Monitor Shutdown Failed Dependant Services Running</v>
          </cell>
          <cell r="B298" t="str"/>
          <cell r="C298" t="str"/>
          <cell r="D298" t="str">
            <v>SYSTEM_HEALTHMONITOR_ARBITRATIONDEPENDENTNONOASYSDNASERVICE_23</v>
          </cell>
          <cell r="E298" t="b">
            <v>0</v>
          </cell>
          <cell r="F298" t="str">
            <v>Tentativa de desligar o serviço {0} no computador {1} falhou porque os seguintes serviços dependentes do Windows ({2}) ainda estão em execução. Você deve desligá-los manualmente antes que o desligamento automático possa continuar.</v>
          </cell>
          <cell r="G298" t="str"/>
          <cell r="H298">
            <v>0</v>
          </cell>
          <cell r="I298">
            <v>0</v>
          </cell>
          <cell r="J298" t="str">
            <v>SystemAlarm</v>
          </cell>
          <cell r="K298" t="str">
            <v>Severidade 14</v>
          </cell>
          <cell r="L298" t="str">
            <v>Severidade 16</v>
          </cell>
          <cell r="M298" t="b">
            <v>0</v>
          </cell>
        </row>
        <row r="299">
          <cell r="A299" t="str">
            <v>Health Monitor Shutdown Failed No Partner</v>
          </cell>
          <cell r="B299" t="str"/>
          <cell r="C299" t="str"/>
          <cell r="D299" t="str">
            <v>SYSTEM_HEALTHMONITOR_ARBITRATIONNOPARTNER_6</v>
          </cell>
          <cell r="E299" t="b">
            <v>0</v>
          </cell>
          <cell r="F299" t="str">
            <v>Tentativa de desligar o serviço {0} no computador {1} falhou porque não há máquina parceira.</v>
          </cell>
          <cell r="G299" t="str"/>
          <cell r="H299">
            <v>0</v>
          </cell>
          <cell r="I299">
            <v>0</v>
          </cell>
          <cell r="J299" t="str">
            <v>SystemAlarm</v>
          </cell>
          <cell r="K299" t="str">
            <v>Severidade 14</v>
          </cell>
          <cell r="L299" t="str">
            <v>Severidade 16</v>
          </cell>
          <cell r="M299" t="b">
            <v>0</v>
          </cell>
        </row>
        <row r="300">
          <cell r="A300" t="str">
            <v>Health Monitor Shutdown Failed No Standby</v>
          </cell>
          <cell r="B300" t="str"/>
          <cell r="C300" t="str"/>
          <cell r="D300" t="str">
            <v>SYSTEM_HEALTHMONITOR_ARBITRATIONNOSTANDBY_7</v>
          </cell>
          <cell r="E300" t="b">
            <v>0</v>
          </cell>
          <cell r="F300" t="str">
            <v>Tentativa de desligar o serviço {0} no computador {1} falhou porque o modo de espera não está disponível.</v>
          </cell>
          <cell r="G300" t="str"/>
          <cell r="H300">
            <v>0</v>
          </cell>
          <cell r="I300">
            <v>0</v>
          </cell>
          <cell r="J300" t="str">
            <v>SystemAlarm</v>
          </cell>
          <cell r="K300" t="str">
            <v>Severidade 14</v>
          </cell>
          <cell r="L300" t="str">
            <v>Severidade 16</v>
          </cell>
          <cell r="M300" t="b">
            <v>0</v>
          </cell>
        </row>
        <row r="301">
          <cell r="A301" t="str">
            <v>Health Monitor Shutdown Failed Service Busy</v>
          </cell>
          <cell r="B301" t="str"/>
          <cell r="C301" t="str"/>
          <cell r="D301" t="str">
            <v>SYSTEM_HEALTHMONITOR_ARBITRATIONSERVICEBUSY_15</v>
          </cell>
          <cell r="E301" t="b">
            <v>0</v>
          </cell>
          <cell r="F301" t="str">
            <v>Tentativa de desligar o serviço {0} no computador {1} falhou porque o serviço está ocupado no momento (Estado = {2}).</v>
          </cell>
          <cell r="G301" t="str"/>
          <cell r="H301">
            <v>0</v>
          </cell>
          <cell r="I301">
            <v>0</v>
          </cell>
          <cell r="J301" t="str">
            <v>SystemAlarm</v>
          </cell>
          <cell r="K301" t="str">
            <v>Severidade 14</v>
          </cell>
          <cell r="L301" t="str">
            <v>Severidade 16</v>
          </cell>
          <cell r="M301" t="b">
            <v>0</v>
          </cell>
        </row>
        <row r="302">
          <cell r="A302" t="str">
            <v>Health Monitor Specific Shutdown Conditions Cleared</v>
          </cell>
          <cell r="B302" t="str"/>
          <cell r="C302" t="str"/>
          <cell r="D302" t="str">
            <v>SYSTEM_HEALTHMONITOR_SHUTDOWNEVENT_21</v>
          </cell>
          <cell r="E302" t="b">
            <v>0</v>
          </cell>
          <cell r="F302" t="str">
            <v>O serviço {0} no computador {1} foi limpo de todas as condições de desligamento específicas do serviço, no entanto, uma condição de desligamento ainda existe porque um ou mais serviços pai ainda estão em uma condição de desligamento.</v>
          </cell>
          <cell r="G302" t="str"/>
          <cell r="H302">
            <v>0</v>
          </cell>
          <cell r="I302">
            <v>0</v>
          </cell>
          <cell r="J302" t="str">
            <v>SystemAlarm</v>
          </cell>
          <cell r="K302" t="str">
            <v>Severidade 14</v>
          </cell>
          <cell r="L302" t="str">
            <v>Severidade 16</v>
          </cell>
          <cell r="M302" t="b">
            <v>0</v>
          </cell>
        </row>
        <row r="303">
          <cell r="A303" t="str">
            <v>Health Monitor TRAP Device Failure</v>
          </cell>
          <cell r="B303" t="str"/>
          <cell r="C303" t="str"/>
          <cell r="D303" t="str">
            <v>SYSTEM_HEALTHMONITOR_TRAPDEVICEMESSAGE_23</v>
          </cell>
          <cell r="E303" t="b">
            <v>0</v>
          </cell>
          <cell r="F303" t="str">
            <v>Mensagem TRAP recebida. Dispositivo: {0}. Mensagem: {1}</v>
          </cell>
          <cell r="G303" t="str"/>
          <cell r="H303">
            <v>0</v>
          </cell>
          <cell r="I303">
            <v>0</v>
          </cell>
          <cell r="J303" t="str">
            <v>SystemAlarm</v>
          </cell>
          <cell r="K303" t="str">
            <v>Severidade 14</v>
          </cell>
          <cell r="L303" t="str">
            <v>Severidade 16</v>
          </cell>
          <cell r="M303" t="b">
            <v>0</v>
          </cell>
        </row>
        <row r="304">
          <cell r="A304" t="str">
            <v>HighTopologyProcessingLatency</v>
          </cell>
          <cell r="B304" t="str"/>
          <cell r="C304" t="str"/>
          <cell r="D304" t="str">
            <v>DMS_MTS_HIGHACTIVITYMODE</v>
          </cell>
          <cell r="E304" t="b">
            <v>0</v>
          </cell>
          <cell r="F304" t="str">
            <v>Alta atividade de comutação é detectada. Para melhorar a resposta do sistema, interrupções recentes de curta duração podem não ter sido registradas.</v>
          </cell>
          <cell r="G304" t="str"/>
          <cell r="H304">
            <v>0</v>
          </cell>
          <cell r="I304">
            <v>0</v>
          </cell>
          <cell r="J304" t="str">
            <v>ApplicationAlarm</v>
          </cell>
          <cell r="K304" t="str">
            <v>Severidade 10</v>
          </cell>
          <cell r="L304" t="str">
            <v>Severidade 16</v>
          </cell>
          <cell r="M304" t="b">
            <v>0</v>
          </cell>
        </row>
        <row r="305">
          <cell r="A305" t="str">
            <v>ICCP Block 4 plugin failure</v>
          </cell>
          <cell r="B305" t="str"/>
          <cell r="C305" t="str"/>
          <cell r="D305" t="str">
            <v>ICCP_BLOCK4_PLUGIN_FAILURE</v>
          </cell>
          <cell r="E305" t="b">
            <v>1</v>
          </cell>
          <cell r="F305" t="str">
            <v>O plug-in do bloco 4 do ICCP '{0}' falhou ao processar a mensagem recebida.</v>
          </cell>
          <cell r="G305" t="str"/>
          <cell r="H305">
            <v>0</v>
          </cell>
          <cell r="I305">
            <v>0</v>
          </cell>
          <cell r="J305" t="str">
            <v>ApplicationAlarm</v>
          </cell>
          <cell r="K305" t="str">
            <v>Severidade 16</v>
          </cell>
          <cell r="L305" t="str">
            <v>Severidade 16</v>
          </cell>
          <cell r="M305" t="b">
            <v>0</v>
          </cell>
        </row>
        <row r="306">
          <cell r="A306" t="str">
            <v>ICCP Secure Failure</v>
          </cell>
          <cell r="B306" t="str"/>
          <cell r="C306" t="str"/>
          <cell r="D306" t="str">
            <v>ICCP_SECURE_FAILURE</v>
          </cell>
          <cell r="E306" t="b">
            <v>1</v>
          </cell>
          <cell r="F306" t="str">
            <v>Ocorreu uma violação segura do ICCP (ID do evento: {0}). Verifique os detalhes para obter mais informações.</v>
          </cell>
          <cell r="G306" t="str"/>
          <cell r="H306">
            <v>0</v>
          </cell>
          <cell r="I306">
            <v>0</v>
          </cell>
          <cell r="J306" t="str">
            <v>ApplicationAlarm</v>
          </cell>
          <cell r="K306" t="str">
            <v>Severidade 16</v>
          </cell>
          <cell r="L306" t="str">
            <v>Severidade 16</v>
          </cell>
          <cell r="M306" t="b">
            <v>0</v>
          </cell>
        </row>
        <row r="307">
          <cell r="A307" t="str">
            <v>Inadequate protection settings</v>
          </cell>
          <cell r="B307" t="str"/>
          <cell r="C307" t="str"/>
          <cell r="D307" t="str">
            <v>DMS_CFS_PE_BAD_SETTING</v>
          </cell>
          <cell r="E307" t="b">
            <v>0</v>
          </cell>
          <cell r="F307" t="str">
            <v>A configuração de proteção do dispositivo não é adequada.</v>
          </cell>
          <cell r="G307" t="str"/>
          <cell r="H307">
            <v>0</v>
          </cell>
          <cell r="I307">
            <v>0</v>
          </cell>
          <cell r="J307" t="str">
            <v>ApplicationAlarm</v>
          </cell>
          <cell r="K307" t="str">
            <v>Severidade 10</v>
          </cell>
          <cell r="L307" t="str">
            <v>Severidade 16</v>
          </cell>
          <cell r="M307" t="b">
            <v>0</v>
          </cell>
        </row>
        <row r="308">
          <cell r="A308" t="str">
            <v>Incident affecting predefined load</v>
          </cell>
          <cell r="B308" t="str"/>
          <cell r="C308" t="str"/>
          <cell r="D308" t="str">
            <v>OMS_ALARM_HIGH_AFFECTED_LOAD_INC_CREATED</v>
          </cell>
          <cell r="E308" t="b">
            <v>0</v>
          </cell>
          <cell r="F308" t="str">
            <v>Um incidente {0} com mais de {1} kW de carga afetada criado []</v>
          </cell>
          <cell r="G308" t="str"/>
          <cell r="H308">
            <v>0</v>
          </cell>
          <cell r="I308">
            <v>0</v>
          </cell>
          <cell r="J308" t="str">
            <v>ApplicationAlarm</v>
          </cell>
          <cell r="K308" t="str">
            <v>Severidade 10</v>
          </cell>
          <cell r="L308" t="str">
            <v>Severidade 16</v>
          </cell>
          <cell r="M308" t="b">
            <v>0</v>
          </cell>
        </row>
        <row r="309">
          <cell r="A309" t="str">
            <v>Incident created from SCADA</v>
          </cell>
          <cell r="B309" t="str"/>
          <cell r="C309" t="str">
            <v>ALOS</v>
          </cell>
          <cell r="D309" t="str">
            <v>OMS_ALARM_INC_CREATED_ON_TRIP_SCADA_DEV</v>
          </cell>
          <cell r="E309" t="b">
            <v>0</v>
          </cell>
          <cell r="F309" t="str">
            <v>ALOS - {0} gerada por dispositivo SCADA []</v>
          </cell>
          <cell r="G309" t="str"/>
          <cell r="H309">
            <v>0</v>
          </cell>
          <cell r="I309">
            <v>0</v>
          </cell>
          <cell r="J309" t="str">
            <v>ApplicationAlarm</v>
          </cell>
          <cell r="K309" t="str">
            <v>Severidade 6</v>
          </cell>
          <cell r="L309" t="str">
            <v>Severidade 16</v>
          </cell>
          <cell r="M309" t="b">
            <v>0</v>
          </cell>
        </row>
        <row r="310">
          <cell r="A310" t="str">
            <v>Incident ETR aproaching</v>
          </cell>
          <cell r="B310" t="str"/>
          <cell r="C310" t="str"/>
          <cell r="D310" t="str">
            <v>OMS_ALARM_INCIDENT_ETR_APPROACHING</v>
          </cell>
          <cell r="E310" t="b">
            <v>0</v>
          </cell>
          <cell r="F310" t="str">
            <v>Incidente {0} ETR {1} se aproximando em {2} minutos</v>
          </cell>
          <cell r="G310" t="str"/>
          <cell r="H310">
            <v>0</v>
          </cell>
          <cell r="I310">
            <v>0</v>
          </cell>
          <cell r="J310" t="str">
            <v>ApplicationAlarm</v>
          </cell>
          <cell r="K310" t="str">
            <v>Severidade 10</v>
          </cell>
          <cell r="L310" t="str">
            <v>Severidade 16</v>
          </cell>
          <cell r="M310" t="b">
            <v>0</v>
          </cell>
        </row>
        <row r="311">
          <cell r="A311" t="str">
            <v>Incident ETR passed</v>
          </cell>
          <cell r="B311" t="str"/>
          <cell r="C311" t="str"/>
          <cell r="D311" t="str">
            <v>OMS_ALARM_INCIDENT_ETR_PASSED</v>
          </cell>
          <cell r="E311" t="b">
            <v>0</v>
          </cell>
          <cell r="F311" t="str">
            <v>Incidente {0} previsão de atendimento {1} ultrapassou</v>
          </cell>
          <cell r="G311" t="str"/>
          <cell r="H311">
            <v>0</v>
          </cell>
          <cell r="I311">
            <v>0</v>
          </cell>
          <cell r="J311" t="str">
            <v>ApplicationAlarm</v>
          </cell>
          <cell r="K311" t="str">
            <v>Severidade 10</v>
          </cell>
          <cell r="L311" t="str">
            <v>Severidade 16</v>
          </cell>
          <cell r="M311" t="b">
            <v>0</v>
          </cell>
        </row>
        <row r="312">
          <cell r="A312" t="str">
            <v>Incident is lasting too long</v>
          </cell>
          <cell r="B312" t="str"/>
          <cell r="C312" t="str"/>
          <cell r="D312" t="str">
            <v>OMS_ALARM_INCIDENT_DURATION_IS_LONG</v>
          </cell>
          <cell r="E312" t="b">
            <v>0</v>
          </cell>
          <cell r="F312" t="str">
            <v>{0} a duração do incidente é superior a {1} horas</v>
          </cell>
          <cell r="G312" t="str"/>
          <cell r="H312">
            <v>0</v>
          </cell>
          <cell r="I312">
            <v>0</v>
          </cell>
          <cell r="J312" t="str">
            <v>ApplicationAlarm</v>
          </cell>
          <cell r="K312" t="str">
            <v>Severidade 14</v>
          </cell>
          <cell r="L312" t="str">
            <v>Severidade 16</v>
          </cell>
          <cell r="M312" t="b">
            <v>0</v>
          </cell>
        </row>
        <row r="313">
          <cell r="A313" t="str">
            <v>Incident with critical load/number of customers</v>
          </cell>
          <cell r="B313" t="str"/>
          <cell r="C313" t="str"/>
          <cell r="D313" t="str">
            <v>OMS_ALARM_HIGH_CRITICAL_LOAD_AND_NUM_CUST_INC</v>
          </cell>
          <cell r="E313" t="b">
            <v>0</v>
          </cell>
          <cell r="F313" t="str">
            <v>Ocorreu um incidente {0} que afeta mais de {1} clientes críticos ou carga crítica de {2} kW []</v>
          </cell>
          <cell r="G313" t="str"/>
          <cell r="H313">
            <v>0</v>
          </cell>
          <cell r="I313">
            <v>0</v>
          </cell>
          <cell r="J313" t="str">
            <v>ApplicationAlarm</v>
          </cell>
          <cell r="K313" t="str">
            <v>Severidade 10</v>
          </cell>
          <cell r="L313" t="str">
            <v>Severidade 16</v>
          </cell>
          <cell r="M313" t="b">
            <v>0</v>
          </cell>
        </row>
        <row r="314">
          <cell r="A314" t="str">
            <v>Initialization sequence failed</v>
          </cell>
          <cell r="B314" t="str"/>
          <cell r="C314" t="str"/>
          <cell r="D314" t="str">
            <v>FEP_INIT_SEQUENCE_FAILED</v>
          </cell>
          <cell r="E314" t="b">
            <v>0</v>
          </cell>
          <cell r="F314" t="str">
            <v>Falha na execução do comando da sequência de inicialização. Tipo de comando: {0}, Motivo: {1}.</v>
          </cell>
          <cell r="G314" t="str"/>
          <cell r="H314">
            <v>0</v>
          </cell>
          <cell r="I314">
            <v>0</v>
          </cell>
          <cell r="J314" t="str">
            <v>ApplicationAlarm</v>
          </cell>
          <cell r="K314" t="str">
            <v>Severidade 9</v>
          </cell>
          <cell r="L314" t="str">
            <v>Severidade 16</v>
          </cell>
          <cell r="M314" t="b">
            <v>0</v>
          </cell>
        </row>
        <row r="315">
          <cell r="A315" t="str">
            <v>Initialization sequence failed a preconfigured number of times</v>
          </cell>
          <cell r="B315" t="str"/>
          <cell r="C315" t="str">
            <v>UTRNR</v>
          </cell>
          <cell r="D315" t="str">
            <v>FEP_INIT_SEQUENCE_FAILED_PRECONF_NUMBER_OF_TIMES</v>
          </cell>
          <cell r="E315" t="b">
            <v>1</v>
          </cell>
          <cell r="F315" t="str">
            <v>UTRNR - A sequência de inicialização falhou {0} vezes []</v>
          </cell>
          <cell r="G315" t="str"/>
          <cell r="H315">
            <v>360</v>
          </cell>
          <cell r="I315">
            <v>0</v>
          </cell>
          <cell r="J315" t="str">
            <v>ApplicationAlarm</v>
          </cell>
          <cell r="K315" t="str">
            <v>Severidade 9</v>
          </cell>
          <cell r="L315" t="str">
            <v>Severidade 16</v>
          </cell>
          <cell r="M315" t="b">
            <v>0</v>
          </cell>
        </row>
        <row r="316">
          <cell r="A316" t="str">
            <v>Initialization sequence partially succeeded</v>
          </cell>
          <cell r="B316" t="str"/>
          <cell r="C316" t="str"/>
          <cell r="D316" t="str">
            <v>FEP_INIT_SEQUENCE_PARTIAL_SUCCESS</v>
          </cell>
          <cell r="E316" t="b">
            <v>0</v>
          </cell>
          <cell r="F316" t="str">
            <v>Seqüência de inicialização parcialmente bem-sucedida. Tipo de comando: {0}, Motivo: {1}.</v>
          </cell>
          <cell r="G316" t="str">
            <v>Seqüência de inicialização parcialmente bem-sucedida.</v>
          </cell>
          <cell r="H316">
            <v>0</v>
          </cell>
          <cell r="I316">
            <v>0</v>
          </cell>
          <cell r="J316" t="str">
            <v>ApplicationAlarm</v>
          </cell>
          <cell r="K316" t="str">
            <v>Severidade 16</v>
          </cell>
          <cell r="L316" t="str">
            <v>Severidade 16</v>
          </cell>
          <cell r="M316" t="b">
            <v>0</v>
          </cell>
        </row>
        <row r="317">
          <cell r="A317" t="str">
            <v>Integration alarm</v>
          </cell>
          <cell r="B317" t="str"/>
          <cell r="C317" t="str"/>
          <cell r="D317" t="str">
            <v>DMS_INTEGRATION_ALARM</v>
          </cell>
          <cell r="E317" t="b">
            <v>0</v>
          </cell>
          <cell r="F317" t="str">
            <v>{0}</v>
          </cell>
          <cell r="G317" t="str"/>
          <cell r="H317">
            <v>0</v>
          </cell>
          <cell r="I317">
            <v>0</v>
          </cell>
          <cell r="J317" t="str">
            <v>SystemAlarm</v>
          </cell>
          <cell r="K317" t="str">
            <v>Severidade 10</v>
          </cell>
          <cell r="L317" t="str">
            <v>Severidade 16</v>
          </cell>
          <cell r="M317" t="b">
            <v>0</v>
          </cell>
        </row>
        <row r="318">
          <cell r="A318" t="str">
            <v>Interchange deviation over limits</v>
          </cell>
          <cell r="B318" t="str"/>
          <cell r="C318" t="str"/>
          <cell r="D318" t="str">
            <v>MGMS_ADC_INTERCHANGE_DEVIATION</v>
          </cell>
          <cell r="E318" t="b">
            <v>1</v>
          </cell>
          <cell r="F318" t="str">
            <v>O desvio de intercâmbio {0} está acima do seu limite {1} pelo valor absoluto.</v>
          </cell>
          <cell r="G318" t="str"/>
          <cell r="H318">
            <v>0</v>
          </cell>
          <cell r="I318">
            <v>0</v>
          </cell>
          <cell r="J318" t="str">
            <v>ApplicationAlarm</v>
          </cell>
          <cell r="K318" t="str">
            <v>Severidade 10</v>
          </cell>
          <cell r="L318" t="str">
            <v>Severidade 16</v>
          </cell>
          <cell r="M318" t="b">
            <v>0</v>
          </cell>
        </row>
        <row r="319">
          <cell r="A319" t="str">
            <v>Interchange deviation over limits_1</v>
          </cell>
          <cell r="B319" t="str"/>
          <cell r="C319" t="str"/>
          <cell r="D319" t="str">
            <v>GMS_AGC_INTERCHANGE_DEVIATION</v>
          </cell>
          <cell r="E319" t="b">
            <v>1</v>
          </cell>
          <cell r="F319" t="str">
            <v>O desvio de intercâmbio {0} está acima do seu limite {1} pelo valor absoluto.</v>
          </cell>
          <cell r="G319" t="str"/>
          <cell r="H319">
            <v>0</v>
          </cell>
          <cell r="I319">
            <v>0</v>
          </cell>
          <cell r="J319" t="str">
            <v>ApplicationAlarm</v>
          </cell>
          <cell r="K319" t="str">
            <v>Severidade 10</v>
          </cell>
          <cell r="L319" t="str">
            <v>Severidade 16</v>
          </cell>
          <cell r="M319" t="b">
            <v>0</v>
          </cell>
        </row>
        <row r="320">
          <cell r="A320" t="str">
            <v>Interchange deviation returned to normal</v>
          </cell>
          <cell r="B320" t="str"/>
          <cell r="C320" t="str"/>
          <cell r="D320" t="str">
            <v>GMS_AGC_INTERCHANGE_DEVIATION_RTN</v>
          </cell>
          <cell r="E320" t="b">
            <v>1</v>
          </cell>
          <cell r="F320" t="str">
            <v>O desvio de intercâmbio {0} está dentro do seu limite.</v>
          </cell>
          <cell r="G320" t="str"/>
          <cell r="H320">
            <v>0</v>
          </cell>
          <cell r="I320">
            <v>0</v>
          </cell>
          <cell r="J320" t="str">
            <v>ApplicationAlarm</v>
          </cell>
          <cell r="K320" t="str">
            <v>Severidade 10</v>
          </cell>
          <cell r="L320" t="str">
            <v>Severidade 16</v>
          </cell>
          <cell r="M320" t="b">
            <v>0</v>
          </cell>
        </row>
        <row r="321">
          <cell r="A321" t="str">
            <v>Interchange deviation returned to normal_1</v>
          </cell>
          <cell r="B321" t="str"/>
          <cell r="C321" t="str"/>
          <cell r="D321" t="str">
            <v>MGMS_ADC_INTERCHANGE_DEVIATION_RTN</v>
          </cell>
          <cell r="E321" t="b">
            <v>1</v>
          </cell>
          <cell r="F321" t="str">
            <v>O desvio de intercâmbio {0} está dentro do seu limite.</v>
          </cell>
          <cell r="G321" t="str"/>
          <cell r="H321">
            <v>0</v>
          </cell>
          <cell r="I321">
            <v>0</v>
          </cell>
          <cell r="J321" t="str">
            <v>ApplicationAlarm</v>
          </cell>
          <cell r="K321" t="str">
            <v>Severidade 10</v>
          </cell>
          <cell r="L321" t="str">
            <v>Severidade 16</v>
          </cell>
          <cell r="M321" t="b">
            <v>0</v>
          </cell>
        </row>
        <row r="322">
          <cell r="A322" t="str">
            <v>Internal Indication Response Failed Event</v>
          </cell>
          <cell r="B322" t="str"/>
          <cell r="C322" t="str"/>
          <cell r="D322" t="str">
            <v>FEP_IIN_FAILED_EVENT</v>
          </cell>
          <cell r="E322" t="b">
            <v>0</v>
          </cell>
          <cell r="F322" t="str">
            <v>A ação {0} falhou em resposta ao bit IIN {1}.</v>
          </cell>
          <cell r="G322" t="str"/>
          <cell r="H322">
            <v>0</v>
          </cell>
          <cell r="I322">
            <v>0</v>
          </cell>
          <cell r="J322" t="str">
            <v>ApplicationAlarm</v>
          </cell>
          <cell r="K322" t="str">
            <v>Severidade 16</v>
          </cell>
          <cell r="L322" t="str">
            <v>Severidade 16</v>
          </cell>
          <cell r="M322" t="b">
            <v>0</v>
          </cell>
        </row>
        <row r="323">
          <cell r="A323" t="str">
            <v>Invalid note detected</v>
          </cell>
          <cell r="B323" t="str"/>
          <cell r="C323" t="str"/>
          <cell r="D323" t="str">
            <v>DMS_NOTE_INVALID_DETECTED</v>
          </cell>
          <cell r="E323" t="b">
            <v>0</v>
          </cell>
          <cell r="F323" t="str">
            <v>A nota foi invalidada {0}.</v>
          </cell>
          <cell r="G323" t="str"/>
          <cell r="H323">
            <v>0</v>
          </cell>
          <cell r="I323">
            <v>0</v>
          </cell>
          <cell r="J323" t="str">
            <v>ApplicationAlarm</v>
          </cell>
          <cell r="K323" t="str">
            <v>Severidade 16</v>
          </cell>
          <cell r="L323" t="str">
            <v>Severidade 16</v>
          </cell>
          <cell r="M323" t="b">
            <v>0</v>
          </cell>
        </row>
        <row r="324">
          <cell r="A324" t="str">
            <v>Invalid tag detected</v>
          </cell>
          <cell r="B324" t="str"/>
          <cell r="C324" t="str"/>
          <cell r="D324" t="str">
            <v>DMS_TAG_INVALID_DETECTED</v>
          </cell>
          <cell r="E324" t="b">
            <v>0</v>
          </cell>
          <cell r="F324" t="str">
            <v>A etiqueta foi invalidada {0}.</v>
          </cell>
          <cell r="G324" t="str"/>
          <cell r="H324">
            <v>0</v>
          </cell>
          <cell r="I324">
            <v>0</v>
          </cell>
          <cell r="J324" t="str">
            <v>ApplicationAlarm</v>
          </cell>
          <cell r="K324" t="str">
            <v>Severidade 16</v>
          </cell>
          <cell r="L324" t="str">
            <v>Severidade 16</v>
          </cell>
          <cell r="M324" t="b">
            <v>0</v>
          </cell>
        </row>
        <row r="325">
          <cell r="A325" t="str">
            <v>Invalid temporary element</v>
          </cell>
          <cell r="B325" t="str"/>
          <cell r="C325" t="str"/>
          <cell r="D325" t="str">
            <v>DMS_TEMPORARY_ELEMENT_INVALID_DETECTED</v>
          </cell>
          <cell r="E325" t="b">
            <v>0</v>
          </cell>
          <cell r="F325" t="str">
            <v>Elemento temporário inválido detectado.</v>
          </cell>
          <cell r="G325" t="str"/>
          <cell r="H325">
            <v>0</v>
          </cell>
          <cell r="I325">
            <v>0</v>
          </cell>
          <cell r="J325" t="str">
            <v>ApplicationAlarm</v>
          </cell>
          <cell r="K325" t="str">
            <v>Severidade 16</v>
          </cell>
          <cell r="L325" t="str">
            <v>Severidade 16</v>
          </cell>
          <cell r="M325" t="b">
            <v>0</v>
          </cell>
        </row>
        <row r="326">
          <cell r="A326" t="str">
            <v>Invalid timestamp on RTU</v>
          </cell>
          <cell r="B326" t="str"/>
          <cell r="C326" t="str">
            <v>DGNSIS</v>
          </cell>
          <cell r="D326" t="str">
            <v>RTU_INVALID_TIMESTAMP</v>
          </cell>
          <cell r="E326" t="b">
            <v>0</v>
          </cell>
          <cell r="F326" t="str">
            <v>DGNSIS - O registro de data e hora inválido existe em pelo menos um sinal da RTU.</v>
          </cell>
          <cell r="G326" t="str"/>
          <cell r="H326">
            <v>0</v>
          </cell>
          <cell r="I326">
            <v>0</v>
          </cell>
          <cell r="J326" t="str">
            <v>ApplicationAlarm</v>
          </cell>
          <cell r="K326" t="str">
            <v>Severidade 16</v>
          </cell>
          <cell r="L326" t="str">
            <v>Severidade 16</v>
          </cell>
          <cell r="M326" t="b">
            <v>0</v>
          </cell>
        </row>
        <row r="327">
          <cell r="A327" t="str">
            <v>Island confirmed</v>
          </cell>
          <cell r="B327" t="str"/>
          <cell r="C327" t="str"/>
          <cell r="D327" t="str">
            <v>DMS_CFS_ISLAND_CONFIRMED</v>
          </cell>
          <cell r="E327" t="b">
            <v>0</v>
          </cell>
          <cell r="F327" t="str">
            <v>Ilha confirmada.</v>
          </cell>
          <cell r="G327" t="str"/>
          <cell r="H327">
            <v>0</v>
          </cell>
          <cell r="I327">
            <v>0</v>
          </cell>
          <cell r="J327" t="str">
            <v>ApplicationAlarm</v>
          </cell>
          <cell r="K327" t="str">
            <v>Severidade 10</v>
          </cell>
          <cell r="L327" t="str">
            <v>Severidade 16</v>
          </cell>
          <cell r="M327" t="b">
            <v>0</v>
          </cell>
        </row>
        <row r="328">
          <cell r="A328" t="str">
            <v>Island confirmed returned to normal</v>
          </cell>
          <cell r="B328" t="str"/>
          <cell r="C328" t="str"/>
          <cell r="D328" t="str">
            <v>DMS_CFS_RTN_ISLAND_CONFIRMED</v>
          </cell>
          <cell r="E328" t="b">
            <v>0</v>
          </cell>
          <cell r="F328" t="str">
            <v>Ilha não confirmada.</v>
          </cell>
          <cell r="G328" t="str"/>
          <cell r="H328">
            <v>0</v>
          </cell>
          <cell r="I328">
            <v>0</v>
          </cell>
          <cell r="J328" t="str">
            <v>ApplicationAlarm</v>
          </cell>
          <cell r="K328" t="str">
            <v>Severidade 10</v>
          </cell>
          <cell r="L328" t="str">
            <v>Severidade 16</v>
          </cell>
          <cell r="M328" t="b">
            <v>0</v>
          </cell>
        </row>
        <row r="329">
          <cell r="A329" t="str">
            <v>ISPS Client Connected</v>
          </cell>
          <cell r="B329" t="str"/>
          <cell r="C329" t="str"/>
          <cell r="D329" t="str">
            <v>SYSTEM_ISPS_ISPSCONNECTED_1</v>
          </cell>
          <cell r="E329" t="b">
            <v>0</v>
          </cell>
          <cell r="F329" t="str">
            <v>Conectado ao servidor {0}.</v>
          </cell>
          <cell r="G329" t="str"/>
          <cell r="H329">
            <v>0</v>
          </cell>
          <cell r="I329">
            <v>0</v>
          </cell>
          <cell r="J329" t="str">
            <v>SystemAlarm</v>
          </cell>
          <cell r="K329" t="str">
            <v>Severidade 14</v>
          </cell>
          <cell r="L329" t="str">
            <v>Severidade 16</v>
          </cell>
          <cell r="M329" t="b">
            <v>0</v>
          </cell>
        </row>
        <row r="330">
          <cell r="A330" t="str">
            <v>ISPS Client Disconnected</v>
          </cell>
          <cell r="B330" t="str"/>
          <cell r="C330" t="str"/>
          <cell r="D330" t="str">
            <v>SYSTEM_ISPS_ISPSDISCONNECTED_2</v>
          </cell>
          <cell r="E330" t="b">
            <v>0</v>
          </cell>
          <cell r="F330" t="str">
            <v>Conexão perdida com o servidor {0}.</v>
          </cell>
          <cell r="G330" t="str"/>
          <cell r="H330">
            <v>0</v>
          </cell>
          <cell r="I330">
            <v>0</v>
          </cell>
          <cell r="J330" t="str">
            <v>SystemAlarm</v>
          </cell>
          <cell r="K330" t="str">
            <v>Severidade 14</v>
          </cell>
          <cell r="L330" t="str">
            <v>Severidade 16</v>
          </cell>
          <cell r="M330" t="b">
            <v>0</v>
          </cell>
        </row>
        <row r="331">
          <cell r="A331" t="str">
            <v>ISPS Server Connected</v>
          </cell>
          <cell r="B331" t="str"/>
          <cell r="C331" t="str"/>
          <cell r="D331" t="str">
            <v>SYSTEM_ISPS_ISPSCONNECTED_3</v>
          </cell>
          <cell r="E331" t="b">
            <v>0</v>
          </cell>
          <cell r="F331" t="str">
            <v>Conectado ao cliente {0}.</v>
          </cell>
          <cell r="G331" t="str"/>
          <cell r="H331">
            <v>0</v>
          </cell>
          <cell r="I331">
            <v>0</v>
          </cell>
          <cell r="J331" t="str">
            <v>SystemAlarm</v>
          </cell>
          <cell r="K331" t="str">
            <v>Severidade 14</v>
          </cell>
          <cell r="L331" t="str">
            <v>Severidade 16</v>
          </cell>
          <cell r="M331" t="b">
            <v>0</v>
          </cell>
        </row>
        <row r="332">
          <cell r="A332" t="str">
            <v>ISPS Server Disconnected</v>
          </cell>
          <cell r="B332" t="str"/>
          <cell r="C332" t="str"/>
          <cell r="D332" t="str">
            <v>SYSTEM_ISPS_ISPSDISCONNECTED_4</v>
          </cell>
          <cell r="E332" t="b">
            <v>0</v>
          </cell>
          <cell r="F332" t="str">
            <v>Conexão perdida com o cliente {0}.</v>
          </cell>
          <cell r="G332" t="str"/>
          <cell r="H332">
            <v>0</v>
          </cell>
          <cell r="I332">
            <v>0</v>
          </cell>
          <cell r="J332" t="str">
            <v>SystemAlarm</v>
          </cell>
          <cell r="K332" t="str">
            <v>Severidade 14</v>
          </cell>
          <cell r="L332" t="str">
            <v>Severidade 16</v>
          </cell>
          <cell r="M332" t="b">
            <v>0</v>
          </cell>
        </row>
        <row r="333">
          <cell r="A333" t="str">
            <v>License Expired</v>
          </cell>
          <cell r="B333" t="str"/>
          <cell r="C333" t="str"/>
          <cell r="D333" t="str">
            <v>SYSTEM_LICENSEINTEGRITY_LICENSEINTEGRITYERROR_0</v>
          </cell>
          <cell r="E333" t="b">
            <v>0</v>
          </cell>
          <cell r="F333" t="str">
            <v>{0}</v>
          </cell>
          <cell r="G333" t="str"/>
          <cell r="H333">
            <v>0</v>
          </cell>
          <cell r="I333">
            <v>0</v>
          </cell>
          <cell r="J333" t="str">
            <v>SystemAlarm</v>
          </cell>
          <cell r="K333" t="str">
            <v>Severidade 14</v>
          </cell>
          <cell r="L333" t="str">
            <v>Severidade 16</v>
          </cell>
          <cell r="M333" t="b">
            <v>0</v>
          </cell>
        </row>
        <row r="334">
          <cell r="A334" t="str">
            <v>License Expiring In 1 Hour</v>
          </cell>
          <cell r="B334" t="str"/>
          <cell r="C334" t="str"/>
          <cell r="D334" t="str">
            <v>SYSTEM_LICENSEINTEGRITY_LICENSEINTEGRITYWARNING_0</v>
          </cell>
          <cell r="E334" t="b">
            <v>0</v>
          </cell>
          <cell r="F334" t="str">
            <v>{0}</v>
          </cell>
          <cell r="G334" t="str"/>
          <cell r="H334">
            <v>0</v>
          </cell>
          <cell r="I334">
            <v>0</v>
          </cell>
          <cell r="J334" t="str">
            <v>SystemAlarm</v>
          </cell>
          <cell r="K334" t="str">
            <v>Severidade 14</v>
          </cell>
          <cell r="L334" t="str">
            <v>Severidade 16</v>
          </cell>
          <cell r="M334" t="b">
            <v>0</v>
          </cell>
        </row>
        <row r="335">
          <cell r="A335" t="str">
            <v>License Restored</v>
          </cell>
          <cell r="B335" t="str"/>
          <cell r="C335" t="str"/>
          <cell r="D335" t="str">
            <v>SYSTEM_LICENSEINTEGRITY_LICENSEVALID_0</v>
          </cell>
          <cell r="E335" t="b">
            <v>0</v>
          </cell>
          <cell r="F335" t="str">
            <v>{0}</v>
          </cell>
          <cell r="G335" t="str"/>
          <cell r="H335">
            <v>0</v>
          </cell>
          <cell r="I335">
            <v>0</v>
          </cell>
          <cell r="J335" t="str">
            <v>SystemAlarm</v>
          </cell>
          <cell r="K335" t="str">
            <v>Severidade 14</v>
          </cell>
          <cell r="L335" t="str">
            <v>Severidade 16</v>
          </cell>
          <cell r="M335" t="b">
            <v>0</v>
          </cell>
        </row>
        <row r="336">
          <cell r="A336" t="str">
            <v>Line overload aggregated returned to normal</v>
          </cell>
          <cell r="B336" t="str"/>
          <cell r="C336" t="str"/>
          <cell r="D336" t="str">
            <v>DMS_CFS_RTN_AGGREGATE_OVERLOAD_SECTION</v>
          </cell>
          <cell r="E336" t="b">
            <v>0</v>
          </cell>
          <cell r="F336" t="str">
            <v>Sobrecarga de linha agregada ao nível da subestação</v>
          </cell>
          <cell r="G336" t="str"/>
          <cell r="H336">
            <v>0</v>
          </cell>
          <cell r="I336">
            <v>0</v>
          </cell>
          <cell r="J336" t="str">
            <v>ApplicationAlarm</v>
          </cell>
          <cell r="K336" t="str">
            <v>Severidade 12</v>
          </cell>
          <cell r="L336" t="str">
            <v>Severidade 16</v>
          </cell>
          <cell r="M336" t="b">
            <v>0</v>
          </cell>
        </row>
        <row r="337">
          <cell r="A337" t="str">
            <v>Line overload aggregated returned to normal_1</v>
          </cell>
          <cell r="B337" t="str"/>
          <cell r="C337" t="str"/>
          <cell r="D337" t="str">
            <v>DMS_CFS_RTN_SUBSTATION_OVERLOAD_SECTION</v>
          </cell>
          <cell r="E337" t="b">
            <v>0</v>
          </cell>
          <cell r="F337" t="str">
            <v>{0} A seção Sobrecarga voltou ao normal em {1}.</v>
          </cell>
          <cell r="G337" t="str"/>
          <cell r="H337">
            <v>0</v>
          </cell>
          <cell r="I337">
            <v>0</v>
          </cell>
          <cell r="J337" t="str">
            <v>ApplicationAlarm</v>
          </cell>
          <cell r="K337" t="str">
            <v>Severidade 12</v>
          </cell>
          <cell r="L337" t="str">
            <v>Severidade 16</v>
          </cell>
          <cell r="M337" t="b">
            <v>0</v>
          </cell>
        </row>
        <row r="338">
          <cell r="A338" t="str">
            <v>Load relief canceled</v>
          </cell>
          <cell r="B338" t="str"/>
          <cell r="C338" t="str"/>
          <cell r="D338" t="str">
            <v>DMS_CFS_CL_LR_CANCELED</v>
          </cell>
          <cell r="E338" t="b">
            <v>0</v>
          </cell>
          <cell r="F338" t="str">
            <v>O alívio de carga foi cancelado devido a alterações nas condições de entrada.</v>
          </cell>
          <cell r="G338" t="str">
            <v>load relief is detected that there is no reason for the application to react anymore. For example, the last alarm is cleared (the overload value is lower than the configured limit, alarm disappeared â€“ resolved or the load relief status of the circuit is switched to Off) on a part of the network supplied by a substation for which the application was active. The load relief calculation will not be triggered or it is canceled. Load relief remains standby and no additional actions are required by the operator.</v>
          </cell>
          <cell r="H338">
            <v>0</v>
          </cell>
          <cell r="I338">
            <v>0</v>
          </cell>
          <cell r="J338" t="str">
            <v>ApplicationAlarm</v>
          </cell>
          <cell r="K338" t="str">
            <v>Severidade 12</v>
          </cell>
          <cell r="L338" t="str">
            <v>Severidade 16</v>
          </cell>
          <cell r="M338" t="b">
            <v>0</v>
          </cell>
        </row>
        <row r="339">
          <cell r="A339" t="str">
            <v>Load relief did not provide solution</v>
          </cell>
          <cell r="B339" t="str"/>
          <cell r="C339" t="str"/>
          <cell r="D339" t="str">
            <v>DMS_CFS_CL_LR_NOT_RESOLVED</v>
          </cell>
          <cell r="E339" t="b">
            <v>0</v>
          </cell>
          <cell r="F339" t="str">
            <v>O alívio de carga não forneceu solução.</v>
          </cell>
          <cell r="G339" t="str">
            <v>The load relief calculation is finished and the application proposed the results which cannot lead to the resolution of any violation on the elements supplied by a substation. Operation room personnel intervention is required to resolve detected violations.</v>
          </cell>
          <cell r="H339">
            <v>0</v>
          </cell>
          <cell r="I339">
            <v>0</v>
          </cell>
          <cell r="J339" t="str">
            <v>ApplicationAlarm</v>
          </cell>
          <cell r="K339" t="str">
            <v>Severidade 10</v>
          </cell>
          <cell r="L339" t="str">
            <v>Severidade 16</v>
          </cell>
          <cell r="M339" t="b">
            <v>0</v>
          </cell>
        </row>
        <row r="340">
          <cell r="A340" t="str">
            <v>Load relief initiated</v>
          </cell>
          <cell r="B340" t="str"/>
          <cell r="C340" t="str"/>
          <cell r="D340" t="str">
            <v>DMS_CFS_CL_LR_INITIATED</v>
          </cell>
          <cell r="E340" t="b">
            <v>0</v>
          </cell>
          <cell r="F340" t="str">
            <v>Alívio de carga iniciado.</v>
          </cell>
          <cell r="G340" t="str">
            <v>The first alarm occurrence is detected by the load relief on a part of the network supplied by the substation or the calculation is manually triggered. As a consequence, the load relief is no more in standby and it becomes active. No additional actions are required by the operator, although the operator may perform manual (re)trigger if it is necessary to obtain the solution instantaneously.</v>
          </cell>
          <cell r="H340">
            <v>0</v>
          </cell>
          <cell r="I340">
            <v>0</v>
          </cell>
          <cell r="J340" t="str">
            <v>ApplicationAlarm</v>
          </cell>
          <cell r="K340" t="str">
            <v>Severidade 12</v>
          </cell>
          <cell r="L340" t="str">
            <v>Severidade 16</v>
          </cell>
          <cell r="M340" t="b">
            <v>0</v>
          </cell>
        </row>
        <row r="341">
          <cell r="A341" t="str">
            <v>Load relief provided partial solution</v>
          </cell>
          <cell r="B341" t="str"/>
          <cell r="C341" t="str"/>
          <cell r="D341" t="str">
            <v>DMS_CFS_CL_LR_PARTIALLY_RESOLVED</v>
          </cell>
          <cell r="E341" t="b">
            <v>0</v>
          </cell>
          <cell r="F341" t="str">
            <v>O alívio de carga forneceu uma solução parcial. A sequência pode ser executada manualmente.</v>
          </cell>
          <cell r="G341" t="str">
            <v>The load relief calculation is finished and the application proposed the results which will lead to the resolution of some violations on the elements supplied by a substation. The sequence execution has to be performed manually by the operator.</v>
          </cell>
          <cell r="H341">
            <v>0</v>
          </cell>
          <cell r="I341">
            <v>0</v>
          </cell>
          <cell r="J341" t="str">
            <v>ApplicationAlarm</v>
          </cell>
          <cell r="K341" t="str">
            <v>Severidade 10</v>
          </cell>
          <cell r="L341" t="str">
            <v>Severidade 16</v>
          </cell>
          <cell r="M341" t="b">
            <v>0</v>
          </cell>
        </row>
        <row r="342">
          <cell r="A342" t="str">
            <v>Load relief provided solution</v>
          </cell>
          <cell r="B342" t="str"/>
          <cell r="C342" t="str"/>
          <cell r="D342" t="str">
            <v>DMS_CFS_CL_LR_RESOLVED</v>
          </cell>
          <cell r="E342" t="b">
            <v>0</v>
          </cell>
          <cell r="F342" t="str">
            <v>Solução fornecida com alívio de carga. A sequência pode ser executada manualmente.</v>
          </cell>
          <cell r="G342" t="str">
            <v>The load relief calculation is finished and the application proposed the results which will lead to the full resolution of all the violations on the elements supplied by a substation. Given that the substation is in the advisory state, the sequence execution has to be performed manually by the operator.</v>
          </cell>
          <cell r="H342">
            <v>0</v>
          </cell>
          <cell r="I342">
            <v>0</v>
          </cell>
          <cell r="J342" t="str">
            <v>ApplicationAlarm</v>
          </cell>
          <cell r="K342" t="str">
            <v>Severidade 10</v>
          </cell>
          <cell r="L342" t="str">
            <v>Severidade 16</v>
          </cell>
          <cell r="M342" t="b">
            <v>0</v>
          </cell>
        </row>
        <row r="343">
          <cell r="A343" t="str">
            <v>Load relief sequence executed successfully</v>
          </cell>
          <cell r="B343" t="str"/>
          <cell r="C343" t="str"/>
          <cell r="D343" t="str">
            <v>DMS_CFS_CL_LR_SEQUENCE_EXECUTED</v>
          </cell>
          <cell r="E343" t="b">
            <v>0</v>
          </cell>
          <cell r="F343" t="str">
            <v>Sequência de alívio de carga executada com sucesso.</v>
          </cell>
          <cell r="G343" t="str">
            <v>The automatic execution of the sequence is finished successfully. The network stabilization timer is activated. The operator may monitor the state of the network and condition of the alarms that caused load relief to react.</v>
          </cell>
          <cell r="H343">
            <v>0</v>
          </cell>
          <cell r="I343">
            <v>0</v>
          </cell>
          <cell r="J343" t="str">
            <v>ApplicationAlarm</v>
          </cell>
          <cell r="K343" t="str">
            <v>Severidade 10</v>
          </cell>
          <cell r="L343" t="str">
            <v>Severidade 16</v>
          </cell>
          <cell r="M343" t="b">
            <v>0</v>
          </cell>
        </row>
        <row r="344">
          <cell r="A344" t="str">
            <v>Load relief sequence execution failed</v>
          </cell>
          <cell r="B344" t="str"/>
          <cell r="C344" t="str"/>
          <cell r="D344" t="str">
            <v>DMS_CFS_CL_LR_SEQUENCE_FAILED</v>
          </cell>
          <cell r="E344" t="b">
            <v>0</v>
          </cell>
          <cell r="F344" t="str">
            <v>A sequência de alívio de carga falhou durante a execução.</v>
          </cell>
          <cell r="G344" t="str">
            <v>The automatic execution of the sequence is not finished successfully. Operation room personnel intervention is required to analyze the cause and perform additional actions to resolve detected violations.</v>
          </cell>
          <cell r="H344">
            <v>0</v>
          </cell>
          <cell r="I344">
            <v>0</v>
          </cell>
          <cell r="J344" t="str">
            <v>ApplicationAlarm</v>
          </cell>
          <cell r="K344" t="str">
            <v>Severidade 10</v>
          </cell>
          <cell r="L344" t="str">
            <v>Severidade 16</v>
          </cell>
          <cell r="M344" t="b">
            <v>0</v>
          </cell>
        </row>
        <row r="345">
          <cell r="A345" t="str">
            <v>Load relief sequence sent to execution</v>
          </cell>
          <cell r="B345" t="str"/>
          <cell r="C345" t="str"/>
          <cell r="D345" t="str">
            <v>DMS_CFS_CL_LR_SEQUENCE_SENT</v>
          </cell>
          <cell r="E345" t="b">
            <v>0</v>
          </cell>
          <cell r="F345" t="str">
            <v>Sequência de alívio de carga enviada para execução.</v>
          </cell>
          <cell r="G345" t="str">
            <v>The load relief calculation is finished and the application proposed the results which will lead to the full resolution of all the violations on the elements supplied by a substation. Given that the substation is in the On state, the automatic switching sequence execution is initiated without any interfere by the operator. The operator may monitor the execution of the sequence.</v>
          </cell>
          <cell r="H345">
            <v>0</v>
          </cell>
          <cell r="I345">
            <v>0</v>
          </cell>
          <cell r="J345" t="str">
            <v>ApplicationAlarm</v>
          </cell>
          <cell r="K345" t="str">
            <v>Severidade 10</v>
          </cell>
          <cell r="L345" t="str">
            <v>Severidade 16</v>
          </cell>
          <cell r="M345" t="b">
            <v>0</v>
          </cell>
        </row>
        <row r="346">
          <cell r="A346" t="str">
            <v>Load Shedding failed to close switch</v>
          </cell>
          <cell r="B346" t="str"/>
          <cell r="C346" t="str"/>
          <cell r="D346" t="str">
            <v>DMS_OPS_LS_SW_FAILED_CLOSE</v>
          </cell>
          <cell r="E346" t="b">
            <v>0</v>
          </cell>
          <cell r="F346" t="str">
            <v>A operação de comutação de Load Shedding "fechar" para {0} falhou</v>
          </cell>
          <cell r="G346" t="str"/>
          <cell r="H346">
            <v>0</v>
          </cell>
          <cell r="I346">
            <v>0</v>
          </cell>
          <cell r="J346" t="str">
            <v>ApplicationAlarm</v>
          </cell>
          <cell r="K346" t="str">
            <v>Severidade 10</v>
          </cell>
          <cell r="L346" t="str">
            <v>Severidade 16</v>
          </cell>
          <cell r="M346" t="b">
            <v>0</v>
          </cell>
        </row>
        <row r="347">
          <cell r="A347" t="str">
            <v>Load Shedding failed to open switch</v>
          </cell>
          <cell r="B347" t="str"/>
          <cell r="C347" t="str"/>
          <cell r="D347" t="str">
            <v>DMS_OPS_LS_SW_FAILED_OPEN</v>
          </cell>
          <cell r="E347" t="b">
            <v>0</v>
          </cell>
          <cell r="F347" t="str">
            <v>A operação de comutação de Load Shedding "aberta" para {0} falhou</v>
          </cell>
          <cell r="G347" t="str"/>
          <cell r="H347">
            <v>0</v>
          </cell>
          <cell r="I347">
            <v>0</v>
          </cell>
          <cell r="J347" t="str">
            <v>ApplicationAlarm</v>
          </cell>
          <cell r="K347" t="str">
            <v>Severidade 10</v>
          </cell>
          <cell r="L347" t="str">
            <v>Severidade 16</v>
          </cell>
          <cell r="M347" t="b">
            <v>0</v>
          </cell>
        </row>
        <row r="348">
          <cell r="A348" t="str">
            <v>Load Shedding started</v>
          </cell>
          <cell r="B348" t="str"/>
          <cell r="C348" t="str"/>
          <cell r="D348" t="str">
            <v>DMS_OPS_LS_STARTED</v>
          </cell>
          <cell r="E348" t="b">
            <v>0</v>
          </cell>
          <cell r="F348" t="str">
            <v>{0} Load Shedding {1}</v>
          </cell>
          <cell r="G348" t="str"/>
          <cell r="H348">
            <v>0</v>
          </cell>
          <cell r="I348">
            <v>0</v>
          </cell>
          <cell r="J348" t="str">
            <v>ApplicationAlarm</v>
          </cell>
          <cell r="K348" t="str">
            <v>Severidade 8</v>
          </cell>
          <cell r="L348" t="str">
            <v>Severidade 16</v>
          </cell>
          <cell r="M348" t="b">
            <v>0</v>
          </cell>
        </row>
        <row r="349">
          <cell r="A349" t="str">
            <v>Load transfer feasibility</v>
          </cell>
          <cell r="B349" t="str"/>
          <cell r="C349" t="str"/>
          <cell r="D349" t="str">
            <v>DMS_CFS_TRANSFER_CAPACITY_LIMIT_GREATER</v>
          </cell>
          <cell r="E349" t="b">
            <v>0</v>
          </cell>
          <cell r="F349" t="str">
            <v>A lógica de controle deve ser desativada, pois o limite {0} pode ser violado.</v>
          </cell>
          <cell r="G349" t="str"/>
          <cell r="H349">
            <v>0</v>
          </cell>
          <cell r="I349">
            <v>0</v>
          </cell>
          <cell r="J349" t="str">
            <v>ApplicationAlarm</v>
          </cell>
          <cell r="K349" t="str">
            <v>Severidade 10</v>
          </cell>
          <cell r="L349" t="str">
            <v>Severidade 16</v>
          </cell>
          <cell r="M349" t="b">
            <v>0</v>
          </cell>
        </row>
        <row r="350">
          <cell r="A350" t="str">
            <v>Load transfer feasibility return to normal</v>
          </cell>
          <cell r="B350" t="str"/>
          <cell r="C350" t="str"/>
          <cell r="D350" t="str">
            <v>DMS_CFS_RTN_TRANSFER_CAPACITY_LIMIT_GREATER</v>
          </cell>
          <cell r="E350" t="b">
            <v>0</v>
          </cell>
          <cell r="F350" t="str">
            <v>A lógica de controle pode ser ativada.</v>
          </cell>
          <cell r="G350" t="str"/>
          <cell r="H350">
            <v>0</v>
          </cell>
          <cell r="I350">
            <v>0</v>
          </cell>
          <cell r="J350" t="str">
            <v>ApplicationAlarm</v>
          </cell>
          <cell r="K350" t="str">
            <v>Severidade 10</v>
          </cell>
          <cell r="L350" t="str">
            <v>Severidade 16</v>
          </cell>
          <cell r="M350" t="b">
            <v>0</v>
          </cell>
        </row>
        <row r="351">
          <cell r="A351" t="str">
            <v>Look Ahead Load Imbalanse Alarm</v>
          </cell>
          <cell r="B351" t="str"/>
          <cell r="C351" t="str"/>
          <cell r="D351" t="str">
            <v>DMS_CFS_LOOK_AHEAD_LOAD_IMBALANCE</v>
          </cell>
          <cell r="E351" t="b">
            <v>0</v>
          </cell>
          <cell r="F351" t="str">
            <v>Alarme de desequilíbrio de carga detectado no cálculo do Look Ahead. Tempo / valor mais crítico: {0}.</v>
          </cell>
          <cell r="G351" t="str"/>
          <cell r="H351">
            <v>0</v>
          </cell>
          <cell r="I351">
            <v>0</v>
          </cell>
          <cell r="J351" t="str">
            <v>ApplicationAlarm</v>
          </cell>
          <cell r="K351" t="str">
            <v>Severidade 10</v>
          </cell>
          <cell r="L351" t="str">
            <v>Severidade 16</v>
          </cell>
          <cell r="M351" t="b">
            <v>0</v>
          </cell>
        </row>
        <row r="352">
          <cell r="A352" t="str">
            <v>Look Ahead Load Imbalanse Return to Normal Alarm</v>
          </cell>
          <cell r="B352" t="str"/>
          <cell r="C352" t="str"/>
          <cell r="D352" t="str">
            <v>DMS_CFS_LOOK_AHEAD_LOAD_IMBALANCE_RTN</v>
          </cell>
          <cell r="E352" t="b">
            <v>0</v>
          </cell>
          <cell r="F352" t="str">
            <v>Alarme de retorno de desequilíbrio de carga detectado no cálculo do Look Ahead.</v>
          </cell>
          <cell r="G352" t="str"/>
          <cell r="H352">
            <v>0</v>
          </cell>
          <cell r="I352">
            <v>0</v>
          </cell>
          <cell r="J352" t="str">
            <v>ApplicationAlarm</v>
          </cell>
          <cell r="K352" t="str">
            <v>Severidade 10</v>
          </cell>
          <cell r="L352" t="str">
            <v>Severidade 16</v>
          </cell>
          <cell r="M352" t="b">
            <v>0</v>
          </cell>
        </row>
        <row r="353">
          <cell r="A353" t="str">
            <v>Look Ahead Overload Alarm</v>
          </cell>
          <cell r="B353" t="str"/>
          <cell r="C353" t="str"/>
          <cell r="D353" t="str">
            <v>DMS_CFS_LOOK_AHEAD_OVERLOAD</v>
          </cell>
          <cell r="E353" t="b">
            <v>0</v>
          </cell>
          <cell r="F353" t="str">
            <v>Alarme de sobrecarga detectado no cálculo do Look Ahead. Tempo / valor mais crítico: {0}.</v>
          </cell>
          <cell r="G353" t="str"/>
          <cell r="H353">
            <v>0</v>
          </cell>
          <cell r="I353">
            <v>0</v>
          </cell>
          <cell r="J353" t="str">
            <v>ApplicationAlarm</v>
          </cell>
          <cell r="K353" t="str">
            <v>Severidade 10</v>
          </cell>
          <cell r="L353" t="str">
            <v>Severidade 16</v>
          </cell>
          <cell r="M353" t="b">
            <v>0</v>
          </cell>
        </row>
        <row r="354">
          <cell r="A354" t="str">
            <v>Look Ahead Overload Return to Normal Alarm</v>
          </cell>
          <cell r="B354" t="str"/>
          <cell r="C354" t="str"/>
          <cell r="D354" t="str">
            <v>DMS_CFS_LOOK_AHEAD_OVERLOAD_RTN</v>
          </cell>
          <cell r="E354" t="b">
            <v>0</v>
          </cell>
          <cell r="F354" t="str">
            <v>Retorno do alarme de sobrecarga detectado no cálculo do Look Ahead.</v>
          </cell>
          <cell r="G354" t="str"/>
          <cell r="H354">
            <v>0</v>
          </cell>
          <cell r="I354">
            <v>0</v>
          </cell>
          <cell r="J354" t="str">
            <v>ApplicationAlarm</v>
          </cell>
          <cell r="K354" t="str">
            <v>Severidade 10</v>
          </cell>
          <cell r="L354" t="str">
            <v>Severidade 16</v>
          </cell>
          <cell r="M354" t="b">
            <v>0</v>
          </cell>
        </row>
        <row r="355">
          <cell r="A355" t="str">
            <v>Look Ahead Overvoltage Alarm</v>
          </cell>
          <cell r="B355" t="str"/>
          <cell r="C355" t="str"/>
          <cell r="D355" t="str">
            <v>DMS_CFS_LOOK_AHEAD_OVERVOLTAGE</v>
          </cell>
          <cell r="E355" t="b">
            <v>0</v>
          </cell>
          <cell r="F355" t="str">
            <v>Alarme de sobretensão detectado no cálculo do Look Ahead. Tempo / valor mais crítico: {0}.</v>
          </cell>
          <cell r="G355" t="str"/>
          <cell r="H355">
            <v>0</v>
          </cell>
          <cell r="I355">
            <v>0</v>
          </cell>
          <cell r="J355" t="str">
            <v>ApplicationAlarm</v>
          </cell>
          <cell r="K355" t="str">
            <v>Severidade 10</v>
          </cell>
          <cell r="L355" t="str">
            <v>Severidade 16</v>
          </cell>
          <cell r="M355" t="b">
            <v>0</v>
          </cell>
        </row>
        <row r="356">
          <cell r="A356" t="str">
            <v>Look Ahead Overvoltage Return to Normal Alarm</v>
          </cell>
          <cell r="B356" t="str"/>
          <cell r="C356" t="str"/>
          <cell r="D356" t="str">
            <v>DMS_CFS_LOOK_AHEAD_OVERVOLTAGE_RTN</v>
          </cell>
          <cell r="E356" t="b">
            <v>0</v>
          </cell>
          <cell r="F356" t="str">
            <v>Retorno do alarme de sobretensão detectado no cálculo do Look Ahead.</v>
          </cell>
          <cell r="G356" t="str"/>
          <cell r="H356">
            <v>0</v>
          </cell>
          <cell r="I356">
            <v>0</v>
          </cell>
          <cell r="J356" t="str">
            <v>ApplicationAlarm</v>
          </cell>
          <cell r="K356" t="str">
            <v>Severidade 10</v>
          </cell>
          <cell r="L356" t="str">
            <v>Severidade 16</v>
          </cell>
          <cell r="M356" t="b">
            <v>0</v>
          </cell>
        </row>
        <row r="357">
          <cell r="A357" t="str">
            <v>Look Ahead Reverse Flow Alarm</v>
          </cell>
          <cell r="B357" t="str"/>
          <cell r="C357" t="str"/>
          <cell r="D357" t="str">
            <v>DMS_CFS_LOOK_AHEAD_REVERSE_FLOW</v>
          </cell>
          <cell r="E357" t="b">
            <v>0</v>
          </cell>
          <cell r="F357" t="str">
            <v>Alarme de fluxo reverso detectado no cálculo do Look Ahead. Tempo / valor mais crítico: {0}.</v>
          </cell>
          <cell r="G357" t="str"/>
          <cell r="H357">
            <v>0</v>
          </cell>
          <cell r="I357">
            <v>0</v>
          </cell>
          <cell r="J357" t="str">
            <v>ApplicationAlarm</v>
          </cell>
          <cell r="K357" t="str">
            <v>Severidade 10</v>
          </cell>
          <cell r="L357" t="str">
            <v>Severidade 16</v>
          </cell>
          <cell r="M357" t="b">
            <v>0</v>
          </cell>
        </row>
        <row r="358">
          <cell r="A358" t="str">
            <v>Look Ahead Reverse Flow Return to Normal Alarm</v>
          </cell>
          <cell r="B358" t="str"/>
          <cell r="C358" t="str"/>
          <cell r="D358" t="str">
            <v>DMS_CFS_LOOK_AHEAD_REVERSE_FLOW_RTN</v>
          </cell>
          <cell r="E358" t="b">
            <v>0</v>
          </cell>
          <cell r="F358" t="str">
            <v>Retorno do alarme de fluxo reverso detectado no cálculo do Look Ahead.</v>
          </cell>
          <cell r="G358" t="str"/>
          <cell r="H358">
            <v>0</v>
          </cell>
          <cell r="I358">
            <v>0</v>
          </cell>
          <cell r="J358" t="str">
            <v>ApplicationAlarm</v>
          </cell>
          <cell r="K358" t="str">
            <v>Severidade 10</v>
          </cell>
          <cell r="L358" t="str">
            <v>Severidade 16</v>
          </cell>
          <cell r="M358" t="b">
            <v>0</v>
          </cell>
        </row>
        <row r="359">
          <cell r="A359" t="str">
            <v>Look Ahead Under Voltage Return to Normal Alarm</v>
          </cell>
          <cell r="B359" t="str"/>
          <cell r="C359" t="str"/>
          <cell r="D359" t="str">
            <v>DMS_CFS_LOOK_AHEAD_UNDER_VOLTAGE_RTN</v>
          </cell>
          <cell r="E359" t="b">
            <v>0</v>
          </cell>
          <cell r="F359" t="str">
            <v>Retorno do alarme de subtensão detectado no cálculo do Look Ahead.</v>
          </cell>
          <cell r="G359" t="str"/>
          <cell r="H359">
            <v>0</v>
          </cell>
          <cell r="I359">
            <v>0</v>
          </cell>
          <cell r="J359" t="str">
            <v>ApplicationAlarm</v>
          </cell>
          <cell r="K359" t="str">
            <v>Severidade 10</v>
          </cell>
          <cell r="L359" t="str">
            <v>Severidade 16</v>
          </cell>
          <cell r="M359" t="b">
            <v>0</v>
          </cell>
        </row>
        <row r="360">
          <cell r="A360" t="str">
            <v>Look Ahead Undervoltage Alarm</v>
          </cell>
          <cell r="B360" t="str"/>
          <cell r="C360" t="str"/>
          <cell r="D360" t="str">
            <v>DMS_CFS_LOOK_AHEAD_UNDER_VOLTAGE</v>
          </cell>
          <cell r="E360" t="b">
            <v>0</v>
          </cell>
          <cell r="F360" t="str">
            <v>Alarme de subtensão detectado no cálculo de antecipação. Tempo / valor mais crítico: {0}.</v>
          </cell>
          <cell r="G360" t="str"/>
          <cell r="H360">
            <v>0</v>
          </cell>
          <cell r="I360">
            <v>0</v>
          </cell>
          <cell r="J360" t="str">
            <v>ApplicationAlarm</v>
          </cell>
          <cell r="K360" t="str">
            <v>Severidade 10</v>
          </cell>
          <cell r="L360" t="str">
            <v>Severidade 16</v>
          </cell>
          <cell r="M360" t="b">
            <v>0</v>
          </cell>
        </row>
        <row r="361">
          <cell r="A361" t="str">
            <v>Model update affecting active incidents</v>
          </cell>
          <cell r="B361" t="str"/>
          <cell r="C361" t="str"/>
          <cell r="D361" t="str">
            <v>OMS_ALARM_MODEL_UPDATE</v>
          </cell>
          <cell r="E361" t="b">
            <v>0</v>
          </cell>
          <cell r="F361" t="str">
            <v>A atualização do modelo que afeta incidentes ativos é executada.</v>
          </cell>
          <cell r="G361" t="str"/>
          <cell r="H361">
            <v>0</v>
          </cell>
          <cell r="I361">
            <v>0</v>
          </cell>
          <cell r="J361" t="str">
            <v>ApplicationAlarm</v>
          </cell>
          <cell r="K361" t="str">
            <v>Severidade 10</v>
          </cell>
          <cell r="L361" t="str">
            <v>Severidade 16</v>
          </cell>
          <cell r="M361" t="b">
            <v>0</v>
          </cell>
        </row>
        <row r="362">
          <cell r="A362" t="str">
            <v>Modem Availability Timeout Expired</v>
          </cell>
          <cell r="B362" t="str"/>
          <cell r="C362" t="str"/>
          <cell r="D362" t="str">
            <v>FEP_MODEM_AVAILABILITY_TIMEOUT_EXPIRED</v>
          </cell>
          <cell r="E362" t="b">
            <v>0</v>
          </cell>
          <cell r="F362" t="str">
            <v>Não houve modem disponível por {0} segundos para a RTU no número {1}.</v>
          </cell>
          <cell r="G362" t="str"/>
          <cell r="H362">
            <v>0</v>
          </cell>
          <cell r="I362">
            <v>0</v>
          </cell>
          <cell r="J362" t="str">
            <v>ApplicationAlarm</v>
          </cell>
          <cell r="K362" t="str">
            <v>Severidade 16</v>
          </cell>
          <cell r="L362" t="str">
            <v>Severidade 16</v>
          </cell>
          <cell r="M362" t="b">
            <v>0</v>
          </cell>
        </row>
        <row r="363">
          <cell r="A363" t="str">
            <v>Modem Call Timeout Expired</v>
          </cell>
          <cell r="B363" t="str"/>
          <cell r="C363" t="str"/>
          <cell r="D363" t="str">
            <v>FEP_MODEM_CALL_TIMEOUT_EXPIRED</v>
          </cell>
          <cell r="E363" t="b">
            <v>0</v>
          </cell>
          <cell r="F363" t="str">
            <v>O tempo limite da chamada expirou para a RTU no número {0}.</v>
          </cell>
          <cell r="G363" t="str"/>
          <cell r="H363">
            <v>0</v>
          </cell>
          <cell r="I363">
            <v>0</v>
          </cell>
          <cell r="J363" t="str">
            <v>ApplicationAlarm</v>
          </cell>
          <cell r="K363" t="str">
            <v>Severidade 16</v>
          </cell>
          <cell r="L363" t="str">
            <v>Severidade 16</v>
          </cell>
          <cell r="M363" t="b">
            <v>0</v>
          </cell>
        </row>
        <row r="364">
          <cell r="A364" t="str">
            <v>Network Monitor Connection Established</v>
          </cell>
          <cell r="B364" t="str"/>
          <cell r="C364" t="str"/>
          <cell r="D364" t="str">
            <v>SYSTEM_HEALTHMONITOR_CONNECTIONESTABLISHED_20</v>
          </cell>
          <cell r="E364" t="b">
            <v>0</v>
          </cell>
          <cell r="F364" t="str">
            <v>[NetworkMonitor] Conexão estabelecida com o dispositivo '{0}'.</v>
          </cell>
          <cell r="G364" t="str"/>
          <cell r="H364">
            <v>0</v>
          </cell>
          <cell r="I364">
            <v>0</v>
          </cell>
          <cell r="J364" t="str">
            <v>SystemAlarm</v>
          </cell>
          <cell r="K364" t="str">
            <v>Severidade 14</v>
          </cell>
          <cell r="L364" t="str">
            <v>Severidade 16</v>
          </cell>
          <cell r="M364" t="b">
            <v>0</v>
          </cell>
        </row>
        <row r="365">
          <cell r="A365" t="str">
            <v>Network Monitor Connection Lost</v>
          </cell>
          <cell r="B365" t="str"/>
          <cell r="C365" t="str"/>
          <cell r="D365" t="str">
            <v>SYSTEM_HEALTHMONITOR_CONNECTIONLOST_21</v>
          </cell>
          <cell r="E365" t="b">
            <v>0</v>
          </cell>
          <cell r="F365" t="str">
            <v>[NetworkMonitor] Não há conexão com o dispositivo '{0}'.</v>
          </cell>
          <cell r="G365" t="str"/>
          <cell r="H365">
            <v>0</v>
          </cell>
          <cell r="I365">
            <v>0</v>
          </cell>
          <cell r="J365" t="str">
            <v>SystemAlarm</v>
          </cell>
          <cell r="K365" t="str">
            <v>Severidade 14</v>
          </cell>
          <cell r="L365" t="str">
            <v>Severidade 16</v>
          </cell>
          <cell r="M365" t="b">
            <v>0</v>
          </cell>
        </row>
        <row r="366">
          <cell r="A366" t="str">
            <v>Network Monitor Failure</v>
          </cell>
          <cell r="B366" t="str"/>
          <cell r="C366" t="str"/>
          <cell r="D366" t="str">
            <v>SYSTEM_HEALTHMONITOR_INVALIDPROPERTYVALUE_22</v>
          </cell>
          <cell r="E366" t="b">
            <v>0</v>
          </cell>
          <cell r="F366" t="str">
            <v>[NetworkMonitor] Falha no dispositivo de rede '{0}'. {1}. [NetworkMonitor] Falha no dispositivo de rede '{2}'. O valor da propriedade '{3}' está fora do intervalo ou não corresponde a nenhum dos valores permitidos.</v>
          </cell>
          <cell r="G366" t="str"/>
          <cell r="H366">
            <v>0</v>
          </cell>
          <cell r="I366">
            <v>0</v>
          </cell>
          <cell r="J366" t="str">
            <v>SystemAlarm</v>
          </cell>
          <cell r="K366" t="str">
            <v>Severidade 14</v>
          </cell>
          <cell r="L366" t="str">
            <v>Severidade 16</v>
          </cell>
          <cell r="M366" t="b">
            <v>0</v>
          </cell>
        </row>
        <row r="367">
          <cell r="A367" t="str">
            <v>New hazard call</v>
          </cell>
          <cell r="B367" t="str"/>
          <cell r="C367" t="str"/>
          <cell r="D367" t="str">
            <v>OMS_ALARM_HAZARD_CALL_ADDED_TO_INC_PRIO1</v>
          </cell>
          <cell r="E367" t="b">
            <v>0</v>
          </cell>
          <cell r="F367" t="str">
            <v>Nova chamada de perigo adicionada ao incidente {0}</v>
          </cell>
          <cell r="G367" t="str"/>
          <cell r="H367">
            <v>0</v>
          </cell>
          <cell r="I367">
            <v>0</v>
          </cell>
          <cell r="J367" t="str">
            <v>ApplicationAlarm</v>
          </cell>
          <cell r="K367" t="str">
            <v>Severidade 8</v>
          </cell>
          <cell r="L367" t="str">
            <v>Severidade 16</v>
          </cell>
          <cell r="M367" t="b">
            <v>0</v>
          </cell>
        </row>
        <row r="368">
          <cell r="A368" t="str">
            <v>New hazard call_1</v>
          </cell>
          <cell r="B368" t="str"/>
          <cell r="C368" t="str"/>
          <cell r="D368" t="str">
            <v>OMS_ALARM_HAZARD_CALL_ADDED_TO_INC</v>
          </cell>
          <cell r="E368" t="b">
            <v>0</v>
          </cell>
          <cell r="F368" t="str">
            <v>Nova chamada de perigo adicionada ao incidente {0}</v>
          </cell>
          <cell r="G368" t="str"/>
          <cell r="H368">
            <v>0</v>
          </cell>
          <cell r="I368">
            <v>0</v>
          </cell>
          <cell r="J368" t="str">
            <v>ApplicationAlarm</v>
          </cell>
          <cell r="K368" t="str">
            <v>Severidade 10</v>
          </cell>
          <cell r="L368" t="str">
            <v>Severidade 16</v>
          </cell>
          <cell r="M368" t="b">
            <v>0</v>
          </cell>
        </row>
        <row r="369">
          <cell r="A369" t="str">
            <v>NewElement</v>
          </cell>
          <cell r="B369" t="str"/>
          <cell r="C369" t="str"/>
          <cell r="D369" t="str">
            <v>0b3c46e6-51f0-47fc-b120-dfb14a773b59</v>
          </cell>
          <cell r="E369" t="b">
            <v>1</v>
          </cell>
          <cell r="F369" t="str"/>
          <cell r="G369" t="str"/>
          <cell r="H369">
            <v>0</v>
          </cell>
          <cell r="I369">
            <v>0</v>
          </cell>
          <cell r="J369" t="str">
            <v>ApplicationAlarm</v>
          </cell>
          <cell r="K369" t="str">
            <v>Severidade 16</v>
          </cell>
          <cell r="L369" t="str">
            <v>Severidade 16</v>
          </cell>
          <cell r="M369" t="b">
            <v>0</v>
          </cell>
        </row>
        <row r="370">
          <cell r="A370" t="str">
            <v>Obsolete alarm</v>
          </cell>
          <cell r="B370" t="str"/>
          <cell r="C370" t="str"/>
          <cell r="D370" t="str">
            <v>DMS_CFS_OBSOLETE</v>
          </cell>
          <cell r="E370" t="b">
            <v>0</v>
          </cell>
          <cell r="F370" t="str">
            <v>O alarme está obsoleto.</v>
          </cell>
          <cell r="G370" t="str"/>
          <cell r="H370">
            <v>0</v>
          </cell>
          <cell r="I370">
            <v>0</v>
          </cell>
          <cell r="J370" t="str">
            <v>ApplicationAlarm</v>
          </cell>
          <cell r="K370" t="str">
            <v>Severidade 12</v>
          </cell>
          <cell r="L370" t="str">
            <v>Severidade 16</v>
          </cell>
          <cell r="M370" t="b">
            <v>0</v>
          </cell>
        </row>
        <row r="371">
          <cell r="A371" t="str">
            <v>Overvoltage aggregated</v>
          </cell>
          <cell r="B371" t="str"/>
          <cell r="C371" t="str"/>
          <cell r="D371" t="str">
            <v>DMS_CFS_SUBSTATION_OVERVOLTAGE</v>
          </cell>
          <cell r="E371" t="b">
            <v>0</v>
          </cell>
          <cell r="F371" t="str">
            <v>Sobretensão agregada acima de {0}</v>
          </cell>
          <cell r="G371" t="str"/>
          <cell r="H371">
            <v>0</v>
          </cell>
          <cell r="I371">
            <v>0</v>
          </cell>
          <cell r="J371" t="str">
            <v>ApplicationAlarm</v>
          </cell>
          <cell r="K371" t="str">
            <v>Severidade 10</v>
          </cell>
          <cell r="L371" t="str">
            <v>Severidade 16</v>
          </cell>
          <cell r="M371" t="b">
            <v>0</v>
          </cell>
        </row>
        <row r="372">
          <cell r="A372" t="str">
            <v>Overvoltage aggregated returned to normal</v>
          </cell>
          <cell r="B372" t="str"/>
          <cell r="C372" t="str"/>
          <cell r="D372" t="str">
            <v>DMS_CFS_RTN_SUBSTATION_OVERVOLTAGE</v>
          </cell>
          <cell r="E372" t="b">
            <v>0</v>
          </cell>
          <cell r="F372" t="str">
            <v>Sobretensão agregada dentro dos limites</v>
          </cell>
          <cell r="G372" t="str"/>
          <cell r="H372">
            <v>0</v>
          </cell>
          <cell r="I372">
            <v>0</v>
          </cell>
          <cell r="J372" t="str">
            <v>ApplicationAlarm</v>
          </cell>
          <cell r="K372" t="str">
            <v>Severidade 10</v>
          </cell>
          <cell r="L372" t="str">
            <v>Severidade 16</v>
          </cell>
          <cell r="M372" t="b">
            <v>0</v>
          </cell>
        </row>
        <row r="373">
          <cell r="A373" t="str">
            <v>Overvoltage aggregated returned to normal_1</v>
          </cell>
          <cell r="B373" t="str"/>
          <cell r="C373" t="str"/>
          <cell r="D373" t="str">
            <v>DMS_CFS_RTN_AGGREGATE_OVERVOLTAGE</v>
          </cell>
          <cell r="E373" t="b">
            <v>0</v>
          </cell>
          <cell r="F373" t="str">
            <v>Sobretensão no alimentador agregado ao nível da subestação</v>
          </cell>
          <cell r="G373" t="str"/>
          <cell r="H373">
            <v>0</v>
          </cell>
          <cell r="I373">
            <v>0</v>
          </cell>
          <cell r="J373" t="str">
            <v>ApplicationAlarm</v>
          </cell>
          <cell r="K373" t="str">
            <v>Severidade 10</v>
          </cell>
          <cell r="L373" t="str">
            <v>Severidade 16</v>
          </cell>
          <cell r="M373" t="b">
            <v>0</v>
          </cell>
        </row>
        <row r="374">
          <cell r="A374" t="str">
            <v>Periodic Command Failed</v>
          </cell>
          <cell r="B374" t="str"/>
          <cell r="C374" t="str"/>
          <cell r="D374" t="str">
            <v>FEP_PERIODIC_COMMAND_FAILED</v>
          </cell>
          <cell r="E374" t="b">
            <v>1</v>
          </cell>
          <cell r="F374" t="str">
            <v>Falha na execução periódica do comando. Tipo de comando: {0}.</v>
          </cell>
          <cell r="G374" t="str"/>
          <cell r="H374">
            <v>0</v>
          </cell>
          <cell r="I374">
            <v>0</v>
          </cell>
          <cell r="J374" t="str">
            <v>ApplicationAlarm</v>
          </cell>
          <cell r="K374" t="str">
            <v>Severidade 16</v>
          </cell>
          <cell r="L374" t="str">
            <v>Severidade 16</v>
          </cell>
          <cell r="M374" t="b">
            <v>0</v>
          </cell>
        </row>
        <row r="375">
          <cell r="A375" t="str">
            <v>Periodic Command Timeout</v>
          </cell>
          <cell r="B375" t="str"/>
          <cell r="C375" t="str"/>
          <cell r="D375" t="str">
            <v>FEP_PERIODIC_COMMAND_TIMEOUT</v>
          </cell>
          <cell r="E375" t="b">
            <v>1</v>
          </cell>
          <cell r="F375" t="str">
            <v>Tempo limite de execução do comando periódico. Tipo de comando: {0}.</v>
          </cell>
          <cell r="G375" t="str"/>
          <cell r="H375">
            <v>0</v>
          </cell>
          <cell r="I375">
            <v>0</v>
          </cell>
          <cell r="J375" t="str">
            <v>ApplicationAlarm</v>
          </cell>
          <cell r="K375" t="str">
            <v>Severidade 16</v>
          </cell>
          <cell r="L375" t="str">
            <v>Severidade 16</v>
          </cell>
          <cell r="M375" t="b">
            <v>0</v>
          </cell>
        </row>
        <row r="376">
          <cell r="A376" t="str">
            <v>Power plant active overload</v>
          </cell>
          <cell r="B376" t="str"/>
          <cell r="C376" t="str"/>
          <cell r="D376" t="str">
            <v>DMS_CFS_PWRPLANT_PGEN_HI_VIOLATION</v>
          </cell>
          <cell r="E376" t="b">
            <v>0</v>
          </cell>
          <cell r="F376" t="str">
            <v>Potência ativa da usina acima de {0}.</v>
          </cell>
          <cell r="G376" t="str"/>
          <cell r="H376">
            <v>0</v>
          </cell>
          <cell r="I376">
            <v>0</v>
          </cell>
          <cell r="J376" t="str">
            <v>ApplicationAlarm</v>
          </cell>
          <cell r="K376" t="str">
            <v>Severidade 10</v>
          </cell>
          <cell r="L376" t="str">
            <v>Severidade 16</v>
          </cell>
          <cell r="M376" t="b">
            <v>0</v>
          </cell>
        </row>
        <row r="377">
          <cell r="A377" t="str">
            <v>Power plant active power returned to normal</v>
          </cell>
          <cell r="B377" t="str"/>
          <cell r="C377" t="str"/>
          <cell r="D377" t="str">
            <v>DMS_CFS_RTN_PWRPLANT_PGEN_VIOLATION</v>
          </cell>
          <cell r="E377" t="b">
            <v>0</v>
          </cell>
          <cell r="F377" t="str">
            <v>Potência ativa da usina dentro dos limites.</v>
          </cell>
          <cell r="G377" t="str"/>
          <cell r="H377">
            <v>0</v>
          </cell>
          <cell r="I377">
            <v>0</v>
          </cell>
          <cell r="J377" t="str">
            <v>ApplicationAlarm</v>
          </cell>
          <cell r="K377" t="str">
            <v>Severidade 10</v>
          </cell>
          <cell r="L377" t="str">
            <v>Severidade 16</v>
          </cell>
          <cell r="M377" t="b">
            <v>0</v>
          </cell>
        </row>
        <row r="378">
          <cell r="A378" t="str">
            <v>Power plant active underload</v>
          </cell>
          <cell r="B378" t="str"/>
          <cell r="C378" t="str"/>
          <cell r="D378" t="str">
            <v>DMS_CFS_PWRPLANT_PGEN_LOW_VIOLATION</v>
          </cell>
          <cell r="E378" t="b">
            <v>0</v>
          </cell>
          <cell r="F378" t="str">
            <v>Potência ativa da usina abaixo de {0}.</v>
          </cell>
          <cell r="G378" t="str"/>
          <cell r="H378">
            <v>0</v>
          </cell>
          <cell r="I378">
            <v>0</v>
          </cell>
          <cell r="J378" t="str">
            <v>ApplicationAlarm</v>
          </cell>
          <cell r="K378" t="str">
            <v>Severidade 10</v>
          </cell>
          <cell r="L378" t="str">
            <v>Severidade 16</v>
          </cell>
          <cell r="M378" t="b">
            <v>0</v>
          </cell>
        </row>
        <row r="379">
          <cell r="A379" t="str">
            <v>Power plant has a high power factor</v>
          </cell>
          <cell r="B379" t="str"/>
          <cell r="C379" t="str"/>
          <cell r="D379" t="str">
            <v>DMS_CFS_PWRPLANT_PF_HI_VIOLATION</v>
          </cell>
          <cell r="E379" t="b">
            <v>0</v>
          </cell>
          <cell r="F379" t="str">
            <v>Fator de potência da usina acima de {0}.</v>
          </cell>
          <cell r="G379" t="str"/>
          <cell r="H379">
            <v>0</v>
          </cell>
          <cell r="I379">
            <v>0</v>
          </cell>
          <cell r="J379" t="str">
            <v>ApplicationAlarm</v>
          </cell>
          <cell r="K379" t="str">
            <v>Severidade 12</v>
          </cell>
          <cell r="L379" t="str">
            <v>Severidade 16</v>
          </cell>
          <cell r="M379" t="b">
            <v>0</v>
          </cell>
        </row>
        <row r="380">
          <cell r="A380" t="str">
            <v>Power plant has a low power factor</v>
          </cell>
          <cell r="B380" t="str"/>
          <cell r="C380" t="str"/>
          <cell r="D380" t="str">
            <v>DMS_CFS_PWRPLANT_PF_LO_VIOLATION</v>
          </cell>
          <cell r="E380" t="b">
            <v>0</v>
          </cell>
          <cell r="F380" t="str">
            <v>Fator de potência da usina abaixo de {0}.</v>
          </cell>
          <cell r="G380" t="str"/>
          <cell r="H380">
            <v>0</v>
          </cell>
          <cell r="I380">
            <v>0</v>
          </cell>
          <cell r="J380" t="str">
            <v>ApplicationAlarm</v>
          </cell>
          <cell r="K380" t="str">
            <v>Severidade 12</v>
          </cell>
          <cell r="L380" t="str">
            <v>Severidade 16</v>
          </cell>
          <cell r="M380" t="b">
            <v>0</v>
          </cell>
        </row>
        <row r="381">
          <cell r="A381" t="str">
            <v>Power plant overvoltage</v>
          </cell>
          <cell r="B381" t="str"/>
          <cell r="C381" t="str"/>
          <cell r="D381" t="str">
            <v>DMS_CFS_PWRPLANT_OVERVOLTAGE_VIOLATION</v>
          </cell>
          <cell r="E381" t="b">
            <v>0</v>
          </cell>
          <cell r="F381" t="str">
            <v>Tensão da usina acima de {0}.</v>
          </cell>
          <cell r="G381" t="str"/>
          <cell r="H381">
            <v>0</v>
          </cell>
          <cell r="I381">
            <v>0</v>
          </cell>
          <cell r="J381" t="str">
            <v>ApplicationAlarm</v>
          </cell>
          <cell r="K381" t="str">
            <v>Severidade 10</v>
          </cell>
          <cell r="L381" t="str">
            <v>Severidade 16</v>
          </cell>
          <cell r="M381" t="b">
            <v>0</v>
          </cell>
        </row>
        <row r="382">
          <cell r="A382" t="str">
            <v>Power plant power factor returned to normal</v>
          </cell>
          <cell r="B382" t="str"/>
          <cell r="C382" t="str"/>
          <cell r="D382" t="str">
            <v>DMS_CFS_RTN_PWRPLANT_PF_VIOLATION</v>
          </cell>
          <cell r="E382" t="b">
            <v>0</v>
          </cell>
          <cell r="F382" t="str">
            <v>Fator de potência da usina dentro dos limites.</v>
          </cell>
          <cell r="G382" t="str"/>
          <cell r="H382">
            <v>0</v>
          </cell>
          <cell r="I382">
            <v>0</v>
          </cell>
          <cell r="J382" t="str">
            <v>ApplicationAlarm</v>
          </cell>
          <cell r="K382" t="str">
            <v>Severidade 12</v>
          </cell>
          <cell r="L382" t="str">
            <v>Severidade 16</v>
          </cell>
          <cell r="M382" t="b">
            <v>0</v>
          </cell>
        </row>
        <row r="383">
          <cell r="A383" t="str">
            <v>Power plant reactive overload</v>
          </cell>
          <cell r="B383" t="str"/>
          <cell r="C383" t="str"/>
          <cell r="D383" t="str">
            <v>DMS_CFS_PWRPLANT_QGEN_HI_VIOLATION</v>
          </cell>
          <cell r="E383" t="b">
            <v>0</v>
          </cell>
          <cell r="F383" t="str">
            <v>Potência reativa da usina acima de {0}.</v>
          </cell>
          <cell r="G383" t="str"/>
          <cell r="H383">
            <v>0</v>
          </cell>
          <cell r="I383">
            <v>0</v>
          </cell>
          <cell r="J383" t="str">
            <v>ApplicationAlarm</v>
          </cell>
          <cell r="K383" t="str">
            <v>Severidade 10</v>
          </cell>
          <cell r="L383" t="str">
            <v>Severidade 16</v>
          </cell>
          <cell r="M383" t="b">
            <v>0</v>
          </cell>
        </row>
        <row r="384">
          <cell r="A384" t="str">
            <v>Power plant reactive power returned to normal</v>
          </cell>
          <cell r="B384" t="str"/>
          <cell r="C384" t="str"/>
          <cell r="D384" t="str">
            <v>DMS_CFS_RTN_PWRPLANT_QGEN_VIOLATION</v>
          </cell>
          <cell r="E384" t="b">
            <v>0</v>
          </cell>
          <cell r="F384" t="str">
            <v>Potência reativa da usina dentro dos limites.</v>
          </cell>
          <cell r="G384" t="str"/>
          <cell r="H384">
            <v>0</v>
          </cell>
          <cell r="I384">
            <v>0</v>
          </cell>
          <cell r="J384" t="str">
            <v>ApplicationAlarm</v>
          </cell>
          <cell r="K384" t="str">
            <v>Severidade 10</v>
          </cell>
          <cell r="L384" t="str">
            <v>Severidade 16</v>
          </cell>
          <cell r="M384" t="b">
            <v>0</v>
          </cell>
        </row>
        <row r="385">
          <cell r="A385" t="str">
            <v>Power plant reactive underload</v>
          </cell>
          <cell r="B385" t="str"/>
          <cell r="C385" t="str"/>
          <cell r="D385" t="str">
            <v>DMS_CFS_PWRPLANT_QGEN_LOW_VIOLATION</v>
          </cell>
          <cell r="E385" t="b">
            <v>0</v>
          </cell>
          <cell r="F385" t="str">
            <v>Potência reativa da usina abaixo de {0}.</v>
          </cell>
          <cell r="G385" t="str"/>
          <cell r="H385">
            <v>0</v>
          </cell>
          <cell r="I385">
            <v>0</v>
          </cell>
          <cell r="J385" t="str">
            <v>ApplicationAlarm</v>
          </cell>
          <cell r="K385" t="str">
            <v>Severidade 10</v>
          </cell>
          <cell r="L385" t="str">
            <v>Severidade 16</v>
          </cell>
          <cell r="M385" t="b">
            <v>0</v>
          </cell>
        </row>
        <row r="386">
          <cell r="A386" t="str">
            <v>Power Plant SoC below limit</v>
          </cell>
          <cell r="B386" t="str"/>
          <cell r="C386" t="str"/>
          <cell r="D386" t="str">
            <v>DMS_CFS_PWRPLANT_UNDERCAPACITY_VIOLATION</v>
          </cell>
          <cell r="E386" t="b">
            <v>0</v>
          </cell>
          <cell r="F386" t="str">
            <v>Estado de carga da usina abaixo do limite de {0} {1}.</v>
          </cell>
          <cell r="G386" t="str"/>
          <cell r="H386">
            <v>0</v>
          </cell>
          <cell r="I386">
            <v>0</v>
          </cell>
          <cell r="J386" t="str">
            <v>ApplicationAlarm</v>
          </cell>
          <cell r="K386" t="str">
            <v>Severidade 10</v>
          </cell>
          <cell r="L386" t="str">
            <v>Severidade 16</v>
          </cell>
          <cell r="M386" t="b">
            <v>0</v>
          </cell>
        </row>
        <row r="387">
          <cell r="A387" t="str">
            <v>Power Plant SoC returned to normal</v>
          </cell>
          <cell r="B387" t="str"/>
          <cell r="C387" t="str"/>
          <cell r="D387" t="str">
            <v>DMS_CFS_RTN_PWRPLANT_WP_VIOLATION</v>
          </cell>
          <cell r="E387" t="b">
            <v>0</v>
          </cell>
          <cell r="F387" t="str">
            <v>Estado da carga da usina dentro dos limites.</v>
          </cell>
          <cell r="G387" t="str"/>
          <cell r="H387">
            <v>0</v>
          </cell>
          <cell r="I387">
            <v>0</v>
          </cell>
          <cell r="J387" t="str">
            <v>ApplicationAlarm</v>
          </cell>
          <cell r="K387" t="str">
            <v>Severidade 10</v>
          </cell>
          <cell r="L387" t="str">
            <v>Severidade 16</v>
          </cell>
          <cell r="M387" t="b">
            <v>0</v>
          </cell>
        </row>
        <row r="388">
          <cell r="A388" t="str">
            <v>Power plant undervoltage</v>
          </cell>
          <cell r="B388" t="str"/>
          <cell r="C388" t="str"/>
          <cell r="D388" t="str">
            <v>DMS_CFS_PWRPLANT_UNDERVOLTAGE_VIOLATION</v>
          </cell>
          <cell r="E388" t="b">
            <v>0</v>
          </cell>
          <cell r="F388" t="str">
            <v>Tensão da usina abaixo de {0}.</v>
          </cell>
          <cell r="G388" t="str"/>
          <cell r="H388">
            <v>0</v>
          </cell>
          <cell r="I388">
            <v>0</v>
          </cell>
          <cell r="J388" t="str">
            <v>ApplicationAlarm</v>
          </cell>
          <cell r="K388" t="str">
            <v>Severidade 10</v>
          </cell>
          <cell r="L388" t="str">
            <v>Severidade 16</v>
          </cell>
          <cell r="M388" t="b">
            <v>0</v>
          </cell>
        </row>
        <row r="389">
          <cell r="A389" t="str">
            <v>Power plant voltage returned to normal</v>
          </cell>
          <cell r="B389" t="str"/>
          <cell r="C389" t="str"/>
          <cell r="D389" t="str">
            <v>DMS_CFS_RTN_PWRPLANT_V_VIOLATION</v>
          </cell>
          <cell r="E389" t="b">
            <v>0</v>
          </cell>
          <cell r="F389" t="str">
            <v>Tensão da usina dentro dos limites.</v>
          </cell>
          <cell r="G389" t="str"/>
          <cell r="H389">
            <v>0</v>
          </cell>
          <cell r="I389">
            <v>0</v>
          </cell>
          <cell r="J389" t="str">
            <v>ApplicationAlarm</v>
          </cell>
          <cell r="K389" t="str">
            <v>Severidade 10</v>
          </cell>
          <cell r="L389" t="str">
            <v>Severidade 16</v>
          </cell>
          <cell r="M389" t="b">
            <v>0</v>
          </cell>
        </row>
        <row r="390">
          <cell r="A390" t="str">
            <v>Prediction profile changed</v>
          </cell>
          <cell r="B390" t="str"/>
          <cell r="C390" t="str"/>
          <cell r="D390" t="str">
            <v>OMS_ALARM_PROFILE_CONFIG_CHANGED_PREDICTON_PROF</v>
          </cell>
          <cell r="E390" t="b">
            <v>0</v>
          </cell>
          <cell r="F390" t="str">
            <v>A configuração do OMS para o perfil de previsão foi alterada de {0} para {1}</v>
          </cell>
          <cell r="G390" t="str"/>
          <cell r="H390">
            <v>0</v>
          </cell>
          <cell r="I390">
            <v>0</v>
          </cell>
          <cell r="J390" t="str">
            <v>ApplicationAlarm</v>
          </cell>
          <cell r="K390" t="str">
            <v>Severidade 10</v>
          </cell>
          <cell r="L390" t="str">
            <v>Severidade 16</v>
          </cell>
          <cell r="M390" t="b">
            <v>0</v>
          </cell>
        </row>
        <row r="391">
          <cell r="A391" t="str">
            <v>Priority profile changed</v>
          </cell>
          <cell r="B391" t="str"/>
          <cell r="C391" t="str"/>
          <cell r="D391" t="str">
            <v>OMS_ALARM_PROFILE_CONFIG_CHANGED_PRIORITY_PROF</v>
          </cell>
          <cell r="E391" t="b">
            <v>0</v>
          </cell>
          <cell r="F391" t="str">
            <v>A configuração do OMS para o perfil de prioridade mudou de {0} para {1}</v>
          </cell>
          <cell r="G391" t="str"/>
          <cell r="H391">
            <v>0</v>
          </cell>
          <cell r="I391">
            <v>0</v>
          </cell>
          <cell r="J391" t="str">
            <v>ApplicationAlarm</v>
          </cell>
          <cell r="K391" t="str">
            <v>Severidade 10</v>
          </cell>
          <cell r="L391" t="str">
            <v>Severidade 16</v>
          </cell>
          <cell r="M391" t="b">
            <v>0</v>
          </cell>
        </row>
        <row r="392">
          <cell r="A392" t="str">
            <v>Process Monitor Critical Process Dead</v>
          </cell>
          <cell r="B392" t="str"/>
          <cell r="C392" t="str"/>
          <cell r="D392" t="str">
            <v>SYSTEM_PROCESSMONITOR_PROCESSMONITOREXCEPTION_1</v>
          </cell>
          <cell r="E392" t="b">
            <v>0</v>
          </cell>
          <cell r="F392" t="str">
            <v>Processo crítico {0} '{1}' morto em {2}.</v>
          </cell>
          <cell r="G392" t="str"/>
          <cell r="H392">
            <v>0</v>
          </cell>
          <cell r="I392">
            <v>0</v>
          </cell>
          <cell r="J392" t="str">
            <v>SystemAlarm</v>
          </cell>
          <cell r="K392" t="str">
            <v>Severidade 14</v>
          </cell>
          <cell r="L392" t="str">
            <v>Severidade 16</v>
          </cell>
          <cell r="M392" t="b">
            <v>0</v>
          </cell>
        </row>
        <row r="393">
          <cell r="A393" t="str">
            <v>Process Monitor Critical Process Inactive</v>
          </cell>
          <cell r="B393" t="str"/>
          <cell r="C393" t="str"/>
          <cell r="D393" t="str">
            <v>SYSTEM_PROCESSMONITOR_PROCESSMONITOREXCEPTION_4</v>
          </cell>
          <cell r="E393" t="b">
            <v>0</v>
          </cell>
          <cell r="F393" t="str">
            <v>Processo crítico {0} '{1}' inativo em {2}.</v>
          </cell>
          <cell r="G393" t="str"/>
          <cell r="H393">
            <v>0</v>
          </cell>
          <cell r="I393">
            <v>0</v>
          </cell>
          <cell r="J393" t="str">
            <v>SystemAlarm</v>
          </cell>
          <cell r="K393" t="str">
            <v>Severidade 14</v>
          </cell>
          <cell r="L393" t="str">
            <v>Severidade 16</v>
          </cell>
          <cell r="M393" t="b">
            <v>0</v>
          </cell>
        </row>
        <row r="394">
          <cell r="A394" t="str">
            <v>Process Monitor Handle Critical</v>
          </cell>
          <cell r="B394" t="str"/>
          <cell r="C394" t="str"/>
          <cell r="D394" t="str">
            <v>SYSTEM_PROCESSMONITOR_PROCESSMONITOREXCEPTION_8</v>
          </cell>
          <cell r="E394" t="b">
            <v>0</v>
          </cell>
          <cell r="F394" t="str">
            <v>O processo {0} '{1}' excedeu o limite crítico para a contagem de identificadores em {2}.</v>
          </cell>
          <cell r="G394" t="str"/>
          <cell r="H394">
            <v>0</v>
          </cell>
          <cell r="I394">
            <v>0</v>
          </cell>
          <cell r="J394" t="str">
            <v>SystemAlarm</v>
          </cell>
          <cell r="K394" t="str">
            <v>Severidade 14</v>
          </cell>
          <cell r="L394" t="str">
            <v>Severidade 16</v>
          </cell>
          <cell r="M394" t="b">
            <v>0</v>
          </cell>
        </row>
        <row r="395">
          <cell r="A395" t="str">
            <v>Process Monitor Handle Warning</v>
          </cell>
          <cell r="B395" t="str"/>
          <cell r="C395" t="str"/>
          <cell r="D395" t="str">
            <v>SYSTEM_PROCESSMONITOR_PROCESSMONITOREXCEPTION_7</v>
          </cell>
          <cell r="E395" t="b">
            <v>0</v>
          </cell>
          <cell r="F395" t="str">
            <v>O processo {0} '{1}' excedeu o limite de aviso para a contagem de identificadores em {2}.</v>
          </cell>
          <cell r="G395" t="str"/>
          <cell r="H395">
            <v>0</v>
          </cell>
          <cell r="I395">
            <v>0</v>
          </cell>
          <cell r="J395" t="str">
            <v>SystemAlarm</v>
          </cell>
          <cell r="K395" t="str">
            <v>Severidade 14</v>
          </cell>
          <cell r="L395" t="str">
            <v>Severidade 16</v>
          </cell>
          <cell r="M395" t="b">
            <v>0</v>
          </cell>
        </row>
        <row r="396">
          <cell r="A396" t="str">
            <v>Process Monitor Non-Critical Process Dead</v>
          </cell>
          <cell r="B396" t="str"/>
          <cell r="C396" t="str"/>
          <cell r="D396" t="str">
            <v>SYSTEM_PROCESSMONITOR_PROCESSMONITOREXCEPTION_2</v>
          </cell>
          <cell r="E396" t="b">
            <v>0</v>
          </cell>
          <cell r="F396" t="str">
            <v>Processo {0} não crítico '{1}' morto em {1}.</v>
          </cell>
          <cell r="G396" t="str"/>
          <cell r="H396">
            <v>0</v>
          </cell>
          <cell r="I396">
            <v>0</v>
          </cell>
          <cell r="J396" t="str">
            <v>SystemAlarm</v>
          </cell>
          <cell r="K396" t="str">
            <v>Severidade 14</v>
          </cell>
          <cell r="L396" t="str">
            <v>Severidade 16</v>
          </cell>
          <cell r="M396" t="b">
            <v>0</v>
          </cell>
        </row>
        <row r="397">
          <cell r="A397" t="str">
            <v>Process Monitor Non-Critical Process Dead And Restarting</v>
          </cell>
          <cell r="B397" t="str"/>
          <cell r="C397" t="str"/>
          <cell r="D397" t="str">
            <v>SYSTEM_PROCESSMONITOR_PROCESSMONITOREXCEPTION_3</v>
          </cell>
          <cell r="E397" t="b">
            <v>0</v>
          </cell>
          <cell r="F397" t="str">
            <v>Processo {0} não crítico '{1}' morto em {2}. Processo de reinicialização.</v>
          </cell>
          <cell r="G397" t="str"/>
          <cell r="H397">
            <v>0</v>
          </cell>
          <cell r="I397">
            <v>0</v>
          </cell>
          <cell r="J397" t="str">
            <v>SystemAlarm</v>
          </cell>
          <cell r="K397" t="str">
            <v>Severidade 14</v>
          </cell>
          <cell r="L397" t="str">
            <v>Severidade 16</v>
          </cell>
          <cell r="M397" t="b">
            <v>0</v>
          </cell>
        </row>
        <row r="398">
          <cell r="A398" t="str">
            <v>Process Monitor Non-Critical Process Inactive</v>
          </cell>
          <cell r="B398" t="str"/>
          <cell r="C398" t="str"/>
          <cell r="D398" t="str">
            <v>SYSTEM_PROCESSMONITOR_PROCESSMONITOREXCEPTION_5</v>
          </cell>
          <cell r="E398" t="b">
            <v>0</v>
          </cell>
          <cell r="F398" t="str">
            <v>Processo não crítico {0} '{1}' inativo em {2}.</v>
          </cell>
          <cell r="G398" t="str"/>
          <cell r="H398">
            <v>0</v>
          </cell>
          <cell r="I398">
            <v>0</v>
          </cell>
          <cell r="J398" t="str">
            <v>SystemAlarm</v>
          </cell>
          <cell r="K398" t="str">
            <v>Severidade 14</v>
          </cell>
          <cell r="L398" t="str">
            <v>Severidade 16</v>
          </cell>
          <cell r="M398" t="b">
            <v>0</v>
          </cell>
        </row>
        <row r="399">
          <cell r="A399" t="str">
            <v>Protocol invalid timestamp on RTU</v>
          </cell>
          <cell r="B399" t="str"/>
          <cell r="C399" t="str">
            <v>DGNSIS</v>
          </cell>
          <cell r="D399" t="str">
            <v>RTU_PROTOCOL_INVALID_TIMESTAMP</v>
          </cell>
          <cell r="E399" t="b">
            <v>0</v>
          </cell>
          <cell r="F399" t="str">
            <v>DGNSIS - O registro de data e hora inválido do protocolo existe em pelo menos um sinal RTU.</v>
          </cell>
          <cell r="G399" t="str"/>
          <cell r="H399">
            <v>0</v>
          </cell>
          <cell r="I399">
            <v>0</v>
          </cell>
          <cell r="J399" t="str">
            <v>ApplicationAlarm</v>
          </cell>
          <cell r="K399" t="str">
            <v>Severidade 15</v>
          </cell>
          <cell r="L399" t="str">
            <v>Severidade 16</v>
          </cell>
          <cell r="M399" t="b">
            <v>0</v>
          </cell>
        </row>
        <row r="400">
          <cell r="A400" t="str">
            <v>RDBMS Monitor SQL Server Connection Failed</v>
          </cell>
          <cell r="B400" t="str"/>
          <cell r="C400" t="str"/>
          <cell r="D400" t="str">
            <v>SYSTEM_RDBMSMONITOR_SQLCONNECTIONFAILURE_2</v>
          </cell>
          <cell r="E400" t="b">
            <v>0</v>
          </cell>
          <cell r="F400" t="str">
            <v>{0} não consegue se conectar ao SQL Server no sistema {1}</v>
          </cell>
          <cell r="G400" t="str"/>
          <cell r="H400">
            <v>0</v>
          </cell>
          <cell r="I400">
            <v>0</v>
          </cell>
          <cell r="J400" t="str">
            <v>SystemAlarm</v>
          </cell>
          <cell r="K400" t="str">
            <v>Severidade 14</v>
          </cell>
          <cell r="L400" t="str">
            <v>Severidade 16</v>
          </cell>
          <cell r="M400" t="b">
            <v>0</v>
          </cell>
        </row>
        <row r="401">
          <cell r="A401" t="str">
            <v>RDBMS Monitor SQL Server Connection Restored</v>
          </cell>
          <cell r="B401" t="str"/>
          <cell r="C401" t="str"/>
          <cell r="D401" t="str">
            <v>SYSTEM_RDBMSMONITOR_SQLCONNECTIONRESTORED_1</v>
          </cell>
          <cell r="E401" t="b">
            <v>0</v>
          </cell>
          <cell r="F401" t="str">
            <v>A conexão de {0} com o SQL Server no sistema {1} foi restaurada.</v>
          </cell>
          <cell r="G401" t="str"/>
          <cell r="H401">
            <v>0</v>
          </cell>
          <cell r="I401">
            <v>0</v>
          </cell>
          <cell r="J401" t="str">
            <v>SystemAlarm</v>
          </cell>
          <cell r="K401" t="str">
            <v>Severidade 14</v>
          </cell>
          <cell r="L401" t="str">
            <v>Severidade 16</v>
          </cell>
          <cell r="M401" t="b">
            <v>0</v>
          </cell>
        </row>
        <row r="402">
          <cell r="A402" t="str">
            <v>Reactive reserve below limit</v>
          </cell>
          <cell r="B402" t="str"/>
          <cell r="C402" t="str"/>
          <cell r="D402" t="str">
            <v>EMS_RRM_UNDERLOAD</v>
          </cell>
          <cell r="E402" t="b">
            <v>0</v>
          </cell>
          <cell r="F402" t="str">
            <v>Reserva reativa abaixo do limite {0}.</v>
          </cell>
          <cell r="G402" t="str"/>
          <cell r="H402">
            <v>0</v>
          </cell>
          <cell r="I402">
            <v>0</v>
          </cell>
          <cell r="J402" t="str">
            <v>ApplicationAlarm</v>
          </cell>
          <cell r="K402" t="str">
            <v>Severidade 12</v>
          </cell>
          <cell r="L402" t="str">
            <v>Severidade 16</v>
          </cell>
          <cell r="M402" t="b">
            <v>0</v>
          </cell>
        </row>
        <row r="403">
          <cell r="A403" t="str">
            <v>Reactive reserve within limits</v>
          </cell>
          <cell r="B403" t="str"/>
          <cell r="C403" t="str"/>
          <cell r="D403" t="str">
            <v>EMS_RRM_RTN_UNDERLOAD</v>
          </cell>
          <cell r="E403" t="b">
            <v>0</v>
          </cell>
          <cell r="F403" t="str">
            <v>Reserva reativa dentro dos limites.</v>
          </cell>
          <cell r="G403" t="str"/>
          <cell r="H403">
            <v>0</v>
          </cell>
          <cell r="I403">
            <v>0</v>
          </cell>
          <cell r="J403" t="str">
            <v>ApplicationAlarm</v>
          </cell>
          <cell r="K403" t="str">
            <v>Severidade 12</v>
          </cell>
          <cell r="L403" t="str">
            <v>Severidade 16</v>
          </cell>
          <cell r="M403" t="b">
            <v>0</v>
          </cell>
        </row>
        <row r="404">
          <cell r="A404" t="str">
            <v>Remote Unit Buffer Overflow Event</v>
          </cell>
          <cell r="B404" t="str"/>
          <cell r="C404" t="str"/>
          <cell r="D404" t="str">
            <v>FEP_RTU_BUFFER_OVERFLOW_EVENT</v>
          </cell>
          <cell r="E404" t="b">
            <v>0</v>
          </cell>
          <cell r="F404" t="str">
            <v>{0} excederam o tamanho do buffer na unidade remota.</v>
          </cell>
          <cell r="G404" t="str"/>
          <cell r="H404">
            <v>0</v>
          </cell>
          <cell r="I404">
            <v>0</v>
          </cell>
          <cell r="J404" t="str">
            <v>ApplicationAlarm</v>
          </cell>
          <cell r="K404" t="str">
            <v>Severidade 16</v>
          </cell>
          <cell r="L404" t="str">
            <v>Severidade 16</v>
          </cell>
          <cell r="M404" t="b">
            <v>0</v>
          </cell>
        </row>
        <row r="405">
          <cell r="A405" t="str">
            <v>Remote unit is returned to normal state</v>
          </cell>
          <cell r="B405" t="str"/>
          <cell r="C405" t="str">
            <v>UTRRES</v>
          </cell>
          <cell r="D405" t="str">
            <v>FEP_TELEMETRY_FAILURE_REMOTE_UNIT_RTN</v>
          </cell>
          <cell r="E405" t="b">
            <v>1</v>
          </cell>
          <cell r="F405" t="str">
            <v>UTRRES - A UTR ou PTR está no estado {0}.</v>
          </cell>
          <cell r="G405" t="str">
            <v>UTR voltou a responder.</v>
          </cell>
          <cell r="H405">
            <v>180</v>
          </cell>
          <cell r="I405">
            <v>0</v>
          </cell>
          <cell r="J405" t="str">
            <v>ApplicationAlarm</v>
          </cell>
          <cell r="K405" t="str">
            <v>Severidade 9</v>
          </cell>
          <cell r="L405" t="str">
            <v>Severidade 16</v>
          </cell>
          <cell r="M405" t="b">
            <v>0</v>
          </cell>
        </row>
        <row r="406">
          <cell r="A406" t="str">
            <v>Replication Route Synchronization State Changed To Not Synchronized</v>
          </cell>
          <cell r="B406" t="str"/>
          <cell r="C406" t="str"/>
          <cell r="D406" t="str">
            <v>SYSTEM_REPLICATION_ROUTESYNCHRONIZATIONSTATE_1</v>
          </cell>
          <cell r="E406" t="b">
            <v>0</v>
          </cell>
          <cell r="F406" t="str">
            <v>Rota de replicação '{0}: {1}' para '{2}: {3}' NÃO É SINCRONIZADO</v>
          </cell>
          <cell r="G406" t="str"/>
          <cell r="H406">
            <v>0</v>
          </cell>
          <cell r="I406">
            <v>0</v>
          </cell>
          <cell r="J406" t="str">
            <v>SystemAlarm</v>
          </cell>
          <cell r="K406" t="str">
            <v>Severidade 4</v>
          </cell>
          <cell r="L406" t="str">
            <v>Severidade 16</v>
          </cell>
          <cell r="M406" t="b">
            <v>0</v>
          </cell>
        </row>
        <row r="407">
          <cell r="A407" t="str">
            <v>Replication Route Synchronization State Changed To Synchronized</v>
          </cell>
          <cell r="B407" t="str"/>
          <cell r="C407" t="str"/>
          <cell r="D407" t="str">
            <v>SYSTEM_REPLICATION_ROUTESYNCHRONIZATIONSTATE_2</v>
          </cell>
          <cell r="E407" t="b">
            <v>0</v>
          </cell>
          <cell r="F407" t="str">
            <v>Rota de replicação '{0}: {1}' para '{2}: {3}' agora está SINCRONIZADO</v>
          </cell>
          <cell r="G407" t="str"/>
          <cell r="H407">
            <v>0</v>
          </cell>
          <cell r="I407">
            <v>0</v>
          </cell>
          <cell r="J407" t="str">
            <v>SystemAlarm</v>
          </cell>
          <cell r="K407" t="str">
            <v>Severidade 14</v>
          </cell>
          <cell r="L407" t="str">
            <v>Severidade 16</v>
          </cell>
          <cell r="M407" t="b">
            <v>0</v>
          </cell>
        </row>
        <row r="408">
          <cell r="A408" t="str">
            <v>Replication Service Communication Failure</v>
          </cell>
          <cell r="B408" t="str"/>
          <cell r="C408" t="str"/>
          <cell r="D408" t="str">
            <v>SYSTEM_REPLICATION_COMMUNICATIONFAULT_1</v>
          </cell>
          <cell r="E408" t="b">
            <v>0</v>
          </cell>
          <cell r="F408" t="str">
            <v>O serviço de replicação apresentou falha permanente na comunicação no host: '{0}', para o serviço: '{1}'</v>
          </cell>
          <cell r="G408" t="str"/>
          <cell r="H408">
            <v>0</v>
          </cell>
          <cell r="I408">
            <v>0</v>
          </cell>
          <cell r="J408" t="str">
            <v>SystemAlarm</v>
          </cell>
          <cell r="K408" t="str">
            <v>Severidade 3</v>
          </cell>
          <cell r="L408" t="str">
            <v>Severidade 16</v>
          </cell>
          <cell r="M408" t="b">
            <v>0</v>
          </cell>
        </row>
        <row r="409">
          <cell r="A409" t="str">
            <v>Replication Service Communication Status Return To Normal</v>
          </cell>
          <cell r="B409" t="str"/>
          <cell r="C409" t="str"/>
          <cell r="D409" t="str">
            <v>SYSTEM_REPLICATION_COMMUNICATIONFAULT_2</v>
          </cell>
          <cell r="E409" t="b">
            <v>0</v>
          </cell>
          <cell r="F409" t="str">
            <v>O serviço de replicação redefiniu o estado da comunicação para NORMAL no host: '{0}', para o serviço: '{1}'</v>
          </cell>
          <cell r="G409" t="str"/>
          <cell r="H409">
            <v>0</v>
          </cell>
          <cell r="I409">
            <v>0</v>
          </cell>
          <cell r="J409" t="str">
            <v>SystemAlarm</v>
          </cell>
          <cell r="K409" t="str">
            <v>Severidade 14</v>
          </cell>
          <cell r="L409" t="str">
            <v>Severidade 16</v>
          </cell>
          <cell r="M409" t="b">
            <v>0</v>
          </cell>
        </row>
        <row r="410">
          <cell r="A410" t="str">
            <v>Reserve  returned to normal</v>
          </cell>
          <cell r="B410" t="str"/>
          <cell r="C410" t="str"/>
          <cell r="D410" t="str">
            <v>GMS_AGC_RESERVE_BELOW_THRESHOLD_RTN</v>
          </cell>
          <cell r="E410" t="b">
            <v>1</v>
          </cell>
          <cell r="F410" t="str">
            <v>{0} {1} está no intervalo desejado.</v>
          </cell>
          <cell r="G410" t="str"/>
          <cell r="H410">
            <v>0</v>
          </cell>
          <cell r="I410">
            <v>0</v>
          </cell>
          <cell r="J410" t="str">
            <v>ApplicationAlarm</v>
          </cell>
          <cell r="K410" t="str">
            <v>Severidade 10</v>
          </cell>
          <cell r="L410" t="str">
            <v>Severidade 16</v>
          </cell>
          <cell r="M410" t="b">
            <v>0</v>
          </cell>
        </row>
        <row r="411">
          <cell r="A411" t="str">
            <v>Reserve below threshold</v>
          </cell>
          <cell r="B411" t="str"/>
          <cell r="C411" t="str"/>
          <cell r="D411" t="str">
            <v>MGMS_ADC_RESERVE_BELOW_THRESHOLD</v>
          </cell>
          <cell r="E411" t="b">
            <v>1</v>
          </cell>
          <cell r="F411" t="str">
            <v>{0} {1} está abaixo do limite {2}.</v>
          </cell>
          <cell r="G411" t="str"/>
          <cell r="H411">
            <v>0</v>
          </cell>
          <cell r="I411">
            <v>0</v>
          </cell>
          <cell r="J411" t="str">
            <v>ApplicationAlarm</v>
          </cell>
          <cell r="K411" t="str">
            <v>Severidade 10</v>
          </cell>
          <cell r="L411" t="str">
            <v>Severidade 16</v>
          </cell>
          <cell r="M411" t="b">
            <v>0</v>
          </cell>
        </row>
        <row r="412">
          <cell r="A412" t="str">
            <v>Reserve below threshold_1</v>
          </cell>
          <cell r="B412" t="str"/>
          <cell r="C412" t="str"/>
          <cell r="D412" t="str">
            <v>GMS_AGC_RESERVE_BELOW_THRESHOLD</v>
          </cell>
          <cell r="E412" t="b">
            <v>1</v>
          </cell>
          <cell r="F412" t="str">
            <v>{0} {1} está abaixo do limite {2}.</v>
          </cell>
          <cell r="G412" t="str"/>
          <cell r="H412">
            <v>0</v>
          </cell>
          <cell r="I412">
            <v>0</v>
          </cell>
          <cell r="J412" t="str">
            <v>ApplicationAlarm</v>
          </cell>
          <cell r="K412" t="str">
            <v>Severidade 10</v>
          </cell>
          <cell r="L412" t="str">
            <v>Severidade 16</v>
          </cell>
          <cell r="M412" t="b">
            <v>0</v>
          </cell>
        </row>
        <row r="413">
          <cell r="A413" t="str">
            <v>Reserve returned to normal_1</v>
          </cell>
          <cell r="B413" t="str"/>
          <cell r="C413" t="str"/>
          <cell r="D413" t="str">
            <v>MGMS_ADC_RESERVE_BELOW_THRESHOLD_RTN</v>
          </cell>
          <cell r="E413" t="b">
            <v>1</v>
          </cell>
          <cell r="F413" t="str">
            <v>{0} {1} está no intervalo desejado.</v>
          </cell>
          <cell r="G413" t="str"/>
          <cell r="H413">
            <v>0</v>
          </cell>
          <cell r="I413">
            <v>0</v>
          </cell>
          <cell r="J413" t="str">
            <v>ApplicationAlarm</v>
          </cell>
          <cell r="K413" t="str">
            <v>Severidade 10</v>
          </cell>
          <cell r="L413" t="str">
            <v>Severidade 16</v>
          </cell>
          <cell r="M413" t="b">
            <v>0</v>
          </cell>
        </row>
        <row r="414">
          <cell r="A414" t="str">
            <v>RTN ADC Failure alarm event catalog</v>
          </cell>
          <cell r="B414" t="str"/>
          <cell r="C414" t="str"/>
          <cell r="D414" t="str">
            <v>ADC_Failure_Normal</v>
          </cell>
          <cell r="E414" t="b">
            <v>1</v>
          </cell>
          <cell r="F414" t="str">
            <v>Falha no ADC removida da RTU.</v>
          </cell>
          <cell r="G414" t="str"/>
          <cell r="H414">
            <v>0</v>
          </cell>
          <cell r="I414">
            <v>0</v>
          </cell>
          <cell r="J414" t="str">
            <v>ApplicationAlarm</v>
          </cell>
          <cell r="K414" t="str">
            <v>Severidade 14</v>
          </cell>
          <cell r="L414" t="str">
            <v>Severidade 16</v>
          </cell>
          <cell r="M414" t="b">
            <v>0</v>
          </cell>
        </row>
        <row r="415">
          <cell r="A415" t="str">
            <v>RTU/Communication Channel Command failed</v>
          </cell>
          <cell r="B415" t="str"/>
          <cell r="C415" t="str">
            <v>CNEXEC</v>
          </cell>
          <cell r="D415" t="str">
            <v>CMD_FAIL_CHANNEL</v>
          </cell>
          <cell r="E415" t="b">
            <v>1</v>
          </cell>
          <cell r="F415" t="str">
            <v>CNEXEC -  {0} FALHOU devido a: {1} []</v>
          </cell>
          <cell r="G415" t="str"/>
          <cell r="H415">
            <v>0</v>
          </cell>
          <cell r="I415">
            <v>0</v>
          </cell>
          <cell r="J415" t="str">
            <v>ApplicationAlarm</v>
          </cell>
          <cell r="K415" t="str">
            <v>Severidade 9</v>
          </cell>
          <cell r="L415" t="str">
            <v>Severidade 16</v>
          </cell>
          <cell r="M415" t="b">
            <v>0</v>
          </cell>
        </row>
        <row r="416">
          <cell r="A416" t="str">
            <v>SCADA Watchdog Timeout</v>
          </cell>
          <cell r="B416" t="str"/>
          <cell r="C416" t="str"/>
          <cell r="D416" t="str">
            <v>SCADA_WATCHDOG_TIMEOUT</v>
          </cell>
          <cell r="E416" t="b">
            <v>0</v>
          </cell>
          <cell r="F416" t="str">
            <v>SCADA watchdog detected that data source {0} has been inactive for more than {1}[s].</v>
          </cell>
          <cell r="G416" t="str"/>
          <cell r="H416">
            <v>0</v>
          </cell>
          <cell r="I416">
            <v>0</v>
          </cell>
          <cell r="J416" t="str">
            <v>ApplicationAlarm</v>
          </cell>
          <cell r="K416" t="str">
            <v>Severidade 15</v>
          </cell>
          <cell r="L416" t="str">
            <v>Severidade 16</v>
          </cell>
          <cell r="M416" t="b">
            <v>0</v>
          </cell>
        </row>
        <row r="417">
          <cell r="A417" t="str">
            <v>Section overheat</v>
          </cell>
          <cell r="B417" t="str"/>
          <cell r="C417" t="str"/>
          <cell r="D417" t="str">
            <v>EMS_CFS_OVERHEAT_SECTION</v>
          </cell>
          <cell r="E417" t="b">
            <v>0</v>
          </cell>
          <cell r="F417" t="str">
            <v>Temperatura da seção acima do limite de {0} {1}.</v>
          </cell>
          <cell r="G417" t="str"/>
          <cell r="H417">
            <v>0</v>
          </cell>
          <cell r="I417">
            <v>0</v>
          </cell>
          <cell r="J417" t="str">
            <v>ApplicationAlarm</v>
          </cell>
          <cell r="K417" t="str">
            <v>Severidade 12</v>
          </cell>
          <cell r="L417" t="str">
            <v>Severidade 16</v>
          </cell>
          <cell r="M417" t="b">
            <v>0</v>
          </cell>
        </row>
        <row r="418">
          <cell r="A418" t="str">
            <v>Section overheat returned to normal</v>
          </cell>
          <cell r="B418" t="str"/>
          <cell r="C418" t="str"/>
          <cell r="D418" t="str">
            <v>EMS_CFS_RTN_OVERHEAT_SECTION</v>
          </cell>
          <cell r="E418" t="b">
            <v>0</v>
          </cell>
          <cell r="F418" t="str">
            <v>Temperatura da seção dentro dos limites.</v>
          </cell>
          <cell r="G418" t="str"/>
          <cell r="H418">
            <v>0</v>
          </cell>
          <cell r="I418">
            <v>0</v>
          </cell>
          <cell r="J418" t="str">
            <v>ApplicationAlarm</v>
          </cell>
          <cell r="K418" t="str">
            <v>Severidade 12</v>
          </cell>
          <cell r="L418" t="str">
            <v>Severidade 16</v>
          </cell>
          <cell r="M418" t="b">
            <v>0</v>
          </cell>
        </row>
        <row r="419">
          <cell r="A419" t="str">
            <v>Section overload</v>
          </cell>
          <cell r="B419" t="str"/>
          <cell r="C419" t="str"/>
          <cell r="D419" t="str">
            <v>EMS_CFS_OVERLOAD_SECTION</v>
          </cell>
          <cell r="E419" t="b">
            <v>0</v>
          </cell>
          <cell r="F419" t="str">
            <v>Carregamento de seção acima do limite de {0} {1}.</v>
          </cell>
          <cell r="G419" t="str"/>
          <cell r="H419">
            <v>0</v>
          </cell>
          <cell r="I419">
            <v>0</v>
          </cell>
          <cell r="J419" t="str">
            <v>ApplicationAlarm</v>
          </cell>
          <cell r="K419" t="str">
            <v>Severidade 12</v>
          </cell>
          <cell r="L419" t="str">
            <v>Severidade 16</v>
          </cell>
          <cell r="M419" t="b">
            <v>0</v>
          </cell>
        </row>
        <row r="420">
          <cell r="A420" t="str">
            <v>Section overload aggregated</v>
          </cell>
          <cell r="B420" t="str"/>
          <cell r="C420" t="str"/>
          <cell r="D420" t="str">
            <v>DMS_CFS_SUBSTATION_OVERLOAD_SECTION</v>
          </cell>
          <cell r="E420" t="b">
            <v>0</v>
          </cell>
          <cell r="F420" t="str">
            <v>Sobrecarga de linha agregada acima de {0} A</v>
          </cell>
          <cell r="G420" t="str"/>
          <cell r="H420">
            <v>0</v>
          </cell>
          <cell r="I420">
            <v>0</v>
          </cell>
          <cell r="J420" t="str">
            <v>ApplicationAlarm</v>
          </cell>
          <cell r="K420" t="str">
            <v>Severidade 12</v>
          </cell>
          <cell r="L420" t="str">
            <v>Severidade 16</v>
          </cell>
          <cell r="M420" t="b">
            <v>0</v>
          </cell>
        </row>
        <row r="421">
          <cell r="A421" t="str">
            <v>Section overload aggregated returned to normal</v>
          </cell>
          <cell r="B421" t="str"/>
          <cell r="C421" t="str"/>
          <cell r="D421" t="str">
            <v>DMS_CFS_RTN_AGGREGATE_OVERLOAD_SERVICE_TRANSF</v>
          </cell>
          <cell r="E421" t="b">
            <v>0</v>
          </cell>
          <cell r="F421" t="str">
            <v>Sobrecarga do transformador de serviço agregada ao nível da subestação</v>
          </cell>
          <cell r="G421" t="str"/>
          <cell r="H421">
            <v>0</v>
          </cell>
          <cell r="I421">
            <v>0</v>
          </cell>
          <cell r="J421" t="str">
            <v>ApplicationAlarm</v>
          </cell>
          <cell r="K421" t="str">
            <v>Severidade 12</v>
          </cell>
          <cell r="L421" t="str">
            <v>Severidade 16</v>
          </cell>
          <cell r="M421" t="b">
            <v>0</v>
          </cell>
        </row>
        <row r="422">
          <cell r="A422" t="str">
            <v>Section overload returned to normal</v>
          </cell>
          <cell r="B422" t="str"/>
          <cell r="C422" t="str"/>
          <cell r="D422" t="str">
            <v>EMS_CFS_RTN_OVERLOAD_SECTION</v>
          </cell>
          <cell r="E422" t="b">
            <v>0</v>
          </cell>
          <cell r="F422" t="str">
            <v>Carregamento de seção dentro dos limites.</v>
          </cell>
          <cell r="G422" t="str"/>
          <cell r="H422">
            <v>0</v>
          </cell>
          <cell r="I422">
            <v>0</v>
          </cell>
          <cell r="J422" t="str">
            <v>ApplicationAlarm</v>
          </cell>
          <cell r="K422" t="str">
            <v>Severidade 12</v>
          </cell>
          <cell r="L422" t="str">
            <v>Severidade 16</v>
          </cell>
          <cell r="M422" t="b">
            <v>0</v>
          </cell>
        </row>
        <row r="423">
          <cell r="A423" t="str">
            <v>Service transformer overload aggregated</v>
          </cell>
          <cell r="B423" t="str"/>
          <cell r="C423" t="str"/>
          <cell r="D423" t="str">
            <v>DMS_CFS_SUBSTATION_OVERLOAD_SERVICE_TRANSFORMER</v>
          </cell>
          <cell r="E423" t="b">
            <v>0</v>
          </cell>
          <cell r="F423" t="str">
            <v>Sobrecarga de transformador de serviço agregado acima de {0}</v>
          </cell>
          <cell r="G423" t="str"/>
          <cell r="H423">
            <v>0</v>
          </cell>
          <cell r="I423">
            <v>0</v>
          </cell>
          <cell r="J423" t="str">
            <v>ApplicationAlarm</v>
          </cell>
          <cell r="K423" t="str">
            <v>Severidade 12</v>
          </cell>
          <cell r="L423" t="str">
            <v>Severidade 16</v>
          </cell>
          <cell r="M423" t="b">
            <v>0</v>
          </cell>
        </row>
        <row r="424">
          <cell r="A424" t="str">
            <v>Service transformer overload aggregated returned to normal</v>
          </cell>
          <cell r="B424" t="str"/>
          <cell r="C424" t="str"/>
          <cell r="D424" t="str">
            <v>DMS_CFS_RTN_SUBSTATION_OVERLOAD_SERVICE_TRANS</v>
          </cell>
          <cell r="E424" t="b">
            <v>0</v>
          </cell>
          <cell r="F424" t="str">
            <v>Sobrecarga agregada do transformador de serviço dentro dos limites</v>
          </cell>
          <cell r="G424" t="str"/>
          <cell r="H424">
            <v>0</v>
          </cell>
          <cell r="I424">
            <v>0</v>
          </cell>
          <cell r="J424" t="str">
            <v>ApplicationAlarm</v>
          </cell>
          <cell r="K424" t="str">
            <v>Severidade 16</v>
          </cell>
          <cell r="L424" t="str">
            <v>Severidade 16</v>
          </cell>
          <cell r="M424" t="b">
            <v>0</v>
          </cell>
        </row>
        <row r="425">
          <cell r="A425" t="str">
            <v>Short circuit current</v>
          </cell>
          <cell r="B425" t="str"/>
          <cell r="C425" t="str"/>
          <cell r="D425" t="str">
            <v>DMS_CFS_SHORT_CIRCUIT_CURRENT</v>
          </cell>
          <cell r="E425" t="b">
            <v>0</v>
          </cell>
          <cell r="F425" t="str">
            <v>A corrente de curto-circuito {0} excede o valor nominal.</v>
          </cell>
          <cell r="G425" t="str"/>
          <cell r="H425">
            <v>0</v>
          </cell>
          <cell r="I425">
            <v>0</v>
          </cell>
          <cell r="J425" t="str">
            <v>ApplicationAlarm</v>
          </cell>
          <cell r="K425" t="str">
            <v>Severidade 12</v>
          </cell>
          <cell r="L425" t="str">
            <v>Severidade 16</v>
          </cell>
          <cell r="M425" t="b">
            <v>0</v>
          </cell>
        </row>
        <row r="426">
          <cell r="A426" t="str">
            <v>Short circuit current returned to normal</v>
          </cell>
          <cell r="B426" t="str"/>
          <cell r="C426" t="str"/>
          <cell r="D426" t="str">
            <v>DMS_CFS_RTN_SHORT_CIRCUIT_CURRENT</v>
          </cell>
          <cell r="E426" t="b">
            <v>0</v>
          </cell>
          <cell r="F426" t="str">
            <v>Corrente de curto-circuito dentro dos limites.</v>
          </cell>
          <cell r="G426" t="str"/>
          <cell r="H426">
            <v>0</v>
          </cell>
          <cell r="I426">
            <v>0</v>
          </cell>
          <cell r="J426" t="str">
            <v>ApplicationAlarm</v>
          </cell>
          <cell r="K426" t="str">
            <v>Severidade 12</v>
          </cell>
          <cell r="L426" t="str">
            <v>Severidade 16</v>
          </cell>
          <cell r="M426" t="b">
            <v>0</v>
          </cell>
        </row>
        <row r="427">
          <cell r="A427" t="str">
            <v>Small Signal Instability alarm is obsolete</v>
          </cell>
          <cell r="B427" t="str"/>
          <cell r="C427" t="str"/>
          <cell r="D427" t="str">
            <v>EMS_SSS_SYSTEM_UNSTABLE_OBSOLETE</v>
          </cell>
          <cell r="E427" t="b">
            <v>0</v>
          </cell>
          <cell r="F427" t="str">
            <v>O alarme de instabilidade de sinal pequeno está obsoleto</v>
          </cell>
          <cell r="G427" t="str"/>
          <cell r="H427">
            <v>0</v>
          </cell>
          <cell r="I427">
            <v>0</v>
          </cell>
          <cell r="J427" t="str">
            <v>ApplicationAlarm</v>
          </cell>
          <cell r="K427" t="str">
            <v>Severidade 12</v>
          </cell>
          <cell r="L427" t="str">
            <v>Severidade 16</v>
          </cell>
          <cell r="M427" t="b">
            <v>0</v>
          </cell>
        </row>
        <row r="428">
          <cell r="A428" t="str">
            <v>Small Signal Instability detected</v>
          </cell>
          <cell r="B428" t="str"/>
          <cell r="C428" t="str"/>
          <cell r="D428" t="str">
            <v>EMS_SSS_SYSTEM_UNSTABLE</v>
          </cell>
          <cell r="E428" t="b">
            <v>0</v>
          </cell>
          <cell r="F428" t="str">
            <v>Instabilidade de sinal pequeno detectada</v>
          </cell>
          <cell r="G428" t="str"/>
          <cell r="H428">
            <v>0</v>
          </cell>
          <cell r="I428">
            <v>0</v>
          </cell>
          <cell r="J428" t="str">
            <v>ApplicationAlarm</v>
          </cell>
          <cell r="K428" t="str">
            <v>Severidade 12</v>
          </cell>
          <cell r="L428" t="str">
            <v>Severidade 16</v>
          </cell>
          <cell r="M428" t="b">
            <v>0</v>
          </cell>
        </row>
        <row r="429">
          <cell r="A429" t="str">
            <v>Small Signal Instability is no longer detected</v>
          </cell>
          <cell r="B429" t="str"/>
          <cell r="C429" t="str"/>
          <cell r="D429" t="str">
            <v>EMS_SSS_SYSTEM_UNSTABLE_RTN</v>
          </cell>
          <cell r="E429" t="b">
            <v>0</v>
          </cell>
          <cell r="F429" t="str">
            <v>Instabilidade de sinal pequeno não é mais detectada</v>
          </cell>
          <cell r="G429" t="str"/>
          <cell r="H429">
            <v>0</v>
          </cell>
          <cell r="I429">
            <v>0</v>
          </cell>
          <cell r="J429" t="str">
            <v>ApplicationAlarm</v>
          </cell>
          <cell r="K429" t="str">
            <v>Severidade 12</v>
          </cell>
          <cell r="L429" t="str">
            <v>Severidade 16</v>
          </cell>
          <cell r="M429" t="b">
            <v>0</v>
          </cell>
        </row>
        <row r="430">
          <cell r="A430" t="str">
            <v>Smart meter profile changed</v>
          </cell>
          <cell r="B430" t="str"/>
          <cell r="C430" t="str"/>
          <cell r="D430" t="str">
            <v>OMS_ALARM_PROFILE_CONFIG_CHANGED_SMARTMET_PROF</v>
          </cell>
          <cell r="E430" t="b">
            <v>0</v>
          </cell>
          <cell r="F430" t="str">
            <v>A configuração do OMS para o perfil do medidor inteligente foi alterada de {0} para {1}</v>
          </cell>
          <cell r="G430" t="str"/>
          <cell r="H430">
            <v>0</v>
          </cell>
          <cell r="I430">
            <v>0</v>
          </cell>
          <cell r="J430" t="str">
            <v>ApplicationAlarm</v>
          </cell>
          <cell r="K430" t="str">
            <v>Severidade 10</v>
          </cell>
          <cell r="L430" t="str">
            <v>Severidade 16</v>
          </cell>
          <cell r="M430" t="b">
            <v>0</v>
          </cell>
        </row>
        <row r="431">
          <cell r="A431" t="str">
            <v>Spinning reserve below limit</v>
          </cell>
          <cell r="B431" t="str"/>
          <cell r="C431" t="str"/>
          <cell r="D431" t="str">
            <v>EMS_RRM_SPINING_UNDERLOAD</v>
          </cell>
          <cell r="E431" t="b">
            <v>0</v>
          </cell>
          <cell r="F431" t="str">
            <v>Participação de reserva rotativa na reserva operacional abaixo do exigido {0}%</v>
          </cell>
          <cell r="G431" t="str"/>
          <cell r="H431">
            <v>0</v>
          </cell>
          <cell r="I431">
            <v>0</v>
          </cell>
          <cell r="J431" t="str">
            <v>ApplicationAlarm</v>
          </cell>
          <cell r="K431" t="str">
            <v>Severidade 12</v>
          </cell>
          <cell r="L431" t="str">
            <v>Severidade 16</v>
          </cell>
          <cell r="M431" t="b">
            <v>0</v>
          </cell>
        </row>
        <row r="432">
          <cell r="A432" t="str">
            <v>Spinning reserve within limits</v>
          </cell>
          <cell r="B432" t="str"/>
          <cell r="C432" t="str"/>
          <cell r="D432" t="str">
            <v>EMS_RRM_SPINING_RTN_UNDERLOAD</v>
          </cell>
          <cell r="E432" t="b">
            <v>0</v>
          </cell>
          <cell r="F432" t="str">
            <v>Participação de reserva rotativa na reserva operacional acima do exigido {0}%</v>
          </cell>
          <cell r="G432" t="str"/>
          <cell r="H432">
            <v>0</v>
          </cell>
          <cell r="I432">
            <v>0</v>
          </cell>
          <cell r="J432" t="str">
            <v>ApplicationAlarm</v>
          </cell>
          <cell r="K432" t="str">
            <v>Severidade 12</v>
          </cell>
          <cell r="L432" t="str">
            <v>Severidade 16</v>
          </cell>
          <cell r="M432" t="b">
            <v>0</v>
          </cell>
        </row>
        <row r="433">
          <cell r="A433" t="str">
            <v>Split aggregated alarm</v>
          </cell>
          <cell r="B433" t="str"/>
          <cell r="C433" t="str"/>
          <cell r="D433" t="str">
            <v>DMS_CFS_SUBSTATION_RTN_SPLIT</v>
          </cell>
          <cell r="E433" t="b">
            <v>0</v>
          </cell>
          <cell r="F433" t="str">
            <v>Divisão de alarme agregada no nível do alimentador</v>
          </cell>
          <cell r="G433" t="str"/>
          <cell r="H433">
            <v>0</v>
          </cell>
          <cell r="I433">
            <v>0</v>
          </cell>
          <cell r="J433" t="str">
            <v>ApplicationAlarm</v>
          </cell>
          <cell r="K433" t="str">
            <v>Severidade 10</v>
          </cell>
          <cell r="L433" t="str">
            <v>Severidade 16</v>
          </cell>
          <cell r="M433" t="b">
            <v>0</v>
          </cell>
        </row>
        <row r="434">
          <cell r="A434" t="str">
            <v>Staging feed is lost</v>
          </cell>
          <cell r="B434" t="str"/>
          <cell r="C434" t="str"/>
          <cell r="D434" t="str">
            <v>FEP_STAGING_FEED_LOST</v>
          </cell>
          <cell r="E434" t="b">
            <v>0</v>
          </cell>
          <cell r="F434" t="str">
            <v>O feed de telemetria da zona de produção é perdido.</v>
          </cell>
          <cell r="G434" t="str"/>
          <cell r="H434">
            <v>0</v>
          </cell>
          <cell r="I434">
            <v>0</v>
          </cell>
          <cell r="J434" t="str">
            <v>SystemAlarm</v>
          </cell>
          <cell r="K434" t="str">
            <v>Severidade 16</v>
          </cell>
          <cell r="L434" t="str">
            <v>Severidade 16</v>
          </cell>
          <cell r="M434" t="b">
            <v>0</v>
          </cell>
        </row>
        <row r="435">
          <cell r="A435" t="str">
            <v>Substation undervoltage aggregated</v>
          </cell>
          <cell r="B435" t="str"/>
          <cell r="C435" t="str"/>
          <cell r="D435" t="str">
            <v>DMS_CFS_SUBSTATION_UNDERVOLTAGE</v>
          </cell>
          <cell r="E435" t="b">
            <v>0</v>
          </cell>
          <cell r="F435" t="str">
            <v>Subtensão agregada abaixo de {0}</v>
          </cell>
          <cell r="G435" t="str"/>
          <cell r="H435">
            <v>0</v>
          </cell>
          <cell r="I435">
            <v>0</v>
          </cell>
          <cell r="J435" t="str">
            <v>ApplicationAlarm</v>
          </cell>
          <cell r="K435" t="str">
            <v>Severidade 10</v>
          </cell>
          <cell r="L435" t="str">
            <v>Severidade 16</v>
          </cell>
          <cell r="M435" t="b">
            <v>0</v>
          </cell>
        </row>
        <row r="436">
          <cell r="A436" t="str">
            <v>Supply transformer overheat</v>
          </cell>
          <cell r="B436" t="str"/>
          <cell r="C436" t="str"/>
          <cell r="D436" t="str">
            <v>DMS_CFS_OVERHEAT_SUPPLY_TRANSFORMER</v>
          </cell>
          <cell r="E436" t="b">
            <v>0</v>
          </cell>
          <cell r="F436" t="str">
            <v>Temperatura do transformador acima do limite {0} {1}.</v>
          </cell>
          <cell r="G436" t="str"/>
          <cell r="H436">
            <v>0</v>
          </cell>
          <cell r="I436">
            <v>0</v>
          </cell>
          <cell r="J436" t="str">
            <v>ApplicationAlarm</v>
          </cell>
          <cell r="K436" t="str">
            <v>Severidade 10</v>
          </cell>
          <cell r="L436" t="str">
            <v>Severidade 16</v>
          </cell>
          <cell r="M436" t="b">
            <v>0</v>
          </cell>
        </row>
        <row r="437">
          <cell r="A437" t="str">
            <v>Supply transformer overheat returned to normal</v>
          </cell>
          <cell r="B437" t="str"/>
          <cell r="C437" t="str"/>
          <cell r="D437" t="str">
            <v>DMS_CFS_RTN_OVERHEAT_SUPPLY_TRANSFORMER</v>
          </cell>
          <cell r="E437" t="b">
            <v>0</v>
          </cell>
          <cell r="F437" t="str">
            <v>Temperatura do transformador dentro dos limites.</v>
          </cell>
          <cell r="G437" t="str"/>
          <cell r="H437">
            <v>0</v>
          </cell>
          <cell r="I437">
            <v>0</v>
          </cell>
          <cell r="J437" t="str">
            <v>ApplicationAlarm</v>
          </cell>
          <cell r="K437" t="str">
            <v>Severidade 10</v>
          </cell>
          <cell r="L437" t="str">
            <v>Severidade 16</v>
          </cell>
          <cell r="M437" t="b">
            <v>0</v>
          </cell>
        </row>
        <row r="438">
          <cell r="A438" t="str">
            <v>Supply transformer overload</v>
          </cell>
          <cell r="B438" t="str"/>
          <cell r="C438" t="str"/>
          <cell r="D438" t="str">
            <v>DMS_CFS_OVERLOAD_SUPPLY_TRANSFORMER</v>
          </cell>
          <cell r="E438" t="b">
            <v>0</v>
          </cell>
          <cell r="F438" t="str">
            <v>Carga do transformador de alimentação acima do limite de {0} {1}.</v>
          </cell>
          <cell r="G438" t="str"/>
          <cell r="H438">
            <v>0</v>
          </cell>
          <cell r="I438">
            <v>0</v>
          </cell>
          <cell r="J438" t="str">
            <v>ApplicationAlarm</v>
          </cell>
          <cell r="K438" t="str">
            <v>Severidade 10</v>
          </cell>
          <cell r="L438" t="str">
            <v>Severidade 16</v>
          </cell>
          <cell r="M438" t="b">
            <v>0</v>
          </cell>
        </row>
        <row r="439">
          <cell r="A439" t="str">
            <v>Supply transformer overload obsolete</v>
          </cell>
          <cell r="B439" t="str"/>
          <cell r="C439" t="str"/>
          <cell r="D439" t="str">
            <v>DMS_CFS_OVERLOAD_SUPPLY_TRANSFORMER_OBSOLETE</v>
          </cell>
          <cell r="E439" t="b">
            <v>0</v>
          </cell>
          <cell r="F439" t="str">
            <v>O alarme de carregamento do transformador de alimentação está obsoleto.</v>
          </cell>
          <cell r="G439" t="str"/>
          <cell r="H439">
            <v>0</v>
          </cell>
          <cell r="I439">
            <v>0</v>
          </cell>
          <cell r="J439" t="str">
            <v>ApplicationAlarm</v>
          </cell>
          <cell r="K439" t="str">
            <v>Severidade 12</v>
          </cell>
          <cell r="L439" t="str">
            <v>Severidade 16</v>
          </cell>
          <cell r="M439" t="b">
            <v>0</v>
          </cell>
        </row>
        <row r="440">
          <cell r="A440" t="str">
            <v>Supply transformer overload returned to normal</v>
          </cell>
          <cell r="B440" t="str"/>
          <cell r="C440" t="str"/>
          <cell r="D440" t="str">
            <v>DMS_CFS_RTN_OVERLOAD_SUPPLY_TRANSFORMER</v>
          </cell>
          <cell r="E440" t="b">
            <v>0</v>
          </cell>
          <cell r="F440" t="str">
            <v>Carga do transformador de alimentação dentro dos limites.</v>
          </cell>
          <cell r="G440" t="str"/>
          <cell r="H440">
            <v>0</v>
          </cell>
          <cell r="I440">
            <v>0</v>
          </cell>
          <cell r="J440" t="str">
            <v>ApplicationAlarm</v>
          </cell>
          <cell r="K440" t="str">
            <v>Severidade 10</v>
          </cell>
          <cell r="L440" t="str">
            <v>Severidade 16</v>
          </cell>
          <cell r="M440" t="b">
            <v>0</v>
          </cell>
        </row>
        <row r="441">
          <cell r="A441" t="str">
            <v>Supply transformer with reverse flow</v>
          </cell>
          <cell r="B441" t="str"/>
          <cell r="C441" t="str"/>
          <cell r="D441" t="str">
            <v>DMS_REVERSE_FLOW</v>
          </cell>
          <cell r="E441" t="b">
            <v>0</v>
          </cell>
          <cell r="F441" t="str">
            <v>O transformador de alimentação possui fluxo de energia reverso.</v>
          </cell>
          <cell r="G441" t="str"/>
          <cell r="H441">
            <v>0</v>
          </cell>
          <cell r="I441">
            <v>0</v>
          </cell>
          <cell r="J441" t="str">
            <v>ApplicationAlarm</v>
          </cell>
          <cell r="K441" t="str">
            <v>Severidade 10</v>
          </cell>
          <cell r="L441" t="str">
            <v>Severidade 16</v>
          </cell>
          <cell r="M441" t="b">
            <v>0</v>
          </cell>
        </row>
        <row r="442">
          <cell r="A442" t="str">
            <v>Supply transformer with reverse flow returned to normal</v>
          </cell>
          <cell r="B442" t="str"/>
          <cell r="C442" t="str"/>
          <cell r="D442" t="str">
            <v>DMS_RTN_REVERSE_FLOW</v>
          </cell>
          <cell r="E442" t="b">
            <v>0</v>
          </cell>
          <cell r="F442" t="str">
            <v>O transformador de alimentação não tem mais fluxo de energia reverso.</v>
          </cell>
          <cell r="G442" t="str"/>
          <cell r="H442">
            <v>0</v>
          </cell>
          <cell r="I442">
            <v>0</v>
          </cell>
          <cell r="J442" t="str">
            <v>ApplicationAlarm</v>
          </cell>
          <cell r="K442" t="str">
            <v>Severidade 10</v>
          </cell>
          <cell r="L442" t="str">
            <v>Severidade 16</v>
          </cell>
          <cell r="M442" t="b">
            <v>0</v>
          </cell>
        </row>
        <row r="443">
          <cell r="A443" t="str">
            <v>System event processing failure alarm</v>
          </cell>
          <cell r="B443" t="str"/>
          <cell r="C443" t="str"/>
          <cell r="D443" t="str">
            <v>SYSTEM_EVENT_PROCESSING_FAILURE_ALARM</v>
          </cell>
          <cell r="E443" t="b">
            <v>0</v>
          </cell>
          <cell r="F443" t="str">
            <v>[Falha] {0}.</v>
          </cell>
          <cell r="G443" t="str"/>
          <cell r="H443">
            <v>0</v>
          </cell>
          <cell r="I443">
            <v>0</v>
          </cell>
          <cell r="J443" t="str">
            <v>SystemAlarm</v>
          </cell>
          <cell r="K443" t="str">
            <v>Severidade 8</v>
          </cell>
          <cell r="L443" t="str">
            <v>Severidade 16</v>
          </cell>
          <cell r="M443" t="b">
            <v>0</v>
          </cell>
        </row>
        <row r="444">
          <cell r="A444" t="str">
            <v>Telemetry Failure after unsuccessful periodic commands</v>
          </cell>
          <cell r="B444" t="str"/>
          <cell r="C444" t="str"/>
          <cell r="D444" t="str">
            <v>FEP_TELEMETRY_FAILURE_PERIODIC_COMMAND</v>
          </cell>
          <cell r="E444" t="b">
            <v>1</v>
          </cell>
          <cell r="F444" t="str">
            <v>Falha na telemetria detectada após {0} comando (s) periódico (s) sem êxito.</v>
          </cell>
          <cell r="G444" t="str"/>
          <cell r="H444">
            <v>0</v>
          </cell>
          <cell r="I444">
            <v>0</v>
          </cell>
          <cell r="J444" t="str">
            <v>ApplicationAlarm</v>
          </cell>
          <cell r="K444" t="str">
            <v>Severidade 16</v>
          </cell>
          <cell r="L444" t="str">
            <v>Severidade 16</v>
          </cell>
          <cell r="M444" t="b">
            <v>0</v>
          </cell>
        </row>
        <row r="445">
          <cell r="A445" t="str">
            <v>Too many calls not processed</v>
          </cell>
          <cell r="B445" t="str"/>
          <cell r="C445" t="str"/>
          <cell r="D445" t="str">
            <v>OMS_ALARM_TOO_MANY_CALLS_NOT_PROCESSED</v>
          </cell>
          <cell r="E445" t="b">
            <v>0</v>
          </cell>
          <cell r="F445" t="str">
            <v>Desempenho de processamento de chamada degradado, muitos eventos não processados ??({0})</v>
          </cell>
          <cell r="G445" t="str"/>
          <cell r="H445">
            <v>0</v>
          </cell>
          <cell r="I445">
            <v>0</v>
          </cell>
          <cell r="J445" t="str">
            <v>ApplicationAlarm</v>
          </cell>
          <cell r="K445" t="str">
            <v>Severidade 10</v>
          </cell>
          <cell r="L445" t="str">
            <v>Severidade 16</v>
          </cell>
          <cell r="M445" t="b">
            <v>0</v>
          </cell>
        </row>
        <row r="446">
          <cell r="A446" t="str">
            <v>Too many calls not processed return to normal</v>
          </cell>
          <cell r="B446" t="str"/>
          <cell r="C446" t="str"/>
          <cell r="D446" t="str">
            <v>OMS_ALARM_RTN_TOO_MANY_CALLS_NOT_PROCESSED</v>
          </cell>
          <cell r="E446" t="b">
            <v>0</v>
          </cell>
          <cell r="F446" t="str">
            <v>Desempenho de processamento de chamadas normalizado</v>
          </cell>
          <cell r="G446" t="str"/>
          <cell r="H446">
            <v>0</v>
          </cell>
          <cell r="I446">
            <v>0</v>
          </cell>
          <cell r="J446" t="str">
            <v>ApplicationAlarm</v>
          </cell>
          <cell r="K446" t="str">
            <v>Severidade 10</v>
          </cell>
          <cell r="L446" t="str">
            <v>Severidade 16</v>
          </cell>
          <cell r="M446" t="b">
            <v>0</v>
          </cell>
        </row>
        <row r="447">
          <cell r="A447" t="str">
            <v>Too many elements excluded from optimization in time period</v>
          </cell>
          <cell r="B447" t="str"/>
          <cell r="C447" t="str"/>
          <cell r="D447" t="str">
            <v>DMS_CFS_TOO_MANY_EXCL_ELEMENTS_IN_TIME_PERIOD</v>
          </cell>
          <cell r="E447" t="b">
            <v>0</v>
          </cell>
          <cell r="F447" t="str">
            <v>{0} dispositivos foram excluídos da otimização nos últimos {1} segundos</v>
          </cell>
          <cell r="G447" t="str">
            <v>Represents alarm that is raised when too many elements are added in the Exclusion List within the specified time.</v>
          </cell>
          <cell r="H447">
            <v>0</v>
          </cell>
          <cell r="I447">
            <v>0</v>
          </cell>
          <cell r="J447" t="str">
            <v>ApplicationAlarm</v>
          </cell>
          <cell r="K447" t="str">
            <v>Severidade 10</v>
          </cell>
          <cell r="L447" t="str">
            <v>Severidade 16</v>
          </cell>
          <cell r="M447" t="b">
            <v>0</v>
          </cell>
        </row>
        <row r="448">
          <cell r="A448" t="str">
            <v>Too many incidents return to normal</v>
          </cell>
          <cell r="B448" t="str"/>
          <cell r="C448" t="str"/>
          <cell r="D448" t="str">
            <v>OMS_ALARM_RTN_TOO_MANY_NEW_INCIDENTS</v>
          </cell>
          <cell r="E448" t="b">
            <v>0</v>
          </cell>
          <cell r="F448" t="str">
            <v>Processamento de incidentes normalizado</v>
          </cell>
          <cell r="G448" t="str"/>
          <cell r="H448">
            <v>0</v>
          </cell>
          <cell r="I448">
            <v>0</v>
          </cell>
          <cell r="J448" t="str">
            <v>ApplicationAlarm</v>
          </cell>
          <cell r="K448" t="str">
            <v>Severidade 10</v>
          </cell>
          <cell r="L448" t="str">
            <v>Severidade 16</v>
          </cell>
          <cell r="M448" t="b">
            <v>0</v>
          </cell>
        </row>
        <row r="449">
          <cell r="A449" t="str">
            <v>Too many last gasp events received</v>
          </cell>
          <cell r="B449" t="str"/>
          <cell r="C449" t="str"/>
          <cell r="D449" t="str">
            <v>OMS_ALARM_TOO_MANY_LAST_GASP_EVENT_RECEIVED</v>
          </cell>
          <cell r="E449" t="b">
            <v>0</v>
          </cell>
          <cell r="F449" t="str">
            <v>{0} últimos eventos de suspiro recebidos em {1} minutos</v>
          </cell>
          <cell r="G449" t="str"/>
          <cell r="H449">
            <v>0</v>
          </cell>
          <cell r="I449">
            <v>0</v>
          </cell>
          <cell r="J449" t="str">
            <v>ApplicationAlarm</v>
          </cell>
          <cell r="K449" t="str">
            <v>Severidade 8</v>
          </cell>
          <cell r="L449" t="str">
            <v>Severidade 16</v>
          </cell>
          <cell r="M449" t="b">
            <v>0</v>
          </cell>
        </row>
        <row r="450">
          <cell r="A450" t="str">
            <v>Too many new incidents</v>
          </cell>
          <cell r="B450" t="str"/>
          <cell r="C450" t="str"/>
          <cell r="D450" t="str">
            <v>OMS_ALARM_TOO_MANY_NEW_INCIDENTS</v>
          </cell>
          <cell r="E450" t="b">
            <v>0</v>
          </cell>
          <cell r="F450" t="str">
            <v>Muitos incidentes não atribuídos ({0})</v>
          </cell>
          <cell r="G450" t="str"/>
          <cell r="H450">
            <v>0</v>
          </cell>
          <cell r="I450">
            <v>0</v>
          </cell>
          <cell r="J450" t="str">
            <v>ApplicationAlarm</v>
          </cell>
          <cell r="K450" t="str">
            <v>Severidade 10</v>
          </cell>
          <cell r="L450" t="str">
            <v>Severidade 16</v>
          </cell>
          <cell r="M450" t="b">
            <v>0</v>
          </cell>
        </row>
        <row r="451">
          <cell r="A451" t="str">
            <v>Too meany trouble calls received</v>
          </cell>
          <cell r="B451" t="str"/>
          <cell r="C451" t="str"/>
          <cell r="D451" t="str">
            <v>OMS_ALARM_TOO_MANY_TROUBLE_CALLS_RECEIVED</v>
          </cell>
          <cell r="E451" t="b">
            <v>0</v>
          </cell>
          <cell r="F451" t="str">
            <v>{0} chamadas com problemas recebidas em {1} minutos</v>
          </cell>
          <cell r="G451" t="str"/>
          <cell r="H451">
            <v>0</v>
          </cell>
          <cell r="I451">
            <v>0</v>
          </cell>
          <cell r="J451" t="str">
            <v>ApplicationAlarm</v>
          </cell>
          <cell r="K451" t="str">
            <v>Severidade 8</v>
          </cell>
          <cell r="L451" t="str">
            <v>Severidade 16</v>
          </cell>
          <cell r="M451" t="b">
            <v>0</v>
          </cell>
        </row>
        <row r="452">
          <cell r="A452" t="str">
            <v>Too meny affected customers</v>
          </cell>
          <cell r="B452" t="str"/>
          <cell r="C452" t="str"/>
          <cell r="D452" t="str">
            <v>OMS_ALARM_TOO_MANY_AFF_CUSTOMER_INC_CREATED</v>
          </cell>
          <cell r="E452" t="b">
            <v>0</v>
          </cell>
          <cell r="F452" t="str">
            <v>Um incidente {0} com mais de {1} clientes afetados foi criado</v>
          </cell>
          <cell r="G452" t="str"/>
          <cell r="H452">
            <v>0</v>
          </cell>
          <cell r="I452">
            <v>0</v>
          </cell>
          <cell r="J452" t="str">
            <v>ApplicationAlarm</v>
          </cell>
          <cell r="K452" t="str">
            <v>Severidade 10</v>
          </cell>
          <cell r="L452" t="str">
            <v>Severidade 16</v>
          </cell>
          <cell r="M452" t="b">
            <v>0</v>
          </cell>
        </row>
        <row r="453">
          <cell r="A453" t="str">
            <v>Transformer circulating current</v>
          </cell>
          <cell r="B453" t="str"/>
          <cell r="C453" t="str"/>
          <cell r="D453" t="str">
            <v>DMS_CFS_CIRCULATING_CURRENT</v>
          </cell>
          <cell r="E453" t="b">
            <v>0</v>
          </cell>
          <cell r="F453" t="str">
            <v>Corrente circulante do transformador acima do limite {0} {1}.</v>
          </cell>
          <cell r="G453" t="str"/>
          <cell r="H453">
            <v>0</v>
          </cell>
          <cell r="I453">
            <v>0</v>
          </cell>
          <cell r="J453" t="str">
            <v>ApplicationAlarm</v>
          </cell>
          <cell r="K453" t="str">
            <v>Severidade 14</v>
          </cell>
          <cell r="L453" t="str">
            <v>Severidade 16</v>
          </cell>
          <cell r="M453" t="b">
            <v>0</v>
          </cell>
        </row>
        <row r="454">
          <cell r="A454" t="str">
            <v>Transformer circulating current returned to normal</v>
          </cell>
          <cell r="B454" t="str"/>
          <cell r="C454" t="str"/>
          <cell r="D454" t="str">
            <v>DMS_CFS_RTN_CIRCULATING_CURRENT</v>
          </cell>
          <cell r="E454" t="b">
            <v>0</v>
          </cell>
          <cell r="F454" t="str">
            <v>Corrente de circulação do transformador dentro dos limites.</v>
          </cell>
          <cell r="G454" t="str"/>
          <cell r="H454">
            <v>0</v>
          </cell>
          <cell r="I454">
            <v>0</v>
          </cell>
          <cell r="J454" t="str">
            <v>ApplicationAlarm</v>
          </cell>
          <cell r="K454" t="str">
            <v>Severidade 14</v>
          </cell>
          <cell r="L454" t="str">
            <v>Severidade 16</v>
          </cell>
          <cell r="M454" t="b">
            <v>0</v>
          </cell>
        </row>
        <row r="455">
          <cell r="A455" t="str">
            <v>Transformer overexcitation</v>
          </cell>
          <cell r="B455" t="str"/>
          <cell r="C455" t="str"/>
          <cell r="D455" t="str">
            <v>DMS_CFS_OVEREXCITATION</v>
          </cell>
          <cell r="E455" t="b">
            <v>0</v>
          </cell>
          <cell r="F455" t="str">
            <v>Excitação do transformador acima do limite de {0} {1}.</v>
          </cell>
          <cell r="G455" t="str"/>
          <cell r="H455">
            <v>0</v>
          </cell>
          <cell r="I455">
            <v>0</v>
          </cell>
          <cell r="J455" t="str">
            <v>ApplicationAlarm</v>
          </cell>
          <cell r="K455" t="str">
            <v>Severidade 14</v>
          </cell>
          <cell r="L455" t="str">
            <v>Severidade 16</v>
          </cell>
          <cell r="M455" t="b">
            <v>0</v>
          </cell>
        </row>
        <row r="456">
          <cell r="A456" t="str">
            <v>Transformer overexcitation returned to normal</v>
          </cell>
          <cell r="B456" t="str"/>
          <cell r="C456" t="str"/>
          <cell r="D456" t="str">
            <v>DMS_CFS_RTN_OVEREXCITATION</v>
          </cell>
          <cell r="E456" t="b">
            <v>0</v>
          </cell>
          <cell r="F456" t="str">
            <v>Excitação do transformador dentro dos limites.</v>
          </cell>
          <cell r="G456" t="str"/>
          <cell r="H456">
            <v>0</v>
          </cell>
          <cell r="I456">
            <v>0</v>
          </cell>
          <cell r="J456" t="str">
            <v>ApplicationAlarm</v>
          </cell>
          <cell r="K456" t="str">
            <v>Severidade 14</v>
          </cell>
          <cell r="L456" t="str">
            <v>Severidade 16</v>
          </cell>
          <cell r="M456" t="b">
            <v>0</v>
          </cell>
        </row>
        <row r="457">
          <cell r="A457" t="str">
            <v>Transformer overload</v>
          </cell>
          <cell r="B457" t="str"/>
          <cell r="C457" t="str"/>
          <cell r="D457" t="str">
            <v>DMS_CFS_OVERLOAD_TRANSFORMER</v>
          </cell>
          <cell r="E457" t="b">
            <v>0</v>
          </cell>
          <cell r="F457" t="str">
            <v>Carregamento do transformador acima do limite de {0} {1}.</v>
          </cell>
          <cell r="G457" t="str"/>
          <cell r="H457">
            <v>0</v>
          </cell>
          <cell r="I457">
            <v>0</v>
          </cell>
          <cell r="J457" t="str">
            <v>ApplicationAlarm</v>
          </cell>
          <cell r="K457" t="str">
            <v>Severidade 10</v>
          </cell>
          <cell r="L457" t="str">
            <v>Severidade 16</v>
          </cell>
          <cell r="M457" t="b">
            <v>0</v>
          </cell>
        </row>
        <row r="458">
          <cell r="A458" t="str">
            <v>Transformer overload returned to normal</v>
          </cell>
          <cell r="B458" t="str"/>
          <cell r="C458" t="str"/>
          <cell r="D458" t="str">
            <v>DMS_CFS_RTN_OVERLOAD_TRANSFORMER</v>
          </cell>
          <cell r="E458" t="b">
            <v>0</v>
          </cell>
          <cell r="F458" t="str">
            <v>Carga do transformador dentro dos limites.</v>
          </cell>
          <cell r="G458" t="str"/>
          <cell r="H458">
            <v>0</v>
          </cell>
          <cell r="I458">
            <v>0</v>
          </cell>
          <cell r="J458" t="str">
            <v>ApplicationAlarm</v>
          </cell>
          <cell r="K458" t="str">
            <v>Severidade 10</v>
          </cell>
          <cell r="L458" t="str">
            <v>Severidade 16</v>
          </cell>
          <cell r="M458" t="b">
            <v>0</v>
          </cell>
        </row>
        <row r="459">
          <cell r="A459" t="str">
            <v>UF critical customer affected</v>
          </cell>
          <cell r="B459" t="str"/>
          <cell r="C459" t="str"/>
          <cell r="D459" t="str">
            <v>DMS_OPS_UF_CRIT_CUSTOMER_AFFECTED</v>
          </cell>
          <cell r="E459" t="b">
            <v>0</v>
          </cell>
          <cell r="F459" t="str">
            <v>Carga coberta por relés UF: {0} [MW] está abaixo do limite configurado: {1} [MW] por estágio: {2}</v>
          </cell>
          <cell r="G459" t="str"/>
          <cell r="H459">
            <v>0</v>
          </cell>
          <cell r="I459">
            <v>0</v>
          </cell>
          <cell r="J459" t="str">
            <v>ApplicationAlarm</v>
          </cell>
          <cell r="K459" t="str">
            <v>Severidade 10</v>
          </cell>
          <cell r="L459" t="str">
            <v>Severidade 16</v>
          </cell>
          <cell r="M459" t="b">
            <v>0</v>
          </cell>
        </row>
        <row r="460">
          <cell r="A460" t="str">
            <v>UF load limit violation</v>
          </cell>
          <cell r="B460" t="str"/>
          <cell r="C460" t="str"/>
          <cell r="D460" t="str">
            <v>DMS_OPS_UF_LOAD_LIMIT_VIOL</v>
          </cell>
          <cell r="E460" t="b">
            <v>0</v>
          </cell>
          <cell r="F460" t="str">
            <v>Carga protegida por relés UF: {0} [MW] está acima do limite configurado: {1} [MW] por estágio: {2}</v>
          </cell>
          <cell r="G460" t="str"/>
          <cell r="H460">
            <v>0</v>
          </cell>
          <cell r="I460">
            <v>0</v>
          </cell>
          <cell r="J460" t="str">
            <v>ApplicationAlarm</v>
          </cell>
          <cell r="K460" t="str">
            <v>Severidade 10</v>
          </cell>
          <cell r="L460" t="str">
            <v>Severidade 16</v>
          </cell>
          <cell r="M460" t="b">
            <v>0</v>
          </cell>
        </row>
        <row r="461">
          <cell r="A461" t="str">
            <v>Undervoltage aggregated returned to normal</v>
          </cell>
          <cell r="B461" t="str"/>
          <cell r="C461" t="str"/>
          <cell r="D461" t="str">
            <v>DMS_CFS_RTN_SUBSTATION_UNDERVOLTAGE</v>
          </cell>
          <cell r="E461" t="b">
            <v>0</v>
          </cell>
          <cell r="F461" t="str">
            <v>Subtensão agregada dentro dos limites</v>
          </cell>
          <cell r="G461" t="str"/>
          <cell r="H461">
            <v>0</v>
          </cell>
          <cell r="I461">
            <v>0</v>
          </cell>
          <cell r="J461" t="str">
            <v>ApplicationAlarm</v>
          </cell>
          <cell r="K461" t="str">
            <v>Severidade 10</v>
          </cell>
          <cell r="L461" t="str">
            <v>Severidade 16</v>
          </cell>
          <cell r="M461" t="b">
            <v>0</v>
          </cell>
        </row>
        <row r="462">
          <cell r="A462" t="str">
            <v>Undervoltage aggregated returned to normal_1</v>
          </cell>
          <cell r="B462" t="str"/>
          <cell r="C462" t="str"/>
          <cell r="D462" t="str">
            <v>DMS_CFS_RTN_AGGREGATE_UNDERVOLTAGE</v>
          </cell>
          <cell r="E462" t="b">
            <v>0</v>
          </cell>
          <cell r="F462" t="str">
            <v>Subtensão no alimentador agregada ao nível da subestação</v>
          </cell>
          <cell r="G462" t="str"/>
          <cell r="H462">
            <v>0</v>
          </cell>
          <cell r="I462">
            <v>0</v>
          </cell>
          <cell r="J462" t="str">
            <v>ApplicationAlarm</v>
          </cell>
          <cell r="K462" t="str">
            <v>Severidade 10</v>
          </cell>
          <cell r="L462" t="str">
            <v>Severidade 16</v>
          </cell>
          <cell r="M462" t="b">
            <v>0</v>
          </cell>
        </row>
        <row r="463">
          <cell r="A463" t="str">
            <v>Undo SR on tie feeder trip</v>
          </cell>
          <cell r="B463" t="str"/>
          <cell r="C463" t="str"/>
          <cell r="D463" t="str">
            <v>DMS_OPS_TIE_FEEDER_TRIP</v>
          </cell>
          <cell r="E463" t="b">
            <v>0</v>
          </cell>
          <cell r="F463" t="str">
            <v>{0} detecção detectada no alimentador conectado, a operação será desfeita</v>
          </cell>
          <cell r="G463" t="str"/>
          <cell r="H463">
            <v>0</v>
          </cell>
          <cell r="I463">
            <v>0</v>
          </cell>
          <cell r="J463" t="str">
            <v>ApplicationAlarm</v>
          </cell>
          <cell r="K463" t="str">
            <v>Severidade 8</v>
          </cell>
          <cell r="L463" t="str">
            <v>Severidade 16</v>
          </cell>
          <cell r="M463" t="b">
            <v>0</v>
          </cell>
        </row>
        <row r="464">
          <cell r="A464" t="str">
            <v>Unknown Input Coordinate</v>
          </cell>
          <cell r="B464" t="str"/>
          <cell r="C464" t="str"/>
          <cell r="D464" t="str">
            <v>FEP_UNKNOWN_IOA</v>
          </cell>
          <cell r="E464" t="b">
            <v>0</v>
          </cell>
          <cell r="F464" t="str">
            <v>A coordenada de entrada desconhecida {0} é recebida.</v>
          </cell>
          <cell r="G464" t="str"/>
          <cell r="H464">
            <v>0</v>
          </cell>
          <cell r="I464">
            <v>0</v>
          </cell>
          <cell r="J464" t="str">
            <v>ApplicationAlarm</v>
          </cell>
          <cell r="K464" t="str">
            <v>Severidade 16</v>
          </cell>
          <cell r="L464" t="str">
            <v>Severidade 16</v>
          </cell>
          <cell r="M464" t="b">
            <v>0</v>
          </cell>
        </row>
        <row r="465">
          <cell r="A465" t="str">
            <v>Unknown RTU</v>
          </cell>
          <cell r="B465" t="str"/>
          <cell r="C465" t="str"/>
          <cell r="D465" t="str">
            <v>FEP_UNKNOWN_ASDU</v>
          </cell>
          <cell r="E465" t="b">
            <v>0</v>
          </cell>
          <cell r="F465" t="str">
            <v>No link Comunicação com IP {0}: {1}, uma mensagem foi recebida de um endereço ASDU desconhecido {2}.</v>
          </cell>
          <cell r="G465" t="str"/>
          <cell r="H465">
            <v>0</v>
          </cell>
          <cell r="I465">
            <v>0</v>
          </cell>
          <cell r="J465" t="str">
            <v>ApplicationAlarm</v>
          </cell>
          <cell r="K465" t="str">
            <v>Severidade 16</v>
          </cell>
          <cell r="L465" t="str">
            <v>Severidade 16</v>
          </cell>
          <cell r="M465" t="b">
            <v>0</v>
          </cell>
        </row>
        <row r="466">
          <cell r="A466" t="str">
            <v>Unplanned islanding</v>
          </cell>
          <cell r="B466" t="str"/>
          <cell r="C466" t="str"/>
          <cell r="D466" t="str">
            <v>MGMS_ADC_UNPLANNED_ISLANDING_DETECTED</v>
          </cell>
          <cell r="E466" t="b">
            <v>1</v>
          </cell>
          <cell r="F466" t="str">
            <v>Ilhotas não planejadas de micro-redes.</v>
          </cell>
          <cell r="G466" t="str"/>
          <cell r="H466">
            <v>0</v>
          </cell>
          <cell r="I466">
            <v>0</v>
          </cell>
          <cell r="J466" t="str">
            <v>ApplicationAlarm</v>
          </cell>
          <cell r="K466" t="str">
            <v>Severidade 10</v>
          </cell>
          <cell r="L466" t="str">
            <v>Severidade 16</v>
          </cell>
          <cell r="M466" t="b">
            <v>0</v>
          </cell>
        </row>
        <row r="467">
          <cell r="A467" t="str">
            <v>Unplanned islanding_1</v>
          </cell>
          <cell r="B467" t="str"/>
          <cell r="C467" t="str"/>
          <cell r="D467" t="str">
            <v>GMS_AGC_UNPLANNED_ISLANDING_DETECTED</v>
          </cell>
          <cell r="E467" t="b">
            <v>1</v>
          </cell>
          <cell r="F467" t="str">
            <v>Ilhotas não planejadas de micro-redes.</v>
          </cell>
          <cell r="G467" t="str"/>
          <cell r="H467">
            <v>0</v>
          </cell>
          <cell r="I467">
            <v>0</v>
          </cell>
          <cell r="J467" t="str">
            <v>ApplicationAlarm</v>
          </cell>
          <cell r="K467" t="str">
            <v>Severidade 10</v>
          </cell>
          <cell r="L467" t="str">
            <v>Severidade 16</v>
          </cell>
          <cell r="M467" t="b">
            <v>0</v>
          </cell>
        </row>
        <row r="468">
          <cell r="A468" t="str">
            <v>Voltage regulator with reverse flow</v>
          </cell>
          <cell r="B468" t="str"/>
          <cell r="C468" t="str">
            <v>REGTEN</v>
          </cell>
          <cell r="D468" t="str">
            <v>DMS_VOLTREG_REVERSE_FLOW</v>
          </cell>
          <cell r="E468" t="b">
            <v>0</v>
          </cell>
          <cell r="F468" t="str">
            <v>O regulador de tensão possui fluxo de energia reverso.</v>
          </cell>
          <cell r="G468" t="str"/>
          <cell r="H468">
            <v>0</v>
          </cell>
          <cell r="I468">
            <v>0</v>
          </cell>
          <cell r="J468" t="str">
            <v>ApplicationAlarm</v>
          </cell>
          <cell r="K468" t="str">
            <v>Severidade 10</v>
          </cell>
          <cell r="L468" t="str">
            <v>Severidade 16</v>
          </cell>
          <cell r="M468" t="b">
            <v>0</v>
          </cell>
        </row>
        <row r="469">
          <cell r="A469" t="str">
            <v>Voltage regulator with reverse flow returned to normal</v>
          </cell>
          <cell r="B469" t="str"/>
          <cell r="C469" t="str">
            <v>REGTEN</v>
          </cell>
          <cell r="D469" t="str">
            <v>DMS_VOLTREG_RTN_REVERSE_FLOW</v>
          </cell>
          <cell r="E469" t="b">
            <v>0</v>
          </cell>
          <cell r="F469" t="str">
            <v>O regulador de tensão não tem mais fluxo de energia reverso.</v>
          </cell>
          <cell r="G469" t="str"/>
          <cell r="H469">
            <v>0</v>
          </cell>
          <cell r="I469">
            <v>0</v>
          </cell>
          <cell r="J469" t="str">
            <v>ApplicationAlarm</v>
          </cell>
          <cell r="K469" t="str">
            <v>Severidade 10</v>
          </cell>
          <cell r="L469" t="str">
            <v>Severidade 16</v>
          </cell>
          <cell r="M469" t="b">
            <v>0</v>
          </cell>
        </row>
        <row r="470">
          <cell r="A470" t="str">
            <v>Watchdog period for signal has expired</v>
          </cell>
          <cell r="B470" t="str"/>
          <cell r="C470" t="str">
            <v>DADCNG</v>
          </cell>
          <cell r="D470" t="str">
            <v>WATCHDOG_EXPIRED</v>
          </cell>
          <cell r="E470" t="b">
            <v>0</v>
          </cell>
          <cell r="F470" t="str">
            <v>DADCNG - {0} segundos []</v>
          </cell>
          <cell r="G470" t="str">
            <v>O valor do sinal não foi atualizado no período esperado</v>
          </cell>
          <cell r="H470">
            <v>0</v>
          </cell>
          <cell r="I470">
            <v>0</v>
          </cell>
          <cell r="J470" t="str">
            <v>ApplicationAlarm</v>
          </cell>
          <cell r="K470" t="str">
            <v>Severidade 16</v>
          </cell>
          <cell r="L470" t="str">
            <v>Severidade 16</v>
          </cell>
          <cell r="M470" t="b">
            <v>0</v>
          </cell>
        </row>
        <row r="471">
          <cell r="A471" t="str">
            <v>Wire down detected</v>
          </cell>
          <cell r="B471" t="str"/>
          <cell r="C471" t="str"/>
          <cell r="D471" t="str">
            <v>OMS_ALARM_WIRE_DOWN_DETECTED</v>
          </cell>
          <cell r="E471" t="b">
            <v>0</v>
          </cell>
          <cell r="F471" t="str">
            <v>A condição de desconexão foi detectada na área afetada do incidente {0}</v>
          </cell>
          <cell r="G471" t="str"/>
          <cell r="H471">
            <v>0</v>
          </cell>
          <cell r="I471">
            <v>0</v>
          </cell>
          <cell r="J471" t="str">
            <v>ApplicationAlarm</v>
          </cell>
          <cell r="K471" t="str">
            <v>Severidade 10</v>
          </cell>
          <cell r="L471" t="str">
            <v>Severidade 16</v>
          </cell>
          <cell r="M471" t="b">
            <v>0</v>
          </cell>
        </row>
        <row r="472">
          <cell r="A472" t="str">
            <v>RELI Opening regarding more than one circuit breaker</v>
          </cell>
          <cell r="B472" t="str"/>
          <cell r="C472" t="str"/>
          <cell r="D472" t="str">
            <v>RELI_MESSAGE_02</v>
          </cell>
          <cell r="E472" t="b">
            <v>1</v>
          </cell>
          <cell r="F472" t="str">
            <v>DGRELI - Abertura de mais de um Disjuntor  []</v>
          </cell>
          <cell r="G472" t="str">
            <v>Indica quando mais de um Disjuntor na SE foi aberto ao mesmo tempo</v>
          </cell>
          <cell r="H472">
            <v>0</v>
          </cell>
          <cell r="I472">
            <v>0</v>
          </cell>
          <cell r="J472" t="str">
            <v>ApplicationAlarm</v>
          </cell>
          <cell r="K472" t="str">
            <v>Severidade 15</v>
          </cell>
          <cell r="L472" t="str">
            <v>Severidade 16</v>
          </cell>
          <cell r="M472" t="b">
            <v>0</v>
          </cell>
        </row>
        <row r="473">
          <cell r="A473" t="str">
            <v>RELI Blocked circuit breaker</v>
          </cell>
          <cell r="B473" t="str"/>
          <cell r="C473" t="str"/>
          <cell r="D473" t="str">
            <v>RELI_MESSAGE_03</v>
          </cell>
          <cell r="E473" t="b">
            <v>0</v>
          </cell>
          <cell r="F473" t="str">
            <v>DGRELI - Disjuntor Impedido  []</v>
          </cell>
          <cell r="G473" t="str">
            <v>Gerado quando não ocorre um religamento devido ao ponto estar bloqueado (bloqueio / linha viva / manutenção / desabilitado)</v>
          </cell>
          <cell r="H473">
            <v>0</v>
          </cell>
          <cell r="I473">
            <v>0</v>
          </cell>
          <cell r="J473" t="str">
            <v>ApplicationAlarm</v>
          </cell>
          <cell r="K473" t="str">
            <v>Severidade 15</v>
          </cell>
          <cell r="L473" t="str">
            <v>Severidade 16</v>
          </cell>
          <cell r="M473" t="b">
            <v>0</v>
          </cell>
        </row>
        <row r="474">
          <cell r="A474" t="str">
            <v>RELI Non-implemented Reclosing – point without registration</v>
          </cell>
          <cell r="B474" t="str"/>
          <cell r="C474" t="str"/>
          <cell r="D474" t="str">
            <v>RELI_MESSAGE_04</v>
          </cell>
          <cell r="E474" t="b">
            <v>0</v>
          </cell>
          <cell r="F474" t="str">
            <v>DGRELI - Religamento não Implantado - Ponto sem Cadastro  []</v>
          </cell>
          <cell r="G474" t="str">
            <v>Gerado quando não ocorre um religamento devido ao RELI não estar implantado no ponto</v>
          </cell>
          <cell r="H474">
            <v>0</v>
          </cell>
          <cell r="I474">
            <v>0</v>
          </cell>
          <cell r="J474" t="str">
            <v>ApplicationAlarm</v>
          </cell>
          <cell r="K474" t="str">
            <v>Severidade 15</v>
          </cell>
          <cell r="L474" t="str">
            <v>Severidade 16</v>
          </cell>
          <cell r="M474" t="b">
            <v>0</v>
          </cell>
        </row>
        <row r="475">
          <cell r="A475" t="str">
            <v>RELI Point’s reclosing is disabled</v>
          </cell>
          <cell r="B475" t="str"/>
          <cell r="C475" t="str"/>
          <cell r="D475" t="str">
            <v>RELI_MESSAGE_05</v>
          </cell>
          <cell r="E475" t="b">
            <v>0</v>
          </cell>
          <cell r="F475" t="str">
            <v>DGRELI - Religamento do Ponto Desabilitado  []</v>
          </cell>
          <cell r="G475" t="str">
            <v>Gerado quando não ocorre um religamento devido ao RELI não estar ativo no ponto</v>
          </cell>
          <cell r="H475">
            <v>0</v>
          </cell>
          <cell r="I475">
            <v>0</v>
          </cell>
          <cell r="J475" t="str">
            <v>ApplicationAlarm</v>
          </cell>
          <cell r="K475" t="str">
            <v>Severidade 15</v>
          </cell>
          <cell r="L475" t="str">
            <v>Severidade 16</v>
          </cell>
          <cell r="M475" t="b">
            <v>0</v>
          </cell>
        </row>
        <row r="476">
          <cell r="A476" t="str">
            <v>RELI SE’s reclosing is deactivated</v>
          </cell>
          <cell r="B476" t="str"/>
          <cell r="C476" t="str"/>
          <cell r="D476" t="str">
            <v>RELI_MESSAGE_06</v>
          </cell>
          <cell r="E476" t="b">
            <v>0</v>
          </cell>
          <cell r="F476" t="str">
            <v>DGRELI - Religamento da SE Desativado  []</v>
          </cell>
          <cell r="G476" t="str">
            <v xml:space="preserve">Gerado quando não ocorre um religamento quando o religamento da UTR estiver desativado </v>
          </cell>
          <cell r="H476">
            <v>0</v>
          </cell>
          <cell r="I476">
            <v>0</v>
          </cell>
          <cell r="J476" t="str">
            <v>ApplicationAlarm</v>
          </cell>
          <cell r="K476" t="str">
            <v>Severidade 15</v>
          </cell>
          <cell r="L476" t="str">
            <v>Severidade 16</v>
          </cell>
          <cell r="M476" t="b">
            <v>0</v>
          </cell>
        </row>
        <row r="477">
          <cell r="A477" t="str">
            <v>RELI Master switch set as local DGRELI</v>
          </cell>
          <cell r="B477" t="str"/>
          <cell r="C477" t="str"/>
          <cell r="D477" t="str">
            <v>RELI_MESSAGE_07</v>
          </cell>
          <cell r="E477" t="b">
            <v>0</v>
          </cell>
          <cell r="F477" t="str">
            <v>DGRELI - Chave Geral em Local  []</v>
          </cell>
          <cell r="G477" t="str">
            <v>Gerado quando não ocorre um religamento devido a chave geral Local/Remoto da SE estar em Local</v>
          </cell>
          <cell r="H477">
            <v>0</v>
          </cell>
          <cell r="I477">
            <v>0</v>
          </cell>
          <cell r="J477" t="str">
            <v>ApplicationAlarm</v>
          </cell>
          <cell r="K477" t="str">
            <v>Severidade 15</v>
          </cell>
          <cell r="L477" t="str">
            <v>Severidade 16</v>
          </cell>
          <cell r="M477" t="b">
            <v>0</v>
          </cell>
        </row>
        <row r="478">
          <cell r="A478" t="str">
            <v>Alarme de Estado em Ponto Telecontrolado</v>
          </cell>
          <cell r="B478" t="str"/>
          <cell r="C478" t="str">
            <v>ALESTC</v>
          </cell>
          <cell r="D478" t="str">
            <v>ebfa40c2-5aef-4d1a-af9c-d93479e7c567</v>
          </cell>
          <cell r="E478" t="b">
            <v>1</v>
          </cell>
          <cell r="F478" t="str">
            <v>ALESTC - {1} []</v>
          </cell>
          <cell r="G478" t="str">
            <v>Alarme de Estado em Ponto Telecontrolado</v>
          </cell>
          <cell r="H478">
            <v>0</v>
          </cell>
          <cell r="I478">
            <v>0</v>
          </cell>
          <cell r="J478" t="str">
            <v>DiscreteState</v>
          </cell>
          <cell r="K478" t="str">
            <v>Severidade 2</v>
          </cell>
          <cell r="L478" t="str">
            <v>Severidade 16</v>
          </cell>
          <cell r="M478" t="b">
            <v>0</v>
          </cell>
        </row>
        <row r="479">
          <cell r="A479" t="str">
            <v>Alarme de Estado em Ponto Telessinalizado</v>
          </cell>
          <cell r="B479" t="str"/>
          <cell r="C479" t="str">
            <v xml:space="preserve">ALESTS </v>
          </cell>
          <cell r="D479" t="str">
            <v>c44e4e88-54bf-42e8-9855-195297dff8bb</v>
          </cell>
          <cell r="E479" t="b">
            <v>1</v>
          </cell>
          <cell r="F479" t="str">
            <v>ALESTS - {1} []</v>
          </cell>
          <cell r="G479" t="str">
            <v>Alarme de Estado em Ponto Telessinalizado</v>
          </cell>
          <cell r="H479">
            <v>0</v>
          </cell>
          <cell r="I479">
            <v>0</v>
          </cell>
          <cell r="J479" t="str">
            <v>DiscreteState</v>
          </cell>
          <cell r="K479" t="str">
            <v>Severidade 4</v>
          </cell>
          <cell r="L479" t="str">
            <v>Severidade 16</v>
          </cell>
          <cell r="M479" t="b">
            <v>0</v>
          </cell>
        </row>
        <row r="480">
          <cell r="A480" t="str">
            <v>Alarme de Dado em Limite Inferior</v>
          </cell>
          <cell r="B480" t="str"/>
          <cell r="C480" t="str">
            <v>ALIINF</v>
          </cell>
          <cell r="D480" t="str">
            <v>e222d678-86d9-4ac7-9169-942bc779793a</v>
          </cell>
          <cell r="E480" t="b">
            <v>1</v>
          </cell>
          <cell r="F480" t="str">
            <v>ALIINF - Valor {0:G} {1} (limite {3:0.00}) {4} []</v>
          </cell>
          <cell r="G480" t="str">
            <v>Alarme de Dado em Limite Inferior</v>
          </cell>
          <cell r="H480">
            <v>0</v>
          </cell>
          <cell r="I480">
            <v>0</v>
          </cell>
          <cell r="J480" t="str">
            <v>AnalogLow</v>
          </cell>
          <cell r="K480" t="str">
            <v>Severidade 2</v>
          </cell>
          <cell r="L480" t="str">
            <v>Severidade 16</v>
          </cell>
          <cell r="M480" t="b">
            <v>0</v>
          </cell>
        </row>
        <row r="481">
          <cell r="A481" t="str">
            <v>Alarme de Dado em Limite Inferior com Temporização</v>
          </cell>
          <cell r="B481" t="str"/>
          <cell r="C481" t="str">
            <v>ALIINF</v>
          </cell>
          <cell r="D481" t="str">
            <v>03998b4a-c294-40d9-984d-b3b3104b747f</v>
          </cell>
          <cell r="E481" t="b">
            <v>1</v>
          </cell>
          <cell r="F481" t="str">
            <v>ALIINF - Valor {0:G} {1} (limite {3:0.00}) {4} []</v>
          </cell>
          <cell r="G481" t="str">
            <v>Alarme de Dado em Limite Inferior com Temporização</v>
          </cell>
          <cell r="H481">
            <v>180</v>
          </cell>
          <cell r="I481">
            <v>0</v>
          </cell>
          <cell r="J481" t="str">
            <v>AnalogLow</v>
          </cell>
          <cell r="K481" t="str">
            <v>Severidade 2</v>
          </cell>
          <cell r="L481" t="str">
            <v>Severidade 16</v>
          </cell>
          <cell r="M481" t="b">
            <v>0</v>
          </cell>
        </row>
        <row r="482">
          <cell r="A482" t="str">
            <v>Alarme Prioritario de Dado em Limite Inferior</v>
          </cell>
          <cell r="B482" t="str"/>
          <cell r="C482" t="str">
            <v>ALIIPR</v>
          </cell>
          <cell r="D482" t="str">
            <v>72c060d6-f25c-45dc-8fb7-686a69b2abe9</v>
          </cell>
          <cell r="E482" t="b">
            <v>1</v>
          </cell>
          <cell r="F482" t="str">
            <v>ALIIPR - Valor {0:G} {1} (limite {3:0.00}) {4} []</v>
          </cell>
          <cell r="G482" t="str">
            <v>Alarme Prioritario de Dado em Limite Inferior</v>
          </cell>
          <cell r="H482">
            <v>0</v>
          </cell>
          <cell r="I482">
            <v>0</v>
          </cell>
          <cell r="J482" t="str">
            <v>AnalogLow</v>
          </cell>
          <cell r="K482" t="str">
            <v>Severidade 2</v>
          </cell>
          <cell r="L482" t="str">
            <v>Severidade 16</v>
          </cell>
          <cell r="M482" t="b">
            <v>0</v>
          </cell>
        </row>
        <row r="483">
          <cell r="A483" t="str">
            <v>Alarme Prioritario de Dado em Limite Inferior com Temporização</v>
          </cell>
          <cell r="B483" t="str"/>
          <cell r="C483" t="str">
            <v>ALIIPR</v>
          </cell>
          <cell r="D483" t="str">
            <v>ca70f5e9-10b2-4689-9252-1a5189b02b05</v>
          </cell>
          <cell r="E483" t="b">
            <v>1</v>
          </cell>
          <cell r="F483" t="str">
            <v>ALIIPR - Valor {0:G} {1} (limite {3:0.00}) {4} []</v>
          </cell>
          <cell r="G483" t="str">
            <v>Alarme Prioritario de Dado em Limite Inferior com Temporização</v>
          </cell>
          <cell r="H483">
            <v>180</v>
          </cell>
          <cell r="I483">
            <v>0</v>
          </cell>
          <cell r="J483" t="str">
            <v>AnalogLow</v>
          </cell>
          <cell r="K483" t="str">
            <v>Severidade 2</v>
          </cell>
          <cell r="L483" t="str">
            <v>Severidade 16</v>
          </cell>
          <cell r="M483" t="b">
            <v>0</v>
          </cell>
        </row>
        <row r="484">
          <cell r="A484" t="str">
            <v>Alarme Prioritario de Dado de Limite de Sobrecorrente</v>
          </cell>
          <cell r="B484" t="str"/>
          <cell r="C484" t="str">
            <v xml:space="preserve">ALISAS </v>
          </cell>
          <cell r="D484" t="str">
            <v>f01ba916-2982-4604-a1a2-217571968f57</v>
          </cell>
          <cell r="E484" t="b">
            <v>1</v>
          </cell>
          <cell r="F484" t="str">
            <v>ALISAS - Valor {0:G} {1} (limite = {3:0.00}) {4} []</v>
          </cell>
          <cell r="G484" t="str">
            <v>Alarme Prioritario de Dado de Limite de Sobrecorrente</v>
          </cell>
          <cell r="H484">
            <v>0</v>
          </cell>
          <cell r="I484">
            <v>0</v>
          </cell>
          <cell r="J484" t="str">
            <v>AnalogHigh</v>
          </cell>
          <cell r="K484" t="str">
            <v>Severidade 13</v>
          </cell>
          <cell r="L484" t="str">
            <v>Severidade 16</v>
          </cell>
          <cell r="M484" t="b">
            <v>0</v>
          </cell>
        </row>
        <row r="485">
          <cell r="A485" t="str">
            <v>Alarme de Dado em Limite Superior de MW-D</v>
          </cell>
          <cell r="B485" t="str"/>
          <cell r="C485" t="str">
            <v>ALISMW</v>
          </cell>
          <cell r="D485" t="str">
            <v>e5be1f38-5247-4ccd-9eaa-76e35a9d6869</v>
          </cell>
          <cell r="E485" t="b">
            <v>1</v>
          </cell>
          <cell r="F485" t="str">
            <v>ALISMW - Valor {0:G} {1} (limite = {3:0.00}) {4} []</v>
          </cell>
          <cell r="G485" t="str">
            <v>Alarme de Dado em Limite Superior de MW-D</v>
          </cell>
          <cell r="H485">
            <v>0</v>
          </cell>
          <cell r="I485">
            <v>180</v>
          </cell>
          <cell r="J485" t="str">
            <v>AnalogHigh</v>
          </cell>
          <cell r="K485" t="str">
            <v>Severidade 6</v>
          </cell>
          <cell r="L485" t="str">
            <v>Severidade 16</v>
          </cell>
          <cell r="M485" t="b">
            <v>0</v>
          </cell>
        </row>
        <row r="486">
          <cell r="A486" t="str">
            <v>Alarme Prioritario de Dado em Limite Superior</v>
          </cell>
          <cell r="B486" t="str"/>
          <cell r="C486" t="str">
            <v>ALISPR</v>
          </cell>
          <cell r="D486" t="str">
            <v>86717d09-259a-4dcf-8082-6d66834a1b49</v>
          </cell>
          <cell r="E486" t="b">
            <v>1</v>
          </cell>
          <cell r="F486" t="str">
            <v>ALISPR - Valor {0:G} {1} (limite {3:0.00}) {4} []</v>
          </cell>
          <cell r="G486" t="str">
            <v>Alarme Prioritario de Dado em Limite Superior</v>
          </cell>
          <cell r="H486">
            <v>0</v>
          </cell>
          <cell r="I486">
            <v>0</v>
          </cell>
          <cell r="J486" t="str">
            <v>AnalogHigh</v>
          </cell>
          <cell r="K486" t="str">
            <v>Severidade 2</v>
          </cell>
          <cell r="L486" t="str">
            <v>Severidade 16</v>
          </cell>
          <cell r="M486" t="b">
            <v>0</v>
          </cell>
        </row>
        <row r="487">
          <cell r="A487" t="str">
            <v>Alarme de Dado em Limite Superior</v>
          </cell>
          <cell r="B487" t="str"/>
          <cell r="C487" t="str">
            <v>ALISUP</v>
          </cell>
          <cell r="D487" t="str">
            <v>237f2b11-852a-477a-9007-0b0168412fa1</v>
          </cell>
          <cell r="E487" t="b">
            <v>1</v>
          </cell>
          <cell r="F487" t="str">
            <v>ALISUP - Valor {0:G} {1} (limite = {3:0.00}) {4} []</v>
          </cell>
          <cell r="G487" t="str">
            <v>Alarme de Dado em Limite Superior</v>
          </cell>
          <cell r="H487">
            <v>0</v>
          </cell>
          <cell r="I487">
            <v>0</v>
          </cell>
          <cell r="J487" t="str">
            <v>AnalogHigh</v>
          </cell>
          <cell r="K487" t="str">
            <v>Severidade 2</v>
          </cell>
          <cell r="L487" t="str">
            <v>Severidade 16</v>
          </cell>
          <cell r="M487" t="b">
            <v>0</v>
          </cell>
        </row>
        <row r="488">
          <cell r="A488" t="str">
            <v>Alarme de Dado em Limite Superior com Temporização</v>
          </cell>
          <cell r="B488" t="str"/>
          <cell r="C488" t="str">
            <v>ALISUP</v>
          </cell>
          <cell r="D488" t="str">
            <v>9ed77790-7eb8-4a94-8260-548e5f5c71f6</v>
          </cell>
          <cell r="E488" t="b">
            <v>1</v>
          </cell>
          <cell r="F488" t="str">
            <v>ALISUP - Valor {0:G} {1} (limite = {3:0.00}) {4} []</v>
          </cell>
          <cell r="G488" t="str">
            <v>Alarme de Dado em Limite Superior com Temporização</v>
          </cell>
          <cell r="H488">
            <v>180</v>
          </cell>
          <cell r="I488">
            <v>0</v>
          </cell>
          <cell r="J488" t="str">
            <v>AnalogHigh</v>
          </cell>
          <cell r="K488" t="str">
            <v>Severidade 2</v>
          </cell>
          <cell r="L488" t="str">
            <v>Severidade 16</v>
          </cell>
          <cell r="M488" t="b">
            <v>0</v>
          </cell>
        </row>
        <row r="489">
          <cell r="A489" t="str">
            <v>Alarme Prioritario de Dado a 90% do Limite Superior</v>
          </cell>
          <cell r="B489" t="str"/>
          <cell r="C489" t="str">
            <v>ALI90</v>
          </cell>
          <cell r="D489" t="str">
            <v>3cae2041-c384-42e6-a606-9817cce67381</v>
          </cell>
          <cell r="E489" t="b">
            <v>1</v>
          </cell>
          <cell r="F489" t="str">
            <v>ALI90 - Valor {0:G} {1} (limite {3:0.00}) {4} []</v>
          </cell>
          <cell r="G489" t="str">
            <v>Alarme Prioritario de Dado a 90% do Limite Superior</v>
          </cell>
          <cell r="H489">
            <v>0</v>
          </cell>
          <cell r="I489">
            <v>0</v>
          </cell>
          <cell r="J489" t="str">
            <v>AnalogHigh</v>
          </cell>
          <cell r="K489" t="str">
            <v>Severidade 6</v>
          </cell>
          <cell r="L489" t="str">
            <v>Severidade 16</v>
          </cell>
          <cell r="M489" t="b">
            <v>0</v>
          </cell>
        </row>
        <row r="490">
          <cell r="A490" t="str">
            <v>Alarme Prioritario de Dado a 90% do Limite Superior com Temporização</v>
          </cell>
          <cell r="B490" t="str"/>
          <cell r="C490" t="str">
            <v>ALI90</v>
          </cell>
          <cell r="D490" t="str">
            <v>4bfc2d6b-ef89-419d-a340-43a7e4fae649</v>
          </cell>
          <cell r="E490" t="b">
            <v>1</v>
          </cell>
          <cell r="F490" t="str">
            <v>ALI90 - Valor {0:G} {1} (limite = {3:0.00}) {4} []</v>
          </cell>
          <cell r="G490" t="str">
            <v>Alarme Prioritario de Dado a 90% do Limite Superior com Temporização</v>
          </cell>
          <cell r="H490">
            <v>180</v>
          </cell>
          <cell r="I490">
            <v>0</v>
          </cell>
          <cell r="J490" t="str">
            <v>AnalogHigh</v>
          </cell>
          <cell r="K490" t="str">
            <v>Severidade 8</v>
          </cell>
          <cell r="L490" t="str">
            <v>Severidade 16</v>
          </cell>
          <cell r="M490" t="b">
            <v>0</v>
          </cell>
        </row>
        <row r="491">
          <cell r="A491" t="str">
            <v>Alarme Prioritario de Dado a 95% do Limite Superior</v>
          </cell>
          <cell r="B491" t="str"/>
          <cell r="C491" t="str">
            <v>ALI95</v>
          </cell>
          <cell r="D491" t="str">
            <v>c7a0bd20-601f-4a4e-a5f4-50873fe6a586</v>
          </cell>
          <cell r="E491" t="b">
            <v>1</v>
          </cell>
          <cell r="F491" t="str">
            <v>ALI95 - Valor {0:G} {1} (limite {3:0.00}) {4} []</v>
          </cell>
          <cell r="G491" t="str">
            <v>Alarme Prioritario de Dado a 95% do Limite Superior</v>
          </cell>
          <cell r="H491">
            <v>0</v>
          </cell>
          <cell r="I491">
            <v>0</v>
          </cell>
          <cell r="J491" t="str">
            <v>AnalogHigh</v>
          </cell>
          <cell r="K491" t="str">
            <v>Severidade 7</v>
          </cell>
          <cell r="L491" t="str">
            <v>Severidade 16</v>
          </cell>
          <cell r="M491" t="b">
            <v>0</v>
          </cell>
        </row>
        <row r="492">
          <cell r="A492" t="str">
            <v>Alarme Prioritario de Dado a 95% do Limite Superior com Temporização</v>
          </cell>
          <cell r="B492" t="str"/>
          <cell r="C492" t="str">
            <v>ALI95</v>
          </cell>
          <cell r="D492" t="str">
            <v>0f143f2d-debf-4e1f-b1b1-28c0161c7aaf</v>
          </cell>
          <cell r="E492" t="b">
            <v>1</v>
          </cell>
          <cell r="F492" t="str">
            <v>ALI95 - Valor = {0:G} {1} (limite = {3:0.00}) {4} []</v>
          </cell>
          <cell r="G492" t="str">
            <v>Alarme Prioritario de Dado a 95% do Limite Superior com Temporização</v>
          </cell>
          <cell r="H492">
            <v>180</v>
          </cell>
          <cell r="I492">
            <v>0</v>
          </cell>
          <cell r="J492" t="str">
            <v>AnalogHigh</v>
          </cell>
          <cell r="K492" t="str">
            <v>Severidade 7</v>
          </cell>
          <cell r="L492" t="str">
            <v>Severidade 16</v>
          </cell>
          <cell r="M492" t="b">
            <v>0</v>
          </cell>
        </row>
        <row r="493">
          <cell r="A493" t="str">
            <v>Alarme de Variacao Brusca de Dado</v>
          </cell>
          <cell r="B493" t="str"/>
          <cell r="C493" t="str">
            <v>ALVARI</v>
          </cell>
          <cell r="D493" t="str">
            <v>e887df8a-c2f1-4e34-9421-75b8473e00d2</v>
          </cell>
          <cell r="E493" t="b">
            <v>1</v>
          </cell>
          <cell r="F493" t="str">
            <v>ALVARI - Valor {0:G} {1} (limite = {3:0.00}) {4} []</v>
          </cell>
          <cell r="G493" t="str">
            <v>Alarme de Variacao Brusca de Dado</v>
          </cell>
          <cell r="H493">
            <v>0</v>
          </cell>
          <cell r="I493">
            <v>0</v>
          </cell>
          <cell r="J493" t="str">
            <v>AnalogHigh</v>
          </cell>
          <cell r="K493" t="str">
            <v>Severidade 13</v>
          </cell>
          <cell r="L493" t="str">
            <v>Severidade 16</v>
          </cell>
          <cell r="M493" t="b">
            <v>0</v>
          </cell>
        </row>
        <row r="494">
          <cell r="A494" t="str">
            <v>Atuação do ERAC</v>
          </cell>
          <cell r="B494" t="str"/>
          <cell r="C494" t="str">
            <v>ERAC</v>
          </cell>
          <cell r="D494" t="str">
            <v>d0928058-4cf7-4e33-88da-6dd339ced94f</v>
          </cell>
          <cell r="E494" t="b">
            <v>1</v>
          </cell>
          <cell r="F494" t="str">
            <v>ERAC - {1}  []</v>
          </cell>
          <cell r="G494" t="str">
            <v>Atuação do ERAC</v>
          </cell>
          <cell r="H494">
            <v>0</v>
          </cell>
          <cell r="I494">
            <v>0</v>
          </cell>
          <cell r="J494" t="str">
            <v>DiscreteState</v>
          </cell>
          <cell r="K494" t="str">
            <v>Severidade 15</v>
          </cell>
          <cell r="L494" t="str">
            <v>Severidade 16</v>
          </cell>
          <cell r="M494" t="b">
            <v>0</v>
          </cell>
        </row>
        <row r="495">
          <cell r="A495" t="str">
            <v>Evento de Sinalização de MUST Violado</v>
          </cell>
          <cell r="B495" t="str"/>
          <cell r="C495" t="str">
            <v>EVMUST</v>
          </cell>
          <cell r="D495" t="str">
            <v>606080b4-acee-4590-8e93-193c0d34e383</v>
          </cell>
          <cell r="E495" t="b">
            <v>1</v>
          </cell>
          <cell r="F495" t="str">
            <v>EVMUST - Valor {0:G} {1} (limite = {3:0.00}) {4} []</v>
          </cell>
          <cell r="G495" t="str">
            <v>Evento de Sinalização de MUST Violado</v>
          </cell>
          <cell r="H495">
            <v>0</v>
          </cell>
          <cell r="I495">
            <v>0</v>
          </cell>
          <cell r="J495" t="str">
            <v>AnalogHigh</v>
          </cell>
          <cell r="K495" t="str">
            <v>Severidade 15</v>
          </cell>
          <cell r="L495" t="str">
            <v>Severidade 16</v>
          </cell>
          <cell r="M495" t="b">
            <v>0</v>
          </cell>
        </row>
        <row r="496">
          <cell r="A496" t="str">
            <v>Fim de Perturbacao de Frequencia</v>
          </cell>
          <cell r="B496" t="str"/>
          <cell r="C496" t="str">
            <v>FIMPFR</v>
          </cell>
          <cell r="D496" t="str">
            <v>a4176a27-929c-421d-aa21-43e847cc736b</v>
          </cell>
          <cell r="E496" t="b">
            <v>1</v>
          </cell>
          <cell r="F496" t="str">
            <v>FIMPFR - Valor {0:G} {1} (limite = {3:0.00}) {4} []</v>
          </cell>
          <cell r="G496" t="str">
            <v>Fim de Perturbacao de Frequencia</v>
          </cell>
          <cell r="H496">
            <v>0</v>
          </cell>
          <cell r="I496">
            <v>0</v>
          </cell>
          <cell r="J496" t="str">
            <v>AnalogRTN</v>
          </cell>
          <cell r="K496" t="str">
            <v>Severidade 2</v>
          </cell>
          <cell r="L496" t="str">
            <v>Severidade 16</v>
          </cell>
          <cell r="M496" t="b">
            <v>0</v>
          </cell>
        </row>
        <row r="497">
          <cell r="A497" t="str">
            <v>Inicio de Perturbacao de Frequencia Alta</v>
          </cell>
          <cell r="B497" t="str"/>
          <cell r="C497" t="str">
            <v>INIPFR</v>
          </cell>
          <cell r="D497" t="str">
            <v>cd602784-a08a-464e-8c47-fd5d22059a7b</v>
          </cell>
          <cell r="E497" t="b">
            <v>1</v>
          </cell>
          <cell r="F497" t="str">
            <v>INIPFR - Valor {0:G} {1}  limite = {3:0.00}) {4} []</v>
          </cell>
          <cell r="G497" t="str">
            <v>Inicio de Perturbacao de Frequencia</v>
          </cell>
          <cell r="H497">
            <v>0</v>
          </cell>
          <cell r="I497">
            <v>0</v>
          </cell>
          <cell r="J497" t="str">
            <v>AnalogHigh</v>
          </cell>
          <cell r="K497" t="str">
            <v>Severidade 2</v>
          </cell>
          <cell r="L497" t="str">
            <v>Severidade 16</v>
          </cell>
          <cell r="M497" t="b">
            <v>0</v>
          </cell>
        </row>
        <row r="498">
          <cell r="A498" t="str">
            <v>Retorno do Dado do Limite</v>
          </cell>
          <cell r="B498" t="str"/>
          <cell r="C498" t="str">
            <v>LIRLIM</v>
          </cell>
          <cell r="D498" t="str">
            <v>bfa467a2-0504-4148-93cd-22ceb2c7b90b</v>
          </cell>
          <cell r="E498" t="b">
            <v>0</v>
          </cell>
          <cell r="F498" t="str">
            <v>LIRLIM - Retorno de limite {0:G} {1} {2} []</v>
          </cell>
          <cell r="G498" t="str">
            <v>Retorno do Dado do Limite Superior / Inferior</v>
          </cell>
          <cell r="H498">
            <v>0</v>
          </cell>
          <cell r="I498">
            <v>0</v>
          </cell>
          <cell r="J498" t="str">
            <v>AnalogRTN</v>
          </cell>
          <cell r="K498" t="str">
            <v>Severidade 16</v>
          </cell>
          <cell r="L498" t="str">
            <v>Severidade 16</v>
          </cell>
          <cell r="M498" t="b">
            <v>0</v>
          </cell>
        </row>
        <row r="499">
          <cell r="A499" t="str">
            <v>Alarme de Corrente 0</v>
          </cell>
          <cell r="B499" t="str"/>
          <cell r="C499" t="str">
            <v xml:space="preserve">ALICOZ </v>
          </cell>
          <cell r="D499" t="str">
            <v>977440bf-c359-4a4a-acc6-11e9609abbfc</v>
          </cell>
          <cell r="E499" t="b">
            <v>1</v>
          </cell>
          <cell r="F499" t="str">
            <v>ALICOZ - Valor {0:G} {1} (limite {3:0.00}) {4} []</v>
          </cell>
          <cell r="G499" t="str">
            <v>Alarme de Corrente 0</v>
          </cell>
          <cell r="H499">
            <v>0</v>
          </cell>
          <cell r="I499">
            <v>0</v>
          </cell>
          <cell r="J499" t="str">
            <v>AnalogLow</v>
          </cell>
          <cell r="K499" t="str">
            <v>Severidade 14</v>
          </cell>
          <cell r="L499" t="str">
            <v>Severidade 16</v>
          </cell>
          <cell r="M499" t="b">
            <v>0</v>
          </cell>
        </row>
        <row r="500">
          <cell r="A500" t="str">
            <v>Alarme de Estado em Ponto Telessinalizado (Evento)</v>
          </cell>
          <cell r="B500" t="str"/>
          <cell r="C500" t="str">
            <v>ALESTS</v>
          </cell>
          <cell r="D500" t="str">
            <v>1f7b791a-a2f9-4497-ba2a-59f07f41860a</v>
          </cell>
          <cell r="E500" t="b">
            <v>0</v>
          </cell>
          <cell r="F500" t="str">
            <v>ALESTS - {1} []</v>
          </cell>
          <cell r="G500" t="str">
            <v>Alarme de Estado em Ponto Telessinalizado</v>
          </cell>
          <cell r="H500">
            <v>0</v>
          </cell>
          <cell r="I500">
            <v>0</v>
          </cell>
          <cell r="J500" t="str">
            <v>DiscreteState</v>
          </cell>
          <cell r="K500" t="str">
            <v>Severidade 12</v>
          </cell>
          <cell r="L500" t="str">
            <v>Severidade 16</v>
          </cell>
          <cell r="M500" t="b">
            <v>0</v>
          </cell>
        </row>
        <row r="501">
          <cell r="A501" t="str">
            <v>Alarme de Estado em Ponto Telecontrolado (Evento)</v>
          </cell>
          <cell r="B501" t="str"/>
          <cell r="C501" t="str">
            <v>ALESTC</v>
          </cell>
          <cell r="D501" t="str">
            <v>4f6ee082-278e-4af5-88f3-f2746cea7a3c</v>
          </cell>
          <cell r="E501" t="b">
            <v>0</v>
          </cell>
          <cell r="F501" t="str">
            <v>ALESTC - {1} []</v>
          </cell>
          <cell r="G501" t="str">
            <v>Alarme de Estado em Ponto Telecontrolado</v>
          </cell>
          <cell r="H501">
            <v>0</v>
          </cell>
          <cell r="I501">
            <v>0</v>
          </cell>
          <cell r="J501" t="str">
            <v>DiscreteState</v>
          </cell>
          <cell r="K501" t="str">
            <v>Severidade 1</v>
          </cell>
          <cell r="L501" t="str">
            <v>Severidade 16</v>
          </cell>
          <cell r="M501" t="b">
            <v>0</v>
          </cell>
        </row>
        <row r="502">
          <cell r="A502" t="str">
            <v>Regulator automatic mode activation failed</v>
          </cell>
          <cell r="B502" t="str"/>
          <cell r="C502" t="str"/>
          <cell r="D502" t="str">
            <v>ID: DMS_TCC_REG_AUTOMATIC_MODE_ACTIVATION_FAILED</v>
          </cell>
          <cell r="E502" t="b">
            <v>1</v>
          </cell>
          <cell r="F502" t="str">
            <v>Failed to activate automatic mode.</v>
          </cell>
          <cell r="G502" t="str"/>
          <cell r="H502">
            <v>0</v>
          </cell>
          <cell r="I502">
            <v>0</v>
          </cell>
          <cell r="J502" t="str">
            <v>ApplicationAlarm</v>
          </cell>
          <cell r="K502" t="str">
            <v>Severidade 6</v>
          </cell>
          <cell r="L502" t="str">
            <v>Severidade 16</v>
          </cell>
          <cell r="M502" t="b">
            <v>0</v>
          </cell>
        </row>
        <row r="503">
          <cell r="A503" t="str">
            <v>Return to normal alarm/event generated when oscillation is removed.</v>
          </cell>
          <cell r="B503" t="str"/>
          <cell r="C503" t="str"/>
          <cell r="D503" t="str">
            <v>DMS_OSCILLATION_RTN</v>
          </cell>
          <cell r="E503" t="b">
            <v>0</v>
          </cell>
          <cell r="F503" t="str">
            <v>A oscilação não é detectada. Não há alterações não comandadas previamente {0}.</v>
          </cell>
          <cell r="G503" t="str"/>
          <cell r="H503">
            <v>0</v>
          </cell>
          <cell r="I503">
            <v>0</v>
          </cell>
          <cell r="J503" t="str">
            <v>ApplicationAlarm</v>
          </cell>
          <cell r="K503" t="str">
            <v>Severidade 14</v>
          </cell>
          <cell r="L503" t="str">
            <v>Severidade 16</v>
          </cell>
          <cell r="M503" t="b">
            <v>0</v>
          </cell>
        </row>
        <row r="504">
          <cell r="A504" t="str">
            <v>Alarm/Event generated when oscillation is detected.</v>
          </cell>
          <cell r="B504" t="str"/>
          <cell r="C504" t="str"/>
          <cell r="D504" t="str">
            <v>DMS_OSCILLATION_DETECTION</v>
          </cell>
          <cell r="E504" t="b">
            <v>0</v>
          </cell>
          <cell r="F504" t="str">
            <v>A oscilação foi detectada! O número configurado de alterações não comandadas foi atingido (n[umero de mudancas = {0})!</v>
          </cell>
          <cell r="G504" t="str"/>
          <cell r="H504">
            <v>0</v>
          </cell>
          <cell r="I504">
            <v>0</v>
          </cell>
          <cell r="J504" t="str">
            <v>ApplicationAlarm</v>
          </cell>
          <cell r="K504" t="str">
            <v>Severidade 6</v>
          </cell>
          <cell r="L504" t="str">
            <v>Severidade 16</v>
          </cell>
          <cell r="M504" t="b">
            <v>0</v>
          </cell>
        </row>
        <row r="505">
          <cell r="A505" t="str">
            <v>RELI Type2</v>
          </cell>
          <cell r="B505" t="str"/>
          <cell r="C505" t="str">
            <v>DGRELI2</v>
          </cell>
          <cell r="D505" t="str">
            <v>RELI_TYPE2_DISCREPANCY_FAULT</v>
          </cell>
          <cell r="E505" t="b">
            <v>1</v>
          </cell>
          <cell r="F505" t="str">
            <v>DGRELI2 - Falta de discrepância (RELI Type2). Comando Falhou. []</v>
          </cell>
          <cell r="G505" t="str">
            <v>RELI Type2 discrepancy fault. Commanded failed.</v>
          </cell>
          <cell r="H505">
            <v>0</v>
          </cell>
          <cell r="I505">
            <v>0</v>
          </cell>
          <cell r="J505" t="str">
            <v>ApplicationAlarm</v>
          </cell>
          <cell r="K505" t="str">
            <v>Severidade 15</v>
          </cell>
          <cell r="L505" t="str">
            <v>Severidade 16</v>
          </cell>
          <cell r="M505" t="b">
            <v>0</v>
          </cell>
        </row>
        <row r="506">
          <cell r="A506" t="str">
            <v>RELI Commanded reclosing</v>
          </cell>
          <cell r="B506" t="str"/>
          <cell r="C506" t="str"/>
          <cell r="D506" t="str">
            <v>RELI_MESSAGE_01</v>
          </cell>
          <cell r="E506" t="b">
            <v>0</v>
          </cell>
          <cell r="F506" t="str">
            <v>DGRELI - Religamento Comandado  []</v>
          </cell>
          <cell r="G506" t="str">
            <v>Indica que o religamento foi executado com sucesso</v>
          </cell>
          <cell r="H506">
            <v>0</v>
          </cell>
          <cell r="I506">
            <v>0</v>
          </cell>
          <cell r="J506" t="str">
            <v>ApplicationAlarm</v>
          </cell>
          <cell r="K506" t="str">
            <v>Severidade 15</v>
          </cell>
          <cell r="L506" t="str">
            <v>Severidade 16</v>
          </cell>
          <cell r="M506" t="b">
            <v>0</v>
          </cell>
        </row>
        <row r="507">
          <cell r="A507" t="str">
            <v>RELI Blocked reclosing</v>
          </cell>
          <cell r="B507" t="str"/>
          <cell r="C507" t="str"/>
          <cell r="D507" t="str">
            <v>RELI_MESSAGE_10</v>
          </cell>
          <cell r="E507" t="b">
            <v>1</v>
          </cell>
          <cell r="F507" t="str">
            <v>DGRELI - Religamento Bloqueado  []</v>
          </cell>
          <cell r="G507" t="str">
            <v xml:space="preserve">Atualmente não há mais diferença para o diagnóstico Disjuntor Impedido </v>
          </cell>
          <cell r="H507">
            <v>0</v>
          </cell>
          <cell r="I507">
            <v>0</v>
          </cell>
          <cell r="J507" t="str">
            <v>ApplicationAlarm</v>
          </cell>
          <cell r="K507" t="str">
            <v>Severidade 15</v>
          </cell>
          <cell r="L507" t="str">
            <v>Severidade 16</v>
          </cell>
          <cell r="M507" t="b">
            <v>0</v>
          </cell>
        </row>
        <row r="508">
          <cell r="A508" t="str">
            <v>RELI Under-frequency occurrence</v>
          </cell>
          <cell r="B508" t="str"/>
          <cell r="C508" t="str"/>
          <cell r="D508" t="str">
            <v>RELI_MESSAGE_11</v>
          </cell>
          <cell r="E508" t="b">
            <v>1</v>
          </cell>
          <cell r="F508" t="str">
            <v>DGRELI - Ocorrência de Subfrequência  []</v>
          </cell>
          <cell r="G508" t="str">
            <v>Gerado quando não ocorre um religamento devido a ocorrência da função de Subfrequência (função 81) na SE</v>
          </cell>
          <cell r="H508">
            <v>0</v>
          </cell>
          <cell r="I508">
            <v>0</v>
          </cell>
          <cell r="J508" t="str">
            <v>ApplicationAlarm</v>
          </cell>
          <cell r="K508" t="str">
            <v>Severidade 15</v>
          </cell>
          <cell r="L508" t="str">
            <v>Severidade 16</v>
          </cell>
          <cell r="M508" t="b">
            <v>0</v>
          </cell>
        </row>
        <row r="509">
          <cell r="A509" t="str">
            <v>RELI Less than one-minute circuit breaker command</v>
          </cell>
          <cell r="B509" t="str"/>
          <cell r="C509" t="str"/>
          <cell r="D509" t="str">
            <v>RELI_MESSAGE_12</v>
          </cell>
          <cell r="E509" t="b">
            <v>0</v>
          </cell>
          <cell r="F509" t="str">
            <v>DGRELI - Comando no Disjuntor a menos de 1 Minuto  []</v>
          </cell>
          <cell r="G509" t="str">
            <v>Gerado quando não ocorre um religamento devido ter ocorrido um comando no disjuntor a menos de 1 minuto (DJs de Linhas)</v>
          </cell>
          <cell r="H509">
            <v>0</v>
          </cell>
          <cell r="I509">
            <v>0</v>
          </cell>
          <cell r="J509" t="str">
            <v>ApplicationAlarm</v>
          </cell>
          <cell r="K509" t="str">
            <v>Severidade 15</v>
          </cell>
          <cell r="L509" t="str">
            <v>Severidade 16</v>
          </cell>
          <cell r="M509" t="b">
            <v>0</v>
          </cell>
        </row>
        <row r="510">
          <cell r="A510" t="str">
            <v>RELI Questionable voltage value</v>
          </cell>
          <cell r="B510" t="str"/>
          <cell r="C510" t="str"/>
          <cell r="D510" t="str">
            <v>RELI_MESSAGE_13</v>
          </cell>
          <cell r="E510" t="b">
            <v>1</v>
          </cell>
          <cell r="F510" t="str">
            <v>DGRELI - Valor da Tensão Duvidoso  []</v>
          </cell>
          <cell r="G510" t="str">
            <v xml:space="preserve">Valor da Tensão Duvidoso </v>
          </cell>
          <cell r="H510">
            <v>0</v>
          </cell>
          <cell r="I510">
            <v>0</v>
          </cell>
          <cell r="J510" t="str">
            <v>ApplicationAlarm</v>
          </cell>
          <cell r="K510" t="str">
            <v>Severidade 15</v>
          </cell>
          <cell r="L510" t="str">
            <v>Severidade 16</v>
          </cell>
          <cell r="M510" t="b">
            <v>0</v>
          </cell>
        </row>
        <row r="511">
          <cell r="A511" t="str">
            <v>RELI Voltage value outside the safety range</v>
          </cell>
          <cell r="B511" t="str"/>
          <cell r="C511" t="str"/>
          <cell r="D511" t="str">
            <v>RELI_MESSAGE_14</v>
          </cell>
          <cell r="E511" t="b">
            <v>1</v>
          </cell>
          <cell r="F511" t="str">
            <v>DGRELI - Tensão fora da Faixa de Segurança  []</v>
          </cell>
          <cell r="G511" t="str">
            <v xml:space="preserve">Tensão fora da Faixa de Segurança </v>
          </cell>
          <cell r="H511">
            <v>0</v>
          </cell>
          <cell r="I511">
            <v>0</v>
          </cell>
          <cell r="J511" t="str">
            <v>ApplicationAlarm</v>
          </cell>
          <cell r="K511" t="str">
            <v>Severidade 15</v>
          </cell>
          <cell r="L511" t="str">
            <v>Severidade 16</v>
          </cell>
          <cell r="M511" t="b">
            <v>0</v>
          </cell>
        </row>
        <row r="512">
          <cell r="A512" t="str">
            <v>RELI Voltage value under the inferior limit</v>
          </cell>
          <cell r="B512" t="str"/>
          <cell r="C512" t="str"/>
          <cell r="D512" t="str">
            <v>RELI_MESSAGE_15</v>
          </cell>
          <cell r="E512" t="b">
            <v>1</v>
          </cell>
          <cell r="F512" t="str">
            <v>DGRELI - Tensão Abaixo do Limite Inferior  []</v>
          </cell>
          <cell r="G512" t="str">
            <v xml:space="preserve">Tensão Abaixo do Limite Inferior </v>
          </cell>
          <cell r="H512">
            <v>0</v>
          </cell>
          <cell r="I512">
            <v>0</v>
          </cell>
          <cell r="J512" t="str">
            <v>ApplicationAlarm</v>
          </cell>
          <cell r="K512" t="str">
            <v>Severidade 15</v>
          </cell>
          <cell r="L512" t="str">
            <v>Severidade 16</v>
          </cell>
          <cell r="M512" t="b">
            <v>0</v>
          </cell>
        </row>
        <row r="513">
          <cell r="A513" t="str">
            <v>RELI Voltage in maintenance indicator</v>
          </cell>
          <cell r="B513" t="str"/>
          <cell r="C513" t="str"/>
          <cell r="D513" t="str">
            <v>RELI_MESSAGE_16</v>
          </cell>
          <cell r="E513" t="b">
            <v>0</v>
          </cell>
          <cell r="F513" t="str">
            <v>DGRELI - Indicador de Tensão em Manutenção  []</v>
          </cell>
          <cell r="G513" t="str">
            <v xml:space="preserve">Indicador de Tensão em Manutenção </v>
          </cell>
          <cell r="H513">
            <v>0</v>
          </cell>
          <cell r="I513">
            <v>0</v>
          </cell>
          <cell r="J513" t="str">
            <v>ApplicationAlarm</v>
          </cell>
          <cell r="K513" t="str">
            <v>Severidade 15</v>
          </cell>
          <cell r="L513" t="str">
            <v>Severidade 16</v>
          </cell>
          <cell r="M513" t="b">
            <v>0</v>
          </cell>
        </row>
        <row r="514">
          <cell r="A514" t="str">
            <v>RELI Line without voltage</v>
          </cell>
          <cell r="B514" t="str"/>
          <cell r="C514" t="str"/>
          <cell r="D514" t="str">
            <v>RELI_MESSAGE_17</v>
          </cell>
          <cell r="E514" t="b">
            <v>1</v>
          </cell>
          <cell r="F514" t="str">
            <v>DGRELI - Linha sem Tensão  []</v>
          </cell>
          <cell r="G514" t="str">
            <v xml:space="preserve">Utilizados na função RELI para bloquear o religamento quando o valor de tensão estiver fora do padrão considerado normal. </v>
          </cell>
          <cell r="H514">
            <v>0</v>
          </cell>
          <cell r="I514">
            <v>0</v>
          </cell>
          <cell r="J514" t="str">
            <v>ApplicationAlarm</v>
          </cell>
          <cell r="K514" t="str">
            <v>Severidade 15</v>
          </cell>
          <cell r="L514" t="str">
            <v>Severidade 16</v>
          </cell>
          <cell r="M514" t="b">
            <v>0</v>
          </cell>
        </row>
        <row r="515">
          <cell r="A515" t="str">
            <v>RELI Less than 30 seconds breaker command</v>
          </cell>
          <cell r="B515" t="str"/>
          <cell r="C515" t="str"/>
          <cell r="D515" t="str">
            <v>RELI_MESSAGE_18</v>
          </cell>
          <cell r="E515" t="b">
            <v>0</v>
          </cell>
          <cell r="F515" t="str">
            <v>DGRELI - Comando no Disjuntor a menos de 30 Segundos  []</v>
          </cell>
          <cell r="G515" t="str">
            <v>Gerado quando não ocorre um religamento devido ter ocorrido um comando no disjuntor a menos de 30 segundos (DJs de Alimentadores)</v>
          </cell>
          <cell r="H515">
            <v>0</v>
          </cell>
          <cell r="I515">
            <v>0</v>
          </cell>
          <cell r="J515" t="str">
            <v>ApplicationAlarm</v>
          </cell>
          <cell r="K515" t="str">
            <v>Severidade 15</v>
          </cell>
          <cell r="L515" t="str">
            <v>Severidade 16</v>
          </cell>
          <cell r="M515" t="b">
            <v>0</v>
          </cell>
        </row>
        <row r="516">
          <cell r="A516" t="str">
            <v>RELI Actuation of the blocking switch</v>
          </cell>
          <cell r="B516" t="str"/>
          <cell r="C516" t="str"/>
          <cell r="D516" t="str">
            <v>RELI_MESSAGE_19</v>
          </cell>
          <cell r="E516" t="b">
            <v>1</v>
          </cell>
          <cell r="F516" t="str">
            <v>DGRELI - Atuação da Chave de Bloqueio  []</v>
          </cell>
          <cell r="G516" t="str">
            <v>Gerado quando não ocorre um religamento devido a chave de bloqueio do TR estar bloqueada</v>
          </cell>
          <cell r="H516">
            <v>0</v>
          </cell>
          <cell r="I516">
            <v>0</v>
          </cell>
          <cell r="J516" t="str">
            <v>ApplicationAlarm</v>
          </cell>
          <cell r="K516" t="str">
            <v>Severidade 15</v>
          </cell>
          <cell r="L516" t="str">
            <v>Severidade 16</v>
          </cell>
          <cell r="M516" t="b">
            <v>0</v>
          </cell>
        </row>
        <row r="517">
          <cell r="A517" t="str">
            <v>RELI Lack of synchronism for reclosing ALAREL</v>
          </cell>
          <cell r="B517" t="str"/>
          <cell r="C517" t="str"/>
          <cell r="D517" t="str">
            <v>RELI_MESSAGE_20</v>
          </cell>
          <cell r="E517" t="b">
            <v>1</v>
          </cell>
          <cell r="F517" t="str">
            <v>DGRELI - Falta de Sincronismo para Religamento  []</v>
          </cell>
          <cell r="G517" t="str">
            <v>Gerado quando não ocorre um religamento devido à falta de sincronismo entre as tensões de linha e barra</v>
          </cell>
          <cell r="H517">
            <v>0</v>
          </cell>
          <cell r="I517">
            <v>0</v>
          </cell>
          <cell r="J517" t="str">
            <v>ApplicationAlarm</v>
          </cell>
          <cell r="K517" t="str">
            <v>Severidade 15</v>
          </cell>
          <cell r="L517" t="str">
            <v>Severidade 16</v>
          </cell>
          <cell r="M517" t="b">
            <v>0</v>
          </cell>
        </row>
        <row r="518">
          <cell r="A518" t="str">
            <v>RELI Blockage acknowledgement (RTU’ blockage acknowledgement update)</v>
          </cell>
          <cell r="B518" t="str"/>
          <cell r="C518" t="str"/>
          <cell r="D518" t="str">
            <v>RELI_MESSAGE_21</v>
          </cell>
          <cell r="E518" t="b">
            <v>0</v>
          </cell>
          <cell r="F518" t="str">
            <v>DGRELI - Reconhecimento de Bloqueio (atualização do reconhecimento de bloqueio pela UTR) []</v>
          </cell>
          <cell r="G518" t="str">
            <v>Tira a tarja amarela do ponto</v>
          </cell>
          <cell r="H518">
            <v>0</v>
          </cell>
          <cell r="I518">
            <v>0</v>
          </cell>
          <cell r="J518" t="str">
            <v>ApplicationAlarm</v>
          </cell>
          <cell r="K518" t="str">
            <v>Severidade 15</v>
          </cell>
          <cell r="L518" t="str">
            <v>Severidade 16</v>
          </cell>
          <cell r="M518" t="b">
            <v>0</v>
          </cell>
        </row>
        <row r="519">
          <cell r="A519" t="str">
            <v>RELI Digital input fail</v>
          </cell>
          <cell r="B519" t="str"/>
          <cell r="C519" t="str"/>
          <cell r="D519" t="str">
            <v>RELI_MESSAGE_22</v>
          </cell>
          <cell r="E519" t="b">
            <v>1</v>
          </cell>
          <cell r="F519" t="str">
            <v>DGRELI - Falha em Entrada Digital  []</v>
          </cell>
          <cell r="G519" t="str">
            <v>Gerado quando a UTR detecta uma falha em alguma entrada digital. Atualmente não é utilizado</v>
          </cell>
          <cell r="H519">
            <v>0</v>
          </cell>
          <cell r="I519">
            <v>0</v>
          </cell>
          <cell r="J519" t="str">
            <v>ApplicationAlarm</v>
          </cell>
          <cell r="K519" t="str">
            <v>Severidade 15</v>
          </cell>
          <cell r="L519" t="str">
            <v>Severidade 16</v>
          </cell>
          <cell r="M519" t="b">
            <v>0</v>
          </cell>
        </row>
        <row r="520">
          <cell r="A520" t="str">
            <v>RELI RTU reset</v>
          </cell>
          <cell r="B520" t="str"/>
          <cell r="C520" t="str"/>
          <cell r="D520" t="str">
            <v>RELI_MESSAGE_23</v>
          </cell>
          <cell r="E520" t="b">
            <v>1</v>
          </cell>
          <cell r="F520" t="str">
            <v>DGRELI - Reset da UTR  []</v>
          </cell>
          <cell r="G520" t="str">
            <v>Gerado quando a UTR se reinicia</v>
          </cell>
          <cell r="H520">
            <v>0</v>
          </cell>
          <cell r="I520">
            <v>0</v>
          </cell>
          <cell r="J520" t="str">
            <v>ApplicationAlarm</v>
          </cell>
          <cell r="K520" t="str">
            <v>Severidade 15</v>
          </cell>
          <cell r="L520" t="str">
            <v>Severidade 16</v>
          </cell>
          <cell r="M520" t="b">
            <v>0</v>
          </cell>
        </row>
        <row r="521">
          <cell r="A521" t="str">
            <v>RELI Redundant command</v>
          </cell>
          <cell r="B521" t="str"/>
          <cell r="C521" t="str"/>
          <cell r="D521" t="str">
            <v>RELI_MESSAGE_24</v>
          </cell>
          <cell r="E521" t="b">
            <v>0</v>
          </cell>
          <cell r="F521" t="str">
            <v>DGRELI - Comando Redundante  []</v>
          </cell>
          <cell r="G521" t="str">
            <v>Comandos solicitados pelo operador que não foram realizados (operador realizar comando de ABRIR com DJ ABERTO ou comando de FECHAR com DJ FECHADO)</v>
          </cell>
          <cell r="H521">
            <v>0</v>
          </cell>
          <cell r="I521">
            <v>0</v>
          </cell>
          <cell r="J521" t="str">
            <v>ApplicationAlarm</v>
          </cell>
          <cell r="K521" t="str">
            <v>Severidade 15</v>
          </cell>
          <cell r="L521" t="str">
            <v>Severidade 16</v>
          </cell>
          <cell r="M521" t="b">
            <v>0</v>
          </cell>
        </row>
        <row r="522">
          <cell r="A522" t="str">
            <v>RELI Master switch set as local CNEXEC</v>
          </cell>
          <cell r="B522" t="str"/>
          <cell r="C522" t="str"/>
          <cell r="D522" t="str">
            <v>RELI_MESSAGE_25</v>
          </cell>
          <cell r="E522" t="b">
            <v>0</v>
          </cell>
          <cell r="F522" t="str">
            <v>DGRELI - Chave Geral em Local  []</v>
          </cell>
          <cell r="G522" t="str">
            <v>Comando solicitados pelo operador que não foram realizados devido a chave geral Local/Remoto da SE estar em Local</v>
          </cell>
          <cell r="H522">
            <v>0</v>
          </cell>
          <cell r="I522">
            <v>0</v>
          </cell>
          <cell r="J522" t="str">
            <v>ApplicationAlarm</v>
          </cell>
          <cell r="K522" t="str">
            <v>Severidade 15</v>
          </cell>
          <cell r="L522" t="str">
            <v>Severidade 16</v>
          </cell>
          <cell r="M522" t="b">
            <v>0</v>
          </cell>
        </row>
        <row r="523">
          <cell r="A523" t="str">
            <v>RELI Individual switch set as local CNEXEC</v>
          </cell>
          <cell r="B523" t="str"/>
          <cell r="C523" t="str"/>
          <cell r="D523" t="str">
            <v>RELI_MESSAGE_26</v>
          </cell>
          <cell r="E523" t="b">
            <v>0</v>
          </cell>
          <cell r="F523" t="str">
            <v>DGRELI - Chave Individual em Local  []</v>
          </cell>
          <cell r="G523" t="str">
            <v>Comando solicitados pelo operador que não foram realizados devido a chave individual Local/Remoto do disjuntor estar em Local</v>
          </cell>
          <cell r="H523">
            <v>0</v>
          </cell>
          <cell r="I523">
            <v>0</v>
          </cell>
          <cell r="J523" t="str">
            <v>ApplicationAlarm</v>
          </cell>
          <cell r="K523" t="str">
            <v>Severidade 15</v>
          </cell>
          <cell r="L523" t="str">
            <v>Severidade 16</v>
          </cell>
          <cell r="M523" t="b">
            <v>0</v>
          </cell>
        </row>
        <row r="524">
          <cell r="A524" t="str">
            <v>RELI Defect on the transductor (only a register in the application log)</v>
          </cell>
          <cell r="B524" t="str"/>
          <cell r="C524" t="str"/>
          <cell r="D524" t="str">
            <v>RELI_MESSAGE_27</v>
          </cell>
          <cell r="E524" t="b">
            <v>0</v>
          </cell>
          <cell r="F524" t="str">
            <v>DGRELI - Defeito em Transdutor  []</v>
          </cell>
          <cell r="G524" t="str">
            <v>Atualmente não é mais utilizado</v>
          </cell>
          <cell r="H524">
            <v>0</v>
          </cell>
          <cell r="I524">
            <v>0</v>
          </cell>
          <cell r="J524" t="str">
            <v>ApplicationAlarm</v>
          </cell>
          <cell r="K524" t="str">
            <v>Severidade 15</v>
          </cell>
          <cell r="L524" t="str">
            <v>Severidade 16</v>
          </cell>
          <cell r="M524" t="b">
            <v>0</v>
          </cell>
        </row>
        <row r="525">
          <cell r="A525" t="str">
            <v>RELI Generator’s circuit breaker is closed</v>
          </cell>
          <cell r="B525" t="str"/>
          <cell r="C525" t="str"/>
          <cell r="D525" t="str">
            <v>RELI_MESSAGE_28</v>
          </cell>
          <cell r="E525" t="b">
            <v>0</v>
          </cell>
          <cell r="F525" t="str">
            <v>DGRELI - Disjuntor do Gerador Fechado  []</v>
          </cell>
          <cell r="G525" t="str">
            <v>Gerado quando não ocorre um religamento devido a existência de um cogerador (gerando) no alimentador</v>
          </cell>
          <cell r="H525">
            <v>0</v>
          </cell>
          <cell r="I525">
            <v>0</v>
          </cell>
          <cell r="J525" t="str">
            <v>ApplicationAlarm</v>
          </cell>
          <cell r="K525" t="str">
            <v>Severidade 15</v>
          </cell>
          <cell r="L525" t="str">
            <v>Severidade 16</v>
          </cell>
          <cell r="M525" t="b">
            <v>0</v>
          </cell>
        </row>
        <row r="526">
          <cell r="A526" t="str">
            <v>RELI Teleprotection communication loss</v>
          </cell>
          <cell r="B526" t="str"/>
          <cell r="C526" t="str"/>
          <cell r="D526" t="str">
            <v>RELI_MESSAGE_29</v>
          </cell>
          <cell r="E526" t="b">
            <v>1</v>
          </cell>
          <cell r="F526" t="str">
            <v>DGRELI - Perda de Comunicação Teleproteção  []</v>
          </cell>
          <cell r="G526" t="str">
            <v>Gerado quando não ocorre um religamento devido a perda de comunicação do sistema de teleproteção que informa o estado do disjuntor, na outra ponta da linha</v>
          </cell>
          <cell r="H526">
            <v>0</v>
          </cell>
          <cell r="I526">
            <v>0</v>
          </cell>
          <cell r="J526" t="str">
            <v>ApplicationAlarm</v>
          </cell>
          <cell r="K526" t="str">
            <v>Severidade 15</v>
          </cell>
          <cell r="L526" t="str">
            <v>Severidade 16</v>
          </cell>
          <cell r="M526" t="b">
            <v>0</v>
          </cell>
        </row>
        <row r="527">
          <cell r="A527" t="str">
            <v>RELI Generator’s circuit breaker in maintenance</v>
          </cell>
          <cell r="B527" t="str"/>
          <cell r="C527" t="str"/>
          <cell r="D527" t="str">
            <v>RELI_MESSAGE_30</v>
          </cell>
          <cell r="E527" t="b">
            <v>0</v>
          </cell>
          <cell r="F527" t="str">
            <v>DGRELI - Disjuntor do Gerador em Manutenção  []</v>
          </cell>
          <cell r="G527" t="str">
            <v>Gerado quando não ocorre um religamento devido ao ponto de estado do disjuntor, na outra ponta da linha, estar em bloqueio ou manutenção</v>
          </cell>
          <cell r="H527">
            <v>0</v>
          </cell>
          <cell r="I527">
            <v>0</v>
          </cell>
          <cell r="J527" t="str">
            <v>ApplicationAlarm</v>
          </cell>
          <cell r="K527" t="str">
            <v>Severidade 15</v>
          </cell>
          <cell r="L527" t="str">
            <v>Severidade 16</v>
          </cell>
          <cell r="M527" t="b">
            <v>0</v>
          </cell>
        </row>
        <row r="528">
          <cell r="A528" t="str">
            <v>RELI Teleprotection communication in maintenance</v>
          </cell>
          <cell r="B528" t="str"/>
          <cell r="C528" t="str"/>
          <cell r="D528" t="str">
            <v>RELI_MESSAGE_31</v>
          </cell>
          <cell r="E528" t="b">
            <v>0</v>
          </cell>
          <cell r="F528" t="str">
            <v>DGRELI - Manutenção Comunicação Teleproteção  []</v>
          </cell>
          <cell r="G528" t="str">
            <v>Gerado quando não ocorre um religamento devido ao ponto de estado da comunicação da teleproteção, que informa o estado do disjuntor, na outra ponta da linha, estar em bloqueio ou manutenção</v>
          </cell>
          <cell r="H528">
            <v>0</v>
          </cell>
          <cell r="I528">
            <v>0</v>
          </cell>
          <cell r="J528" t="str">
            <v>ApplicationAlarm</v>
          </cell>
          <cell r="K528" t="str">
            <v>Severidade 15</v>
          </cell>
          <cell r="L528" t="str">
            <v>Severidade 16</v>
          </cell>
          <cell r="M528" t="b">
            <v>0</v>
          </cell>
        </row>
        <row r="529">
          <cell r="A529" t="str">
            <v>RELI Lack of synchronism for reclosing CNEXEC</v>
          </cell>
          <cell r="B529" t="str"/>
          <cell r="C529" t="str"/>
          <cell r="D529" t="str">
            <v>RELI_MESSAGE_32</v>
          </cell>
          <cell r="E529" t="b">
            <v>1</v>
          </cell>
          <cell r="F529" t="str">
            <v>DGRELI - Falta de Sincronismo para Comando  []</v>
          </cell>
          <cell r="G529" t="str">
            <v>Comandos solicitados pelo operador não foram realizados devido à falta de sincronismo entre as tensões de linha e barra</v>
          </cell>
          <cell r="H529">
            <v>0</v>
          </cell>
          <cell r="I529">
            <v>0</v>
          </cell>
          <cell r="J529" t="str">
            <v>ApplicationAlarm</v>
          </cell>
          <cell r="K529" t="str">
            <v>Severidade 15</v>
          </cell>
          <cell r="L529" t="str">
            <v>Severidade 16</v>
          </cell>
          <cell r="M529" t="b">
            <v>0</v>
          </cell>
        </row>
        <row r="530">
          <cell r="A530" t="str">
            <v>RELI Islanding occurrence during reclosing</v>
          </cell>
          <cell r="B530" t="str"/>
          <cell r="C530" t="str"/>
          <cell r="D530" t="str">
            <v>RELI_MESSAGE_33</v>
          </cell>
          <cell r="E530" t="b">
            <v>1</v>
          </cell>
          <cell r="F530" t="str">
            <v>DGRELI - Ocorrência de Ilhamento no Religamento  []</v>
          </cell>
          <cell r="G530" t="str">
            <v>Gerado quando não ocorre um religamento devido a ocorrência da função de Subfrequência (função 81) na SE que faz interligação com transmissoras e pertence ao sistema de ilhamento</v>
          </cell>
          <cell r="H530">
            <v>0</v>
          </cell>
          <cell r="I530">
            <v>0</v>
          </cell>
          <cell r="J530" t="str">
            <v>ApplicationAlarm</v>
          </cell>
          <cell r="K530" t="str">
            <v>Severidade 15</v>
          </cell>
          <cell r="L530" t="str">
            <v>Severidade 16</v>
          </cell>
          <cell r="M530" t="b">
            <v>0</v>
          </cell>
        </row>
        <row r="531">
          <cell r="A531" t="str">
            <v>Cronometro</v>
          </cell>
          <cell r="B531" t="str"/>
          <cell r="C531" t="str"/>
          <cell r="D531" t="str">
            <v>81f70a10-231e-4c84-83ea-ceeacec9086f</v>
          </cell>
          <cell r="E531" t="b">
            <v>0</v>
          </cell>
          <cell r="F531" t="str">
            <v>Cronômetro iniciado</v>
          </cell>
          <cell r="G531" t="str">
            <v>Cronômetro da abertura de dispositivo iniciado</v>
          </cell>
          <cell r="H531">
            <v>0</v>
          </cell>
          <cell r="I531">
            <v>0</v>
          </cell>
          <cell r="J531" t="str">
            <v>AnalogHigh</v>
          </cell>
          <cell r="K531" t="str">
            <v>Severidade 16</v>
          </cell>
          <cell r="L531" t="str">
            <v>Severidade 16</v>
          </cell>
          <cell r="M531" t="b">
            <v>0</v>
          </cell>
        </row>
        <row r="532">
          <cell r="A532" t="str">
            <v>ColdRestartAlgorithmCatalog</v>
          </cell>
          <cell r="B532" t="str"/>
          <cell r="C532" t="str"/>
          <cell r="D532" t="str">
            <v>ColdRestartAlgorithmCatalog</v>
          </cell>
          <cell r="E532" t="b">
            <v>1</v>
          </cell>
          <cell r="F532" t="str">
            <v>Alarm Cold Restart counter exceed limit. RTU with custom id '{0}' telemetry fail. []</v>
          </cell>
          <cell r="G532" t="str"/>
          <cell r="H532">
            <v>0</v>
          </cell>
          <cell r="I532">
            <v>0</v>
          </cell>
          <cell r="J532" t="str">
            <v>ApplicationAlarm</v>
          </cell>
          <cell r="K532" t="str">
            <v>Severidade 15</v>
          </cell>
          <cell r="L532" t="str">
            <v>Severidade 16</v>
          </cell>
          <cell r="M532" t="b">
            <v>0</v>
          </cell>
        </row>
        <row r="533">
          <cell r="A533" t="str">
            <v>Voltage Regulation is disabled.</v>
          </cell>
          <cell r="B533" t="str"/>
          <cell r="C533" t="str">
            <v>DESREG</v>
          </cell>
          <cell r="D533" t="str">
            <v>VOLTAGE_REGULATION_DISABLED</v>
          </cell>
          <cell r="E533" t="b">
            <v>1</v>
          </cell>
          <cell r="F533" t="str">
            <v>DESREG - Regulação de tensão desativada []</v>
          </cell>
          <cell r="G533" t="str">
            <v>Desativação de equipamento de regulação</v>
          </cell>
          <cell r="H533">
            <v>0</v>
          </cell>
          <cell r="I533">
            <v>0</v>
          </cell>
          <cell r="J533" t="str">
            <v>ApplicationAlarm</v>
          </cell>
          <cell r="K533" t="str">
            <v>Severidade 5</v>
          </cell>
          <cell r="L533" t="str">
            <v>Severidade 16</v>
          </cell>
          <cell r="M533" t="b">
            <v>0</v>
          </cell>
        </row>
        <row r="534">
          <cell r="A534" t="str">
            <v>Regulatory equipment disabled. Tap acted n times.</v>
          </cell>
          <cell r="B534" t="str"/>
          <cell r="C534" t="str">
            <v>DESREG</v>
          </cell>
          <cell r="D534" t="str">
            <v>REGULATORY_EQUIPMENT_DISABLED_TAP</v>
          </cell>
          <cell r="E534" t="b">
            <v>1</v>
          </cell>
          <cell r="F534" t="str">
            <v>DESREG -  TAP Tentativas {0}  []</v>
          </cell>
          <cell r="G534" t="str">
            <v>Equipamento regulador desativado</v>
          </cell>
          <cell r="H534">
            <v>0</v>
          </cell>
          <cell r="I534">
            <v>0</v>
          </cell>
          <cell r="J534" t="str">
            <v>ApplicationAlarm</v>
          </cell>
          <cell r="K534" t="str">
            <v>Severidade 5</v>
          </cell>
          <cell r="L534" t="str">
            <v>Severidade 16</v>
          </cell>
          <cell r="M534" t="b">
            <v>0</v>
          </cell>
        </row>
        <row r="535">
          <cell r="A535" t="str">
            <v>Regulatory Equipment disabled – tap position close to minimum or maximum position</v>
          </cell>
          <cell r="B535" t="str"/>
          <cell r="C535" t="str">
            <v>DESREG</v>
          </cell>
          <cell r="D535" t="str">
            <v>REGULATORY_EQUIPMENT_DISABLED_TAP_POSITION_LIMIT</v>
          </cell>
          <cell r="E535" t="b">
            <v>1</v>
          </cell>
          <cell r="F535" t="str">
            <v>DESREG -  TAP alcançou posição mínima ou máxima []</v>
          </cell>
          <cell r="G535" t="str">
            <v xml:space="preserve">Equipamento de regulamentação desativado </v>
          </cell>
          <cell r="H535">
            <v>0</v>
          </cell>
          <cell r="I535">
            <v>0</v>
          </cell>
          <cell r="J535" t="str">
            <v>ApplicationAlarm</v>
          </cell>
          <cell r="K535" t="str">
            <v>Severidade 5</v>
          </cell>
          <cell r="L535" t="str">
            <v>Severidade 16</v>
          </cell>
          <cell r="M535" t="b">
            <v>0</v>
          </cell>
        </row>
        <row r="536">
          <cell r="A536" t="str">
            <v>Regulatory Equipment disabled – Change Voltage Limit</v>
          </cell>
          <cell r="B536" t="str"/>
          <cell r="C536" t="str">
            <v>DESREG</v>
          </cell>
          <cell r="D536" t="str">
            <v>REGULATORY_EQUIPMENT_DISABLED_VOLTAGE_LIMIT_CHANGED</v>
          </cell>
          <cell r="E536" t="b">
            <v>1</v>
          </cell>
          <cell r="F536" t="str">
            <v>DESREG - Alterar limite de tensão []</v>
          </cell>
          <cell r="G536" t="str">
            <v xml:space="preserve"> Equipamento de regulamentação desativado</v>
          </cell>
          <cell r="H536">
            <v>0</v>
          </cell>
          <cell r="I536">
            <v>0</v>
          </cell>
          <cell r="J536" t="str">
            <v>ApplicationAlarm</v>
          </cell>
          <cell r="K536" t="str">
            <v>Severidade 13</v>
          </cell>
          <cell r="L536" t="str">
            <v>Severidade 16</v>
          </cell>
          <cell r="M536" t="b">
            <v>0</v>
          </cell>
        </row>
        <row r="537">
          <cell r="A537" t="str">
            <v>Alarme de Estado em Ponto Telessinalizado Baixa Severidade</v>
          </cell>
          <cell r="B537" t="str"/>
          <cell r="C537" t="str">
            <v>ALESTS Baixa</v>
          </cell>
          <cell r="D537" t="str">
            <v>3161cd3e-2572-4f09-9661-b0ce5bec4bb2</v>
          </cell>
          <cell r="E537" t="b">
            <v>1</v>
          </cell>
          <cell r="F537" t="str">
            <v>ALESTS baixa - {1} []</v>
          </cell>
          <cell r="G537" t="str">
            <v>Alarme de Estado em Ponto Telessinalizado Baixa Severidade</v>
          </cell>
          <cell r="H537">
            <v>0</v>
          </cell>
          <cell r="I537">
            <v>0</v>
          </cell>
          <cell r="J537" t="str">
            <v>DiscreteState</v>
          </cell>
          <cell r="K537" t="str">
            <v>Severidade 15</v>
          </cell>
          <cell r="L537" t="str">
            <v>Severidade 16</v>
          </cell>
          <cell r="M537" t="b">
            <v>0</v>
          </cell>
        </row>
        <row r="538">
          <cell r="A538" t="str">
            <v>Alarme de Estado em Ponto Telecontrolado Baixa Severidade</v>
          </cell>
          <cell r="B538" t="str"/>
          <cell r="C538" t="str">
            <v>ALESTC Baixa</v>
          </cell>
          <cell r="D538" t="str">
            <v>064a283c-b8bb-435c-8ba5-bf806f0f6423</v>
          </cell>
          <cell r="E538" t="b">
            <v>1</v>
          </cell>
          <cell r="F538" t="str">
            <v>ALESTC baixa - {1} []</v>
          </cell>
          <cell r="G538" t="str">
            <v>Alarme de Estado em Ponto Telecontrolado Baixa Severidade</v>
          </cell>
          <cell r="H538">
            <v>0</v>
          </cell>
          <cell r="I538">
            <v>0</v>
          </cell>
          <cell r="J538" t="str">
            <v>DiscreteState</v>
          </cell>
          <cell r="K538" t="str">
            <v>Severidade 15</v>
          </cell>
          <cell r="L538" t="str">
            <v>Severidade 16</v>
          </cell>
          <cell r="M538" t="b">
            <v>0</v>
          </cell>
        </row>
        <row r="539">
          <cell r="A539" t="str">
            <v>Alarme de Estado em Ponto Telessinalizado RA</v>
          </cell>
          <cell r="B539" t="str"/>
          <cell r="C539" t="str">
            <v>ALESTS Religadora</v>
          </cell>
          <cell r="D539" t="str">
            <v>51e00e00-09b4-4e3c-9921-a9ad5fee9f1a</v>
          </cell>
          <cell r="E539" t="b">
            <v>1</v>
          </cell>
          <cell r="F539" t="str">
            <v>ALESTS - {1} []</v>
          </cell>
          <cell r="G539" t="str">
            <v>Alarme de Estado em Ponto Telessinalizado RA</v>
          </cell>
          <cell r="H539">
            <v>0</v>
          </cell>
          <cell r="I539">
            <v>0</v>
          </cell>
          <cell r="J539" t="str">
            <v>DiscreteState</v>
          </cell>
          <cell r="K539" t="str">
            <v>Severidade 5</v>
          </cell>
          <cell r="L539" t="str">
            <v>Severidade 16</v>
          </cell>
          <cell r="M539" t="b">
            <v>0</v>
          </cell>
        </row>
        <row r="540">
          <cell r="A540" t="str">
            <v>Alarme Prioritario de Dado em Limite Superior Corrente</v>
          </cell>
          <cell r="B540" t="str"/>
          <cell r="C540" t="str">
            <v>ALISPR Corrente</v>
          </cell>
          <cell r="D540" t="str">
            <v>bda8e9c6-33d9-4868-9cc4-28854aa5c811</v>
          </cell>
          <cell r="E540" t="b">
            <v>1</v>
          </cell>
          <cell r="F540" t="str">
            <v>ALISPR - Valor {0:G} {1} (limite {3:0.00}) {4} []</v>
          </cell>
          <cell r="G540" t="str">
            <v>Alarme Prioritario de Dado em Limite Superior Corrente</v>
          </cell>
          <cell r="H540">
            <v>0</v>
          </cell>
          <cell r="I540">
            <v>0</v>
          </cell>
          <cell r="J540" t="str">
            <v>AnalogHigh</v>
          </cell>
          <cell r="K540" t="str">
            <v>Severidade 3</v>
          </cell>
          <cell r="L540" t="str">
            <v>Severidade 16</v>
          </cell>
          <cell r="M540" t="b">
            <v>0</v>
          </cell>
        </row>
        <row r="541">
          <cell r="A541" t="str">
            <v>Alarme Prioritario de Dado em Limite Inferior Corrente</v>
          </cell>
          <cell r="B541" t="str"/>
          <cell r="C541" t="str">
            <v>ALIIPR Corrente</v>
          </cell>
          <cell r="D541" t="str">
            <v>e28add48-9229-480c-9058-408b18efa20d</v>
          </cell>
          <cell r="E541" t="b">
            <v>1</v>
          </cell>
          <cell r="F541" t="str">
            <v>ALIIPR - Valor {0:G} {1} (limite {3:0.00}) {4} []</v>
          </cell>
          <cell r="G541" t="str">
            <v>Alarme Prioritario de Dado em Limite Inferior Corrente</v>
          </cell>
          <cell r="H541">
            <v>0</v>
          </cell>
          <cell r="I541">
            <v>0</v>
          </cell>
          <cell r="J541" t="str">
            <v>AnalogLow</v>
          </cell>
          <cell r="K541" t="str">
            <v>Severidade 3</v>
          </cell>
          <cell r="L541" t="str">
            <v>Severidade 16</v>
          </cell>
          <cell r="M541" t="b">
            <v>0</v>
          </cell>
        </row>
        <row r="542">
          <cell r="A542" t="str">
            <v>Alarme de Dado em Limite Inferior Corrente</v>
          </cell>
          <cell r="B542" t="str"/>
          <cell r="C542" t="str">
            <v>ALIINF Corrente</v>
          </cell>
          <cell r="D542" t="str">
            <v>539cb160-c200-4e3d-bc7e-999f43b2574c</v>
          </cell>
          <cell r="E542" t="b">
            <v>1</v>
          </cell>
          <cell r="F542" t="str">
            <v>ALIINF - Valor {0:G} {1} (limite {3:0.00}) {4} []</v>
          </cell>
          <cell r="G542" t="str">
            <v>Alarme de Dado em Limite Inferior Corrente</v>
          </cell>
          <cell r="H542">
            <v>0</v>
          </cell>
          <cell r="I542">
            <v>0</v>
          </cell>
          <cell r="J542" t="str">
            <v>AnalogLow</v>
          </cell>
          <cell r="K542" t="str">
            <v>Severidade 3</v>
          </cell>
          <cell r="L542" t="str">
            <v>Severidade 16</v>
          </cell>
          <cell r="M542" t="b">
            <v>0</v>
          </cell>
        </row>
        <row r="543">
          <cell r="A543" t="str">
            <v>Alarme de Dado em Limite Superior Corrente</v>
          </cell>
          <cell r="B543" t="str"/>
          <cell r="C543" t="str">
            <v>ALISUP Corrente</v>
          </cell>
          <cell r="D543" t="str">
            <v>54e0977d-ccca-4f3a-b60d-349c471d606b</v>
          </cell>
          <cell r="E543" t="b">
            <v>1</v>
          </cell>
          <cell r="F543" t="str">
            <v>ALISUP - Valor {0:G} {1} (limite = {3:0.00}) {4} []</v>
          </cell>
          <cell r="G543" t="str">
            <v>Alarme de Dado em Limite Superior Corrente</v>
          </cell>
          <cell r="H543">
            <v>0</v>
          </cell>
          <cell r="I543">
            <v>0</v>
          </cell>
          <cell r="J543" t="str">
            <v>AnalogHigh</v>
          </cell>
          <cell r="K543" t="str">
            <v>Severidade 3</v>
          </cell>
          <cell r="L543" t="str">
            <v>Severidade 16</v>
          </cell>
          <cell r="M543" t="b">
            <v>0</v>
          </cell>
        </row>
        <row r="544">
          <cell r="A544" t="str">
            <v>Alarme de Estado em Ponto Telessinalizado DJ AL</v>
          </cell>
          <cell r="B544" t="str"/>
          <cell r="C544" t="str">
            <v>ALESTS Disjun Alimentador</v>
          </cell>
          <cell r="D544" t="str">
            <v>c362bcdf-701f-494c-b371-e0e50dd7f127</v>
          </cell>
          <cell r="E544" t="b">
            <v>1</v>
          </cell>
          <cell r="F544" t="str">
            <v>ALESTS - {1} []</v>
          </cell>
          <cell r="G544" t="str">
            <v>Alarme de Estado em Ponto Telessinalizado</v>
          </cell>
          <cell r="H544">
            <v>0</v>
          </cell>
          <cell r="I544">
            <v>0</v>
          </cell>
          <cell r="J544" t="str">
            <v>DiscreteState</v>
          </cell>
          <cell r="K544" t="str">
            <v>Severidade 5</v>
          </cell>
          <cell r="L544" t="str">
            <v>Severidade 16</v>
          </cell>
          <cell r="M544" t="b">
            <v>0</v>
          </cell>
        </row>
        <row r="545">
          <cell r="A545" t="str">
            <v>RELI_DISCREPANCU</v>
          </cell>
          <cell r="B545" t="str"/>
          <cell r="C545" t="str"/>
          <cell r="D545" t="str">
            <v>RELI_DISCREPANCU</v>
          </cell>
          <cell r="E545" t="b">
            <v>1</v>
          </cell>
          <cell r="F545" t="str">
            <v xml:space="preserve">INRELI - Erro na configuração de religamento </v>
          </cell>
          <cell r="G545" t="str">
            <v>Inconsistência em informação de religamento</v>
          </cell>
          <cell r="H545">
            <v>0</v>
          </cell>
          <cell r="I545">
            <v>0</v>
          </cell>
          <cell r="J545" t="str">
            <v>ApplicationAlarm</v>
          </cell>
          <cell r="K545" t="str">
            <v>Severidade 2</v>
          </cell>
          <cell r="L545" t="str">
            <v>Severidade 16</v>
          </cell>
          <cell r="M545" t="b">
            <v>0</v>
          </cell>
        </row>
        <row r="546">
          <cell r="A546" t="str">
            <v>Alarme de Estado em Ponto Telessinalizado Baixa Severidade Temporizado</v>
          </cell>
          <cell r="B546" t="str"/>
          <cell r="C546" t="str">
            <v>ALESTS Baixa Temporizado</v>
          </cell>
          <cell r="D546" t="str">
            <v>65459bbe-8f11-4cdf-a64b-a6c2f6e982d4</v>
          </cell>
          <cell r="E546" t="b">
            <v>1</v>
          </cell>
          <cell r="F546" t="str">
            <v>ALESTS baixa - {1} []</v>
          </cell>
          <cell r="G546" t="str">
            <v>Alarme de Estado em Ponto Telessinalizado Baixa Severidade</v>
          </cell>
          <cell r="H546">
            <v>60</v>
          </cell>
          <cell r="I546">
            <v>0</v>
          </cell>
          <cell r="J546" t="str">
            <v>DiscreteState</v>
          </cell>
          <cell r="K546" t="str">
            <v>Severidade 15</v>
          </cell>
          <cell r="L546" t="str">
            <v>Severidade 16</v>
          </cell>
          <cell r="M546" t="b">
            <v>0</v>
          </cell>
        </row>
        <row r="547">
          <cell r="A547" t="str">
            <v>Alarme de Estado em Ponto Telessinalizado DJ AL Temporizado</v>
          </cell>
          <cell r="B547" t="str"/>
          <cell r="C547" t="str">
            <v>ALESTS Disjun Alimentador Temporizado</v>
          </cell>
          <cell r="D547" t="str">
            <v>964b51c8-bfd0-42f0-9bda-df8f54b0be78</v>
          </cell>
          <cell r="E547" t="b">
            <v>1</v>
          </cell>
          <cell r="F547" t="str">
            <v>ALESTS - {1} []</v>
          </cell>
          <cell r="G547" t="str">
            <v>Alarme de Estado em Ponto Telessinalizado</v>
          </cell>
          <cell r="H547">
            <v>60</v>
          </cell>
          <cell r="I547">
            <v>0</v>
          </cell>
          <cell r="J547" t="str">
            <v>DiscreteState</v>
          </cell>
          <cell r="K547" t="str">
            <v>Severidade 5</v>
          </cell>
          <cell r="L547" t="str">
            <v>Severidade 16</v>
          </cell>
          <cell r="M547" t="b">
            <v>0</v>
          </cell>
        </row>
        <row r="548">
          <cell r="A548" t="str">
            <v>Alarme de Estado em Ponto Telessinalizado Temporizado</v>
          </cell>
          <cell r="B548" t="str"/>
          <cell r="C548" t="str">
            <v>ALESTS Temporizado</v>
          </cell>
          <cell r="D548" t="str">
            <v>cf1ac856-0e59-4c8f-89e7-97630e059044</v>
          </cell>
          <cell r="E548" t="b">
            <v>1</v>
          </cell>
          <cell r="F548" t="str">
            <v>ALESTS - {1} []</v>
          </cell>
          <cell r="G548" t="str">
            <v>Alarme de Estado em Ponto Telessinalizado</v>
          </cell>
          <cell r="H548">
            <v>60</v>
          </cell>
          <cell r="I548">
            <v>0</v>
          </cell>
          <cell r="J548" t="str">
            <v>DiscreteState</v>
          </cell>
          <cell r="K548" t="str">
            <v>Severidade 4</v>
          </cell>
          <cell r="L548" t="str">
            <v>Severidade 16</v>
          </cell>
          <cell r="M548" t="b">
            <v>0</v>
          </cell>
        </row>
        <row r="549">
          <cell r="A549" t="str">
            <v>Alarme Prioritario de Dado em Limite Superior com Temporizacao</v>
          </cell>
          <cell r="B549" t="str"/>
          <cell r="C549" t="str">
            <v xml:space="preserve">ALISPR </v>
          </cell>
          <cell r="D549" t="str">
            <v>81384d7c-bdc3-4cb1-844b-1d28ad5510ef</v>
          </cell>
          <cell r="E549" t="b">
            <v>1</v>
          </cell>
          <cell r="F549" t="str">
            <v>ALISPR - Valor {0:G} {1} (limite {3:0.00}) {4} []</v>
          </cell>
          <cell r="G549" t="str">
            <v>Alarme Prioritario de Dado em Limite Superior com Temporizacao</v>
          </cell>
          <cell r="H549">
            <v>180</v>
          </cell>
          <cell r="I549">
            <v>0</v>
          </cell>
          <cell r="J549" t="str">
            <v>AnalogHigh</v>
          </cell>
          <cell r="K549" t="str">
            <v>Severidade 2</v>
          </cell>
          <cell r="L549" t="str">
            <v>Severidade 16</v>
          </cell>
          <cell r="M549" t="b">
            <v>0</v>
          </cell>
        </row>
        <row r="550">
          <cell r="A550" t="str">
            <v>Alarme de Dado em Limite Inferior com Temporização Maior</v>
          </cell>
          <cell r="B550" t="str"/>
          <cell r="C550" t="str">
            <v>ALIINF</v>
          </cell>
          <cell r="D550" t="str">
            <v>40e13947-5a6d-44ea-abd2-c3dfcb32a64b</v>
          </cell>
          <cell r="E550" t="b">
            <v>1</v>
          </cell>
          <cell r="F550" t="str">
            <v>ALIINF - Valor {0:G} {1} (limite {3:0.00}) {4} []</v>
          </cell>
          <cell r="G550" t="str">
            <v>Alarme de Dado em Limite Inferior com Temporização</v>
          </cell>
          <cell r="H550">
            <v>360</v>
          </cell>
          <cell r="I550">
            <v>0</v>
          </cell>
          <cell r="J550" t="str">
            <v>AnalogLow</v>
          </cell>
          <cell r="K550" t="str">
            <v>Severidade 2</v>
          </cell>
          <cell r="L550" t="str">
            <v>Severidade 16</v>
          </cell>
          <cell r="M550" t="b">
            <v>0</v>
          </cell>
        </row>
        <row r="551">
          <cell r="A551" t="str">
            <v>Alarme Prioritario de Dado em Limite Inferior com Temporização Maior</v>
          </cell>
          <cell r="B551" t="str"/>
          <cell r="C551" t="str">
            <v>ALIIPR</v>
          </cell>
          <cell r="D551" t="str">
            <v>a941b356-4e0e-4693-9aed-5582bbd25e4c</v>
          </cell>
          <cell r="E551" t="b">
            <v>1</v>
          </cell>
          <cell r="F551" t="str">
            <v>ALIIPR - Valor {0:G} {1} (limite {3:0.00}) {4} []</v>
          </cell>
          <cell r="G551" t="str">
            <v>Alarme Prioritario de Dado em Limite Inferior com Temporização</v>
          </cell>
          <cell r="H551">
            <v>360</v>
          </cell>
          <cell r="I551">
            <v>0</v>
          </cell>
          <cell r="J551" t="str">
            <v>AnalogLow</v>
          </cell>
          <cell r="K551" t="str">
            <v>Severidade 2</v>
          </cell>
          <cell r="L551" t="str">
            <v>Severidade 16</v>
          </cell>
          <cell r="M551" t="b">
            <v>0</v>
          </cell>
        </row>
        <row r="552">
          <cell r="A552" t="str">
            <v>Alarme de Dado em Limite Superior com Temporização Maior</v>
          </cell>
          <cell r="B552" t="str"/>
          <cell r="C552" t="str">
            <v>ALISUP</v>
          </cell>
          <cell r="D552" t="str">
            <v>3ec4ab69-77fa-4786-ad64-fb564c3e867c</v>
          </cell>
          <cell r="E552" t="b">
            <v>1</v>
          </cell>
          <cell r="F552" t="str">
            <v>ALISUP - Valor {0:G} {1} (limite = {3:0.00}) {4} []</v>
          </cell>
          <cell r="G552" t="str">
            <v>Alarme de Dado em Limite Superior com Temporização</v>
          </cell>
          <cell r="H552">
            <v>360</v>
          </cell>
          <cell r="I552">
            <v>0</v>
          </cell>
          <cell r="J552" t="str">
            <v>AnalogHigh</v>
          </cell>
          <cell r="K552" t="str">
            <v>Severidade 2</v>
          </cell>
          <cell r="L552" t="str">
            <v>Severidade 16</v>
          </cell>
          <cell r="M552" t="b">
            <v>0</v>
          </cell>
        </row>
        <row r="553">
          <cell r="A553" t="str">
            <v>Alarme Prioritario de Dado a 90% do Limite Superior com Temporização Maior</v>
          </cell>
          <cell r="B553" t="str"/>
          <cell r="C553" t="str">
            <v>ALI90</v>
          </cell>
          <cell r="D553" t="str">
            <v>9e05063b-80b5-4d25-9ff8-d276254aa9f5</v>
          </cell>
          <cell r="E553" t="b">
            <v>1</v>
          </cell>
          <cell r="F553" t="str">
            <v>ALI90 - Valor {0:G} {1} (limite = {3:0.00}) {4} []</v>
          </cell>
          <cell r="G553" t="str">
            <v>Alarme Prioritario de Dado a 90% do Limite Superior com Temporização</v>
          </cell>
          <cell r="H553">
            <v>360</v>
          </cell>
          <cell r="I553">
            <v>0</v>
          </cell>
          <cell r="J553" t="str">
            <v>AnalogHigh</v>
          </cell>
          <cell r="K553" t="str">
            <v>Severidade 8</v>
          </cell>
          <cell r="L553" t="str">
            <v>Severidade 16</v>
          </cell>
          <cell r="M553" t="b">
            <v>0</v>
          </cell>
        </row>
        <row r="554">
          <cell r="A554" t="str">
            <v>Alarme Prioritario de Dado a 95% do Limite Superior com Temporização Maior</v>
          </cell>
          <cell r="B554" t="str"/>
          <cell r="C554" t="str">
            <v>ALI95</v>
          </cell>
          <cell r="D554" t="str">
            <v>04b29cdc-cd50-4940-804c-e26f3252d075</v>
          </cell>
          <cell r="E554" t="b">
            <v>1</v>
          </cell>
          <cell r="F554" t="str">
            <v>ALI95 - Valor = {0:G} {1} (limite = {3:0.00}) {4} []</v>
          </cell>
          <cell r="G554" t="str">
            <v>Alarme Prioritario de Dado a 95% do Limite Superior com Temporização</v>
          </cell>
          <cell r="H554">
            <v>360</v>
          </cell>
          <cell r="I554">
            <v>0</v>
          </cell>
          <cell r="J554" t="str">
            <v>AnalogHigh</v>
          </cell>
          <cell r="K554" t="str">
            <v>Severidade 7</v>
          </cell>
          <cell r="L554" t="str">
            <v>Severidade 16</v>
          </cell>
          <cell r="M554" t="b">
            <v>0</v>
          </cell>
        </row>
        <row r="555">
          <cell r="A555" t="str">
            <v>Alarme Prioritario de Dado em Limite Superior com Temporização Maior</v>
          </cell>
          <cell r="B555" t="str"/>
          <cell r="C555" t="str">
            <v>ALISPR</v>
          </cell>
          <cell r="D555" t="str">
            <v>b8462511-8542-4338-a090-b76e7cd9827e</v>
          </cell>
          <cell r="E555" t="b">
            <v>1</v>
          </cell>
          <cell r="F555" t="str">
            <v>ALISPR - Valor {0:G} {1} (limite {3:0.00}) {4} []</v>
          </cell>
          <cell r="G555" t="str">
            <v>Alarme Prioritario de Dado em Limite Superior com Temporizacao</v>
          </cell>
          <cell r="H555">
            <v>360</v>
          </cell>
          <cell r="I555">
            <v>0</v>
          </cell>
          <cell r="J555" t="str">
            <v>AnalogHigh</v>
          </cell>
          <cell r="K555" t="str">
            <v>Severidade 2</v>
          </cell>
          <cell r="L555" t="str">
            <v>Severidade 16</v>
          </cell>
          <cell r="M555" t="b">
            <v>0</v>
          </cell>
        </row>
        <row r="556">
          <cell r="A556" t="str">
            <v>Alarme de Tensao 0</v>
          </cell>
          <cell r="B556" t="str"/>
          <cell r="C556" t="str">
            <v>ALIINF</v>
          </cell>
          <cell r="D556" t="str">
            <v>8a1af685-38a9-46d5-b549-b09433b8276b</v>
          </cell>
          <cell r="E556" t="b">
            <v>1</v>
          </cell>
          <cell r="F556" t="str">
            <v>ALIINF - Valor {0:G} {1} (limite {3:0.00}) {4} []</v>
          </cell>
          <cell r="G556" t="str">
            <v>Alarme de Tensao 0</v>
          </cell>
          <cell r="H556">
            <v>0</v>
          </cell>
          <cell r="I556">
            <v>0</v>
          </cell>
          <cell r="J556" t="str">
            <v>AnalogLow</v>
          </cell>
          <cell r="K556" t="str">
            <v>Severidade 7</v>
          </cell>
          <cell r="L556" t="str">
            <v>Severidade 16</v>
          </cell>
          <cell r="M556" t="b">
            <v>0</v>
          </cell>
        </row>
        <row r="557">
          <cell r="A557" t="str">
            <v>Inicio de Perturbacao de Frequencia Baixa</v>
          </cell>
          <cell r="B557" t="str"/>
          <cell r="C557" t="str">
            <v>INIPFR</v>
          </cell>
          <cell r="D557" t="str">
            <v>bf350c5d-7d4f-4259-b3d6-86ee7852490a</v>
          </cell>
          <cell r="E557" t="b">
            <v>1</v>
          </cell>
          <cell r="F557" t="str">
            <v>INIPFR - Valor {0:G} {1}  limite = {3:0.00}) {4} []</v>
          </cell>
          <cell r="G557" t="str">
            <v>Inicio de Perturbacao de Frequencia</v>
          </cell>
          <cell r="H557">
            <v>0</v>
          </cell>
          <cell r="I557">
            <v>0</v>
          </cell>
          <cell r="J557" t="str">
            <v>AnalogLow</v>
          </cell>
          <cell r="K557" t="str">
            <v>Severidade 2</v>
          </cell>
          <cell r="L557" t="str">
            <v>Severidade 16</v>
          </cell>
          <cell r="M557" t="b">
            <v>0</v>
          </cell>
        </row>
        <row r="558">
          <cell r="A558" t="str">
            <v>Alarme Automatismo LinhaViva CBRF - Falha</v>
          </cell>
          <cell r="B558" t="str"/>
          <cell r="C558" t="str"/>
          <cell r="D558" t="str">
            <v>CPFL_ERRO_CBRF_BLOQ</v>
          </cell>
          <cell r="E558" t="b">
            <v>1</v>
          </cell>
          <cell r="F558" t="str">
            <v>Erro no bloquear CBRF após Linha Viva</v>
          </cell>
          <cell r="G558" t="str"/>
          <cell r="H558">
            <v>0</v>
          </cell>
          <cell r="I558">
            <v>0</v>
          </cell>
          <cell r="J558" t="str">
            <v>ApplicationAlarm</v>
          </cell>
          <cell r="K558" t="str">
            <v>Severidade 9</v>
          </cell>
          <cell r="L558" t="str">
            <v>Severidade 16</v>
          </cell>
          <cell r="M558" t="b">
            <v>0</v>
          </cell>
        </row>
        <row r="559">
          <cell r="A559" t="str">
            <v>Alarme de Dado em Limite Inferior 2</v>
          </cell>
          <cell r="B559" t="str"/>
          <cell r="C559" t="str">
            <v>ALIINF EMERG</v>
          </cell>
          <cell r="D559" t="str">
            <v>be48ca90-c6b7-41ba-8ee9-c8e438a1d7b9</v>
          </cell>
          <cell r="E559" t="b">
            <v>1</v>
          </cell>
          <cell r="F559" t="str">
            <v>ALIINF EMERG - Valor {0:G} {1} (limite = {3:0.00}) {4} []</v>
          </cell>
          <cell r="G559" t="str">
            <v>Alarme de Dado em Limite Inferior - Nivel 2</v>
          </cell>
          <cell r="H559">
            <v>0</v>
          </cell>
          <cell r="I559">
            <v>0</v>
          </cell>
          <cell r="J559" t="str">
            <v>AnalogLow</v>
          </cell>
          <cell r="K559" t="str">
            <v>Severidade 10</v>
          </cell>
          <cell r="L559" t="str">
            <v>Severidade 16</v>
          </cell>
          <cell r="M559" t="b">
            <v>0</v>
          </cell>
        </row>
        <row r="560">
          <cell r="A560" t="str">
            <v>Alarme de Dado em Limite Inferior 1</v>
          </cell>
          <cell r="B560" t="str"/>
          <cell r="C560" t="str">
            <v>ALIINF OPER</v>
          </cell>
          <cell r="D560" t="str">
            <v>c7ece8f5-c6e7-487b-b037-1203bc485f3a</v>
          </cell>
          <cell r="E560" t="b">
            <v>1</v>
          </cell>
          <cell r="F560" t="str">
            <v>ALIINF OPER - Valor {0:G} {1} (limite = {3:0.00}) {4} []</v>
          </cell>
          <cell r="G560" t="str">
            <v>Alarme de Dado em Limite Inferior - Nivel 1</v>
          </cell>
          <cell r="H560">
            <v>0</v>
          </cell>
          <cell r="I560">
            <v>0</v>
          </cell>
          <cell r="J560" t="str">
            <v>AnalogLow</v>
          </cell>
          <cell r="K560" t="str">
            <v>Severidade 11</v>
          </cell>
          <cell r="L560" t="str">
            <v>Severidade 16</v>
          </cell>
          <cell r="M560" t="b">
            <v>0</v>
          </cell>
        </row>
        <row r="561">
          <cell r="A561" t="str">
            <v>Alarme de Dado em Limite Superior 1</v>
          </cell>
          <cell r="B561" t="str"/>
          <cell r="C561" t="str">
            <v>ALISUP OPER</v>
          </cell>
          <cell r="D561" t="str">
            <v>ff1d090d-cb13-4917-9eb3-e0fa2d86d7c6</v>
          </cell>
          <cell r="E561" t="b">
            <v>1</v>
          </cell>
          <cell r="F561" t="str">
            <v>ALISUP OPER - Valor {0:G} {1} (limite = {3:0.00}) {4} []</v>
          </cell>
          <cell r="G561" t="str">
            <v>Alarme de Dado em Limite Superior - Nivel 1</v>
          </cell>
          <cell r="H561">
            <v>0</v>
          </cell>
          <cell r="I561">
            <v>0</v>
          </cell>
          <cell r="J561" t="str">
            <v>AnalogHigh</v>
          </cell>
          <cell r="K561" t="str">
            <v>Severidade 11</v>
          </cell>
          <cell r="L561" t="str">
            <v>Severidade 16</v>
          </cell>
          <cell r="M561" t="b">
            <v>0</v>
          </cell>
        </row>
        <row r="562">
          <cell r="A562" t="str">
            <v>Alarme de Dado em Limite Superior 2</v>
          </cell>
          <cell r="B562" t="str"/>
          <cell r="C562" t="str">
            <v>ALISUP EMERG</v>
          </cell>
          <cell r="D562" t="str">
            <v>7f78107b-a539-488b-947c-5208b1b636a7</v>
          </cell>
          <cell r="E562" t="b">
            <v>1</v>
          </cell>
          <cell r="F562" t="str">
            <v>ALISUP EMERG - Valor {0:G} {1} (limite = {3:0.00}) {4} []</v>
          </cell>
          <cell r="G562" t="str">
            <v>Alarme de Dado em Limite Superior - Nivel 2</v>
          </cell>
          <cell r="H562">
            <v>0</v>
          </cell>
          <cell r="I562">
            <v>0</v>
          </cell>
          <cell r="J562" t="str">
            <v>AnalogHigh</v>
          </cell>
          <cell r="K562" t="str">
            <v>Severidade 10</v>
          </cell>
          <cell r="L562" t="str">
            <v>Severidade 16</v>
          </cell>
          <cell r="M562" t="b">
            <v>0</v>
          </cell>
        </row>
        <row r="563">
          <cell r="A563" t="str">
            <v>Alarme de Estado em Ponto Telessinalizado SS</v>
          </cell>
          <cell r="B563" t="str"/>
          <cell r="C563" t="str">
            <v>ALESTS SS</v>
          </cell>
          <cell r="D563" t="str">
            <v>67432746-cf34-4050-b437-ce71f5c97687</v>
          </cell>
          <cell r="E563" t="b">
            <v>1</v>
          </cell>
          <cell r="F563" t="str">
            <v>ALESTS - {1} []</v>
          </cell>
          <cell r="G563" t="str">
            <v>Alarme de Estado em Ponto Telessinalizado SS</v>
          </cell>
          <cell r="H563">
            <v>0</v>
          </cell>
          <cell r="I563">
            <v>0</v>
          </cell>
          <cell r="J563" t="str">
            <v>DiscreteState</v>
          </cell>
          <cell r="K563" t="str">
            <v>Severidade 8</v>
          </cell>
          <cell r="L563" t="str">
            <v>Severidade 16</v>
          </cell>
          <cell r="M563" t="b">
            <v>0</v>
          </cell>
        </row>
        <row r="564">
          <cell r="A564" t="str">
            <v>Alarme de Estado em Ponto Telessinalizado SO</v>
          </cell>
          <cell r="B564" t="str"/>
          <cell r="C564" t="str">
            <v>ALESTS SO</v>
          </cell>
          <cell r="D564" t="str">
            <v>824112f7-80f9-44d3-b23f-a5dd759a8089</v>
          </cell>
          <cell r="E564" t="b">
            <v>1</v>
          </cell>
          <cell r="F564" t="str">
            <v>ALESTS - {1} []</v>
          </cell>
          <cell r="G564" t="str">
            <v>Alarme de Estado em Ponto Telessinalizado SO</v>
          </cell>
          <cell r="H564">
            <v>0</v>
          </cell>
          <cell r="I564">
            <v>0</v>
          </cell>
          <cell r="J564" t="str">
            <v>DiscreteState</v>
          </cell>
          <cell r="K564" t="str">
            <v>Severidade 6</v>
          </cell>
          <cell r="L564" t="str">
            <v>Severidade 16</v>
          </cell>
          <cell r="M564" t="b">
            <v>0</v>
          </cell>
        </row>
        <row r="565">
          <cell r="A565" t="str">
            <v>Alarme de Estado em Ponto Telessinalizado SP</v>
          </cell>
          <cell r="B565" t="str"/>
          <cell r="C565" t="str">
            <v>ALESTS SP</v>
          </cell>
          <cell r="D565" t="str">
            <v>9081b1ae-4a23-44c1-9bbf-ede74195045f</v>
          </cell>
          <cell r="E565" t="b">
            <v>1</v>
          </cell>
          <cell r="F565" t="str">
            <v>ALESTS - {1} []</v>
          </cell>
          <cell r="G565" t="str">
            <v>Alarme de Estado em Ponto Telessinalizado SP</v>
          </cell>
          <cell r="H565">
            <v>0</v>
          </cell>
          <cell r="I565">
            <v>0</v>
          </cell>
          <cell r="J565" t="str">
            <v>DiscreteState</v>
          </cell>
          <cell r="K565" t="str">
            <v>Severidade 5</v>
          </cell>
          <cell r="L565" t="str">
            <v>Severidade 16</v>
          </cell>
          <cell r="M565" t="b">
            <v>0</v>
          </cell>
        </row>
        <row r="566">
          <cell r="A566" t="str">
            <v>Alarme de Estado em Ponto Telessinalizado RF</v>
          </cell>
          <cell r="B566" t="str"/>
          <cell r="C566" t="str">
            <v>ALESTS RF</v>
          </cell>
          <cell r="D566" t="str">
            <v>31b53254-7768-412f-aac9-702811c0ac09</v>
          </cell>
          <cell r="E566" t="b">
            <v>1</v>
          </cell>
          <cell r="F566" t="str">
            <v>ALESTS - {1} []</v>
          </cell>
          <cell r="G566" t="str">
            <v>Alarme de Estado em Ponto Telessinalizado RF</v>
          </cell>
          <cell r="H566">
            <v>0</v>
          </cell>
          <cell r="I566">
            <v>0</v>
          </cell>
          <cell r="J566" t="str">
            <v>DiscreteState</v>
          </cell>
          <cell r="K566" t="str">
            <v>Severidade 6</v>
          </cell>
          <cell r="L566" t="str">
            <v>Severidade 16</v>
          </cell>
          <cell r="M566" t="b">
            <v>0</v>
          </cell>
        </row>
        <row r="567">
          <cell r="A567" t="str">
            <v>Alarme de Estado em Ponto Telessinalizado A1</v>
          </cell>
          <cell r="B567" t="str"/>
          <cell r="C567" t="str">
            <v>ALESTS A1</v>
          </cell>
          <cell r="D567" t="str">
            <v>2313204d-54d7-4e4e-af4a-08d383873c34</v>
          </cell>
          <cell r="E567" t="b">
            <v>1</v>
          </cell>
          <cell r="F567" t="str">
            <v>ALESTS - {1} []</v>
          </cell>
          <cell r="G567" t="str">
            <v>Alarme de Estado em Ponto Telessinalizado A1</v>
          </cell>
          <cell r="H567">
            <v>0</v>
          </cell>
          <cell r="I567">
            <v>0</v>
          </cell>
          <cell r="J567" t="str">
            <v>DiscreteState</v>
          </cell>
          <cell r="K567" t="str">
            <v>Severidade 4</v>
          </cell>
          <cell r="L567" t="str">
            <v>Severidade 16</v>
          </cell>
          <cell r="M567" t="b">
            <v>0</v>
          </cell>
        </row>
        <row r="568">
          <cell r="A568" t="str">
            <v>Alarme de Estado em Ponto Telessinalizado SI</v>
          </cell>
          <cell r="B568" t="str"/>
          <cell r="C568" t="str">
            <v>ALESTS SI</v>
          </cell>
          <cell r="D568" t="str">
            <v>8f25ca55-4b1e-4922-9939-22adf675a896</v>
          </cell>
          <cell r="E568" t="b">
            <v>1</v>
          </cell>
          <cell r="F568" t="str">
            <v>ALESTS - {1} []</v>
          </cell>
          <cell r="G568" t="str">
            <v>Alarme de Estado em Ponto Telessinalizado SI</v>
          </cell>
          <cell r="H568">
            <v>0</v>
          </cell>
          <cell r="I568">
            <v>0</v>
          </cell>
          <cell r="J568" t="str">
            <v>DiscreteState</v>
          </cell>
          <cell r="K568" t="str">
            <v>Severidade 3</v>
          </cell>
          <cell r="L568" t="str">
            <v>Severidade 16</v>
          </cell>
          <cell r="M568" t="b">
            <v>0</v>
          </cell>
        </row>
        <row r="569">
          <cell r="A569" t="str">
            <v>Alarme de Estado em Ponto Telessinalizado DA</v>
          </cell>
          <cell r="B569" t="str"/>
          <cell r="C569" t="str">
            <v>ALESTS DA</v>
          </cell>
          <cell r="D569" t="str">
            <v>96f3fdcd-59bd-46f8-a683-01dac5c2be70</v>
          </cell>
          <cell r="E569" t="b">
            <v>1</v>
          </cell>
          <cell r="F569" t="str">
            <v>ALESTS - {1} []</v>
          </cell>
          <cell r="G569" t="str">
            <v>Alarme de Estado em Ponto Telessinalizado DA</v>
          </cell>
          <cell r="H569">
            <v>0</v>
          </cell>
          <cell r="I569">
            <v>0</v>
          </cell>
          <cell r="J569" t="str">
            <v>DiscreteState</v>
          </cell>
          <cell r="K569" t="str">
            <v>Severidade 4</v>
          </cell>
          <cell r="L569" t="str">
            <v>Severidade 16</v>
          </cell>
          <cell r="M569" t="b">
            <v>0</v>
          </cell>
        </row>
        <row r="570">
          <cell r="A570" t="str">
            <v>Alarme de Estado em Ponto Telessinalizado SA</v>
          </cell>
          <cell r="B570" t="str"/>
          <cell r="C570" t="str">
            <v>ALESTS SA</v>
          </cell>
          <cell r="D570" t="str">
            <v>ea37e1f4-2f6f-4890-bff5-f26ef60861bc</v>
          </cell>
          <cell r="E570" t="b">
            <v>1</v>
          </cell>
          <cell r="F570" t="str">
            <v>ALESTS - {1} []</v>
          </cell>
          <cell r="G570" t="str">
            <v>Alarme de Estado em Ponto Telessinalizado SA</v>
          </cell>
          <cell r="H570">
            <v>0</v>
          </cell>
          <cell r="I570">
            <v>0</v>
          </cell>
          <cell r="J570" t="str">
            <v>DiscreteState</v>
          </cell>
          <cell r="K570" t="str">
            <v>Severidade 4</v>
          </cell>
          <cell r="L570" t="str">
            <v>Severidade 16</v>
          </cell>
          <cell r="M570" t="b">
            <v>0</v>
          </cell>
        </row>
        <row r="571">
          <cell r="A571" t="str">
            <v>Alarme de Estado em Ponto Telessinalizado SC</v>
          </cell>
          <cell r="B571" t="str"/>
          <cell r="C571" t="str">
            <v>ALESTS SC</v>
          </cell>
          <cell r="D571" t="str">
            <v>7981699c-55ac-4bce-831b-c2138179015c</v>
          </cell>
          <cell r="E571" t="b">
            <v>1</v>
          </cell>
          <cell r="F571" t="str">
            <v>ALESTS - {1} []</v>
          </cell>
          <cell r="G571" t="str">
            <v>Alarme de Estado em Ponto Telessinalizado SC</v>
          </cell>
          <cell r="H571">
            <v>0</v>
          </cell>
          <cell r="I571">
            <v>0</v>
          </cell>
          <cell r="J571" t="str">
            <v>DiscreteState</v>
          </cell>
          <cell r="K571" t="str">
            <v>Severidade 6</v>
          </cell>
          <cell r="L571" t="str">
            <v>Severidade 16</v>
          </cell>
          <cell r="M571" t="b">
            <v>0</v>
          </cell>
        </row>
        <row r="572">
          <cell r="A572" t="str">
            <v>Alarme de Estado em Ponto Telessinalizado E2</v>
          </cell>
          <cell r="B572" t="str"/>
          <cell r="C572" t="str">
            <v>ALESTS E2</v>
          </cell>
          <cell r="D572" t="str">
            <v>404e68d1-543b-4dfc-9e72-bf1233751a39</v>
          </cell>
          <cell r="E572" t="b">
            <v>1</v>
          </cell>
          <cell r="F572" t="str">
            <v>ALESTS - {1} []</v>
          </cell>
          <cell r="G572" t="str">
            <v>Alarme de Estado em Ponto Telessinalizado E2</v>
          </cell>
          <cell r="H572">
            <v>0</v>
          </cell>
          <cell r="I572">
            <v>0</v>
          </cell>
          <cell r="J572" t="str">
            <v>DiscreteState</v>
          </cell>
          <cell r="K572" t="str">
            <v>Severidade 2</v>
          </cell>
          <cell r="L572" t="str">
            <v>Severidade 16</v>
          </cell>
          <cell r="M572" t="b">
            <v>0</v>
          </cell>
        </row>
        <row r="573">
          <cell r="A573" t="str">
            <v>Alarme de Estado em Ponto Telessinalizado SV</v>
          </cell>
          <cell r="B573" t="str"/>
          <cell r="C573" t="str">
            <v>ALESTS SV</v>
          </cell>
          <cell r="D573" t="str">
            <v>bb22c277-f941-4484-a2c2-db63ea364c46</v>
          </cell>
          <cell r="E573" t="b">
            <v>1</v>
          </cell>
          <cell r="F573" t="str">
            <v>ALESTS - {1} []</v>
          </cell>
          <cell r="G573" t="str">
            <v>Alarme de Estado em Ponto Telessinalizado SV</v>
          </cell>
          <cell r="H573">
            <v>0</v>
          </cell>
          <cell r="I573">
            <v>0</v>
          </cell>
          <cell r="J573" t="str">
            <v>DiscreteState</v>
          </cell>
          <cell r="K573" t="str">
            <v>Severidade 5</v>
          </cell>
          <cell r="L573" t="str">
            <v>Severidade 16</v>
          </cell>
          <cell r="M573" t="b">
            <v>0</v>
          </cell>
        </row>
        <row r="574">
          <cell r="A574" t="str">
            <v>Alarme de Estado em Ponto Telessinalizado ST</v>
          </cell>
          <cell r="B574" t="str"/>
          <cell r="C574" t="str">
            <v>ALESTS ST</v>
          </cell>
          <cell r="D574" t="str">
            <v>fb7977be-43db-49cc-bb6d-30129847e2ec</v>
          </cell>
          <cell r="E574" t="b">
            <v>1</v>
          </cell>
          <cell r="F574" t="str">
            <v>ALESTS - {1} []</v>
          </cell>
          <cell r="G574" t="str">
            <v>Alarme de Estado em Ponto Telessinalizado ST</v>
          </cell>
          <cell r="H574">
            <v>0</v>
          </cell>
          <cell r="I574">
            <v>0</v>
          </cell>
          <cell r="J574" t="str">
            <v>DiscreteState</v>
          </cell>
          <cell r="K574" t="str">
            <v>Severidade 2</v>
          </cell>
          <cell r="L574" t="str">
            <v>Severidade 16</v>
          </cell>
          <cell r="M574" t="b">
            <v>0</v>
          </cell>
        </row>
        <row r="575">
          <cell r="A575" t="str">
            <v>Alarme de Estado em Ponto Telessinalizado SB</v>
          </cell>
          <cell r="B575" t="str"/>
          <cell r="C575" t="str">
            <v>ALESTS SB</v>
          </cell>
          <cell r="D575" t="str">
            <v>1f59c83d-ed50-4c30-b78c-f6a7bf4fc419</v>
          </cell>
          <cell r="E575" t="b">
            <v>1</v>
          </cell>
          <cell r="F575" t="str">
            <v>ALESTS - {1} []</v>
          </cell>
          <cell r="G575" t="str">
            <v>Alarme de Estado em Ponto Telessinalizado SB</v>
          </cell>
          <cell r="H575">
            <v>0</v>
          </cell>
          <cell r="I575">
            <v>0</v>
          </cell>
          <cell r="J575" t="str">
            <v>DiscreteState</v>
          </cell>
          <cell r="K575" t="str">
            <v>Severidade 7</v>
          </cell>
          <cell r="L575" t="str">
            <v>Severidade 16</v>
          </cell>
          <cell r="M575" t="b">
            <v>0</v>
          </cell>
        </row>
        <row r="576">
          <cell r="A576" t="str">
            <v>Alarme de Estado em Ponto Telessinalizado SE</v>
          </cell>
          <cell r="B576" t="str"/>
          <cell r="C576" t="str">
            <v>ALESTS SE</v>
          </cell>
          <cell r="D576" t="str">
            <v>794e0aca-91c1-4104-b9a4-224be9737252</v>
          </cell>
          <cell r="E576" t="b">
            <v>1</v>
          </cell>
          <cell r="F576" t="str">
            <v>ALESTS - {1} []</v>
          </cell>
          <cell r="G576" t="str">
            <v>Alarme de Estado em Ponto Telessinalizado SE</v>
          </cell>
          <cell r="H576">
            <v>0</v>
          </cell>
          <cell r="I576">
            <v>0</v>
          </cell>
          <cell r="J576" t="str">
            <v>DiscreteState</v>
          </cell>
          <cell r="K576" t="str">
            <v>Severidade 2</v>
          </cell>
          <cell r="L576" t="str">
            <v>Severidade 16</v>
          </cell>
          <cell r="M576" t="b">
            <v>0</v>
          </cell>
        </row>
        <row r="577">
          <cell r="A577" t="str">
            <v>Alarme de Estado em Ponto Telecontrolado SS</v>
          </cell>
          <cell r="B577" t="str"/>
          <cell r="C577" t="str">
            <v>ALESTC SS</v>
          </cell>
          <cell r="D577" t="str">
            <v>86dfd195-09a3-4de8-8a16-4e75477b0a6d</v>
          </cell>
          <cell r="E577" t="b">
            <v>1</v>
          </cell>
          <cell r="F577" t="str">
            <v>ALESTC - {1} []</v>
          </cell>
          <cell r="G577" t="str">
            <v>Alarme de Estado em Ponto Telecontrolado SS</v>
          </cell>
          <cell r="H577">
            <v>0</v>
          </cell>
          <cell r="I577">
            <v>0</v>
          </cell>
          <cell r="J577" t="str">
            <v>DiscreteState</v>
          </cell>
          <cell r="K577" t="str">
            <v>Severidade 8</v>
          </cell>
          <cell r="L577" t="str">
            <v>Severidade 16</v>
          </cell>
          <cell r="M577" t="b">
            <v>0</v>
          </cell>
        </row>
        <row r="578">
          <cell r="A578" t="str">
            <v>Alarme de Estado em Ponto Telecontrolado SP</v>
          </cell>
          <cell r="B578" t="str"/>
          <cell r="C578" t="str">
            <v>ALESTC SP</v>
          </cell>
          <cell r="D578" t="str">
            <v>b3adb5e8-b49c-4b31-9bb7-e4da1ee0b8a5</v>
          </cell>
          <cell r="E578" t="b">
            <v>1</v>
          </cell>
          <cell r="F578" t="str">
            <v>ALESTC - {1} []</v>
          </cell>
          <cell r="G578" t="str">
            <v>Alarme de Estado em Ponto Telecontrolado SP</v>
          </cell>
          <cell r="H578">
            <v>0</v>
          </cell>
          <cell r="I578">
            <v>0</v>
          </cell>
          <cell r="J578" t="str">
            <v>DiscreteState</v>
          </cell>
          <cell r="K578" t="str">
            <v>Severidade 5</v>
          </cell>
          <cell r="L578" t="str">
            <v>Severidade 16</v>
          </cell>
          <cell r="M578" t="b">
            <v>0</v>
          </cell>
        </row>
        <row r="579">
          <cell r="A579" t="str">
            <v>Alarme de Estado em Ponto Telecontrolado SC</v>
          </cell>
          <cell r="B579" t="str"/>
          <cell r="C579" t="str">
            <v>ALESTC SC</v>
          </cell>
          <cell r="D579" t="str">
            <v>00b6a6e5-f6f1-43d7-93a4-6e8a0903ed9b</v>
          </cell>
          <cell r="E579" t="b">
            <v>1</v>
          </cell>
          <cell r="F579" t="str">
            <v>ALESTC - {1} []</v>
          </cell>
          <cell r="G579" t="str">
            <v>Alarme de Estado em Ponto Telecontrolado SC</v>
          </cell>
          <cell r="H579">
            <v>0</v>
          </cell>
          <cell r="I579">
            <v>0</v>
          </cell>
          <cell r="J579" t="str">
            <v>DiscreteState</v>
          </cell>
          <cell r="K579" t="str">
            <v>Severidade 6</v>
          </cell>
          <cell r="L579" t="str">
            <v>Severidade 16</v>
          </cell>
          <cell r="M579" t="b">
            <v>0</v>
          </cell>
        </row>
        <row r="580">
          <cell r="A580" t="str">
            <v>Alarme de Estado em Ponto Telecontrolado SV</v>
          </cell>
          <cell r="B580" t="str"/>
          <cell r="C580" t="str">
            <v>ALESTC SV</v>
          </cell>
          <cell r="D580" t="str">
            <v>a0074a11-62cf-49d4-bf2d-845b23e10823</v>
          </cell>
          <cell r="E580" t="b">
            <v>1</v>
          </cell>
          <cell r="F580" t="str">
            <v>ALESTC - {1} []</v>
          </cell>
          <cell r="G580" t="str">
            <v>Alarme de Estado em Ponto Telecontrolado SV</v>
          </cell>
          <cell r="H580">
            <v>0</v>
          </cell>
          <cell r="I580">
            <v>0</v>
          </cell>
          <cell r="J580" t="str">
            <v>DiscreteState</v>
          </cell>
          <cell r="K580" t="str">
            <v>Severidade 5</v>
          </cell>
          <cell r="L580" t="str">
            <v>Severidade 16</v>
          </cell>
          <cell r="M580" t="b">
            <v>0</v>
          </cell>
        </row>
        <row r="581">
          <cell r="A581" t="str">
            <v>Alarme de Estado em Ponto Telecontrolado SO</v>
          </cell>
          <cell r="B581" t="str"/>
          <cell r="C581" t="str">
            <v>ALESTC SO</v>
          </cell>
          <cell r="D581" t="str">
            <v>f61778cb-e93a-4585-a157-96927f8984dd</v>
          </cell>
          <cell r="E581" t="b">
            <v>1</v>
          </cell>
          <cell r="F581" t="str">
            <v>ALESTC - {1} []</v>
          </cell>
          <cell r="G581" t="str">
            <v>Alarme de Estado em Ponto Telecontrolado SO</v>
          </cell>
          <cell r="H581">
            <v>0</v>
          </cell>
          <cell r="I581">
            <v>0</v>
          </cell>
          <cell r="J581" t="str">
            <v>DiscreteState</v>
          </cell>
          <cell r="K581" t="str">
            <v>Severidade 6</v>
          </cell>
          <cell r="L581" t="str">
            <v>Severidade 16</v>
          </cell>
          <cell r="M581" t="b">
            <v>0</v>
          </cell>
        </row>
        <row r="582">
          <cell r="A582" t="str">
            <v>Alarme de Estado em Ponto Telecontrolado E2</v>
          </cell>
          <cell r="B582" t="str"/>
          <cell r="C582" t="str">
            <v>ALESTC E2</v>
          </cell>
          <cell r="D582" t="str">
            <v>6fdea33f-57d7-4cc3-aa7a-71d035814859</v>
          </cell>
          <cell r="E582" t="b">
            <v>1</v>
          </cell>
          <cell r="F582" t="str">
            <v>ALESTC - {1} []</v>
          </cell>
          <cell r="G582" t="str">
            <v>Alarme de Estado em Ponto Telecontrolado E2</v>
          </cell>
          <cell r="H582">
            <v>0</v>
          </cell>
          <cell r="I582">
            <v>0</v>
          </cell>
          <cell r="J582" t="str">
            <v>DiscreteState</v>
          </cell>
          <cell r="K582" t="str">
            <v>Severidade 2</v>
          </cell>
          <cell r="L582" t="str">
            <v>Severidade 16</v>
          </cell>
          <cell r="M582" t="b">
            <v>0</v>
          </cell>
        </row>
        <row r="583">
          <cell r="A583" t="str">
            <v>Alarme de Estado em Ponto Telecontrolado DA</v>
          </cell>
          <cell r="B583" t="str"/>
          <cell r="C583" t="str">
            <v>ALESTC DA</v>
          </cell>
          <cell r="D583" t="str">
            <v>34f67cb3-7989-45a8-83f7-3edfe1d865f2</v>
          </cell>
          <cell r="E583" t="b">
            <v>1</v>
          </cell>
          <cell r="F583" t="str">
            <v>ALESTC - {1} []</v>
          </cell>
          <cell r="G583" t="str">
            <v>Alarme de Estado em Ponto Telecontrolado DA</v>
          </cell>
          <cell r="H583">
            <v>0</v>
          </cell>
          <cell r="I583">
            <v>0</v>
          </cell>
          <cell r="J583" t="str">
            <v>DiscreteState</v>
          </cell>
          <cell r="K583" t="str">
            <v>Severidade 4</v>
          </cell>
          <cell r="L583" t="str">
            <v>Severidade 16</v>
          </cell>
          <cell r="M583" t="b">
            <v>0</v>
          </cell>
        </row>
        <row r="584">
          <cell r="A584" t="str">
            <v>Alarme de Estado em Ponto Telecontrolado SI</v>
          </cell>
          <cell r="B584" t="str"/>
          <cell r="C584" t="str">
            <v>ALESTC SI</v>
          </cell>
          <cell r="D584" t="str">
            <v>feb0b2d5-fbbe-4d6d-a9c4-bfa9c12c831d</v>
          </cell>
          <cell r="E584" t="b">
            <v>1</v>
          </cell>
          <cell r="F584" t="str">
            <v>ALESTC - {1} []</v>
          </cell>
          <cell r="G584" t="str">
            <v>Alarme de Estado em Ponto Telecontrolado SI</v>
          </cell>
          <cell r="H584">
            <v>0</v>
          </cell>
          <cell r="I584">
            <v>0</v>
          </cell>
          <cell r="J584" t="str">
            <v>DiscreteState</v>
          </cell>
          <cell r="K584" t="str">
            <v>Severidade 3</v>
          </cell>
          <cell r="L584" t="str">
            <v>Severidade 16</v>
          </cell>
          <cell r="M584" t="b">
            <v>0</v>
          </cell>
        </row>
        <row r="585">
          <cell r="A585" t="str">
            <v>Alarme de Estado em Ponto Telecontrolado SE</v>
          </cell>
          <cell r="B585" t="str"/>
          <cell r="C585" t="str">
            <v>ALESTC SE</v>
          </cell>
          <cell r="D585" t="str">
            <v>79db9ae6-f5fa-48d7-a106-e844ad4cffd1</v>
          </cell>
          <cell r="E585" t="b">
            <v>1</v>
          </cell>
          <cell r="F585" t="str">
            <v>ALESTC - {1} []</v>
          </cell>
          <cell r="G585" t="str">
            <v>Alarme de Estado em Ponto Telecontrolado SE</v>
          </cell>
          <cell r="H585">
            <v>0</v>
          </cell>
          <cell r="I585">
            <v>0</v>
          </cell>
          <cell r="J585" t="str">
            <v>DiscreteState</v>
          </cell>
          <cell r="K585" t="str">
            <v>Severidade 2</v>
          </cell>
          <cell r="L585" t="str">
            <v>Severidade 16</v>
          </cell>
          <cell r="M585" t="b">
            <v>0</v>
          </cell>
        </row>
        <row r="586">
          <cell r="A586" t="str">
            <v>Alarme de Estado em Ponto Telessinalizado DS</v>
          </cell>
          <cell r="B586" t="str"/>
          <cell r="C586" t="str">
            <v>ALESTS DS</v>
          </cell>
          <cell r="D586" t="str">
            <v>7be06de7-82a6-4130-a866-0e9563f2f684</v>
          </cell>
          <cell r="E586" t="b">
            <v>1</v>
          </cell>
          <cell r="F586" t="str">
            <v>ALESTS - {1} []</v>
          </cell>
          <cell r="G586" t="str">
            <v>Alarme de Estado em Ponto Telessinalizado DS</v>
          </cell>
          <cell r="H586">
            <v>0</v>
          </cell>
          <cell r="I586">
            <v>0</v>
          </cell>
          <cell r="J586" t="str">
            <v>DiscreteState</v>
          </cell>
          <cell r="K586" t="str">
            <v>Severidade 8</v>
          </cell>
          <cell r="L586" t="str">
            <v>Severidade 16</v>
          </cell>
          <cell r="M586" t="b">
            <v>0</v>
          </cell>
        </row>
        <row r="587">
          <cell r="A587" t="str">
            <v>Alarme de Estado em Ponto Telessinalizado DP</v>
          </cell>
          <cell r="B587" t="str"/>
          <cell r="C587" t="str">
            <v>ALESTS DP</v>
          </cell>
          <cell r="D587" t="str">
            <v>83f694dc-0206-4547-bf25-4cf6f0ff4f18</v>
          </cell>
          <cell r="E587" t="b">
            <v>1</v>
          </cell>
          <cell r="F587" t="str">
            <v>ALESTS - {1} []</v>
          </cell>
          <cell r="G587" t="str">
            <v>Alarme de Estado em Ponto Telessinalizado DP</v>
          </cell>
          <cell r="H587">
            <v>0</v>
          </cell>
          <cell r="I587">
            <v>0</v>
          </cell>
          <cell r="J587" t="str">
            <v>DiscreteState</v>
          </cell>
          <cell r="K587" t="str">
            <v>Severidade 5</v>
          </cell>
          <cell r="L587" t="str">
            <v>Severidade 16</v>
          </cell>
          <cell r="M587" t="b">
            <v>0</v>
          </cell>
        </row>
        <row r="588">
          <cell r="A588" t="str">
            <v>Alarme de Estado em Ponto Telessinalizado DB</v>
          </cell>
          <cell r="B588" t="str"/>
          <cell r="C588" t="str">
            <v>ALESTS DB</v>
          </cell>
          <cell r="D588" t="str">
            <v>cc497148-1abe-404a-ad85-dd5be6546bff</v>
          </cell>
          <cell r="E588" t="b">
            <v>1</v>
          </cell>
          <cell r="F588" t="str">
            <v>ALESTS - {1} []</v>
          </cell>
          <cell r="G588" t="str">
            <v>Alarme de Estado em Ponto Telessinalizado DB</v>
          </cell>
          <cell r="H588">
            <v>0</v>
          </cell>
          <cell r="I588">
            <v>0</v>
          </cell>
          <cell r="J588" t="str">
            <v>DiscreteState</v>
          </cell>
          <cell r="K588" t="str">
            <v>Severidade 7</v>
          </cell>
          <cell r="L588" t="str">
            <v>Severidade 16</v>
          </cell>
          <cell r="M588" t="b">
            <v>0</v>
          </cell>
        </row>
        <row r="589">
          <cell r="A589" t="str">
            <v>Alarme de Estado em Ponto Telessinalizado DV</v>
          </cell>
          <cell r="B589" t="str"/>
          <cell r="C589" t="str">
            <v>ALESTS DV</v>
          </cell>
          <cell r="D589" t="str">
            <v>6bb9b9e4-42af-47e2-960a-d133fc5906cf</v>
          </cell>
          <cell r="E589" t="b">
            <v>1</v>
          </cell>
          <cell r="F589" t="str">
            <v>ALESTS - {1} []</v>
          </cell>
          <cell r="G589" t="str">
            <v>Alarme de Estado em Ponto Telessinalizado DV</v>
          </cell>
          <cell r="H589">
            <v>0</v>
          </cell>
          <cell r="I589">
            <v>0</v>
          </cell>
          <cell r="J589" t="str">
            <v>DiscreteState</v>
          </cell>
          <cell r="K589" t="str">
            <v>Severidade 5</v>
          </cell>
          <cell r="L589" t="str">
            <v>Severidade 16</v>
          </cell>
          <cell r="M589" t="b">
            <v>0</v>
          </cell>
        </row>
        <row r="590">
          <cell r="A590" t="str">
            <v>Alarme de Estado em Ponto Telecontrolado DV</v>
          </cell>
          <cell r="B590" t="str"/>
          <cell r="C590" t="str">
            <v>ALESTC DV</v>
          </cell>
          <cell r="D590" t="str">
            <v>d19f4d75-c0eb-4b18-bdb7-d69e389ac2ef</v>
          </cell>
          <cell r="E590" t="b">
            <v>1</v>
          </cell>
          <cell r="F590" t="str">
            <v>ALESTC - {1} []</v>
          </cell>
          <cell r="G590" t="str">
            <v>Alarme de Estado em Ponto Telecontrolado DV</v>
          </cell>
          <cell r="H590">
            <v>0</v>
          </cell>
          <cell r="I590">
            <v>0</v>
          </cell>
          <cell r="J590" t="str">
            <v>DiscreteState</v>
          </cell>
          <cell r="K590" t="str">
            <v>Severidade 5</v>
          </cell>
          <cell r="L590" t="str">
            <v>Severidade 16</v>
          </cell>
          <cell r="M590" t="b">
            <v>0</v>
          </cell>
        </row>
        <row r="591">
          <cell r="A591" t="str">
            <v>Alarme de Estado em Ponto Telecontrolado DB</v>
          </cell>
          <cell r="B591" t="str"/>
          <cell r="C591" t="str">
            <v>ALESTC DB</v>
          </cell>
          <cell r="D591" t="str">
            <v>4b46e25f-80ad-4e5d-b800-a35ca24e45e9</v>
          </cell>
          <cell r="E591" t="b">
            <v>1</v>
          </cell>
          <cell r="F591" t="str">
            <v>ALESTC - {1} []</v>
          </cell>
          <cell r="G591" t="str">
            <v>Alarme de Estado em Ponto Telecontrolado DB</v>
          </cell>
          <cell r="H591">
            <v>0</v>
          </cell>
          <cell r="I591">
            <v>0</v>
          </cell>
          <cell r="J591" t="str">
            <v>DiscreteState</v>
          </cell>
          <cell r="K591" t="str">
            <v>Severidade 7</v>
          </cell>
          <cell r="L591" t="str">
            <v>Severidade 16</v>
          </cell>
          <cell r="M591" t="b">
            <v>0</v>
          </cell>
        </row>
        <row r="592">
          <cell r="A592" t="str">
            <v>Alarme de Estado em Ponto Telecontrolado DS</v>
          </cell>
          <cell r="B592" t="str"/>
          <cell r="C592" t="str">
            <v>ALESTC DS</v>
          </cell>
          <cell r="D592" t="str">
            <v>b4cf3c21-bfab-4be1-88dd-38915affee9e</v>
          </cell>
          <cell r="E592" t="b">
            <v>1</v>
          </cell>
          <cell r="F592" t="str">
            <v>ALESTC - {1} []</v>
          </cell>
          <cell r="G592" t="str">
            <v>Alarme de Estado em Ponto Telecontrolado DS</v>
          </cell>
          <cell r="H592">
            <v>0</v>
          </cell>
          <cell r="I592">
            <v>0</v>
          </cell>
          <cell r="J592" t="str">
            <v>DiscreteState</v>
          </cell>
          <cell r="K592" t="str">
            <v>Severidade 8</v>
          </cell>
          <cell r="L592" t="str">
            <v>Severidade 16</v>
          </cell>
          <cell r="M592" t="b">
            <v>0</v>
          </cell>
        </row>
        <row r="593">
          <cell r="A593" t="str">
            <v>Alarme de Estado em Ponto Telecontrolado SA</v>
          </cell>
          <cell r="B593" t="str"/>
          <cell r="C593" t="str">
            <v>ALESTC SA</v>
          </cell>
          <cell r="D593" t="str">
            <v>ca6bf4fd-884a-4c87-a290-9f6e0c688ba8</v>
          </cell>
          <cell r="E593" t="b">
            <v>1</v>
          </cell>
          <cell r="F593" t="str">
            <v>ALESTC - {1} []</v>
          </cell>
          <cell r="G593" t="str">
            <v>Alarme de Estado em Ponto Telecontrolado SA</v>
          </cell>
          <cell r="H593">
            <v>0</v>
          </cell>
          <cell r="I593">
            <v>0</v>
          </cell>
          <cell r="J593" t="str">
            <v>DiscreteState</v>
          </cell>
          <cell r="K593" t="str">
            <v>Severidade 4</v>
          </cell>
          <cell r="L593" t="str">
            <v>Severidade 16</v>
          </cell>
          <cell r="M593" t="b">
            <v>0</v>
          </cell>
        </row>
        <row r="594">
          <cell r="A594" t="str">
            <v>Alarme de Dado MUST em Limite Superior 2</v>
          </cell>
          <cell r="B594" t="str"/>
          <cell r="C594" t="str">
            <v>ALISUP CONTR MUST</v>
          </cell>
          <cell r="D594" t="str">
            <v>445d5091-ecda-46b3-8bd1-ef4d645ac47f</v>
          </cell>
          <cell r="E594" t="b">
            <v>1</v>
          </cell>
          <cell r="F594" t="str">
            <v>ALISUP CONTR 100% MUST - Valor {0:G} {1} (limite = {3:0.00}) {4} []</v>
          </cell>
          <cell r="G594" t="str">
            <v>Alarme de Dado MUST em Limite Superior - Nivel 2</v>
          </cell>
          <cell r="H594">
            <v>0</v>
          </cell>
          <cell r="I594">
            <v>0</v>
          </cell>
          <cell r="J594" t="str">
            <v>AnalogHigh</v>
          </cell>
          <cell r="K594" t="str">
            <v>Severidade 1</v>
          </cell>
          <cell r="L594" t="str">
            <v>Severidade 16</v>
          </cell>
          <cell r="M594" t="b">
            <v>0</v>
          </cell>
        </row>
        <row r="595">
          <cell r="A595" t="str">
            <v>Alarme de Dado MUST em Limite Superior 1</v>
          </cell>
          <cell r="B595" t="str"/>
          <cell r="C595" t="str">
            <v>ALISUP OPER MUST</v>
          </cell>
          <cell r="D595" t="str">
            <v>c91e0782-8368-4d77-b7fb-0f9154e60370</v>
          </cell>
          <cell r="E595" t="b">
            <v>1</v>
          </cell>
          <cell r="F595" t="str">
            <v>ALISUP OPER 95% MUST - Valor {0:G} {1} (limite = {3:0.00}) {4} []</v>
          </cell>
          <cell r="G595" t="str">
            <v>Alarme de Dado MUST em Limite Superior - Nivel 1</v>
          </cell>
          <cell r="H595">
            <v>0</v>
          </cell>
          <cell r="I595">
            <v>0</v>
          </cell>
          <cell r="J595" t="str">
            <v>AnalogHigh</v>
          </cell>
          <cell r="K595" t="str">
            <v>Severidade 12</v>
          </cell>
          <cell r="L595" t="str">
            <v>Severidade 16</v>
          </cell>
          <cell r="M595" t="b">
            <v>0</v>
          </cell>
        </row>
        <row r="596">
          <cell r="A596" t="str">
            <v>Alarme de Estado em Ponto Telecontrolado SB</v>
          </cell>
          <cell r="B596" t="str"/>
          <cell r="C596" t="str">
            <v>ALESTC SB</v>
          </cell>
          <cell r="D596" t="str">
            <v>15b5436b-1104-4f6c-869f-89d45219c9c3</v>
          </cell>
          <cell r="E596" t="b">
            <v>1</v>
          </cell>
          <cell r="F596" t="str">
            <v>ALESTC - {1} []</v>
          </cell>
          <cell r="G596" t="str">
            <v>Alarme de Estado em Ponto Telecontrolado SB</v>
          </cell>
          <cell r="H596">
            <v>0</v>
          </cell>
          <cell r="I596">
            <v>0</v>
          </cell>
          <cell r="J596" t="str">
            <v>DiscreteState</v>
          </cell>
          <cell r="K596" t="str">
            <v>Severidade 7</v>
          </cell>
          <cell r="L596" t="str">
            <v>Severidade 16</v>
          </cell>
          <cell r="M596" t="b">
            <v>0</v>
          </cell>
        </row>
        <row r="597">
          <cell r="A597" t="str">
            <v>Alarme de Estado em Ponto Telecontrolado ST</v>
          </cell>
          <cell r="B597" t="str"/>
          <cell r="C597" t="str">
            <v>ALESTC ST</v>
          </cell>
          <cell r="D597" t="str">
            <v>39d05f92-bbdd-4361-a570-6b5ba1ba0859</v>
          </cell>
          <cell r="E597" t="b">
            <v>1</v>
          </cell>
          <cell r="F597" t="str">
            <v>ALESTC - {1} []</v>
          </cell>
          <cell r="G597" t="str">
            <v>Alarme de Estado em Ponto Telecontrolado ST</v>
          </cell>
          <cell r="H597">
            <v>0</v>
          </cell>
          <cell r="I597">
            <v>0</v>
          </cell>
          <cell r="J597" t="str">
            <v>DiscreteState</v>
          </cell>
          <cell r="K597" t="str">
            <v>Severidade 9</v>
          </cell>
          <cell r="L597" t="str">
            <v>Severidade 16</v>
          </cell>
          <cell r="M597" t="b">
            <v>0</v>
          </cell>
        </row>
        <row r="598">
          <cell r="A598" t="str">
            <v>Alarme de Dado MUST em Limite Superior 3</v>
          </cell>
          <cell r="B598" t="str"/>
          <cell r="C598" t="str">
            <v>ALISUP EMERG MUST</v>
          </cell>
          <cell r="D598" t="str">
            <v>465cccf5-3056-426e-9875-e6bcd3cbcecc</v>
          </cell>
          <cell r="E598" t="b">
            <v>1</v>
          </cell>
          <cell r="F598" t="str">
            <v>ALISUP EMERG 105% MUST - Valor {0:G} {1} (limite = {3:0.00}) {4} []</v>
          </cell>
          <cell r="G598" t="str">
            <v>Alarme de Dado MUST em Limite Superior - Nivel 3</v>
          </cell>
          <cell r="H598">
            <v>0</v>
          </cell>
          <cell r="I598">
            <v>0</v>
          </cell>
          <cell r="J598" t="str">
            <v>AnalogHigh</v>
          </cell>
          <cell r="K598" t="str">
            <v>Severidade 1</v>
          </cell>
          <cell r="L598" t="str">
            <v>Severidade 16</v>
          </cell>
          <cell r="M598" t="b">
            <v>0</v>
          </cell>
        </row>
        <row r="599">
          <cell r="A599" t="str">
            <v>Alarme de Estado em Ponto Telessinalizado SVx</v>
          </cell>
          <cell r="B599" t="str"/>
          <cell r="C599" t="str">
            <v>ALESTS SV</v>
          </cell>
          <cell r="D599" t="str">
            <v>37085a93-27fd-4468-814d-13d36eda3a35</v>
          </cell>
          <cell r="E599" t="b">
            <v>0</v>
          </cell>
          <cell r="F599" t="str">
            <v>ALESTS - {1} []</v>
          </cell>
          <cell r="G599" t="str">
            <v>Alarme de Estado em Ponto Telessinalizado SV</v>
          </cell>
          <cell r="H599">
            <v>0</v>
          </cell>
          <cell r="I599">
            <v>0</v>
          </cell>
          <cell r="J599" t="str">
            <v>DiscreteState</v>
          </cell>
          <cell r="K599" t="str">
            <v>Severidade 5</v>
          </cell>
          <cell r="L599" t="str">
            <v>Severidade 16</v>
          </cell>
          <cell r="M599" t="b">
            <v>0</v>
          </cell>
        </row>
        <row r="600">
          <cell r="A600" t="str">
            <v>Alarme de Estado em Ponto Telessinalizado SSx</v>
          </cell>
          <cell r="B600" t="str"/>
          <cell r="C600" t="str">
            <v>ALESTS SS</v>
          </cell>
          <cell r="D600" t="str">
            <v>e57db6ad-0c6c-49c4-9354-c574d685728c</v>
          </cell>
          <cell r="E600" t="b">
            <v>0</v>
          </cell>
          <cell r="F600" t="str">
            <v>ALESTS - {1} []</v>
          </cell>
          <cell r="G600" t="str">
            <v>Alarme de Estado em Ponto Telessinalizado SS</v>
          </cell>
          <cell r="H600">
            <v>0</v>
          </cell>
          <cell r="I600">
            <v>0</v>
          </cell>
          <cell r="J600" t="str">
            <v>DiscreteState</v>
          </cell>
          <cell r="K600" t="str">
            <v>Severidade 8</v>
          </cell>
          <cell r="L600" t="str">
            <v>Severidade 16</v>
          </cell>
          <cell r="M600" t="b">
            <v>0</v>
          </cell>
        </row>
        <row r="601">
          <cell r="A601" t="str">
            <v>Alarme de Estado em Ponto Telessinalizado DSx</v>
          </cell>
          <cell r="B601" t="str"/>
          <cell r="C601" t="str">
            <v>ALESTS DS</v>
          </cell>
          <cell r="D601" t="str">
            <v>c9e47f5a-8cdc-4839-98e3-11f4b6504237</v>
          </cell>
          <cell r="E601" t="b">
            <v>0</v>
          </cell>
          <cell r="F601" t="str">
            <v>ALESTS - {1} []</v>
          </cell>
          <cell r="G601" t="str">
            <v>Alarme de Estado em Ponto Telessinalizado DS</v>
          </cell>
          <cell r="H601">
            <v>0</v>
          </cell>
          <cell r="I601">
            <v>0</v>
          </cell>
          <cell r="J601" t="str">
            <v>DiscreteState</v>
          </cell>
          <cell r="K601" t="str">
            <v>Severidade 8</v>
          </cell>
          <cell r="L601" t="str">
            <v>Severidade 16</v>
          </cell>
          <cell r="M601" t="b">
            <v>0</v>
          </cell>
        </row>
        <row r="602">
          <cell r="A602" t="str">
            <v>Alarme de Estado em Ponto Telessinalizado DAx</v>
          </cell>
          <cell r="B602" t="str"/>
          <cell r="C602" t="str">
            <v>ALESTS DA</v>
          </cell>
          <cell r="D602" t="str">
            <v>cca2ecec-b9d0-472f-8a1b-4abe2bfbe4d9</v>
          </cell>
          <cell r="E602" t="b">
            <v>0</v>
          </cell>
          <cell r="F602" t="str">
            <v>ALESTS - {1} []</v>
          </cell>
          <cell r="G602" t="str">
            <v>Alarme de Estado em Ponto Telessinalizado DA</v>
          </cell>
          <cell r="H602">
            <v>0</v>
          </cell>
          <cell r="I602">
            <v>0</v>
          </cell>
          <cell r="J602" t="str">
            <v>DiscreteState</v>
          </cell>
          <cell r="K602" t="str">
            <v>Severidade 4</v>
          </cell>
          <cell r="L602" t="str">
            <v>Severidade 16</v>
          </cell>
          <cell r="M602" t="b">
            <v>0</v>
          </cell>
        </row>
        <row r="603">
          <cell r="A603" t="str">
            <v>Alarme de Estado em Ponto Telessinalizado DPx</v>
          </cell>
          <cell r="B603" t="str"/>
          <cell r="C603" t="str">
            <v>ALESTS DP</v>
          </cell>
          <cell r="D603" t="str">
            <v>1c4b42d2-09ff-492e-80c3-e8dd85aeaab6</v>
          </cell>
          <cell r="E603" t="b">
            <v>0</v>
          </cell>
          <cell r="F603" t="str">
            <v>ALESTS - {1} []</v>
          </cell>
          <cell r="G603" t="str">
            <v>Alarme de Estado em Ponto Telessinalizado DP</v>
          </cell>
          <cell r="H603">
            <v>0</v>
          </cell>
          <cell r="I603">
            <v>0</v>
          </cell>
          <cell r="J603" t="str">
            <v>DiscreteState</v>
          </cell>
          <cell r="K603" t="str">
            <v>Severidade 5</v>
          </cell>
          <cell r="L603" t="str">
            <v>Severidade 16</v>
          </cell>
          <cell r="M603" t="b">
            <v>0</v>
          </cell>
        </row>
        <row r="604">
          <cell r="A604" t="str">
            <v>Alarme de Estado em Ponto Telecontrolado SSx</v>
          </cell>
          <cell r="B604" t="str"/>
          <cell r="C604" t="str">
            <v>ALESTC SS</v>
          </cell>
          <cell r="D604" t="str">
            <v>b484d658-c2aa-4165-b2f2-6257c7257da9</v>
          </cell>
          <cell r="E604" t="b">
            <v>0</v>
          </cell>
          <cell r="F604" t="str">
            <v>ALESTC - {1} []</v>
          </cell>
          <cell r="G604" t="str">
            <v>Alarme de Estado em Ponto Telecontrolado SS</v>
          </cell>
          <cell r="H604">
            <v>0</v>
          </cell>
          <cell r="I604">
            <v>0</v>
          </cell>
          <cell r="J604" t="str">
            <v>DiscreteState</v>
          </cell>
          <cell r="K604" t="str">
            <v>Severidade 8</v>
          </cell>
          <cell r="L604" t="str">
            <v>Severidade 16</v>
          </cell>
          <cell r="M604" t="b">
            <v>0</v>
          </cell>
        </row>
        <row r="605">
          <cell r="A605" t="str">
            <v>Alarme de Estado em Ponto Telessinalizado DVx</v>
          </cell>
          <cell r="B605" t="str"/>
          <cell r="C605" t="str">
            <v>ALESTS DV</v>
          </cell>
          <cell r="D605" t="str">
            <v>7ac3d0c1-3222-4a31-9178-efd295c60d8e</v>
          </cell>
          <cell r="E605" t="b">
            <v>0</v>
          </cell>
          <cell r="F605" t="str">
            <v>ALESTS - {1} []</v>
          </cell>
          <cell r="G605" t="str">
            <v>Alarme de Estado em Ponto Telessinalizado DV</v>
          </cell>
          <cell r="H605">
            <v>0</v>
          </cell>
          <cell r="I605">
            <v>0</v>
          </cell>
          <cell r="J605" t="str">
            <v>DiscreteState</v>
          </cell>
          <cell r="K605" t="str">
            <v>Severidade 5</v>
          </cell>
          <cell r="L605" t="str">
            <v>Severidade 16</v>
          </cell>
          <cell r="M605" t="b">
            <v>0</v>
          </cell>
        </row>
        <row r="606">
          <cell r="A606" t="str">
            <v>Alarme de Estado em Ponto Telecontrolado DSx</v>
          </cell>
          <cell r="B606" t="str"/>
          <cell r="C606" t="str">
            <v>ALESTC DS</v>
          </cell>
          <cell r="D606" t="str">
            <v>1a4307ff-db1a-469f-9a76-8948b4aa0f40</v>
          </cell>
          <cell r="E606" t="b">
            <v>0</v>
          </cell>
          <cell r="F606" t="str">
            <v>ALESTC - {1} []</v>
          </cell>
          <cell r="G606" t="str">
            <v>Alarme de Estado em Ponto Telecontrolado DS</v>
          </cell>
          <cell r="H606">
            <v>0</v>
          </cell>
          <cell r="I606">
            <v>0</v>
          </cell>
          <cell r="J606" t="str">
            <v>DiscreteState</v>
          </cell>
          <cell r="K606" t="str">
            <v>Severidade 8</v>
          </cell>
          <cell r="L606" t="str">
            <v>Severidade 16</v>
          </cell>
          <cell r="M606" t="b">
            <v>0</v>
          </cell>
        </row>
        <row r="607">
          <cell r="A607" t="str">
            <v>Alarme de Estado em Ponto Telessinalizado DBx</v>
          </cell>
          <cell r="B607" t="str"/>
          <cell r="C607" t="str">
            <v>ALESTS DB</v>
          </cell>
          <cell r="D607" t="str">
            <v>5658916c-478d-4b52-950b-ceca185544ce</v>
          </cell>
          <cell r="E607" t="b">
            <v>0</v>
          </cell>
          <cell r="F607" t="str">
            <v>ALESTS - {1} []</v>
          </cell>
          <cell r="G607" t="str">
            <v>Alarme de Estado em Ponto Telessinalizado DB</v>
          </cell>
          <cell r="H607">
            <v>0</v>
          </cell>
          <cell r="I607">
            <v>0</v>
          </cell>
          <cell r="J607" t="str">
            <v>DiscreteState</v>
          </cell>
          <cell r="K607" t="str">
            <v>Severidade 7</v>
          </cell>
          <cell r="L607" t="str">
            <v>Severidade 16</v>
          </cell>
          <cell r="M607" t="b">
            <v>0</v>
          </cell>
        </row>
        <row r="608">
          <cell r="A608" t="str">
            <v>Alarme de Estado em Ponto Telessinalizado SBx</v>
          </cell>
          <cell r="B608" t="str"/>
          <cell r="C608" t="str">
            <v>ALESTS SB</v>
          </cell>
          <cell r="D608" t="str">
            <v>74952f44-9ac5-43e3-8c99-462f63f1dfb8</v>
          </cell>
          <cell r="E608" t="b">
            <v>0</v>
          </cell>
          <cell r="F608" t="str">
            <v>ALESTS - {1} []</v>
          </cell>
          <cell r="G608" t="str">
            <v>Alarme de Estado em Ponto Telessinalizado SB</v>
          </cell>
          <cell r="H608">
            <v>0</v>
          </cell>
          <cell r="I608">
            <v>0</v>
          </cell>
          <cell r="J608" t="str">
            <v>DiscreteState</v>
          </cell>
          <cell r="K608" t="str">
            <v>Severidade 7</v>
          </cell>
          <cell r="L608" t="str">
            <v>Severidade 16</v>
          </cell>
          <cell r="M608" t="b">
            <v>0</v>
          </cell>
        </row>
        <row r="609">
          <cell r="A609" t="str">
            <v>Alarme de Estado em Ponto Telecontrolado DVx</v>
          </cell>
          <cell r="B609" t="str"/>
          <cell r="C609" t="str">
            <v>ALESTC DV</v>
          </cell>
          <cell r="D609" t="str">
            <v>ec5d9916-6467-4058-9f2f-72bdc925e340</v>
          </cell>
          <cell r="E609" t="b">
            <v>1</v>
          </cell>
          <cell r="F609" t="str">
            <v>ALESTC - {1} []</v>
          </cell>
          <cell r="G609" t="str">
            <v>Alarme de Estado em Ponto Telecontrolado DV</v>
          </cell>
          <cell r="H609">
            <v>0</v>
          </cell>
          <cell r="I609">
            <v>0</v>
          </cell>
          <cell r="J609" t="str">
            <v>DiscreteState</v>
          </cell>
          <cell r="K609" t="str">
            <v>Severidade 5</v>
          </cell>
          <cell r="L609" t="str">
            <v>Severidade 16</v>
          </cell>
          <cell r="M609" t="b">
            <v>0</v>
          </cell>
        </row>
        <row r="610">
          <cell r="A610" t="str">
            <v>Alarme de Estado em Ponto Telecontrolado SVx</v>
          </cell>
          <cell r="B610" t="str"/>
          <cell r="C610" t="str">
            <v>ALESTC SV</v>
          </cell>
          <cell r="D610" t="str">
            <v>8cffdd80-4ae3-48ed-bbfd-944e1da5ba63</v>
          </cell>
          <cell r="E610" t="b">
            <v>0</v>
          </cell>
          <cell r="F610" t="str">
            <v>ALESTC - {1} []</v>
          </cell>
          <cell r="G610" t="str">
            <v>Alarme de Estado em Ponto Telecontrolado SV</v>
          </cell>
          <cell r="H610">
            <v>0</v>
          </cell>
          <cell r="I610">
            <v>0</v>
          </cell>
          <cell r="J610" t="str">
            <v>DiscreteState</v>
          </cell>
          <cell r="K610" t="str">
            <v>Severidade 5</v>
          </cell>
          <cell r="L610" t="str">
            <v>Severidade 16</v>
          </cell>
          <cell r="M610" t="b">
            <v>0</v>
          </cell>
        </row>
        <row r="611">
          <cell r="A611" t="str">
            <v>Alarme de Estado em Ponto Telessinalizado SAx</v>
          </cell>
          <cell r="B611" t="str"/>
          <cell r="C611" t="str">
            <v>ALESTS SA</v>
          </cell>
          <cell r="D611" t="str">
            <v>dc0ee08d-d0bb-4550-895f-32c41b50b49f</v>
          </cell>
          <cell r="E611" t="b">
            <v>0</v>
          </cell>
          <cell r="F611" t="str">
            <v>ALESTS - {1} []</v>
          </cell>
          <cell r="G611" t="str">
            <v>Alarme de Estado em Ponto Telessinalizado SA</v>
          </cell>
          <cell r="H611">
            <v>0</v>
          </cell>
          <cell r="I611">
            <v>0</v>
          </cell>
          <cell r="J611" t="str">
            <v>DiscreteState</v>
          </cell>
          <cell r="K611" t="str">
            <v>Severidade 4</v>
          </cell>
          <cell r="L611" t="str">
            <v>Severidade 16</v>
          </cell>
          <cell r="M611" t="b">
            <v>0</v>
          </cell>
        </row>
        <row r="612">
          <cell r="A612" t="str">
            <v>Alarme de Estado em Ponto Telecontrolado SAx</v>
          </cell>
          <cell r="B612" t="str"/>
          <cell r="C612" t="str">
            <v>ALESTC SA</v>
          </cell>
          <cell r="D612" t="str">
            <v>ebe8da59-1e94-4a70-bd4c-7d5c96cd9cb0</v>
          </cell>
          <cell r="E612" t="b">
            <v>0</v>
          </cell>
          <cell r="F612" t="str">
            <v>ALESTC - {1} []</v>
          </cell>
          <cell r="G612" t="str">
            <v>Alarme de Estado em Ponto Telecontrolado SA</v>
          </cell>
          <cell r="H612">
            <v>0</v>
          </cell>
          <cell r="I612">
            <v>0</v>
          </cell>
          <cell r="J612" t="str">
            <v>DiscreteState</v>
          </cell>
          <cell r="K612" t="str">
            <v>Severidade 4</v>
          </cell>
          <cell r="L612" t="str">
            <v>Severidade 16</v>
          </cell>
          <cell r="M612" t="b">
            <v>0</v>
          </cell>
        </row>
        <row r="613">
          <cell r="A613" t="str">
            <v>Alarme de Estado em Ponto Telessinalizado SB Temporizado</v>
          </cell>
          <cell r="B613" t="str"/>
          <cell r="C613" t="str">
            <v>ALESTS SB Temporizado</v>
          </cell>
          <cell r="D613" t="str">
            <v>25f438c3-fe49-4b9e-a52f-39ee48ce83cf</v>
          </cell>
          <cell r="E613" t="b">
            <v>1</v>
          </cell>
          <cell r="F613" t="str">
            <v>ALESTS - {1} []</v>
          </cell>
          <cell r="G613" t="str">
            <v>Alarme de Estado em Ponto Telessinalizado SB Temporizado 180s</v>
          </cell>
          <cell r="H613">
            <v>180</v>
          </cell>
          <cell r="I613">
            <v>0</v>
          </cell>
          <cell r="J613" t="str">
            <v>DiscreteState</v>
          </cell>
          <cell r="K613" t="str">
            <v>Severidade 7</v>
          </cell>
          <cell r="L613" t="str">
            <v>Severidade 16</v>
          </cell>
          <cell r="M613" t="b">
            <v>0</v>
          </cell>
        </row>
        <row r="614">
          <cell r="A614" t="str">
            <v>Alarme de Dado Capacitivo</v>
          </cell>
          <cell r="B614" t="str"/>
          <cell r="C614" t="str">
            <v>ALIFP Capacitivo</v>
          </cell>
          <cell r="D614" t="str">
            <v>734748b6-3af9-43a8-b070-90966fa8f787</v>
          </cell>
          <cell r="E614" t="b">
            <v>1</v>
          </cell>
          <cell r="F614" t="str">
            <v>ALIFP Capacitivo - Valor {0:G} {1} (limite = {3:0.00}) {4} []</v>
          </cell>
          <cell r="G614" t="str">
            <v>Alarme de Dado FP em Limite Inferior</v>
          </cell>
          <cell r="H614">
            <v>0</v>
          </cell>
          <cell r="I614">
            <v>0</v>
          </cell>
          <cell r="J614" t="str">
            <v>AnalogLow</v>
          </cell>
          <cell r="K614" t="str">
            <v>Severidade 12</v>
          </cell>
          <cell r="L614" t="str">
            <v>Severidade 16</v>
          </cell>
          <cell r="M614" t="b">
            <v>0</v>
          </cell>
        </row>
        <row r="615">
          <cell r="A615" t="str">
            <v>Alarme de Dado FP Limite Inferior</v>
          </cell>
          <cell r="B615" t="str"/>
          <cell r="C615" t="str">
            <v>ALIFP</v>
          </cell>
          <cell r="D615" t="str">
            <v>75feac45-3c1e-4827-8998-6e8be8a2be0f</v>
          </cell>
          <cell r="E615" t="b">
            <v>1</v>
          </cell>
          <cell r="F615" t="str">
            <v>ALIFP - Valor {0:G} {1} (limite = {3:0.00}) {4} []</v>
          </cell>
          <cell r="G615" t="str">
            <v>Alarme de Dado FP em Limite Inferior</v>
          </cell>
          <cell r="H615">
            <v>0</v>
          </cell>
          <cell r="I615">
            <v>0</v>
          </cell>
          <cell r="J615" t="str">
            <v>AnalogLow</v>
          </cell>
          <cell r="K615" t="str">
            <v>Severidade 12</v>
          </cell>
          <cell r="L615" t="str">
            <v>Severidade 16</v>
          </cell>
          <cell r="M615" t="b">
            <v>0</v>
          </cell>
        </row>
        <row r="616">
          <cell r="A616" t="str">
            <v>Alarme de Estado em Ponto Telessinalizado SEV1</v>
          </cell>
          <cell r="B616" t="str"/>
          <cell r="C616" t="str">
            <v>ALESTS SEV1</v>
          </cell>
          <cell r="D616" t="str">
            <v>e8e55ccd-e763-4754-8e87-ef0dc0016da7</v>
          </cell>
          <cell r="E616" t="b">
            <v>1</v>
          </cell>
          <cell r="F616" t="str">
            <v>ALESTS - {1} []</v>
          </cell>
          <cell r="G616" t="str">
            <v>Alarme de Estado em Ponto Telessinalizado SEV1</v>
          </cell>
          <cell r="H616">
            <v>0</v>
          </cell>
          <cell r="I616">
            <v>0</v>
          </cell>
          <cell r="J616" t="str">
            <v>DiscreteState</v>
          </cell>
          <cell r="K616" t="str">
            <v>Severidade 1</v>
          </cell>
          <cell r="L616" t="str">
            <v>Severidade 16</v>
          </cell>
          <cell r="M616" t="b">
            <v>0</v>
          </cell>
        </row>
        <row r="617">
          <cell r="A617" t="str">
            <v>Alarme de Potencia em Limite Superior 2</v>
          </cell>
          <cell r="B617" t="str"/>
          <cell r="C617" t="str">
            <v>ALISUP EMERG</v>
          </cell>
          <cell r="D617" t="str">
            <v>f8ab3652-7f82-47b3-ba4c-29bacdbfc524</v>
          </cell>
          <cell r="E617" t="b">
            <v>1</v>
          </cell>
          <cell r="F617" t="str">
            <v>ALISUP EMERG - Valor {0:G} {1} (limite = {3:0.00}) {4} []</v>
          </cell>
          <cell r="G617" t="str">
            <v>Alarme de Dado em Limite Superior - Nivel 2</v>
          </cell>
          <cell r="H617">
            <v>0</v>
          </cell>
          <cell r="I617">
            <v>0</v>
          </cell>
          <cell r="J617" t="str">
            <v>AnalogHigh</v>
          </cell>
          <cell r="K617" t="str">
            <v>Severidade 13</v>
          </cell>
          <cell r="L617" t="str">
            <v>Severidade 16</v>
          </cell>
          <cell r="M617" t="b">
            <v>0</v>
          </cell>
        </row>
        <row r="618">
          <cell r="A618" t="str">
            <v>Alarme de Potencia em Limite Superior 1</v>
          </cell>
          <cell r="B618" t="str"/>
          <cell r="C618" t="str">
            <v>ALISUP OPER</v>
          </cell>
          <cell r="D618" t="str">
            <v>802effc2-d0ff-4a69-84ad-80b996f78470</v>
          </cell>
          <cell r="E618" t="b">
            <v>1</v>
          </cell>
          <cell r="F618" t="str">
            <v>ALISUP OPER - Valor {0:G} {1} (limite = {3:0.00}) {4} []</v>
          </cell>
          <cell r="G618" t="str">
            <v>Alarme de Dado em Limite Superior - Nivel 1</v>
          </cell>
          <cell r="H618">
            <v>0</v>
          </cell>
          <cell r="I618">
            <v>0</v>
          </cell>
          <cell r="J618" t="str">
            <v>AnalogHigh</v>
          </cell>
          <cell r="K618" t="str">
            <v>Severidade 13</v>
          </cell>
          <cell r="L618" t="str">
            <v>Severidade 16</v>
          </cell>
          <cell r="M618" t="b">
            <v>0</v>
          </cell>
        </row>
        <row r="619">
          <cell r="A619" t="str">
            <v>Alarme de Dado em Limite Inferior Tensão</v>
          </cell>
          <cell r="B619" t="str"/>
          <cell r="C619" t="str">
            <v>ALIINF V</v>
          </cell>
          <cell r="D619" t="str">
            <v>53b4bf92-6398-46a6-b5d7-0caa92e4e2f8</v>
          </cell>
          <cell r="E619" t="b">
            <v>1</v>
          </cell>
          <cell r="F619" t="str">
            <v>TENSÃO INF 25% NOMINAL / FALTA DE FASE - Valor {0:G} {1} (limite {3:0.00}) {4} []</v>
          </cell>
          <cell r="G619" t="str">
            <v>Alarme de Dado em Limite Inferior</v>
          </cell>
          <cell r="H619">
            <v>600</v>
          </cell>
          <cell r="I619">
            <v>0</v>
          </cell>
          <cell r="J619" t="str">
            <v>AnalogLow</v>
          </cell>
          <cell r="K619" t="str">
            <v>Severidade 8</v>
          </cell>
          <cell r="L619" t="str">
            <v>Severidade 16</v>
          </cell>
          <cell r="M619" t="b">
            <v>0</v>
          </cell>
        </row>
        <row r="620">
          <cell r="A620" t="str">
            <v>Alarme de Dado em Limite Superior Tensão</v>
          </cell>
          <cell r="B620" t="str"/>
          <cell r="C620" t="str">
            <v>ALISUP V</v>
          </cell>
          <cell r="D620" t="str">
            <v>c3e6a6b6-e564-4aac-916e-fe077397f460</v>
          </cell>
          <cell r="E620" t="b">
            <v>1</v>
          </cell>
          <cell r="F620" t="str">
            <v>TENSÃO SUP 25% NOMINAL - Valor {0:G} {1} (limite = {3:0.00}) {4} []</v>
          </cell>
          <cell r="G620" t="str">
            <v>Alarme de Dado em Limite Superior</v>
          </cell>
          <cell r="H620">
            <v>600</v>
          </cell>
          <cell r="I620">
            <v>0</v>
          </cell>
          <cell r="J620" t="str">
            <v>AnalogHigh</v>
          </cell>
          <cell r="K620" t="str">
            <v>Severidade 8</v>
          </cell>
          <cell r="L620" t="str">
            <v>Severidade 16</v>
          </cell>
          <cell r="M620" t="b">
            <v>0</v>
          </cell>
        </row>
        <row r="621">
          <cell r="A621" t="str">
            <v>Alarme Escalonado em Limite Superior 2</v>
          </cell>
          <cell r="B621" t="str"/>
          <cell r="C621" t="str">
            <v>ALISUP EMERG ESCALONADO</v>
          </cell>
          <cell r="D621" t="str">
            <v>2fe61cce-c8ae-433b-984b-50aa8dc756d5</v>
          </cell>
          <cell r="E621" t="b">
            <v>1</v>
          </cell>
          <cell r="F621" t="str">
            <v>ALISUP EMERG - Valor {0:G} {1} (limite = {3:0.00}) {4} []</v>
          </cell>
          <cell r="G621" t="str">
            <v>Alarme Escalonado em Limite Superior - Nivel 2</v>
          </cell>
          <cell r="H621">
            <v>0</v>
          </cell>
          <cell r="I621">
            <v>600</v>
          </cell>
          <cell r="J621" t="str">
            <v>AnalogHigh</v>
          </cell>
          <cell r="K621" t="str">
            <v>Severidade 10</v>
          </cell>
          <cell r="L621" t="str">
            <v>Severidade 10</v>
          </cell>
          <cell r="M621" t="b">
            <v>0</v>
          </cell>
        </row>
        <row r="622">
          <cell r="A622" t="str">
            <v>Alarme Escalonado em Limite Inferior 2</v>
          </cell>
          <cell r="B622" t="str"/>
          <cell r="C622" t="str">
            <v>ALIINF EMERG ESCALONADO</v>
          </cell>
          <cell r="D622" t="str">
            <v>d54390b6-3c38-4176-bfe1-0d082ce43344</v>
          </cell>
          <cell r="E622" t="b">
            <v>1</v>
          </cell>
          <cell r="F622" t="str">
            <v>ALIINF EMERG - Valor {0:G} {1} (limite = {3:0.00}) {4} []</v>
          </cell>
          <cell r="G622" t="str">
            <v>Alarme Escalonado em Limite Inferior - Nivel 2</v>
          </cell>
          <cell r="H622">
            <v>0</v>
          </cell>
          <cell r="I622">
            <v>600</v>
          </cell>
          <cell r="J622" t="str">
            <v>AnalogLow</v>
          </cell>
          <cell r="K622" t="str">
            <v>Severidade 10</v>
          </cell>
          <cell r="L622" t="str">
            <v>Severidade 10</v>
          </cell>
          <cell r="M622" t="b">
            <v>0</v>
          </cell>
        </row>
      </sheetData>
      <sheetData sheetId="4"/>
      <sheetData sheetId="5"/>
      <sheetData sheetId="6"/>
      <sheetData sheetId="7"/>
      <sheetData sheetId="8"/>
      <sheetData sheetId="9"/>
    </sheetDataSet>
  </externalBook>
</externalLink>
</file>

<file path=xl/tables/table1.xml><?xml version="1.0" encoding="utf-8"?>
<table xmlns="http://schemas.openxmlformats.org/spreadsheetml/2006/main" id="1" name="LinkTable6789" displayName="LinkTable6789" ref="A1:L809" headerRowCount="1" totalsRowShown="0" headerRowDxfId="30" dataDxfId="28" headerRowBorderDxfId="29" tableBorderDxfId="27">
  <autoFilter ref="A1:L809"/>
  <tableColumns count="12">
    <tableColumn id="1" name="Name " dataDxfId="26" dataCellStyle="Excel Built-in Normal 1"/>
    <tableColumn id="5" name="Alias" dataDxfId="25" dataCellStyle="Excel Built-in Normal 1"/>
    <tableColumn id="2" name="State (Message)" dataDxfId="24" dataCellStyle="Excel Built-in Normal 1"/>
    <tableColumn id="3" name="Value" dataDxfId="23" dataCellStyle="Excel Built-in Normal 1"/>
    <tableColumn id="15" name="SCADA Value" dataDxfId="22" dataCellStyle="Excel Built-in Normal 1"/>
    <tableColumn id="16" name="Commanding message" dataDxfId="21" dataCellStyle="Excel Built-in Normal 1"/>
    <tableColumn id="7" name="Color" dataDxfId="20" dataCellStyle="Excel Built-in Normal 1"/>
    <tableColumn id="19" name="Abnormal Status" dataDxfId="19" dataCellStyle="Excel Built-in Normal 1"/>
    <tableColumn id="4" name="Allow Manual Override" dataDxfId="18" dataCellStyle="Excel Built-in Normal 1"/>
    <tableColumn id="8" name="Alarm Catalog" dataDxfId="17" dataCellStyle="Excel Built-in Normal 1"/>
    <tableColumn id="6" name="Coluna1" dataDxfId="16" dataCellStyle="Excel Built-in Normal 1"/>
    <tableColumn id="9" name="Severidade" dataDxfId="15" dataCellStyle="Excel Built-in Normal 1">
      <calculatedColumnFormula>VLOOKUP(LinkTable6789[[#This Row],[Coluna1]],[4]AlarmCatalog!$A:$M,11,FALSE)</calculatedColumnFormula>
    </tableColumn>
  </tableColumns>
  <tableStyleInfo name="TableStyleMedium1"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mailto:null@null___NORMAL@ATUADO___RelayTrip_S_TS_SA" TargetMode="External" Id="rId1"/><Relationship Type="http://schemas.openxmlformats.org/officeDocument/2006/relationships/hyperlink" Target="mailto:null@null___NORMAL@ATUADO___RelayTrip_S_TS_SA" TargetMode="External" Id="rId2"/><Relationship Type="http://schemas.openxmlformats.org/officeDocument/2006/relationships/hyperlink" Target="mailto:null@null___NORMAL@ATUADO___RelayTrip_S_TS_SA" TargetMode="External" Id="rId3"/><Relationship Type="http://schemas.openxmlformats.org/officeDocument/2006/relationships/hyperlink" Target="mailto:null@null___NORMAL@ATUADO___RelayTrip_S_TS_SA" TargetMode="External" Id="rId4"/><Relationship Type="http://schemas.openxmlformats.org/officeDocument/2006/relationships/hyperlink" Target="mailto:null@null___NORMAL@ATUADO___Custom_S_TS_SA" TargetMode="External" Id="rId5"/><Relationship Type="http://schemas.openxmlformats.org/officeDocument/2006/relationships/hyperlink" Target="mailto:null@null___INCLUIDO@EXCLUIDO___Enabled_S_TS_SS" TargetMode="External" Id="rId6"/><Relationship Type="http://schemas.openxmlformats.org/officeDocument/2006/relationships/hyperlink" Target="mailto:INCLUIR@EXCLUIR___INCLUIDO@EXCLUIDO___Enabled_S_TC_SS" TargetMode="External" Id="rId7"/><Relationship Type="http://schemas.openxmlformats.org/officeDocument/2006/relationships/hyperlink" Target="mailto:INCLUIR@EXCLUIR___INCLUIDO@EXCLUIDO___Enabled_S_TC_SS" TargetMode="External" Id="rId8"/><Relationship Type="http://schemas.openxmlformats.org/officeDocument/2006/relationships/hyperlink" Target="mailto:null@null___INCLUIDO@EXCLUIDO___Enabled_S_TS_SS" TargetMode="External" Id="rId9"/><Relationship Type="http://schemas.openxmlformats.org/officeDocument/2006/relationships/hyperlink" Target="mailto:null@null___REMOTO@LOCAL___Custom_S_TS_SS" TargetMode="External" Id="rId10"/><Relationship Type="http://schemas.openxmlformats.org/officeDocument/2006/relationships/hyperlink" Target="mailto:null@null___NORMAL@ATUADO___Custom_S_TS_SB" TargetMode="External" Id="rId11"/><Relationship Type="http://schemas.openxmlformats.org/officeDocument/2006/relationships/hyperlink" Target="mailto:null@null___INCLUIDO@EXCLUIDO___Enabled_S_TS_SS" TargetMode="External" Id="rId12"/><Relationship Type="http://schemas.openxmlformats.org/officeDocument/2006/relationships/hyperlink" Target="mailto:null@null___NORMAL@ATUADO___Custom_S_TS_SA" TargetMode="External" Id="rId13"/><Relationship Type="http://schemas.openxmlformats.org/officeDocument/2006/relationships/hyperlink" Target="mailto:null@null___NORMAL@ATUADO___Custom_S_TS_SA" TargetMode="External" Id="rId14"/><Relationship Type="http://schemas.openxmlformats.org/officeDocument/2006/relationships/hyperlink" Target="mailto:null@null___INCLUIDO@EXCLUIDO___Enabled_S_TS_SS" TargetMode="External" Id="rId15"/><Relationship Type="http://schemas.openxmlformats.org/officeDocument/2006/relationships/hyperlink" Target="mailto:null@null___NORMAL@ATUADO___Custom_S_TS_SA" TargetMode="External" Id="rId16"/><Relationship Type="http://schemas.openxmlformats.org/officeDocument/2006/relationships/hyperlink" Target="mailto:null@null___NORMAL@ATUADO___Custom_S_TS_SA" TargetMode="External" Id="rId17"/><Relationship Type="http://schemas.openxmlformats.org/officeDocument/2006/relationships/hyperlink" Target="mailto:null@null___NORMAL@ATUADO___Custom_S_TS_SA" TargetMode="External" Id="rId18"/><Relationship Type="http://schemas.openxmlformats.org/officeDocument/2006/relationships/hyperlink" Target="mailto:null@null___NORMAL@ATUADO___Custom_S_TS_SA" TargetMode="External" Id="rId19"/><Relationship Type="http://schemas.openxmlformats.org/officeDocument/2006/relationships/hyperlink" Target="mailto:null@null___NORMAL@ATUADO___Custom_S_TS_SA" TargetMode="External" Id="rId20"/><Relationship Type="http://schemas.openxmlformats.org/officeDocument/2006/relationships/hyperlink" Target="mailto:null@null___NORMAL@ATUADO___Custom_S_TS_SA" TargetMode="External" Id="rId21"/><Relationship Type="http://schemas.openxmlformats.org/officeDocument/2006/relationships/hyperlink" Target="mailto:null@null___NORMAL@ATUADO___Custom_S_TS_SA" TargetMode="External" Id="rId22"/><Relationship Type="http://schemas.openxmlformats.org/officeDocument/2006/relationships/hyperlink" Target="mailto:null@null___NORMAL@ATUADO___Custom_S_TS_SA" TargetMode="External" Id="rId23"/><Relationship Type="http://schemas.openxmlformats.org/officeDocument/2006/relationships/hyperlink" Target="mailto:null@null___NORMAL@ATUADO___Custom_S_TS_SA" TargetMode="External" Id="rId24"/><Relationship Type="http://schemas.openxmlformats.org/officeDocument/2006/relationships/hyperlink" Target="mailto:null@null___NORMAL@ATUADO___Custom_S_TS_SA" TargetMode="External" Id="rId25"/><Relationship Type="http://schemas.openxmlformats.org/officeDocument/2006/relationships/hyperlink" Target="mailto:null@null___NORMAL@ATUADO___Custom_S_TS_SA" TargetMode="External" Id="rId26"/><Relationship Type="http://schemas.openxmlformats.org/officeDocument/2006/relationships/hyperlink" Target="mailto:null@null___REMOTO@LOCAL__Local_S_TS_SS" TargetMode="External" Id="rId27"/><Relationship Type="http://schemas.openxmlformats.org/officeDocument/2006/relationships/hyperlink" Target="mailto:null@null___INCLUIDO@EXCLUIDO___Local_S_TS_SS" TargetMode="External" Id="rId28"/><Relationship Type="http://schemas.openxmlformats.org/officeDocument/2006/relationships/hyperlink" Target="mailto:null@null___INCLUIDO@EXCLUIDO___Custom_S_TS_SS" TargetMode="External" Id="rId29"/><Relationship Type="http://schemas.openxmlformats.org/officeDocument/2006/relationships/hyperlink" Target="mailto:null@null___NORMAL@ATUADO___Custom_S_TS_SA" TargetMode="External" Id="rId30"/><Relationship Type="http://schemas.openxmlformats.org/officeDocument/2006/relationships/hyperlink" Target="mailto:null@null___NORMAL@ATUADO___RelayTrip_S_TS_SA" TargetMode="External" Id="rId31"/><Relationship Type="http://schemas.openxmlformats.org/officeDocument/2006/relationships/hyperlink" Target="mailto:null@null___INCLUIDO@EXCLUIDO___Enabled_S_TS_SS" TargetMode="External" Id="rId32"/><Relationship Type="http://schemas.openxmlformats.org/officeDocument/2006/relationships/hyperlink" Target="mailto:null@null___NORMAL@ATUADO___Custom_S_TS_SA" TargetMode="External" Id="rId33"/><Relationship Type="http://schemas.openxmlformats.org/officeDocument/2006/relationships/hyperlink" Target="mailto:null@null___INCLUIDO@EXCLUIDO___Enabled_S_TS_SS" TargetMode="External" Id="rId34"/><Relationship Type="http://schemas.openxmlformats.org/officeDocument/2006/relationships/hyperlink" Target="mailto:null@null___NORMAL@ATUADO___Custom_S_TS_SA" TargetMode="External" Id="rId35"/><Relationship Type="http://schemas.openxmlformats.org/officeDocument/2006/relationships/hyperlink" Target="mailto:null@null___NORMAL@ATUADO___Custom_S_TS_SA" TargetMode="External" Id="rId36"/><Relationship Type="http://schemas.openxmlformats.org/officeDocument/2006/relationships/hyperlink" Target="mailto:null@null___NORMAL@ATUADO___Custom_S_TS_SA" TargetMode="External" Id="rId37"/><Relationship Type="http://schemas.openxmlformats.org/officeDocument/2006/relationships/hyperlink" Target="mailto:null@null___NORMAL@ATUADO___Custom_S_TS_SA" TargetMode="External" Id="rId38"/><Relationship Type="http://schemas.openxmlformats.org/officeDocument/2006/relationships/hyperlink" Target="mailto:null@null___INCLUIDO@EXCLUIDO___Enabled_S_TS_SS" TargetMode="External" Id="rId39"/><Relationship Type="http://schemas.openxmlformats.org/officeDocument/2006/relationships/hyperlink" Target="mailto:null@null___NORMAL@ATUADO___Custom_S_TS_SA" TargetMode="External" Id="rId40"/><Relationship Type="http://schemas.openxmlformats.org/officeDocument/2006/relationships/hyperlink" Target="mailto:null@null___INCLUIDO@EXCLUIDO___Enabled_S_TS_SS" TargetMode="External" Id="rId41"/><Relationship Type="http://schemas.openxmlformats.org/officeDocument/2006/relationships/hyperlink" Target="mailto:null@null___NORMAL@ATUADO___Custom_S_TS_SA" TargetMode="External" Id="rId42"/><Relationship Type="http://schemas.openxmlformats.org/officeDocument/2006/relationships/hyperlink" Target="mailto:null@null___NORMAL@ATUADO___Custom_S_TS_SA" TargetMode="External" Id="rId43"/><Relationship Type="http://schemas.openxmlformats.org/officeDocument/2006/relationships/hyperlink" Target="mailto:null@null___NORMAL@ATUADO___Custom_S_TS_SA" TargetMode="External" Id="rId44"/><Relationship Type="http://schemas.openxmlformats.org/officeDocument/2006/relationships/hyperlink" Target="mailto:null@null___NORMAL@ATUADO___Custom_S_TS_SA" TargetMode="External" Id="rId45"/><Relationship Type="http://schemas.openxmlformats.org/officeDocument/2006/relationships/hyperlink" Target="mailto:null@null___NORMAL@ATUADO___Custom_S_TS_SA" TargetMode="External" Id="rId46"/><Relationship Type="http://schemas.openxmlformats.org/officeDocument/2006/relationships/hyperlink" Target="mailto:null@null___NORMAL@ATUADO___Custom_S_TS_SA" TargetMode="External" Id="rId47"/><Relationship Type="http://schemas.openxmlformats.org/officeDocument/2006/relationships/hyperlink" Target="mailto:null@null___NORMAL@ATUADO___Custom_S_TS_SA" TargetMode="External" Id="rId48"/><Relationship Type="http://schemas.openxmlformats.org/officeDocument/2006/relationships/hyperlink" Target="mailto:null@null___NORMAL@ATUADO___Custom_S_TS_SA" TargetMode="External" Id="rId49"/><Relationship Type="http://schemas.openxmlformats.org/officeDocument/2006/relationships/hyperlink" Target="mailto:null@null___NORMAL@ATUADO___Custom_S_TS_SA" TargetMode="External" Id="rId50"/><Relationship Type="http://schemas.openxmlformats.org/officeDocument/2006/relationships/hyperlink" Target="mailto:null@null___NORMAL@ATUADO___Custom_S_TS_SA" TargetMode="External" Id="rId51"/><Relationship Type="http://schemas.openxmlformats.org/officeDocument/2006/relationships/hyperlink" Target="mailto:null@null___NORMAL@ATUADO___Custom_S_TS_SA" TargetMode="External" Id="rId52"/><Relationship Type="http://schemas.openxmlformats.org/officeDocument/2006/relationships/hyperlink" Target="mailto:null@null___NORMAL@ATUADO___Custom_S_TS_SA" TargetMode="External" Id="rId53"/><Relationship Type="http://schemas.openxmlformats.org/officeDocument/2006/relationships/hyperlink" Target="mailto:INCLUIR@EXCLUIR___INCLUIDO@EXCLUIDO___Enabled_S_TC_SS" TargetMode="External" Id="rId54"/><Relationship Type="http://schemas.openxmlformats.org/officeDocument/2006/relationships/hyperlink" Target="mailto:null@null___INCLUIDO@EXCLUIDO___Enabled_S_TS_SS" TargetMode="External" Id="rId55"/><Relationship Type="http://schemas.openxmlformats.org/officeDocument/2006/relationships/hyperlink" Target="mailto:null@null___NORMAL@ATUADO___Custom_S_TS_SA" TargetMode="External" Id="rId56"/><Relationship Type="http://schemas.openxmlformats.org/officeDocument/2006/relationships/hyperlink" Target="mailto:null@null___NORMAL@ATUADO___RecloserLockout_S_TS_SA" TargetMode="External" Id="rId57"/><Relationship Type="http://schemas.openxmlformats.org/officeDocument/2006/relationships/hyperlink" Target="mailto:null@EXCLUIR___null@null___ReclosingEnabled___admsINV_D_TC_SS" TargetMode="External" Id="rId58"/><Relationship Type="http://schemas.openxmlformats.org/officeDocument/2006/relationships/hyperlink" Target="mailto:null@null___NORMAL@ATUADO___Custom_S_TS_SA" TargetMode="External" Id="rId59"/><Relationship Type="http://schemas.openxmlformats.org/officeDocument/2006/relationships/hyperlink" Target="mailto:null@null___NORMAL@ATUADO___Custom_S_TS_SA" TargetMode="External" Id="rId60"/><Relationship Type="http://schemas.openxmlformats.org/officeDocument/2006/relationships/hyperlink" Target="mailto:null@null___NORMAL@ATUADO___Custom_S_TS_SA" TargetMode="External" Id="rId61"/><Relationship Type="http://schemas.openxmlformats.org/officeDocument/2006/relationships/hyperlink" Target="mailto:null@null___INCLUIDO@EXCLUIDO___Enabled_S_TS_SS" TargetMode="External" Id="rId62"/><Relationship Type="http://schemas.openxmlformats.org/officeDocument/2006/relationships/hyperlink" Target="mailto:null@null___NORMAL@ATUADO___Custom_S_TS_SA" TargetMode="External" Id="rId63"/><Relationship Type="http://schemas.openxmlformats.org/officeDocument/2006/relationships/hyperlink" Target="mailto:null@null___NORMAL@ATUADO___Custom_S_TS_SA" TargetMode="External" Id="rId64"/><Relationship Type="http://schemas.openxmlformats.org/officeDocument/2006/relationships/hyperlink" Target="mailto:null@null___NORMAL@ATUADO___Custom_S_TS_SA" TargetMode="External" Id="rId65"/><Relationship Type="http://schemas.openxmlformats.org/officeDocument/2006/relationships/hyperlink" Target="mailto:null@null___NORMAL@ATUADO___Custom_S_TS_SA" TargetMode="External" Id="rId66"/><Relationship Type="http://schemas.openxmlformats.org/officeDocument/2006/relationships/hyperlink" Target="mailto:null@null___NORMAL@ATUADO___Custom_S_TS_SA" TargetMode="External" Id="rId67"/><Relationship Type="http://schemas.openxmlformats.org/officeDocument/2006/relationships/hyperlink" Target="mailto:null@null___NORMAL@ATUADO___Custom_S_TS_SA" TargetMode="External" Id="rId68"/><Relationship Type="http://schemas.openxmlformats.org/officeDocument/2006/relationships/hyperlink" Target="mailto:null@null___NORMAL@ATUADO___Custom_S_TS_SA" TargetMode="External" Id="rId69"/><Relationship Type="http://schemas.openxmlformats.org/officeDocument/2006/relationships/hyperlink" Target="mailto:INCLUIR@EXCLUIR___INCLUIDO@EXCLUIDO___Custom_S_TC_SS" TargetMode="External" Id="rId70"/><Relationship Type="http://schemas.openxmlformats.org/officeDocument/2006/relationships/hyperlink" Target="mailto:null@null___NORMAL@ATUADO___Custom_S_TS_SA" TargetMode="External" Id="rId71"/><Relationship Type="http://schemas.openxmlformats.org/officeDocument/2006/relationships/hyperlink" Target="mailto:null@null___INCLUIDO@EXCLUIDO___Enabled_S_TS_SS" TargetMode="External" Id="rId72"/><Relationship Type="http://schemas.openxmlformats.org/officeDocument/2006/relationships/hyperlink" Target="mailto:null@null___NORMAL@ATUADO___Custom_S_TS_SA" TargetMode="External" Id="rId73"/><Relationship Type="http://schemas.openxmlformats.org/officeDocument/2006/relationships/hyperlink" Target="mailto:null@null___NORMAL@ATUADO___Custom_S_TS_SA" TargetMode="External" Id="rId74"/><Relationship Type="http://schemas.openxmlformats.org/officeDocument/2006/relationships/hyperlink" Target="mailto:null@null___INCLUIDO@EXCLUIDO___Custom_S_TS_SS" TargetMode="External" Id="rId75"/><Relationship Type="http://schemas.openxmlformats.org/officeDocument/2006/relationships/hyperlink" Target="mailto:null@null___INCLUIDO@EXCLUIDO___Custom_S_TS_SS" TargetMode="External" Id="rId76"/><Relationship Type="http://schemas.openxmlformats.org/officeDocument/2006/relationships/hyperlink" Target="mailto:INCLUIR@EXCLUIR___INCLUIDO@EXCLUIDO___Enabled_S_TS_SS" TargetMode="External" Id="rId77"/><Relationship Type="http://schemas.openxmlformats.org/officeDocument/2006/relationships/hyperlink" Target="mailto:null@null___DESATIVADO@ATIVADO___Custom_S_TS_SV" TargetMode="External" Id="rId78"/><Relationship Type="http://schemas.openxmlformats.org/officeDocument/2006/relationships/hyperlink" Target="mailto:null@null___DESATIVADO@ATIVADO___Custom_S_TS_SV" TargetMode="External" Id="rId79"/><Relationship Type="http://schemas.openxmlformats.org/officeDocument/2006/relationships/hyperlink" Target="mailto:null@null___DESATIVADO@ATIVADO___Custom_S_TS_SV" TargetMode="External" Id="rId80"/><Relationship Type="http://schemas.openxmlformats.org/officeDocument/2006/relationships/hyperlink" Target="mailto:null@null___DESATIVADO@ATIVADO___Custom_S_TS_SV" TargetMode="External" Id="rId81"/><Relationship Type="http://schemas.openxmlformats.org/officeDocument/2006/relationships/hyperlink" Target="mailto:null@null___DESATIVADO@ATIVADO___Custom_S_TS_SV" TargetMode="External" Id="rId82"/><Relationship Type="http://schemas.openxmlformats.org/officeDocument/2006/relationships/hyperlink" Target="mailto:null@null___DESATIVADO@ATIVADO___Custom_S_TS_SV" TargetMode="External" Id="rId83"/><Relationship Type="http://schemas.openxmlformats.org/officeDocument/2006/relationships/hyperlink" Target="mailto:null@null___DESATIVADO@ATIVADO___Custom_S_TS_SV" TargetMode="External" Id="rId84"/><Relationship Type="http://schemas.openxmlformats.org/officeDocument/2006/relationships/hyperlink" Target="mailto:null@null___NORMAL@ATUADO___Custom_S_TS_SI" TargetMode="External" Id="rId85"/><Relationship Type="http://schemas.openxmlformats.org/officeDocument/2006/relationships/hyperlink" Target="mailto:null@null___NORMAL@ATUADO___Custom_S_TS_SI" TargetMode="External" Id="rId86"/><Relationship Type="http://schemas.openxmlformats.org/officeDocument/2006/relationships/hyperlink" Target="mailto:null@null___DESATIVADO@ATIVADO___Custom_S_TS_SV" TargetMode="External" Id="rId87"/><Relationship Type="http://schemas.openxmlformats.org/officeDocument/2006/relationships/hyperlink" Target="mailto:null@null___NORMAL@ATUADO___Custom_S_TS_SV" TargetMode="External" Id="rId88"/><Relationship Type="http://schemas.openxmlformats.org/officeDocument/2006/relationships/hyperlink" Target="mailto:null@null___NORMAL@ATUADO___Custom_S_TS_SV" TargetMode="External" Id="rId89"/><Relationship Type="http://schemas.openxmlformats.org/officeDocument/2006/relationships/hyperlink" Target="mailto:null@null___NORMAL@ATUADO___Custom_S_TS_SI" TargetMode="External" Id="rId90"/><Relationship Type="http://schemas.openxmlformats.org/officeDocument/2006/relationships/hyperlink" Target="mailto:null@null___NORMAL@ATUADO___Custom_S_TS_SI" TargetMode="External" Id="rId91"/><Relationship Type="http://schemas.openxmlformats.org/officeDocument/2006/relationships/hyperlink" Target="mailto:null@null___NORMAL@DISPARADA___Custom_S_TS_SV" TargetMode="External" Id="rId92"/><Relationship Type="http://schemas.openxmlformats.org/officeDocument/2006/relationships/hyperlink" Target="mailto:INCLUIR@EXCLUIR___INCLUIDO@EXCLUIDO___Custom_S_TC_SS" TargetMode="External" Id="rId93"/><Relationship Type="http://schemas.openxmlformats.org/officeDocument/2006/relationships/hyperlink" Target="mailto:null@null___INCLUIDO@EXCLUIDO___Custom_S_TS_SS" TargetMode="External" Id="rId94"/><Relationship Type="http://schemas.openxmlformats.org/officeDocument/2006/relationships/hyperlink" Target="mailto:null@null___NORMAL@ATUADO___Custom_S_TS_SA" TargetMode="External" Id="rId95"/><Relationship Type="http://schemas.openxmlformats.org/officeDocument/2006/relationships/hyperlink" Target="mailto:null@null___NORMAL@ATUADO___Custom_S_TS_SS" TargetMode="External" Id="rId96"/><Relationship Type="http://schemas.openxmlformats.org/officeDocument/2006/relationships/hyperlink" Target="mailto:null@null___NORMAL@ATUADO___Custom_S_TS_SS" TargetMode="External" Id="rId97"/><Relationship Type="http://schemas.openxmlformats.org/officeDocument/2006/relationships/hyperlink" Target="mailto:null@null___INCLUIDO@EXCLUIDO___Enabled_S_TS_SS" TargetMode="External" Id="rId98"/><Relationship Type="http://schemas.openxmlformats.org/officeDocument/2006/relationships/hyperlink" Target="mailto:null@null___NORMAL@ATUADO___Custom_S_TS_SI" TargetMode="External" Id="rId99"/><Relationship Type="http://schemas.openxmlformats.org/officeDocument/2006/relationships/hyperlink" Target="mailto:null@null___NORMAL@ATUADO___Custom_S_TS_SI" TargetMode="External" Id="rId100"/><Relationship Type="http://schemas.openxmlformats.org/officeDocument/2006/relationships/hyperlink" Target="mailto:null@null___NORMAL@ATUADO___Custom_S_TS_SI" TargetMode="External" Id="rId101"/><Relationship Type="http://schemas.openxmlformats.org/officeDocument/2006/relationships/hyperlink" Target="mailto:null@null___NORMAL@ATUADO___Custom_S_TS_SI" TargetMode="External" Id="rId102"/><Relationship Type="http://schemas.openxmlformats.org/officeDocument/2006/relationships/hyperlink" Target="mailto:null@null___CARGA@DESCARGA___Custom_S_TS_SB" TargetMode="External" Id="rId103"/><Relationship Type="http://schemas.openxmlformats.org/officeDocument/2006/relationships/hyperlink" Target="mailto:null@null___NORMAL@ATUADO___Custom_S_TS_SA" TargetMode="External" Id="rId104"/><Relationship Type="http://schemas.openxmlformats.org/officeDocument/2006/relationships/hyperlink" Target="mailto:null@null___NORMAL@ATUADO___Custom_S_TS_SA" TargetMode="External" Id="rId105"/><Relationship Type="http://schemas.openxmlformats.org/officeDocument/2006/relationships/hyperlink" Target="mailto:null@null___NORMAL@ATUADO___Custom_S_TS_SA" TargetMode="External" Id="rId106"/><Relationship Type="http://schemas.openxmlformats.org/officeDocument/2006/relationships/hyperlink" Target="mailto:null@null___NORMAL@ATUADO___Custom_S_TS_SA" TargetMode="External" Id="rId107"/><Relationship Type="http://schemas.openxmlformats.org/officeDocument/2006/relationships/hyperlink" Target="mailto:null@null___NORMAL@ATUADO___Custom_S_TS_SA" TargetMode="External" Id="rId108"/><Relationship Type="http://schemas.openxmlformats.org/officeDocument/2006/relationships/hyperlink" Target="mailto:null@null___NORMAL@ATUADO___Custom_S_TS_SA" TargetMode="External" Id="rId109"/><Relationship Type="http://schemas.openxmlformats.org/officeDocument/2006/relationships/hyperlink" Target="mailto:null@null___NORMAL@ATUADO___Custom_S_TS_SA" TargetMode="External" Id="rId110"/><Relationship Type="http://schemas.openxmlformats.org/officeDocument/2006/relationships/hyperlink" Target="mailto:null@null___NORMAL@ATUADO___Custom_S_TS_SA" TargetMode="External" Id="rId111"/><Relationship Type="http://schemas.openxmlformats.org/officeDocument/2006/relationships/hyperlink" Target="mailto:MESTRE@INDIVIDUAL@COMANDO___MESTRE@INDIVIDUAL@COMANDO___Parallel___admsINV_D_TC" TargetMode="External" Id="rId112"/><Relationship Type="http://schemas.openxmlformats.org/officeDocument/2006/relationships/hyperlink" Target="mailto:null@null___NORMAL@DEFEITO___Custom_S_TS_SP" TargetMode="External" Id="rId113"/><Relationship Type="http://schemas.openxmlformats.org/officeDocument/2006/relationships/hyperlink" Target="mailto:null@null___REMOTO@LOCAL___Custom_S_TS_SS" TargetMode="External" Id="rId114"/><Relationship Type="http://schemas.openxmlformats.org/officeDocument/2006/relationships/hyperlink" Target="mailto:CMD_COS@null___REMOTO@LOCAL___Custom_S_TC_SS" TargetMode="External" Id="rId115"/><Relationship Type="http://schemas.openxmlformats.org/officeDocument/2006/relationships/hyperlink" Target="mailto:null@null___NORMAL@ATUADO___Custom_S_TS_SA" TargetMode="External" Id="rId116"/><Relationship Type="http://schemas.openxmlformats.org/officeDocument/2006/relationships/hyperlink" Target="mailto:DESLIGAR@LIGAR___DESLIGADO@LIGADO___SwitchStatus_D_TS_SE" TargetMode="External" Id="rId117"/><Relationship Type="http://schemas.openxmlformats.org/officeDocument/2006/relationships/hyperlink" Target="mailto:DESLIGAR@LIGAR___DESLIGADO@LIGADO___SwitchStatus_D_TS_SE" TargetMode="External" Id="rId118"/><Relationship Type="http://schemas.openxmlformats.org/officeDocument/2006/relationships/hyperlink" Target="mailto:DESLIGAR@LIGAR___DESLIGADO@LIGADO___SwitchStatus_D_TC_SE" TargetMode="External" Id="rId119"/><Relationship Type="http://schemas.openxmlformats.org/officeDocument/2006/relationships/hyperlink" Target="mailto:DESLIGAR@LIGAR___DESLIGADO@LIGADO___Custom_S_TS_SB" TargetMode="External" Id="rId120"/><Relationship Type="http://schemas.openxmlformats.org/officeDocument/2006/relationships/hyperlink" Target="mailto:null@null___NORMAL@FALHA___Custom_S_TS_SI" TargetMode="External" Id="rId121"/><Relationship Type="http://schemas.openxmlformats.org/officeDocument/2006/relationships/hyperlink" Target="mailto:null@null___NORMAL@FALHA___Custom_S_TS_SI" TargetMode="External" Id="rId122"/><Relationship Type="http://schemas.openxmlformats.org/officeDocument/2006/relationships/hyperlink" Target="mailto:null@null___NORMAL@FALHA___Custom_S_TS_SI" TargetMode="External" Id="rId123"/><Relationship Type="http://schemas.openxmlformats.org/officeDocument/2006/relationships/hyperlink" Target="mailto:null@null___NORMAL@ATUADO___Custom_S_TS_SA" TargetMode="External" Id="rId124"/><Relationship Type="http://schemas.openxmlformats.org/officeDocument/2006/relationships/hyperlink" Target="mailto:null@null___NORMAL@FALHA___Custom_S_TS_SI" TargetMode="External" Id="rId125"/><Relationship Type="http://schemas.openxmlformats.org/officeDocument/2006/relationships/hyperlink" Target="mailto:null@null___NORMAL@FALHA___Custom_S_TS_SB" TargetMode="External" Id="rId126"/><Relationship Type="http://schemas.openxmlformats.org/officeDocument/2006/relationships/hyperlink" Target="mailto:null@null___NORMAL@FALHA___Custom_S_TS_SB" TargetMode="External" Id="rId127"/><Relationship Type="http://schemas.openxmlformats.org/officeDocument/2006/relationships/hyperlink" Target="mailto:null@null___NORMAL@FALHA___Custom_S_TS_SB" TargetMode="External" Id="rId128"/><Relationship Type="http://schemas.openxmlformats.org/officeDocument/2006/relationships/hyperlink" Target="mailto:null@null___NORMAL@FALHA___Custom_S_TS_SB" TargetMode="External" Id="rId129"/><Relationship Type="http://schemas.openxmlformats.org/officeDocument/2006/relationships/hyperlink" Target="mailto:null@null___NORMAL@FALHA___Custom_S_TS_SB" TargetMode="External" Id="rId130"/><Relationship Type="http://schemas.openxmlformats.org/officeDocument/2006/relationships/hyperlink" Target="mailto:null@null___NORMAL@FALHA___Custom_S_TS_SB" TargetMode="External" Id="rId131"/><Relationship Type="http://schemas.openxmlformats.org/officeDocument/2006/relationships/hyperlink" Target="mailto:null@null___NORMAL@FALHA___Custom_S_TS_SB" TargetMode="External" Id="rId132"/><Relationship Type="http://schemas.openxmlformats.org/officeDocument/2006/relationships/hyperlink" Target="mailto:null@null___NORMAL@FALHA___Custom_S_TS_SB" TargetMode="External" Id="rId133"/><Relationship Type="http://schemas.openxmlformats.org/officeDocument/2006/relationships/hyperlink" Target="mailto:null@null___NORMAL@FALHA___Custom_S_TS_SB" TargetMode="External" Id="rId134"/><Relationship Type="http://schemas.openxmlformats.org/officeDocument/2006/relationships/hyperlink" Target="mailto:null@null___NORMAL@FALHA___Custom_S_TS_SB" TargetMode="External" Id="rId135"/><Relationship Type="http://schemas.openxmlformats.org/officeDocument/2006/relationships/hyperlink" Target="mailto:null@null___NORMAL@FALHA___Custom_S_TS_SB" TargetMode="External" Id="rId136"/><Relationship Type="http://schemas.openxmlformats.org/officeDocument/2006/relationships/hyperlink" Target="mailto:null@null___NORMAL@FALHA___Custom_S_TS_SB" TargetMode="External" Id="rId137"/><Relationship Type="http://schemas.openxmlformats.org/officeDocument/2006/relationships/hyperlink" Target="mailto:null@null___NORMAL@FALHA___Custom_S_TS_SB" TargetMode="External" Id="rId138"/><Relationship Type="http://schemas.openxmlformats.org/officeDocument/2006/relationships/hyperlink" Target="mailto:null@null___NORMAL@FALHA___Custom_S_TS_SB" TargetMode="External" Id="rId139"/><Relationship Type="http://schemas.openxmlformats.org/officeDocument/2006/relationships/hyperlink" Target="mailto:null@null___NORMAL@FALHA___Custom_S_TS_SB" TargetMode="External" Id="rId140"/><Relationship Type="http://schemas.openxmlformats.org/officeDocument/2006/relationships/hyperlink" Target="mailto:null@null___NORMAL@FALHA___Custom_S_TS_SI" TargetMode="External" Id="rId141"/><Relationship Type="http://schemas.openxmlformats.org/officeDocument/2006/relationships/hyperlink" Target="mailto:null@null___NORMAL@FALHA___Custom_S_TS_SB" TargetMode="External" Id="rId142"/><Relationship Type="http://schemas.openxmlformats.org/officeDocument/2006/relationships/hyperlink" Target="mailto:null@null___NORMAL@FALHA___Custom_S_TS_SB" TargetMode="External" Id="rId143"/><Relationship Type="http://schemas.openxmlformats.org/officeDocument/2006/relationships/hyperlink" Target="mailto:null@null___NORMAL@FALHA___Custom_S_TS_SB" TargetMode="External" Id="rId144"/><Relationship Type="http://schemas.openxmlformats.org/officeDocument/2006/relationships/hyperlink" Target="mailto:null@null___NORMAL@FALHA___Custom_S_TS_SB" TargetMode="External" Id="rId145"/><Relationship Type="http://schemas.openxmlformats.org/officeDocument/2006/relationships/hyperlink" Target="mailto:null@null___NORMAL@FALHA___Custom_S_TS_SB" TargetMode="External" Id="rId146"/><Relationship Type="http://schemas.openxmlformats.org/officeDocument/2006/relationships/hyperlink" Target="mailto:null@null___NORMAL@FALHA___Custom_S_TS_SB" TargetMode="External" Id="rId147"/><Relationship Type="http://schemas.openxmlformats.org/officeDocument/2006/relationships/hyperlink" Target="mailto:null@null___NORMAL@FALHA___Custom_S_TS_SB" TargetMode="External" Id="rId148"/><Relationship Type="http://schemas.openxmlformats.org/officeDocument/2006/relationships/hyperlink" Target="mailto:null@null___NORMAL@FALHA___Custom_S_TS_SB" TargetMode="External" Id="rId149"/><Relationship Type="http://schemas.openxmlformats.org/officeDocument/2006/relationships/hyperlink" Target="mailto:null@null___NORMAL@FALHA___Custom_S_TS_SI" TargetMode="External" Id="rId150"/><Relationship Type="http://schemas.openxmlformats.org/officeDocument/2006/relationships/hyperlink" Target="mailto:null@null___NORMAL@FALHA___Custom_S_TS_SI" TargetMode="External" Id="rId151"/><Relationship Type="http://schemas.openxmlformats.org/officeDocument/2006/relationships/hyperlink" Target="mailto:null@null___NORMAL@FALHA___Custom_S_TS_SI" TargetMode="External" Id="rId152"/><Relationship Type="http://schemas.openxmlformats.org/officeDocument/2006/relationships/hyperlink" Target="mailto:null@null___NORMAL@FALHA___Custom_S_TS_SI" TargetMode="External" Id="rId153"/><Relationship Type="http://schemas.openxmlformats.org/officeDocument/2006/relationships/hyperlink" Target="mailto:null@null___NORMAL@FALHA___Custom_S_TS_SI" TargetMode="External" Id="rId154"/><Relationship Type="http://schemas.openxmlformats.org/officeDocument/2006/relationships/hyperlink" Target="mailto:null@null___NORMAL@FALHA___Custom_S_TS_SI" TargetMode="External" Id="rId155"/><Relationship Type="http://schemas.openxmlformats.org/officeDocument/2006/relationships/hyperlink" Target="mailto:null@null___NORMAL@FALHA___Custom_S_TS_SI" TargetMode="External" Id="rId156"/><Relationship Type="http://schemas.openxmlformats.org/officeDocument/2006/relationships/hyperlink" Target="mailto:null@null___NORMAL@FALHA___Custom_S_TS_SI" TargetMode="External" Id="rId157"/><Relationship Type="http://schemas.openxmlformats.org/officeDocument/2006/relationships/hyperlink" Target="mailto:null@null___NORMAL@FALHA___Custom_S_TS_SI" TargetMode="External" Id="rId158"/><Relationship Type="http://schemas.openxmlformats.org/officeDocument/2006/relationships/hyperlink" Target="mailto:null@null___NORMAL@FALHA___Custom_S_TS_SB" TargetMode="External" Id="rId159"/><Relationship Type="http://schemas.openxmlformats.org/officeDocument/2006/relationships/hyperlink" Target="mailto:null@null___NORMAL@FALHA___Custom_S_TS_SB" TargetMode="External" Id="rId160"/><Relationship Type="http://schemas.openxmlformats.org/officeDocument/2006/relationships/hyperlink" Target="mailto:null@null___NORMAL@FALHA___Custom_S_TS_SB" TargetMode="External" Id="rId161"/><Relationship Type="http://schemas.openxmlformats.org/officeDocument/2006/relationships/hyperlink" Target="mailto:null@null___NORMAL@FALHA___Custom_S_TS_SB" TargetMode="External" Id="rId162"/><Relationship Type="http://schemas.openxmlformats.org/officeDocument/2006/relationships/hyperlink" Target="mailto:null@null___NORMAL@FALHA___Custom_S_TS_SI" TargetMode="External" Id="rId163"/><Relationship Type="http://schemas.openxmlformats.org/officeDocument/2006/relationships/hyperlink" Target="mailto:null@null___NORMAL@FALHA___Custom_S_TS_SB" TargetMode="External" Id="rId164"/><Relationship Type="http://schemas.openxmlformats.org/officeDocument/2006/relationships/hyperlink" Target="mailto:null@null___NORMAL@FALHA___Custom_S_TS_SB" TargetMode="External" Id="rId165"/><Relationship Type="http://schemas.openxmlformats.org/officeDocument/2006/relationships/hyperlink" Target="mailto:null@null___NORMAL@FALHA___Custom_S_TS_SI" TargetMode="External" Id="rId166"/><Relationship Type="http://schemas.openxmlformats.org/officeDocument/2006/relationships/hyperlink" Target="mailto:null@null___NORMAL@FALHA___Custom_S_TS_SI" TargetMode="External" Id="rId167"/><Relationship Type="http://schemas.openxmlformats.org/officeDocument/2006/relationships/hyperlink" Target="mailto:null@null___NORMAL@FALHA___Custom_S_TS_SI" TargetMode="External" Id="rId168"/><Relationship Type="http://schemas.openxmlformats.org/officeDocument/2006/relationships/hyperlink" Target="mailto:null@null___NORMAL@FALTA___Custom_S_TS_SA" TargetMode="External" Id="rId169"/><Relationship Type="http://schemas.openxmlformats.org/officeDocument/2006/relationships/hyperlink" Target="mailto:null@null___NORMAL@FALTA___Custom_S_TS_SA" TargetMode="External" Id="rId170"/><Relationship Type="http://schemas.openxmlformats.org/officeDocument/2006/relationships/hyperlink" Target="mailto:null@null___NORMAL@FALTA___Custom_S_TS_SA" TargetMode="External" Id="rId171"/><Relationship Type="http://schemas.openxmlformats.org/officeDocument/2006/relationships/hyperlink" Target="mailto:null@null___NORMAL@FALTA___Custom_S_TS_SA" TargetMode="External" Id="rId172"/><Relationship Type="http://schemas.openxmlformats.org/officeDocument/2006/relationships/hyperlink" Target="mailto:null@null___NORMAL@FALTA___Custom_S_TS_SA" TargetMode="External" Id="rId173"/><Relationship Type="http://schemas.openxmlformats.org/officeDocument/2006/relationships/hyperlink" Target="mailto:null@null___NORMAL@FALTA___Custom_S_TS_SA" TargetMode="External" Id="rId174"/><Relationship Type="http://schemas.openxmlformats.org/officeDocument/2006/relationships/hyperlink" Target="mailto:null@null___NORMAL@FALTA___Custom_S_TS_SA" TargetMode="External" Id="rId175"/><Relationship Type="http://schemas.openxmlformats.org/officeDocument/2006/relationships/hyperlink" Target="mailto:null@null___NORMAL@FALTA___Custom_S_TS_SB" TargetMode="External" Id="rId176"/><Relationship Type="http://schemas.openxmlformats.org/officeDocument/2006/relationships/hyperlink" Target="mailto:null@null___NORMAL@FALTA___Custom_S_TS_SB" TargetMode="External" Id="rId177"/><Relationship Type="http://schemas.openxmlformats.org/officeDocument/2006/relationships/hyperlink" Target="mailto:null@null___NORMAL@FALTA___Custom_S_TS_SB" TargetMode="External" Id="rId178"/><Relationship Type="http://schemas.openxmlformats.org/officeDocument/2006/relationships/hyperlink" Target="mailto:null@null___NORMAL@FALTA___Custom_S_TS_SB" TargetMode="External" Id="rId179"/><Relationship Type="http://schemas.openxmlformats.org/officeDocument/2006/relationships/hyperlink" Target="mailto:null@null___NORMAL@FALTA___Custom_S_TS_SB" TargetMode="External" Id="rId180"/><Relationship Type="http://schemas.openxmlformats.org/officeDocument/2006/relationships/hyperlink" Target="mailto:null@null___NORMAL@FALTA___Custom_S_TS_SB" TargetMode="External" Id="rId181"/><Relationship Type="http://schemas.openxmlformats.org/officeDocument/2006/relationships/hyperlink" Target="mailto:null@null___NORMAL@FALTA___Custom_S_TS_SB" TargetMode="External" Id="rId182"/><Relationship Type="http://schemas.openxmlformats.org/officeDocument/2006/relationships/hyperlink" Target="mailto:null@null___NORMAL@FALTA___Custom_S_TS_SB" TargetMode="External" Id="rId183"/><Relationship Type="http://schemas.openxmlformats.org/officeDocument/2006/relationships/hyperlink" Target="mailto:null@null___NORMAL@FALTA___Custom_S_TS_SB" TargetMode="External" Id="rId184"/><Relationship Type="http://schemas.openxmlformats.org/officeDocument/2006/relationships/hyperlink" Target="mailto:null@null___NORMAL@FALTA___Custom_S_TS_SB" TargetMode="External" Id="rId185"/><Relationship Type="http://schemas.openxmlformats.org/officeDocument/2006/relationships/hyperlink" Target="mailto:null@null___NORMAL@FALHA___Custom_S_TS_SI" TargetMode="External" Id="rId186"/><Relationship Type="http://schemas.openxmlformats.org/officeDocument/2006/relationships/hyperlink" Target="mailto:null@null___NORMAL@FALHA___Custom_S_TS_SI" TargetMode="External" Id="rId187"/><Relationship Type="http://schemas.openxmlformats.org/officeDocument/2006/relationships/hyperlink" Target="mailto:null@null___NORMAL@FALHA___Custom_S_TS_SI" TargetMode="External" Id="rId188"/><Relationship Type="http://schemas.openxmlformats.org/officeDocument/2006/relationships/hyperlink" Target="mailto:null@null___NORMAL@FALTA___Custom_S_TS_SB" TargetMode="External" Id="rId189"/><Relationship Type="http://schemas.openxmlformats.org/officeDocument/2006/relationships/hyperlink" Target="mailto:null@null___NORMAL@FALTA___Custom_S_TS_SB" TargetMode="External" Id="rId190"/><Relationship Type="http://schemas.openxmlformats.org/officeDocument/2006/relationships/hyperlink" Target="mailto:null@null___NORMAL@FALTA___Custom_S_TS_SB" TargetMode="External" Id="rId191"/><Relationship Type="http://schemas.openxmlformats.org/officeDocument/2006/relationships/hyperlink" Target="mailto:null@null___NORMAL@FALTA___Custom_S_TS_SB" TargetMode="External" Id="rId192"/><Relationship Type="http://schemas.openxmlformats.org/officeDocument/2006/relationships/hyperlink" Target="mailto:null@null___NORMAL@FALTA___Custom_S_TS_SB" TargetMode="External" Id="rId193"/><Relationship Type="http://schemas.openxmlformats.org/officeDocument/2006/relationships/hyperlink" Target="mailto:null@null___NORMAL@FALTA___Custom_S_TS_SB" TargetMode="External" Id="rId194"/><Relationship Type="http://schemas.openxmlformats.org/officeDocument/2006/relationships/hyperlink" Target="mailto:null@null___NORMAL@FALTA___Custom_S_TS_SB" TargetMode="External" Id="rId195"/><Relationship Type="http://schemas.openxmlformats.org/officeDocument/2006/relationships/hyperlink" Target="mailto:null@null___NORMAL@FALTA___Custom_S_TS_SB" TargetMode="External" Id="rId196"/><Relationship Type="http://schemas.openxmlformats.org/officeDocument/2006/relationships/hyperlink" Target="mailto:null@null___NORMAL@FALTA___Custom_S_TS_SB" TargetMode="External" Id="rId197"/><Relationship Type="http://schemas.openxmlformats.org/officeDocument/2006/relationships/hyperlink" Target="mailto:null@null___NORMAL@FALTA___Custom_S_TS_SB" TargetMode="External" Id="rId198"/><Relationship Type="http://schemas.openxmlformats.org/officeDocument/2006/relationships/hyperlink" Target="mailto:null@null___NORMAL@FALTA___Custom_S_TS_SB" TargetMode="External" Id="rId199"/><Relationship Type="http://schemas.openxmlformats.org/officeDocument/2006/relationships/hyperlink" Target="mailto:null@null___NORMAL@FALTA___Custom_S_TS_SB" TargetMode="External" Id="rId200"/><Relationship Type="http://schemas.openxmlformats.org/officeDocument/2006/relationships/hyperlink" Target="mailto:null@null___NORMAL@FALTA___Custom_S_TS_SB" TargetMode="External" Id="rId201"/><Relationship Type="http://schemas.openxmlformats.org/officeDocument/2006/relationships/hyperlink" Target="mailto:null@null___NORMAL@FALTA___Custom_S_TS_SB" TargetMode="External" Id="rId202"/><Relationship Type="http://schemas.openxmlformats.org/officeDocument/2006/relationships/hyperlink" Target="mailto:null@null___NORMAL@FALTA___Custom_S_TS_SB" TargetMode="External" Id="rId203"/><Relationship Type="http://schemas.openxmlformats.org/officeDocument/2006/relationships/hyperlink" Target="mailto:null@null___NORMAL@FALTA___Custom_S_TS_SB" TargetMode="External" Id="rId204"/><Relationship Type="http://schemas.openxmlformats.org/officeDocument/2006/relationships/hyperlink" Target="mailto:null@null___NORMAL@FALTA___Custom_S_TS_SB" TargetMode="External" Id="rId205"/><Relationship Type="http://schemas.openxmlformats.org/officeDocument/2006/relationships/hyperlink" Target="mailto:null@null___NORMAL@ATUADO___RelayTrip_S_TS_SA" TargetMode="External" Id="rId206"/><Relationship Type="http://schemas.openxmlformats.org/officeDocument/2006/relationships/hyperlink" Target="mailto:null@null___NORMAL@ATUADO___RelayTrip_S_TS_SA" TargetMode="External" Id="rId207"/><Relationship Type="http://schemas.openxmlformats.org/officeDocument/2006/relationships/hyperlink" Target="mailto:null@null___NORMAL@ATUADO___RelayTrip_S_TS_SA" TargetMode="External" Id="rId208"/><Relationship Type="http://schemas.openxmlformats.org/officeDocument/2006/relationships/hyperlink" Target="mailto:null@null___NORMAL@ATUADO___Custom_S_TS_SA" TargetMode="External" Id="rId209"/><Relationship Type="http://schemas.openxmlformats.org/officeDocument/2006/relationships/hyperlink" Target="mailto:null@null___NORMAL@ATUADO___Custom_S_TS_SA" TargetMode="External" Id="rId210"/><Relationship Type="http://schemas.openxmlformats.org/officeDocument/2006/relationships/hyperlink" Target="mailto:null@null___NORMAL@ATUADO___Custom_S_TS_SA" TargetMode="External" Id="rId211"/><Relationship Type="http://schemas.openxmlformats.org/officeDocument/2006/relationships/hyperlink" Target="mailto:INCLUIR@EXCLUIR___INCLUIDO@EXCLUIDO___Enabled_S_TS_SS" TargetMode="External" Id="rId212"/><Relationship Type="http://schemas.openxmlformats.org/officeDocument/2006/relationships/hyperlink" Target="mailto:null@null___NORMAL@FALHA___Custom_S_TS_SA" TargetMode="External" Id="rId213"/><Relationship Type="http://schemas.openxmlformats.org/officeDocument/2006/relationships/hyperlink" Target="mailto:INCLUIR@EXCLUIR___INCLUIDO@EXCLUIDO___Enabled_S_TS_SS" TargetMode="External" Id="rId214"/><Relationship Type="http://schemas.openxmlformats.org/officeDocument/2006/relationships/hyperlink" Target="mailto:TROCA@null___null@null___Custom_S_TC_SV" TargetMode="External" Id="rId215"/><Relationship Type="http://schemas.openxmlformats.org/officeDocument/2006/relationships/hyperlink" Target="mailto:null@null___NORMAL@ATUADO___RelayTrip_S_TS_SA" TargetMode="External" Id="rId216"/><Relationship Type="http://schemas.openxmlformats.org/officeDocument/2006/relationships/hyperlink" Target="mailto:null@null___NORMAL@ATUADO___RelayTrip_S_TS_SA" TargetMode="External" Id="rId217"/><Relationship Type="http://schemas.openxmlformats.org/officeDocument/2006/relationships/hyperlink" Target="mailto:null@null___NORMAL@ATUADO___RelayTrip_S_TS_SA" TargetMode="External" Id="rId218"/><Relationship Type="http://schemas.openxmlformats.org/officeDocument/2006/relationships/hyperlink" Target="mailto:null@null___NORMAL@ATUADO___RelayTrip_S_TS_SA" TargetMode="External" Id="rId219"/><Relationship Type="http://schemas.openxmlformats.org/officeDocument/2006/relationships/hyperlink" Target="mailto:null@null___NORMAL@ATUADO___Custom_S_TS_SI" TargetMode="External" Id="rId220"/><Relationship Type="http://schemas.openxmlformats.org/officeDocument/2006/relationships/hyperlink" Target="mailto:null@null___EXTRAIDA@INSERIDA___Custom_S_TS_SS" TargetMode="External" Id="rId221"/><Relationship Type="http://schemas.openxmlformats.org/officeDocument/2006/relationships/hyperlink" Target="mailto:null@null___NORMAL@ATUADO___Custom_S_TS_SS" TargetMode="External" Id="rId222"/><Relationship Type="http://schemas.openxmlformats.org/officeDocument/2006/relationships/hyperlink" Target="mailto:null@null___NORMAL@ATUADO___Custom_S_TS_SA" TargetMode="External" Id="rId223"/><Relationship Type="http://schemas.openxmlformats.org/officeDocument/2006/relationships/hyperlink" Target="mailto:null@null___NORMAL@ATUADO___Custom_S_TS_SA" TargetMode="External" Id="rId224"/><Relationship Type="http://schemas.openxmlformats.org/officeDocument/2006/relationships/hyperlink" Target="mailto:null@null___NORMAL@ATUADO___Custom_S_TS_SA" TargetMode="External" Id="rId225"/><Relationship Type="http://schemas.openxmlformats.org/officeDocument/2006/relationships/hyperlink" Target="mailto:null@null___NORMAL@ATUADO___Custom_S_TS_SA" TargetMode="External" Id="rId226"/><Relationship Type="http://schemas.openxmlformats.org/officeDocument/2006/relationships/hyperlink" Target="mailto:INCLUIR@EXCLUIR___INCLUIDO@EXCLUIDO___Enabled_S_TS_SS" TargetMode="External" Id="rId227"/><Relationship Type="http://schemas.openxmlformats.org/officeDocument/2006/relationships/hyperlink" Target="mailto:null@null___NORMAL@ATUADO___Custom_S_TS_SA" TargetMode="External" Id="rId228"/><Relationship Type="http://schemas.openxmlformats.org/officeDocument/2006/relationships/hyperlink" Target="mailto:null@null___NORMAL@ATUADO___Custom_S_TS_SB" TargetMode="External" Id="rId229"/><Relationship Type="http://schemas.openxmlformats.org/officeDocument/2006/relationships/hyperlink" Target="mailto:null@null___NORMAL@ATUADO___Custom_S_TS_SB" TargetMode="External" Id="rId230"/><Relationship Type="http://schemas.openxmlformats.org/officeDocument/2006/relationships/hyperlink" Target="mailto:null@null___NORMAL@ATUADO___Custom_S_TS_SV" TargetMode="External" Id="rId231"/><Relationship Type="http://schemas.openxmlformats.org/officeDocument/2006/relationships/hyperlink" Target="mailto:null@null___NORMAL@ATUADO___Custom_S_TS_SV" TargetMode="External" Id="rId232"/><Relationship Type="http://schemas.openxmlformats.org/officeDocument/2006/relationships/hyperlink" Target="mailto:null@null___NORMAL@ATUADO___Custom_S_TS_SV" TargetMode="External" Id="rId233"/><Relationship Type="http://schemas.openxmlformats.org/officeDocument/2006/relationships/hyperlink" Target="mailto:null@null___NORMAL@ATUADO___Custom_S_TS_SB" TargetMode="External" Id="rId234"/><Relationship Type="http://schemas.openxmlformats.org/officeDocument/2006/relationships/hyperlink" Target="mailto:null@null___NORMAL@ATUADO___Custom_S_TS_SI" TargetMode="External" Id="rId235"/><Relationship Type="http://schemas.openxmlformats.org/officeDocument/2006/relationships/hyperlink" Target="mailto:null@null___NORMAL@ATUADO___Custom_S_TS_SI" TargetMode="External" Id="rId236"/><Relationship Type="http://schemas.openxmlformats.org/officeDocument/2006/relationships/hyperlink" Target="mailto:null@null___NORMAL@ATUADO___Custom_S_TS_SB" TargetMode="External" Id="rId237"/><Relationship Type="http://schemas.openxmlformats.org/officeDocument/2006/relationships/hyperlink" Target="mailto:null@null___NORMAL@ATUADO___Custom_S_TS_SB" TargetMode="External" Id="rId238"/><Relationship Type="http://schemas.openxmlformats.org/officeDocument/2006/relationships/hyperlink" Target="mailto:null@null___NORMAL@ATUADO___Custom_S_TS_SB" TargetMode="External" Id="rId239"/><Relationship Type="http://schemas.openxmlformats.org/officeDocument/2006/relationships/hyperlink" Target="mailto:null@null___NORMAL@ATUADO___Custom_S_TS_SB" TargetMode="External" Id="rId240"/><Relationship Type="http://schemas.openxmlformats.org/officeDocument/2006/relationships/hyperlink" Target="mailto:null@null___NORMAL@ATUADO___RelayTrip_S_TS_SA" TargetMode="External" Id="rId241"/><Relationship Type="http://schemas.openxmlformats.org/officeDocument/2006/relationships/hyperlink" Target="mailto:null@null___COMPLETA@INCOMPLETA___Custom_S_TS_SA" TargetMode="External" Id="rId242"/><Relationship Type="http://schemas.openxmlformats.org/officeDocument/2006/relationships/hyperlink" Target="mailto:INCLUIR@EXCLUIR___INCLUIDO@EXCLUIDO___Custom_S_TC_SS" TargetMode="External" Id="rId243"/><Relationship Type="http://schemas.openxmlformats.org/officeDocument/2006/relationships/hyperlink" Target="mailto:null@null___NORMAL@ATUADO___Custom_S_TS_SB" TargetMode="External" Id="rId244"/><Relationship Type="http://schemas.openxmlformats.org/officeDocument/2006/relationships/hyperlink" Target="mailto:null@null___NORMAL@ATUADO___Custom_S_TS_SB" TargetMode="External" Id="rId245"/><Relationship Type="http://schemas.openxmlformats.org/officeDocument/2006/relationships/hyperlink" Target="mailto:null@null___NORMAL@ATUADO___Custom_S_TS_SB" TargetMode="External" Id="rId246"/><Relationship Type="http://schemas.openxmlformats.org/officeDocument/2006/relationships/hyperlink" Target="mailto:null@null___NORMAL@ATUADO___Custom_S_TS_SB" TargetMode="External" Id="rId247"/><Relationship Type="http://schemas.openxmlformats.org/officeDocument/2006/relationships/hyperlink" Target="mailto:null@null___NORMAL@ATUADO___Custom_S_TS_SB" TargetMode="External" Id="rId248"/><Relationship Type="http://schemas.openxmlformats.org/officeDocument/2006/relationships/hyperlink" Target="mailto:null@null___NORMAL@ATUADO___Custom_S_TS_SB" TargetMode="External" Id="rId249"/><Relationship Type="http://schemas.openxmlformats.org/officeDocument/2006/relationships/hyperlink" Target="mailto:null@null___NORMAL@ATUADO___Custom_S_TS_SB" TargetMode="External" Id="rId250"/><Relationship Type="http://schemas.openxmlformats.org/officeDocument/2006/relationships/hyperlink" Target="mailto:null@null___NORMAL@FALHA___Custom_S_TS_SI" TargetMode="External" Id="rId251"/><Relationship Type="http://schemas.openxmlformats.org/officeDocument/2006/relationships/hyperlink" Target="mailto:DESLIGAR@LIGAR___DESLIGADO@LIGADO___Custom_S_TS_SV" TargetMode="External" Id="rId252"/><Relationship Type="http://schemas.openxmlformats.org/officeDocument/2006/relationships/hyperlink" Target="mailto:DESLIGAR@LIGAR___DESLIGADO@LIGADO___Custom_S_TS_SV" TargetMode="External" Id="rId253"/><Relationship Type="http://schemas.openxmlformats.org/officeDocument/2006/relationships/hyperlink" Target="mailto:DESLIGAR@LIGAR___DESLIGADO@LIGADO___Custom_S_TC_SV" TargetMode="External" Id="rId254"/><Relationship Type="http://schemas.openxmlformats.org/officeDocument/2006/relationships/hyperlink" Target="mailto:DESLIGAR@LIGAR___DESLIGADO@LIGADO___Custom_S_TS_SV" TargetMode="External" Id="rId255"/><Relationship Type="http://schemas.openxmlformats.org/officeDocument/2006/relationships/hyperlink" Target="mailto:DESLIGAR@LIGAR___DESLIGADO@LIGADO___Custom_S_TC_SV" TargetMode="External" Id="rId256"/><Relationship Type="http://schemas.openxmlformats.org/officeDocument/2006/relationships/hyperlink" Target="mailto:DESLIGAR@LIGAR___DESLIGADO@LIGADO___Custom_S_TS_SV" TargetMode="External" Id="rId257"/><Relationship Type="http://schemas.openxmlformats.org/officeDocument/2006/relationships/hyperlink" Target="mailto:DESLIGAR@LIGAR___DESLIGADO@LIGADO___Custom_S_TC_SV" TargetMode="External" Id="rId258"/><Relationship Type="http://schemas.openxmlformats.org/officeDocument/2006/relationships/hyperlink" Target="mailto:DESLIGAR@LIGAR___DESLIGADO@LIGADO___Custom_S_TS_SV" TargetMode="External" Id="rId259"/><Relationship Type="http://schemas.openxmlformats.org/officeDocument/2006/relationships/hyperlink" Target="mailto:DESLIGAR@LIGAR___DESLIGADO@LIGADO___Custom_S_TC_SV" TargetMode="External" Id="rId260"/><Relationship Type="http://schemas.openxmlformats.org/officeDocument/2006/relationships/hyperlink" Target="mailto:DESLIGAR@LIGAR___DESLIGADO@LIGADO___Custom_S_TS_SV" TargetMode="External" Id="rId261"/><Relationship Type="http://schemas.openxmlformats.org/officeDocument/2006/relationships/hyperlink" Target="mailto:DESLIGAR@LIGAR___DESLIGADO@LIGADO___Custom_S_TC_SV" TargetMode="External" Id="rId262"/><Relationship Type="http://schemas.openxmlformats.org/officeDocument/2006/relationships/hyperlink" Target="mailto:AUTOMATICO@MANUAL___AUTOMATICO@MANUAL___Custom___admsINV_S_TS_SV" TargetMode="External" Id="rId263"/><Relationship Type="http://schemas.openxmlformats.org/officeDocument/2006/relationships/hyperlink" Target="mailto:null@null___DESABILITADO@HABILITADO___Custom_S_TS_SV" TargetMode="External" Id="rId264"/><Relationship Type="http://schemas.openxmlformats.org/officeDocument/2006/relationships/hyperlink" Target="mailto:null@null___NORMAL@FALHA___Custom_S_TS_SB" TargetMode="External" Id="rId265"/><Relationship Type="http://schemas.openxmlformats.org/officeDocument/2006/relationships/hyperlink" Target="mailto:null@null___NORMAL@FALHA___Custom_S_TS_SI" TargetMode="External" Id="rId266"/><Relationship Type="http://schemas.openxmlformats.org/officeDocument/2006/relationships/hyperlink" Target="mailto:null@null___NORMAL@FALHA___Custom_S_TS_SI" TargetMode="External" Id="rId267"/><Relationship Type="http://schemas.openxmlformats.org/officeDocument/2006/relationships/hyperlink" Target="mailto:null@null___NORMAL@FALHA___Custom_S_TS_SI" TargetMode="External" Id="rId268"/><Relationship Type="http://schemas.openxmlformats.org/officeDocument/2006/relationships/hyperlink" Target="mailto:null@null___NORMAL@FALHA___Custom_S_TS_SI" TargetMode="External" Id="rId269"/><Relationship Type="http://schemas.openxmlformats.org/officeDocument/2006/relationships/hyperlink" Target="mailto:null@null___NORMAL@FALHA___Custom_S_TS_SI" TargetMode="External" Id="rId270"/><Relationship Type="http://schemas.openxmlformats.org/officeDocument/2006/relationships/hyperlink" Target="mailto:null@null___NORMAL@FALHA___Custom_S_TS_SI" TargetMode="External" Id="rId271"/><Relationship Type="http://schemas.openxmlformats.org/officeDocument/2006/relationships/hyperlink" Target="mailto:null@null___NORMAL@FALHA___Custom_S_TS_SB" TargetMode="External" Id="rId272"/><Relationship Type="http://schemas.openxmlformats.org/officeDocument/2006/relationships/hyperlink" Target="mailto:null@null___NORMAL@ATUADO___Custom_S_TS_SB" TargetMode="External" Id="rId273"/><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7.xml.rels><Relationships xmlns="http://schemas.openxmlformats.org/package/2006/relationships"><Relationship Type="http://schemas.openxmlformats.org/officeDocument/2006/relationships/drawing" Target="/xl/drawings/drawing1.xml" Id="rId1"/></Relationships>
</file>

<file path=xl/worksheets/_rels/sheet8.xml.rels><Relationships xmlns="http://schemas.openxmlformats.org/package/2006/relationships"><Relationship Type="http://schemas.openxmlformats.org/officeDocument/2006/relationships/hyperlink" Target="mailto:null@null___NORMAL@ATUADO___RecloserLockout_S_TS_SA" TargetMode="External" Id="rId1"/><Relationship Type="http://schemas.openxmlformats.org/officeDocument/2006/relationships/hyperlink" Target="mailto:DI_null@null___NORMAL@ATUADO___RecloserLockout_S_TS" TargetMode="External" Id="rId2"/><Relationship Type="http://schemas.openxmlformats.org/officeDocument/2006/relationships/hyperlink" Target="mailto:null@null___NORMAL@DISPARADA___Custom_S_TS_SV" TargetMode="External" Id="rId3"/><Relationship Type="http://schemas.openxmlformats.org/officeDocument/2006/relationships/hyperlink" Target="mailto:INCLUIR@EXCLUIR___INCLUIDO@EXCLUIDO___Custom_S_TC_SS" TargetMode="External" Id="rId4"/><Relationship Type="http://schemas.openxmlformats.org/officeDocument/2006/relationships/hyperlink" Target="mailto:null@null___EXTRAIDO@INSERIDO___Custom_S_TS_SI" TargetMode="External" Id="rId5"/><Relationship Type="http://schemas.openxmlformats.org/officeDocument/2006/relationships/hyperlink" Target="mailto:INCLUIR@EXCLUIR___INCLUIDO@EXCLUIDO___Enabled_S_TC_SA" TargetMode="External" Id="rId6"/><Relationship Type="http://schemas.openxmlformats.org/officeDocument/2006/relationships/hyperlink" Target="mailto:INCLUIR@EXCLUIR___INCLUIDO@EXCLUIDO___Enabled_S_TC_SS" TargetMode="External" Id="rId7"/><Relationship Type="http://schemas.openxmlformats.org/officeDocument/2006/relationships/hyperlink" Target="mailto:null@null___DESABILITADO@HABILITADO___Custom_S_TS_SV" TargetMode="External" Id="rId8"/><Relationship Type="http://schemas.openxmlformats.org/officeDocument/2006/relationships/table" Target="/xl/tables/table1.xml" Id="rId9"/><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9.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10.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sheet1.xml><?xml version="1.0" encoding="utf-8"?>
<worksheet xmlns="http://schemas.openxmlformats.org/spreadsheetml/2006/main">
  <sheetPr codeName="Planilha1">
    <tabColor theme="8"/>
    <outlinePr summaryBelow="1" summaryRight="1"/>
    <pageSetUpPr/>
  </sheetPr>
  <dimension ref="A1:P693"/>
  <sheetViews>
    <sheetView tabSelected="1" topLeftCell="C1" workbookViewId="0">
      <pane ySplit="1" topLeftCell="A38" activePane="bottomLeft" state="frozen"/>
      <selection activeCell="L37" sqref="L37"/>
      <selection pane="bottomLeft" activeCell="G63" sqref="G63"/>
    </sheetView>
  </sheetViews>
  <sheetFormatPr baseColWidth="8" defaultRowHeight="15"/>
  <cols>
    <col width="11.5703125" bestFit="1" customWidth="1" min="1" max="1"/>
    <col width="65" customWidth="1" min="2" max="2"/>
    <col width="15.5703125" customWidth="1" min="3" max="3"/>
    <col width="25.140625" customWidth="1" min="4" max="5"/>
    <col width="61.5703125" customWidth="1" min="6" max="6"/>
    <col width="35.5703125" customWidth="1" min="7" max="7"/>
    <col width="9.28515625" bestFit="1" customWidth="1" min="8" max="8"/>
    <col width="19.42578125" customWidth="1" min="9" max="9"/>
    <col width="12.42578125" bestFit="1" customWidth="1" min="10" max="10"/>
    <col width="93.140625" customWidth="1" min="11" max="11"/>
    <col width="11" customWidth="1" min="12" max="16"/>
  </cols>
  <sheetData>
    <row r="1">
      <c r="A1" s="93" t="inlineStr">
        <is>
          <t>SINAL</t>
        </is>
      </c>
      <c r="B1" s="1" t="inlineStr">
        <is>
          <t>DESCRIÇÃO NOVA</t>
        </is>
      </c>
      <c r="C1" s="1" t="inlineStr">
        <is>
          <t>SIGNAL TYPE</t>
        </is>
      </c>
      <c r="D1" s="1" t="inlineStr">
        <is>
          <t>TYPE SEVERIDADE</t>
        </is>
      </c>
      <c r="E1" s="1" t="inlineStr">
        <is>
          <t>DIRECTION</t>
        </is>
      </c>
      <c r="F1" s="1" t="inlineStr">
        <is>
          <t>MM</t>
        </is>
      </c>
      <c r="G1" s="1" t="inlineStr">
        <is>
          <t>FUNÇÃO</t>
        </is>
      </c>
      <c r="H1" s="1" t="inlineStr">
        <is>
          <t>VALOR</t>
        </is>
      </c>
      <c r="I1" s="1" t="inlineStr">
        <is>
          <t>CONTROL CODE</t>
        </is>
      </c>
      <c r="J1" s="1" t="inlineStr">
        <is>
          <t>SEVERIDADE</t>
        </is>
      </c>
      <c r="K1" s="1" t="inlineStr">
        <is>
          <t>Funcionamento</t>
        </is>
      </c>
      <c r="L1" s="1" t="inlineStr">
        <is>
          <t>LINHA</t>
        </is>
      </c>
      <c r="M1" s="1" t="inlineStr">
        <is>
          <t>BARRA</t>
        </is>
      </c>
      <c r="N1" s="1" t="inlineStr">
        <is>
          <t>TRANSFORMADOR</t>
        </is>
      </c>
      <c r="O1" s="1" t="inlineStr">
        <is>
          <t>ALIMENTADOR</t>
        </is>
      </c>
      <c r="P1" s="1" t="inlineStr">
        <is>
          <t>TRANSFERÊNCIA</t>
        </is>
      </c>
    </row>
    <row r="2">
      <c r="A2" s="94" t="inlineStr">
        <is>
          <t>CMDE</t>
        </is>
      </c>
      <c r="B2" s="2" t="inlineStr">
        <is>
          <t>PROPRIEDADE DO COMANDO</t>
        </is>
      </c>
      <c r="C2" s="2" t="inlineStr">
        <is>
          <t>Custom</t>
        </is>
      </c>
      <c r="D2" s="2" t="inlineStr">
        <is>
          <t>ALARMES PREDIAIS/VF/GRUPO</t>
        </is>
      </c>
      <c r="E2" s="2" t="inlineStr">
        <is>
          <t>ReadWrite</t>
        </is>
      </c>
      <c r="F2" s="2" t="inlineStr">
        <is>
          <t>CMD_CEEE@CMD_RGE___CEEE@RGE___Custom___INV___admsINV_S_TC_SA</t>
        </is>
      </c>
      <c r="G2" s="2">
        <f>VLOOKUP(F2,'Message Mapping'!A:L,3,FALSE)</f>
        <v/>
      </c>
      <c r="H2" s="2">
        <f>VLOOKUP(F2,'Message Mapping'!A:L,4,FALSE)</f>
        <v/>
      </c>
      <c r="I2" s="2" t="n"/>
      <c r="J2" s="3">
        <f>VLOOKUP(F2,'Message Mapping'!A:L,12,FALSE)</f>
        <v/>
      </c>
      <c r="K2" s="3" t="n"/>
      <c r="L2" s="3" t="n"/>
      <c r="M2" s="3" t="n"/>
      <c r="N2" s="3" t="n"/>
      <c r="O2" s="3" t="n"/>
      <c r="P2" s="3" t="n"/>
    </row>
    <row r="3">
      <c r="A3" s="94" t="inlineStr">
        <is>
          <t>CCIC</t>
        </is>
      </c>
      <c r="B3" s="2" t="inlineStr">
        <is>
          <t>CHAVE DE COMANDO ICCP</t>
        </is>
      </c>
      <c r="C3" s="2" t="inlineStr">
        <is>
          <t>Custom</t>
        </is>
      </c>
      <c r="D3" s="2" t="inlineStr">
        <is>
          <t>ALARMES PREDIAIS/VF/GRUPO</t>
        </is>
      </c>
      <c r="E3" s="2" t="inlineStr">
        <is>
          <t>ReadWrite</t>
        </is>
      </c>
      <c r="F3" s="2" t="inlineStr">
        <is>
          <t>CMD_RGE@null___RGE@CPFLT___Custom_S_TC_SS_CPFLT</t>
        </is>
      </c>
      <c r="G3" s="2">
        <f>VLOOKUP(F3,'Message Mapping'!A:L,3,FALSE)</f>
        <v/>
      </c>
      <c r="H3" s="2">
        <f>VLOOKUP(F3,'Message Mapping'!A:L,4,FALSE)</f>
        <v/>
      </c>
      <c r="I3" s="2" t="n"/>
      <c r="J3" s="3">
        <f>VLOOKUP(F3,'Message Mapping'!A:L,12,FALSE)</f>
        <v/>
      </c>
      <c r="K3" s="3" t="inlineStr">
        <is>
          <t>Chave Virtual para seleção de quem está com o controle dos equipamentos (intertrava comandos no SAGE)</t>
        </is>
      </c>
      <c r="L3" s="3" t="n"/>
      <c r="M3" s="3" t="n"/>
      <c r="N3" s="3" t="n"/>
      <c r="O3" s="3" t="n"/>
      <c r="P3" s="3" t="n"/>
    </row>
    <row r="4">
      <c r="A4" s="94" t="inlineStr">
        <is>
          <t>20A</t>
        </is>
      </c>
      <c r="B4" s="2" t="inlineStr">
        <is>
          <t>20 - ALARME VALVULA</t>
        </is>
      </c>
      <c r="C4" s="2" t="inlineStr">
        <is>
          <t>Custom</t>
        </is>
      </c>
      <c r="D4" s="2" t="inlineStr">
        <is>
          <t>PROT</t>
        </is>
      </c>
      <c r="E4" s="2" t="inlineStr">
        <is>
          <t>Read</t>
        </is>
      </c>
      <c r="F4" s="2" t="inlineStr">
        <is>
          <t>null@null___NORMAL@ATUADO___Custom_S_TS_SA</t>
        </is>
      </c>
      <c r="G4" s="2">
        <f>VLOOKUP(F4,'Message Mapping'!A:L,3,FALSE)</f>
        <v/>
      </c>
      <c r="H4" s="2">
        <f>VLOOKUP(F4,'Message Mapping'!A:L,4,FALSE)</f>
        <v/>
      </c>
      <c r="I4" s="2" t="n"/>
      <c r="J4" s="3">
        <f>VLOOKUP(F4,'Message Mapping'!A:L,12,FALSE)</f>
        <v/>
      </c>
      <c r="K4" s="3" t="n"/>
      <c r="L4" s="3" t="n"/>
      <c r="M4" s="3" t="n"/>
      <c r="N4" s="3" t="n"/>
      <c r="O4" s="3" t="n"/>
      <c r="P4" s="3" t="n"/>
    </row>
    <row r="5">
      <c r="A5" s="94" t="inlineStr">
        <is>
          <t>20CA</t>
        </is>
      </c>
      <c r="B5" s="2" t="inlineStr">
        <is>
          <t xml:space="preserve">20 - ALARME VALVULA CDC          </t>
        </is>
      </c>
      <c r="C5" s="2" t="inlineStr">
        <is>
          <t>Custom</t>
        </is>
      </c>
      <c r="D5" s="2" t="inlineStr">
        <is>
          <t>PROT</t>
        </is>
      </c>
      <c r="E5" s="2" t="inlineStr">
        <is>
          <t>Read</t>
        </is>
      </c>
      <c r="F5" s="2" t="inlineStr">
        <is>
          <t>null@null___NORMAL@ATUADO___Custom_S_TS_SA</t>
        </is>
      </c>
      <c r="G5" s="2">
        <f>VLOOKUP(F5,'Message Mapping'!A:L,3,FALSE)</f>
        <v/>
      </c>
      <c r="H5" s="2">
        <f>VLOOKUP(F5,'Message Mapping'!A:L,4,FALSE)</f>
        <v/>
      </c>
      <c r="I5" s="2" t="n"/>
      <c r="J5" s="3">
        <f>VLOOKUP(F5,'Message Mapping'!A:L,12,FALSE)</f>
        <v/>
      </c>
      <c r="K5" s="3" t="n"/>
      <c r="L5" s="3" t="n"/>
      <c r="M5" s="3" t="n"/>
      <c r="N5" s="3" t="n"/>
      <c r="O5" s="3" t="n"/>
      <c r="P5" s="3" t="n"/>
    </row>
    <row r="6">
      <c r="A6" s="94" t="inlineStr">
        <is>
          <t>20TA</t>
        </is>
      </c>
      <c r="B6" s="2" t="inlineStr">
        <is>
          <t>20 - ALARME VALVULA TRAFO</t>
        </is>
      </c>
      <c r="C6" s="2" t="inlineStr">
        <is>
          <t>Custom</t>
        </is>
      </c>
      <c r="D6" s="2" t="inlineStr">
        <is>
          <t>PROT</t>
        </is>
      </c>
      <c r="E6" s="2" t="inlineStr">
        <is>
          <t>Read</t>
        </is>
      </c>
      <c r="F6" s="2" t="inlineStr">
        <is>
          <t>null@null___NORMAL@ATUADO___Custom_S_TS_SA</t>
        </is>
      </c>
      <c r="G6" s="2">
        <f>VLOOKUP(F6,'Message Mapping'!A:L,3,FALSE)</f>
        <v/>
      </c>
      <c r="H6" s="2">
        <f>VLOOKUP(F6,'Message Mapping'!A:L,4,FALSE)</f>
        <v/>
      </c>
      <c r="I6" s="2" t="n"/>
      <c r="J6" s="3">
        <f>VLOOKUP(F6,'Message Mapping'!A:L,12,FALSE)</f>
        <v/>
      </c>
      <c r="K6" s="3" t="n"/>
      <c r="L6" s="3" t="n"/>
      <c r="M6" s="3" t="n"/>
      <c r="N6" s="3" t="n"/>
      <c r="O6" s="3" t="n"/>
      <c r="P6" s="3" t="n"/>
    </row>
    <row r="7">
      <c r="A7" s="94" t="inlineStr">
        <is>
          <t>20T</t>
        </is>
      </c>
      <c r="B7" s="2" t="inlineStr">
        <is>
          <t>20 - VALVULA TRANSFORMADOR</t>
        </is>
      </c>
      <c r="C7" s="2" t="inlineStr">
        <is>
          <t>RelayTrip</t>
        </is>
      </c>
      <c r="D7" s="2" t="inlineStr">
        <is>
          <t>PROT</t>
        </is>
      </c>
      <c r="E7" s="2" t="inlineStr">
        <is>
          <t>Read</t>
        </is>
      </c>
      <c r="F7" s="2" t="inlineStr">
        <is>
          <t>null@null___NORMAL@ATUADO___RelayTrip_S_TS_SA</t>
        </is>
      </c>
      <c r="G7" s="2">
        <f>VLOOKUP(F7,'Message Mapping'!A:L,3,FALSE)</f>
        <v/>
      </c>
      <c r="H7" s="2">
        <f>VLOOKUP(F7,'Message Mapping'!A:L,4,FALSE)</f>
        <v/>
      </c>
      <c r="I7" s="2" t="n"/>
      <c r="J7" s="3">
        <f>VLOOKUP(F7,'Message Mapping'!A:L,12,FALSE)</f>
        <v/>
      </c>
      <c r="K7" s="3" t="n"/>
      <c r="L7" s="3" t="n"/>
      <c r="M7" s="3" t="n"/>
      <c r="N7" s="3" t="n"/>
      <c r="O7" s="3" t="n"/>
      <c r="P7" s="3" t="n"/>
    </row>
    <row r="8">
      <c r="A8" s="94" t="inlineStr">
        <is>
          <t>20C</t>
        </is>
      </c>
      <c r="B8" s="2" t="inlineStr">
        <is>
          <t>20 - VALVULA COMUTADOR</t>
        </is>
      </c>
      <c r="C8" s="2" t="inlineStr">
        <is>
          <t>RelayTrip</t>
        </is>
      </c>
      <c r="D8" s="2" t="inlineStr">
        <is>
          <t>PROT</t>
        </is>
      </c>
      <c r="E8" s="2" t="inlineStr">
        <is>
          <t>Read</t>
        </is>
      </c>
      <c r="F8" s="2" t="inlineStr">
        <is>
          <t>null@null___NORMAL@ATUADO___RelayTrip_S_TS_SA</t>
        </is>
      </c>
      <c r="G8" s="2">
        <f>VLOOKUP(F8,'Message Mapping'!A:L,3,FALSE)</f>
        <v/>
      </c>
      <c r="H8" s="2">
        <f>VLOOKUP(F8,'Message Mapping'!A:L,4,FALSE)</f>
        <v/>
      </c>
      <c r="I8" s="2" t="n"/>
      <c r="J8" s="3">
        <f>VLOOKUP(F8,'Message Mapping'!A:L,12,FALSE)</f>
        <v/>
      </c>
      <c r="K8" s="3" t="n"/>
      <c r="L8" s="3" t="n"/>
      <c r="M8" s="3" t="n"/>
      <c r="N8" s="3" t="n"/>
      <c r="O8" s="3" t="n"/>
      <c r="P8" s="3" t="n"/>
    </row>
    <row r="9">
      <c r="A9" s="94" t="inlineStr">
        <is>
          <t>20D</t>
        </is>
      </c>
      <c r="B9" s="2" t="inlineStr">
        <is>
          <t>20 - TRIP VALVULA</t>
        </is>
      </c>
      <c r="C9" s="2" t="inlineStr">
        <is>
          <t>RelayTrip</t>
        </is>
      </c>
      <c r="D9" s="2" t="inlineStr">
        <is>
          <t>PROT</t>
        </is>
      </c>
      <c r="E9" s="2" t="inlineStr">
        <is>
          <t>Read</t>
        </is>
      </c>
      <c r="F9" s="2" t="inlineStr">
        <is>
          <t>null@null___NORMAL@ATUADO___RelayTrip_S_TS_SA</t>
        </is>
      </c>
      <c r="G9" s="2">
        <f>VLOOKUP(F9,'Message Mapping'!A:L,3,FALSE)</f>
        <v/>
      </c>
      <c r="H9" s="2">
        <f>VLOOKUP(F9,'Message Mapping'!A:L,4,FALSE)</f>
        <v/>
      </c>
      <c r="I9" s="2" t="n"/>
      <c r="J9" s="3">
        <f>VLOOKUP(F9,'Message Mapping'!A:L,12,FALSE)</f>
        <v/>
      </c>
      <c r="K9" s="3" t="n"/>
      <c r="L9" s="3" t="n"/>
      <c r="M9" s="3" t="n"/>
      <c r="N9" s="3" t="n"/>
      <c r="O9" s="3" t="n"/>
      <c r="P9" s="3" t="n"/>
    </row>
    <row r="10">
      <c r="A10" s="94" t="inlineStr">
        <is>
          <t>20CD</t>
        </is>
      </c>
      <c r="B10" s="2" t="inlineStr">
        <is>
          <t>20 - TRIP VALVULA CDC</t>
        </is>
      </c>
      <c r="C10" s="2" t="inlineStr">
        <is>
          <t>RelayTrip</t>
        </is>
      </c>
      <c r="D10" s="2" t="inlineStr">
        <is>
          <t>PROT</t>
        </is>
      </c>
      <c r="E10" s="2" t="inlineStr">
        <is>
          <t>Read</t>
        </is>
      </c>
      <c r="F10" s="2" t="inlineStr">
        <is>
          <t>null@null___NORMAL@ATUADO___RelayTrip_S_TS_SA</t>
        </is>
      </c>
      <c r="G10" s="2">
        <f>VLOOKUP(F10,'Message Mapping'!A:L,3,FALSE)</f>
        <v/>
      </c>
      <c r="H10" s="2">
        <f>VLOOKUP(F10,'Message Mapping'!A:L,4,FALSE)</f>
        <v/>
      </c>
      <c r="I10" s="2" t="n"/>
      <c r="J10" s="3">
        <f>VLOOKUP(F10,'Message Mapping'!A:L,12,FALSE)</f>
        <v/>
      </c>
      <c r="K10" s="3" t="n"/>
      <c r="L10" s="3" t="n"/>
      <c r="M10" s="3" t="n"/>
      <c r="N10" s="3" t="n"/>
      <c r="O10" s="3" t="n"/>
      <c r="P10" s="3" t="n"/>
    </row>
    <row r="11">
      <c r="A11" s="94" t="inlineStr">
        <is>
          <t>20TD</t>
        </is>
      </c>
      <c r="B11" s="2" t="inlineStr">
        <is>
          <t xml:space="preserve">20 - TRIP VALVULA TRAFO </t>
        </is>
      </c>
      <c r="C11" s="2" t="inlineStr">
        <is>
          <t>RelayTrip</t>
        </is>
      </c>
      <c r="D11" s="2" t="inlineStr">
        <is>
          <t>PROT</t>
        </is>
      </c>
      <c r="E11" s="2" t="inlineStr">
        <is>
          <t>Read</t>
        </is>
      </c>
      <c r="F11" s="2" t="inlineStr">
        <is>
          <t>null@null___NORMAL@ATUADO___RelayTrip_S_TS_SA</t>
        </is>
      </c>
      <c r="G11" s="2">
        <f>VLOOKUP(F11,'Message Mapping'!A:L,3,FALSE)</f>
        <v/>
      </c>
      <c r="H11" s="2">
        <f>VLOOKUP(F11,'Message Mapping'!A:L,4,FALSE)</f>
        <v/>
      </c>
      <c r="I11" s="2" t="n"/>
      <c r="J11" s="3">
        <f>VLOOKUP(F11,'Message Mapping'!A:L,12,FALSE)</f>
        <v/>
      </c>
      <c r="K11" s="3" t="n"/>
      <c r="L11" s="3" t="n"/>
      <c r="M11" s="3" t="n"/>
      <c r="N11" s="3" t="n"/>
      <c r="O11" s="3" t="n"/>
      <c r="P11" s="3" t="n"/>
    </row>
    <row r="12">
      <c r="A12" s="94" t="inlineStr">
        <is>
          <t>20T1</t>
        </is>
      </c>
      <c r="B12" s="2" t="inlineStr">
        <is>
          <t>20 - TRIP VALVULA TRAFO E1</t>
        </is>
      </c>
      <c r="C12" s="2" t="inlineStr">
        <is>
          <t>RelayTrip</t>
        </is>
      </c>
      <c r="D12" s="2" t="inlineStr">
        <is>
          <t>PROT</t>
        </is>
      </c>
      <c r="E12" s="2" t="inlineStr">
        <is>
          <t>Read</t>
        </is>
      </c>
      <c r="F12" s="2" t="inlineStr">
        <is>
          <t>null@null___NORMAL@ATUADO___RelayTrip_S_TS_SA</t>
        </is>
      </c>
      <c r="G12" s="2">
        <f>VLOOKUP(F12,'Message Mapping'!A:L,3,FALSE)</f>
        <v/>
      </c>
      <c r="H12" s="2">
        <f>VLOOKUP(F12,'Message Mapping'!A:L,4,FALSE)</f>
        <v/>
      </c>
      <c r="I12" s="2" t="n"/>
      <c r="J12" s="3">
        <f>VLOOKUP(F12,'Message Mapping'!A:L,12,FALSE)</f>
        <v/>
      </c>
      <c r="K12" s="3" t="n"/>
      <c r="L12" s="3" t="n"/>
      <c r="M12" s="3" t="n"/>
      <c r="N12" s="3" t="n"/>
      <c r="O12" s="3" t="n"/>
      <c r="P12" s="3" t="n"/>
    </row>
    <row r="13">
      <c r="A13" s="94" t="inlineStr">
        <is>
          <t>20T2</t>
        </is>
      </c>
      <c r="B13" s="2" t="inlineStr">
        <is>
          <t>20 - TRIP VALVULA TRAFO E2</t>
        </is>
      </c>
      <c r="C13" s="2" t="inlineStr">
        <is>
          <t>RelayTrip</t>
        </is>
      </c>
      <c r="D13" s="2" t="inlineStr">
        <is>
          <t>PROT</t>
        </is>
      </c>
      <c r="E13" s="2" t="inlineStr">
        <is>
          <t>Read</t>
        </is>
      </c>
      <c r="F13" s="2" t="inlineStr">
        <is>
          <t>null@null___NORMAL@ATUADO___RelayTrip_S_TS_SA</t>
        </is>
      </c>
      <c r="G13" s="2">
        <f>VLOOKUP(F13,'Message Mapping'!A:L,3,FALSE)</f>
        <v/>
      </c>
      <c r="H13" s="2">
        <f>VLOOKUP(F13,'Message Mapping'!A:L,4,FALSE)</f>
        <v/>
      </c>
      <c r="I13" s="2" t="n"/>
      <c r="J13" s="3">
        <f>VLOOKUP(F13,'Message Mapping'!A:L,12,FALSE)</f>
        <v/>
      </c>
      <c r="K13" s="3" t="n"/>
      <c r="L13" s="3" t="n"/>
      <c r="M13" s="3" t="n"/>
      <c r="N13" s="3" t="n"/>
      <c r="O13" s="3" t="n"/>
      <c r="P13" s="3" t="n"/>
    </row>
    <row r="14">
      <c r="A14" s="94" t="inlineStr">
        <is>
          <t>20TC</t>
        </is>
      </c>
      <c r="B14" s="2" t="inlineStr">
        <is>
          <t>20 - TRIP VALVULA TRAFO OU CDC</t>
        </is>
      </c>
      <c r="C14" s="2" t="inlineStr">
        <is>
          <t>RelayTrip</t>
        </is>
      </c>
      <c r="D14" s="2" t="inlineStr">
        <is>
          <t>PROT</t>
        </is>
      </c>
      <c r="E14" s="2" t="inlineStr">
        <is>
          <t>Read</t>
        </is>
      </c>
      <c r="F14" s="2" t="inlineStr">
        <is>
          <t>null@null___NORMAL@ATUADO___RelayTrip_S_TS_SA</t>
        </is>
      </c>
      <c r="G14" s="2">
        <f>VLOOKUP(F14,'Message Mapping'!A:L,3,FALSE)</f>
        <v/>
      </c>
      <c r="H14" s="2">
        <f>VLOOKUP(F14,'Message Mapping'!A:L,4,FALSE)</f>
        <v/>
      </c>
      <c r="I14" s="2" t="n"/>
      <c r="J14" s="3">
        <f>VLOOKUP(F14,'Message Mapping'!A:L,12,FALSE)</f>
        <v/>
      </c>
      <c r="K14" s="3" t="n"/>
      <c r="L14" s="3" t="n"/>
      <c r="M14" s="3" t="n"/>
      <c r="N14" s="3" t="n"/>
      <c r="O14" s="3" t="n"/>
      <c r="P14" s="3" t="n"/>
    </row>
    <row r="15">
      <c r="A15" s="94" t="inlineStr">
        <is>
          <t>INTR</t>
        </is>
      </c>
      <c r="B15" s="2" t="inlineStr">
        <is>
          <t>20 63 87 - PROTECOES INTRINSECAS</t>
        </is>
      </c>
      <c r="C15" s="2" t="inlineStr">
        <is>
          <t>RelayTrip</t>
        </is>
      </c>
      <c r="D15" s="2" t="inlineStr">
        <is>
          <t>PROT</t>
        </is>
      </c>
      <c r="E15" s="2" t="inlineStr">
        <is>
          <t>Read</t>
        </is>
      </c>
      <c r="F15" s="2" t="inlineStr">
        <is>
          <t>null@null___NORMAL@ATUADO___RelayTrip_S_TS_SA</t>
        </is>
      </c>
      <c r="G15" s="2">
        <f>VLOOKUP(F15,'Message Mapping'!A:L,3,FALSE)</f>
        <v/>
      </c>
      <c r="H15" s="2">
        <f>VLOOKUP(F15,'Message Mapping'!A:L,4,FALSE)</f>
        <v/>
      </c>
      <c r="I15" s="2" t="n"/>
      <c r="J15" s="3">
        <f>VLOOKUP(F15,'Message Mapping'!A:L,12,FALSE)</f>
        <v/>
      </c>
      <c r="K15" s="3" t="n"/>
      <c r="L15" s="3" t="n"/>
      <c r="M15" s="3" t="n"/>
      <c r="N15" s="3" t="n"/>
      <c r="O15" s="3" t="n"/>
      <c r="P15" s="3" t="n"/>
    </row>
    <row r="16">
      <c r="A16" s="94" t="inlineStr">
        <is>
          <t>2087T</t>
        </is>
      </c>
      <c r="B16" s="2" t="inlineStr">
        <is>
          <t>20 87 - TRIP VALVULA OU DIFERENCIAL TRAFO</t>
        </is>
      </c>
      <c r="C16" s="2" t="inlineStr">
        <is>
          <t>RelayTrip</t>
        </is>
      </c>
      <c r="D16" s="2" t="inlineStr">
        <is>
          <t>PROT</t>
        </is>
      </c>
      <c r="E16" s="2" t="inlineStr">
        <is>
          <t>Read</t>
        </is>
      </c>
      <c r="F16" s="2" t="inlineStr">
        <is>
          <t>null@null___NORMAL@ATUADO___RelayTrip_S_TS_SA</t>
        </is>
      </c>
      <c r="G16" s="2">
        <f>VLOOKUP(F16,'Message Mapping'!A:L,3,FALSE)</f>
        <v/>
      </c>
      <c r="H16" s="2">
        <f>VLOOKUP(F16,'Message Mapping'!A:L,4,FALSE)</f>
        <v/>
      </c>
      <c r="I16" s="2" t="n"/>
      <c r="J16" s="3">
        <f>VLOOKUP(F16,'Message Mapping'!A:L,12,FALSE)</f>
        <v/>
      </c>
      <c r="K16" s="3" t="n"/>
      <c r="L16" s="3" t="n"/>
      <c r="M16" s="3" t="n"/>
      <c r="N16" s="3" t="n"/>
      <c r="O16" s="3" t="n"/>
      <c r="P16" s="3" t="n"/>
    </row>
    <row r="17">
      <c r="A17" s="94" t="inlineStr">
        <is>
          <t>263A</t>
        </is>
      </c>
      <c r="B17" s="2" t="inlineStr">
        <is>
          <t>20C 20T 63T - ALARME VALVULA OU BUCHHOLZ</t>
        </is>
      </c>
      <c r="C17" s="2" t="inlineStr">
        <is>
          <t>RelayTrip</t>
        </is>
      </c>
      <c r="D17" s="2" t="inlineStr">
        <is>
          <t>PROT</t>
        </is>
      </c>
      <c r="E17" s="2" t="inlineStr">
        <is>
          <t>Read</t>
        </is>
      </c>
      <c r="F17" s="2" t="inlineStr">
        <is>
          <t>null@null___NORMAL@ATUADO___RelayTrip_S_TS_SA</t>
        </is>
      </c>
      <c r="G17" s="2">
        <f>VLOOKUP(F17,'Message Mapping'!A:L,3,FALSE)</f>
        <v/>
      </c>
      <c r="H17" s="2">
        <f>VLOOKUP(F17,'Message Mapping'!A:L,4,FALSE)</f>
        <v/>
      </c>
      <c r="I17" s="2" t="n"/>
      <c r="J17" s="3">
        <f>VLOOKUP(F17,'Message Mapping'!A:L,12,FALSE)</f>
        <v/>
      </c>
      <c r="K17" s="3" t="n"/>
      <c r="L17" s="3" t="n"/>
      <c r="M17" s="3" t="n"/>
      <c r="N17" s="3" t="n"/>
      <c r="O17" s="3" t="n"/>
      <c r="P17" s="3" t="n"/>
    </row>
    <row r="18">
      <c r="A18" s="94" t="inlineStr">
        <is>
          <t>2063</t>
        </is>
      </c>
      <c r="B18" s="2" t="inlineStr">
        <is>
          <t>20C 20T 63T - TRIP VALVULA OU BUCHHOLZ</t>
        </is>
      </c>
      <c r="C18" s="2" t="inlineStr">
        <is>
          <t>RelayTrip</t>
        </is>
      </c>
      <c r="D18" s="2" t="inlineStr">
        <is>
          <t>PROT</t>
        </is>
      </c>
      <c r="E18" s="2" t="inlineStr">
        <is>
          <t>Read</t>
        </is>
      </c>
      <c r="F18" s="2" t="inlineStr">
        <is>
          <t>null@null___NORMAL@ATUADO___RelayTrip_S_TS_SA</t>
        </is>
      </c>
      <c r="G18" s="2">
        <f>VLOOKUP(F18,'Message Mapping'!A:L,3,FALSE)</f>
        <v/>
      </c>
      <c r="H18" s="2">
        <f>VLOOKUP(F18,'Message Mapping'!A:L,4,FALSE)</f>
        <v/>
      </c>
      <c r="I18" s="2" t="n"/>
      <c r="J18" s="3">
        <f>VLOOKUP(F18,'Message Mapping'!A:L,12,FALSE)</f>
        <v/>
      </c>
      <c r="K18" s="3" t="n"/>
      <c r="L18" s="3" t="n"/>
      <c r="M18" s="3" t="n"/>
      <c r="N18" s="3" t="n"/>
      <c r="O18" s="3" t="n"/>
      <c r="P18" s="3" t="n"/>
    </row>
    <row r="19">
      <c r="A19" s="94" t="inlineStr">
        <is>
          <t>206T</t>
        </is>
      </c>
      <c r="B19" s="2" t="inlineStr">
        <is>
          <t>20T 63T - TRIP VALVULA OU BUCHHOLZ  TRAFO</t>
        </is>
      </c>
      <c r="C19" s="2" t="inlineStr">
        <is>
          <t>RelayTrip</t>
        </is>
      </c>
      <c r="D19" s="2" t="inlineStr">
        <is>
          <t>PROT</t>
        </is>
      </c>
      <c r="E19" s="2" t="inlineStr">
        <is>
          <t>Read</t>
        </is>
      </c>
      <c r="F19" s="2" t="inlineStr">
        <is>
          <t>null@null___NORMAL@ATUADO___RelayTrip_S_TS_SA</t>
        </is>
      </c>
      <c r="G19" s="2">
        <f>VLOOKUP(F19,'Message Mapping'!A:L,3,FALSE)</f>
        <v/>
      </c>
      <c r="H19" s="2">
        <f>VLOOKUP(F19,'Message Mapping'!A:L,4,FALSE)</f>
        <v/>
      </c>
      <c r="I19" s="2" t="n"/>
      <c r="J19" s="3">
        <f>VLOOKUP(F19,'Message Mapping'!A:L,12,FALSE)</f>
        <v/>
      </c>
      <c r="K19" s="3" t="n"/>
      <c r="L19" s="3" t="n"/>
      <c r="M19" s="3" t="n"/>
      <c r="N19" s="3" t="n"/>
      <c r="O19" s="3" t="n"/>
      <c r="P19" s="3" t="n"/>
    </row>
    <row r="20">
      <c r="A20" s="94" t="inlineStr">
        <is>
          <t>21D</t>
        </is>
      </c>
      <c r="B20" s="2" t="inlineStr">
        <is>
          <t xml:space="preserve">21 - DISPARO LOCALIZADOR DE FALTA </t>
        </is>
      </c>
      <c r="C20" s="2" t="inlineStr">
        <is>
          <t>Custom</t>
        </is>
      </c>
      <c r="D20" s="2" t="inlineStr">
        <is>
          <t>PROT</t>
        </is>
      </c>
      <c r="E20" s="2" t="inlineStr">
        <is>
          <t>Read</t>
        </is>
      </c>
      <c r="F20" s="2" t="inlineStr">
        <is>
          <t>null@null___NORMAL@ATUADO___Custom_S_TS_SA</t>
        </is>
      </c>
      <c r="G20" s="2">
        <f>VLOOKUP(F20,'Message Mapping'!A:L,3,FALSE)</f>
        <v/>
      </c>
      <c r="H20" s="2">
        <f>VLOOKUP(F20,'Message Mapping'!A:L,4,FALSE)</f>
        <v/>
      </c>
      <c r="I20" s="2" t="n"/>
      <c r="J20" s="3">
        <f>VLOOKUP(F20,'Message Mapping'!A:L,12,FALSE)</f>
        <v/>
      </c>
      <c r="K20" s="3" t="n"/>
      <c r="L20" s="3" t="n"/>
      <c r="M20" s="3" t="n"/>
      <c r="N20" s="3" t="n"/>
      <c r="O20" s="3" t="n"/>
      <c r="P20" s="3" t="n"/>
    </row>
    <row r="21">
      <c r="A21" s="94" t="inlineStr">
        <is>
          <t>21</t>
        </is>
      </c>
      <c r="B21" s="2" t="inlineStr">
        <is>
          <t>21 - FUNCAO DISTANCIA</t>
        </is>
      </c>
      <c r="C21" s="2" t="inlineStr">
        <is>
          <t>Enabled</t>
        </is>
      </c>
      <c r="D21" s="2" t="inlineStr">
        <is>
          <t>FUNCÕES/43/PARALELISMO</t>
        </is>
      </c>
      <c r="E21" s="2" t="inlineStr">
        <is>
          <t>Read</t>
        </is>
      </c>
      <c r="F21" s="2" t="inlineStr">
        <is>
          <t>null@null___INCLUIDO@EXCLUIDO___Enabled_S_TS_SS</t>
        </is>
      </c>
      <c r="G21" s="2">
        <f>VLOOKUP(F21,'Message Mapping'!A:L,3,FALSE)</f>
        <v/>
      </c>
      <c r="H21" s="2">
        <f>VLOOKUP(F21,'Message Mapping'!A:L,4,FALSE)</f>
        <v/>
      </c>
      <c r="I21" s="2" t="n"/>
      <c r="J21" s="3">
        <f>VLOOKUP(F21,'Message Mapping'!A:L,12,FALSE)</f>
        <v/>
      </c>
      <c r="K21" s="3" t="n"/>
      <c r="L21" s="3" t="n"/>
      <c r="M21" s="3" t="n"/>
      <c r="N21" s="3" t="n"/>
      <c r="O21" s="3" t="n"/>
      <c r="P21" s="3" t="n"/>
    </row>
    <row r="22">
      <c r="A22" s="94" t="inlineStr">
        <is>
          <t>21</t>
        </is>
      </c>
      <c r="B22" s="2" t="inlineStr">
        <is>
          <t>21 - FUNCAO DISTANCIA</t>
        </is>
      </c>
      <c r="C22" s="2" t="inlineStr">
        <is>
          <t>Enabled</t>
        </is>
      </c>
      <c r="D22" s="2" t="inlineStr">
        <is>
          <t>FUNCÕES/43/PARALELISMO</t>
        </is>
      </c>
      <c r="E22" s="2" t="inlineStr">
        <is>
          <t>ReadWrite</t>
        </is>
      </c>
      <c r="F22" s="2" t="inlineStr">
        <is>
          <t>INCLUIR@EXCLUIR___INCLUIDO@EXCLUIDO___Enabled_S_TC_SS</t>
        </is>
      </c>
      <c r="G22" s="2">
        <f>VLOOKUP(F22,'Message Mapping'!A:L,3,FALSE)</f>
        <v/>
      </c>
      <c r="H22" s="2">
        <f>VLOOKUP(F22,'Message Mapping'!A:L,4,FALSE)</f>
        <v/>
      </c>
      <c r="I22" s="2" t="n"/>
      <c r="J22" s="3">
        <f>VLOOKUP(F22,'Message Mapping'!A:L,12,FALSE)</f>
        <v/>
      </c>
      <c r="K22" s="3" t="n"/>
      <c r="L22" s="3" t="n"/>
      <c r="M22" s="3" t="n"/>
      <c r="N22" s="3" t="n"/>
      <c r="O22" s="3" t="n"/>
      <c r="P22" s="3" t="n"/>
    </row>
    <row r="23">
      <c r="A23" s="94" t="inlineStr">
        <is>
          <t>21_T</t>
        </is>
      </c>
      <c r="B23" s="2" t="inlineStr">
        <is>
          <t>21 - TRIP DISTANCIA</t>
        </is>
      </c>
      <c r="C23" s="2" t="inlineStr">
        <is>
          <t>RelayTrip</t>
        </is>
      </c>
      <c r="D23" s="2" t="inlineStr">
        <is>
          <t>PROT</t>
        </is>
      </c>
      <c r="E23" s="2" t="inlineStr">
        <is>
          <t>Read</t>
        </is>
      </c>
      <c r="F23" s="2" t="inlineStr">
        <is>
          <t>null@null___NORMAL@ATUADO___RelayTrip_S_TS_SA</t>
        </is>
      </c>
      <c r="G23" s="2">
        <f>VLOOKUP(F23,'Message Mapping'!A:L,3,FALSE)</f>
        <v/>
      </c>
      <c r="H23" s="2">
        <f>VLOOKUP(F23,'Message Mapping'!A:L,4,FALSE)</f>
        <v/>
      </c>
      <c r="I23" s="2" t="n"/>
      <c r="J23" s="3">
        <f>VLOOKUP(F23,'Message Mapping'!A:L,12,FALSE)</f>
        <v/>
      </c>
      <c r="K23" s="3" t="n"/>
      <c r="L23" s="3" t="n"/>
      <c r="M23" s="3" t="n"/>
      <c r="N23" s="3" t="n"/>
      <c r="O23" s="3" t="n"/>
      <c r="P23" s="3" t="n"/>
    </row>
    <row r="24">
      <c r="A24" s="94" t="inlineStr">
        <is>
          <t>21EF</t>
        </is>
      </c>
      <c r="B24" s="2" t="inlineStr">
        <is>
          <t xml:space="preserve">21 - TRIP DISTANCIA ESTENDIDA FASES </t>
        </is>
      </c>
      <c r="C24" s="2" t="inlineStr">
        <is>
          <t>RelayTrip</t>
        </is>
      </c>
      <c r="D24" s="2" t="inlineStr">
        <is>
          <t>PROT</t>
        </is>
      </c>
      <c r="E24" s="2" t="inlineStr">
        <is>
          <t>Read</t>
        </is>
      </c>
      <c r="F24" s="2" t="inlineStr">
        <is>
          <t>null@null___NORMAL@ATUADO___RelayTrip_S_TS_SA</t>
        </is>
      </c>
      <c r="G24" s="2">
        <f>VLOOKUP(F24,'Message Mapping'!A:L,3,FALSE)</f>
        <v/>
      </c>
      <c r="H24" s="2">
        <f>VLOOKUP(F24,'Message Mapping'!A:L,4,FALSE)</f>
        <v/>
      </c>
      <c r="I24" s="2" t="n"/>
      <c r="J24" s="3">
        <f>VLOOKUP(F24,'Message Mapping'!A:L,12,FALSE)</f>
        <v/>
      </c>
      <c r="K24" s="3" t="n"/>
      <c r="L24" s="3" t="n"/>
      <c r="M24" s="3" t="n"/>
      <c r="N24" s="3" t="n"/>
      <c r="O24" s="3" t="n"/>
      <c r="P24" s="3" t="n"/>
    </row>
    <row r="25">
      <c r="A25" s="94" t="inlineStr">
        <is>
          <t>21EM</t>
        </is>
      </c>
      <c r="B25" s="2" t="inlineStr">
        <is>
          <t xml:space="preserve">21 - TRIP DISTANCIA ESTENDIDA MONOFASICA </t>
        </is>
      </c>
      <c r="C25" s="2" t="inlineStr">
        <is>
          <t>RelayTrip</t>
        </is>
      </c>
      <c r="D25" s="2" t="inlineStr">
        <is>
          <t>PROT</t>
        </is>
      </c>
      <c r="E25" s="2" t="inlineStr">
        <is>
          <t>Read</t>
        </is>
      </c>
      <c r="F25" s="2" t="inlineStr">
        <is>
          <t>null@null___NORMAL@ATUADO___RelayTrip_S_TS_SA</t>
        </is>
      </c>
      <c r="G25" s="2">
        <f>VLOOKUP(F25,'Message Mapping'!A:L,3,FALSE)</f>
        <v/>
      </c>
      <c r="H25" s="2">
        <f>VLOOKUP(F25,'Message Mapping'!A:L,4,FALSE)</f>
        <v/>
      </c>
      <c r="I25" s="2" t="n"/>
      <c r="J25" s="3">
        <f>VLOOKUP(F25,'Message Mapping'!A:L,12,FALSE)</f>
        <v/>
      </c>
      <c r="K25" s="3" t="n"/>
      <c r="L25" s="3" t="n"/>
      <c r="M25" s="3" t="n"/>
      <c r="N25" s="3" t="n"/>
      <c r="O25" s="3" t="n"/>
      <c r="P25" s="3" t="n"/>
    </row>
    <row r="26">
      <c r="A26" s="94" t="inlineStr">
        <is>
          <t>21FA</t>
        </is>
      </c>
      <c r="B26" s="2" t="inlineStr">
        <is>
          <t>21 - TRIP DISTANCIA FASE A</t>
        </is>
      </c>
      <c r="C26" s="2" t="inlineStr">
        <is>
          <t>RelayTrip</t>
        </is>
      </c>
      <c r="D26" s="2" t="inlineStr">
        <is>
          <t>PROT</t>
        </is>
      </c>
      <c r="E26" s="2" t="inlineStr">
        <is>
          <t>Read</t>
        </is>
      </c>
      <c r="F26" s="2" t="inlineStr">
        <is>
          <t>null@null___NORMAL@ATUADO___RelayTrip_S_TS_SA</t>
        </is>
      </c>
      <c r="G26" s="2">
        <f>VLOOKUP(F26,'Message Mapping'!A:L,3,FALSE)</f>
        <v/>
      </c>
      <c r="H26" s="2">
        <f>VLOOKUP(F26,'Message Mapping'!A:L,4,FALSE)</f>
        <v/>
      </c>
      <c r="I26" s="2" t="n"/>
      <c r="J26" s="3">
        <f>VLOOKUP(F26,'Message Mapping'!A:L,12,FALSE)</f>
        <v/>
      </c>
      <c r="K26" s="3" t="n"/>
      <c r="L26" s="3" t="n"/>
      <c r="M26" s="3" t="n"/>
      <c r="N26" s="3" t="n"/>
      <c r="O26" s="3" t="n"/>
      <c r="P26" s="3" t="n"/>
    </row>
    <row r="27">
      <c r="A27" s="94" t="inlineStr">
        <is>
          <t>21FB</t>
        </is>
      </c>
      <c r="B27" s="2" t="inlineStr">
        <is>
          <t>21 - TRIP DISTANCIA FASE B</t>
        </is>
      </c>
      <c r="C27" s="2" t="inlineStr">
        <is>
          <t>RelayTrip</t>
        </is>
      </c>
      <c r="D27" s="2" t="inlineStr">
        <is>
          <t>PROT</t>
        </is>
      </c>
      <c r="E27" s="2" t="inlineStr">
        <is>
          <t>Read</t>
        </is>
      </c>
      <c r="F27" s="2" t="inlineStr">
        <is>
          <t>null@null___NORMAL@ATUADO___RelayTrip_S_TS_SA</t>
        </is>
      </c>
      <c r="G27" s="2">
        <f>VLOOKUP(F27,'Message Mapping'!A:L,3,FALSE)</f>
        <v/>
      </c>
      <c r="H27" s="2">
        <f>VLOOKUP(F27,'Message Mapping'!A:L,4,FALSE)</f>
        <v/>
      </c>
      <c r="I27" s="2" t="n"/>
      <c r="J27" s="3">
        <f>VLOOKUP(F27,'Message Mapping'!A:L,12,FALSE)</f>
        <v/>
      </c>
      <c r="K27" s="3" t="n"/>
      <c r="L27" s="3" t="n"/>
      <c r="M27" s="3" t="n"/>
      <c r="N27" s="3" t="n"/>
      <c r="O27" s="3" t="n"/>
      <c r="P27" s="3" t="n"/>
    </row>
    <row r="28">
      <c r="A28" s="94" t="inlineStr">
        <is>
          <t>21FC</t>
        </is>
      </c>
      <c r="B28" s="2" t="inlineStr">
        <is>
          <t>21 - TRIP DISTANCIA FASE C</t>
        </is>
      </c>
      <c r="C28" s="2" t="inlineStr">
        <is>
          <t>RelayTrip</t>
        </is>
      </c>
      <c r="D28" s="2" t="inlineStr">
        <is>
          <t>PROT</t>
        </is>
      </c>
      <c r="E28" s="2" t="inlineStr">
        <is>
          <t>Read</t>
        </is>
      </c>
      <c r="F28" s="2" t="inlineStr">
        <is>
          <t>null@null___NORMAL@ATUADO___RelayTrip_S_TS_SA</t>
        </is>
      </c>
      <c r="G28" s="2">
        <f>VLOOKUP(F28,'Message Mapping'!A:L,3,FALSE)</f>
        <v/>
      </c>
      <c r="H28" s="2">
        <f>VLOOKUP(F28,'Message Mapping'!A:L,4,FALSE)</f>
        <v/>
      </c>
      <c r="I28" s="2" t="n"/>
      <c r="J28" s="3">
        <f>VLOOKUP(F28,'Message Mapping'!A:L,12,FALSE)</f>
        <v/>
      </c>
      <c r="K28" s="3" t="n"/>
      <c r="L28" s="3" t="n"/>
      <c r="M28" s="3" t="n"/>
      <c r="N28" s="3" t="n"/>
      <c r="O28" s="3" t="n"/>
      <c r="P28" s="3" t="n"/>
    </row>
    <row r="29">
      <c r="A29" s="94" t="inlineStr">
        <is>
          <t>21MO</t>
        </is>
      </c>
      <c r="B29" s="2" t="inlineStr">
        <is>
          <t>21 - TRIP DISTANCIA MONOFASICO</t>
        </is>
      </c>
      <c r="C29" s="2" t="inlineStr">
        <is>
          <t>RelayTrip</t>
        </is>
      </c>
      <c r="D29" s="2" t="inlineStr">
        <is>
          <t>PROT</t>
        </is>
      </c>
      <c r="E29" s="2" t="inlineStr">
        <is>
          <t>Read</t>
        </is>
      </c>
      <c r="F29" s="2" t="inlineStr">
        <is>
          <t>null@null___NORMAL@ATUADO___RelayTrip_S_TS_SA</t>
        </is>
      </c>
      <c r="G29" s="2">
        <f>VLOOKUP(F29,'Message Mapping'!A:L,3,FALSE)</f>
        <v/>
      </c>
      <c r="H29" s="2">
        <f>VLOOKUP(F29,'Message Mapping'!A:L,4,FALSE)</f>
        <v/>
      </c>
      <c r="I29" s="2" t="n"/>
      <c r="J29" s="3">
        <f>VLOOKUP(F29,'Message Mapping'!A:L,12,FALSE)</f>
        <v/>
      </c>
      <c r="K29" s="3" t="n"/>
      <c r="L29" s="3" t="n"/>
      <c r="M29" s="3" t="n"/>
      <c r="N29" s="3" t="n"/>
      <c r="O29" s="3" t="n"/>
      <c r="P29" s="3" t="n"/>
    </row>
    <row r="30">
      <c r="A30" s="94" t="inlineStr">
        <is>
          <t>21MF</t>
        </is>
      </c>
      <c r="B30" s="2" t="inlineStr">
        <is>
          <t>21 - TRIP DISTANCIA MULTI FASES</t>
        </is>
      </c>
      <c r="C30" s="2" t="inlineStr">
        <is>
          <t>RelayTrip</t>
        </is>
      </c>
      <c r="D30" s="2" t="inlineStr">
        <is>
          <t>PROT</t>
        </is>
      </c>
      <c r="E30" s="2" t="inlineStr">
        <is>
          <t>Read</t>
        </is>
      </c>
      <c r="F30" s="2" t="inlineStr">
        <is>
          <t>null@null___NORMAL@ATUADO___RelayTrip_S_TS_SA</t>
        </is>
      </c>
      <c r="G30" s="2">
        <f>VLOOKUP(F30,'Message Mapping'!A:L,3,FALSE)</f>
        <v/>
      </c>
      <c r="H30" s="2">
        <f>VLOOKUP(F30,'Message Mapping'!A:L,4,FALSE)</f>
        <v/>
      </c>
      <c r="I30" s="2" t="n"/>
      <c r="J30" s="3">
        <f>VLOOKUP(F30,'Message Mapping'!A:L,12,FALSE)</f>
        <v/>
      </c>
      <c r="K30" s="3" t="n"/>
      <c r="L30" s="3" t="n"/>
      <c r="M30" s="3" t="n"/>
      <c r="N30" s="3" t="n"/>
      <c r="O30" s="3" t="n"/>
      <c r="P30" s="3" t="n"/>
    </row>
    <row r="31">
      <c r="A31" s="94" t="inlineStr">
        <is>
          <t>21N</t>
        </is>
      </c>
      <c r="B31" s="2" t="inlineStr">
        <is>
          <t>21 - TRIP DISTANCIA NEUTRO</t>
        </is>
      </c>
      <c r="C31" s="2" t="inlineStr">
        <is>
          <t>RelayTrip</t>
        </is>
      </c>
      <c r="D31" s="2" t="inlineStr">
        <is>
          <t>PROT</t>
        </is>
      </c>
      <c r="E31" s="2" t="inlineStr">
        <is>
          <t>Read</t>
        </is>
      </c>
      <c r="F31" s="2" t="inlineStr">
        <is>
          <t>null@null___NORMAL@ATUADO___RelayTrip_S_TS_SA</t>
        </is>
      </c>
      <c r="G31" s="2">
        <f>VLOOKUP(F31,'Message Mapping'!A:L,3,FALSE)</f>
        <v/>
      </c>
      <c r="H31" s="2">
        <f>VLOOKUP(F31,'Message Mapping'!A:L,4,FALSE)</f>
        <v/>
      </c>
      <c r="I31" s="2" t="n"/>
      <c r="J31" s="3">
        <f>VLOOKUP(F31,'Message Mapping'!A:L,12,FALSE)</f>
        <v/>
      </c>
      <c r="K31" s="3" t="n"/>
      <c r="L31" s="3" t="n"/>
      <c r="M31" s="3" t="n"/>
      <c r="N31" s="3" t="n"/>
      <c r="O31" s="3" t="n"/>
      <c r="P31" s="3" t="n"/>
    </row>
    <row r="32">
      <c r="A32" s="94" t="inlineStr">
        <is>
          <t>21F1</t>
        </is>
      </c>
      <c r="B32" s="2" t="inlineStr">
        <is>
          <t>21 - TRIP FASE ZONA 1</t>
        </is>
      </c>
      <c r="C32" s="2" t="inlineStr">
        <is>
          <t>RelayTrip</t>
        </is>
      </c>
      <c r="D32" s="2" t="inlineStr">
        <is>
          <t>PROT</t>
        </is>
      </c>
      <c r="E32" s="2" t="inlineStr">
        <is>
          <t>Read</t>
        </is>
      </c>
      <c r="F32" s="2" t="inlineStr">
        <is>
          <t>null@null___NORMAL@ATUADO___RelayTrip_S_TS_SA</t>
        </is>
      </c>
      <c r="G32" s="2">
        <f>VLOOKUP(F32,'Message Mapping'!A:L,3,FALSE)</f>
        <v/>
      </c>
      <c r="H32" s="2">
        <f>VLOOKUP(F32,'Message Mapping'!A:L,4,FALSE)</f>
        <v/>
      </c>
      <c r="I32" s="2" t="n"/>
      <c r="J32" s="3">
        <f>VLOOKUP(F32,'Message Mapping'!A:L,12,FALSE)</f>
        <v/>
      </c>
      <c r="K32" s="3" t="n"/>
      <c r="L32" s="3" t="n"/>
      <c r="M32" s="3" t="n"/>
      <c r="N32" s="3" t="n"/>
      <c r="O32" s="3" t="n"/>
      <c r="P32" s="3" t="n"/>
    </row>
    <row r="33">
      <c r="A33" s="94" t="inlineStr">
        <is>
          <t>21F2</t>
        </is>
      </c>
      <c r="B33" s="2" t="inlineStr">
        <is>
          <t>21 - TRIP FASE ZONA 2</t>
        </is>
      </c>
      <c r="C33" s="2" t="inlineStr">
        <is>
          <t>RelayTrip</t>
        </is>
      </c>
      <c r="D33" s="2" t="inlineStr">
        <is>
          <t>PROT</t>
        </is>
      </c>
      <c r="E33" s="2" t="inlineStr">
        <is>
          <t>Read</t>
        </is>
      </c>
      <c r="F33" s="2" t="inlineStr">
        <is>
          <t>null@null___NORMAL@ATUADO___RelayTrip_S_TS_SA</t>
        </is>
      </c>
      <c r="G33" s="2">
        <f>VLOOKUP(F33,'Message Mapping'!A:L,3,FALSE)</f>
        <v/>
      </c>
      <c r="H33" s="2">
        <f>VLOOKUP(F33,'Message Mapping'!A:L,4,FALSE)</f>
        <v/>
      </c>
      <c r="I33" s="2" t="n"/>
      <c r="J33" s="3">
        <f>VLOOKUP(F33,'Message Mapping'!A:L,12,FALSE)</f>
        <v/>
      </c>
      <c r="K33" s="3" t="n"/>
      <c r="L33" s="3" t="n"/>
      <c r="M33" s="3" t="n"/>
      <c r="N33" s="3" t="n"/>
      <c r="O33" s="3" t="n"/>
      <c r="P33" s="3" t="n"/>
    </row>
    <row r="34">
      <c r="A34" s="94" t="inlineStr">
        <is>
          <t>21F3</t>
        </is>
      </c>
      <c r="B34" s="2" t="inlineStr">
        <is>
          <t>21 - TRIP FASE ZONA 3</t>
        </is>
      </c>
      <c r="C34" s="2" t="inlineStr">
        <is>
          <t>RelayTrip</t>
        </is>
      </c>
      <c r="D34" s="2" t="inlineStr">
        <is>
          <t>PROT</t>
        </is>
      </c>
      <c r="E34" s="2" t="inlineStr">
        <is>
          <t>Read</t>
        </is>
      </c>
      <c r="F34" s="2" t="inlineStr">
        <is>
          <t>null@null___NORMAL@ATUADO___RelayTrip_S_TS_SA</t>
        </is>
      </c>
      <c r="G34" s="2">
        <f>VLOOKUP(F34,'Message Mapping'!A:L,3,FALSE)</f>
        <v/>
      </c>
      <c r="H34" s="2">
        <f>VLOOKUP(F34,'Message Mapping'!A:L,4,FALSE)</f>
        <v/>
      </c>
      <c r="I34" s="2" t="n"/>
      <c r="J34" s="3">
        <f>VLOOKUP(F34,'Message Mapping'!A:L,12,FALSE)</f>
        <v/>
      </c>
      <c r="K34" s="3" t="n"/>
      <c r="L34" s="3" t="n"/>
      <c r="M34" s="3" t="n"/>
      <c r="N34" s="3" t="n"/>
      <c r="O34" s="3" t="n"/>
      <c r="P34" s="3" t="n"/>
    </row>
    <row r="35">
      <c r="A35" s="94" t="inlineStr">
        <is>
          <t>21F4</t>
        </is>
      </c>
      <c r="B35" s="2" t="inlineStr">
        <is>
          <t>21 - TRIP FASE ZONA 4</t>
        </is>
      </c>
      <c r="C35" s="2" t="inlineStr">
        <is>
          <t>RelayTrip</t>
        </is>
      </c>
      <c r="D35" s="2" t="inlineStr">
        <is>
          <t>PROT</t>
        </is>
      </c>
      <c r="E35" s="2" t="inlineStr">
        <is>
          <t>Read</t>
        </is>
      </c>
      <c r="F35" s="2" t="inlineStr">
        <is>
          <t>null@null___NORMAL@ATUADO___RelayTrip_S_TS_SA</t>
        </is>
      </c>
      <c r="G35" s="2">
        <f>VLOOKUP(F35,'Message Mapping'!A:L,3,FALSE)</f>
        <v/>
      </c>
      <c r="H35" s="2">
        <f>VLOOKUP(F35,'Message Mapping'!A:L,4,FALSE)</f>
        <v/>
      </c>
      <c r="I35" s="2" t="n"/>
      <c r="J35" s="3">
        <f>VLOOKUP(F35,'Message Mapping'!A:L,12,FALSE)</f>
        <v/>
      </c>
      <c r="K35" s="3" t="n"/>
      <c r="L35" s="3" t="n"/>
      <c r="M35" s="3" t="n"/>
      <c r="N35" s="3" t="n"/>
      <c r="O35" s="3" t="n"/>
      <c r="P35" s="3" t="n"/>
    </row>
    <row r="36">
      <c r="A36" s="94" t="inlineStr">
        <is>
          <t>21N1</t>
        </is>
      </c>
      <c r="B36" s="2" t="inlineStr">
        <is>
          <t>21 - TRIP NEUTRO ZONA 1</t>
        </is>
      </c>
      <c r="C36" s="2" t="inlineStr">
        <is>
          <t>RelayTrip</t>
        </is>
      </c>
      <c r="D36" s="2" t="inlineStr">
        <is>
          <t>PROT</t>
        </is>
      </c>
      <c r="E36" s="2" t="inlineStr">
        <is>
          <t>Read</t>
        </is>
      </c>
      <c r="F36" s="2" t="inlineStr">
        <is>
          <t>null@null___NORMAL@ATUADO___RelayTrip_S_TS_SA</t>
        </is>
      </c>
      <c r="G36" s="2">
        <f>VLOOKUP(F36,'Message Mapping'!A:L,3,FALSE)</f>
        <v/>
      </c>
      <c r="H36" s="2">
        <f>VLOOKUP(F36,'Message Mapping'!A:L,4,FALSE)</f>
        <v/>
      </c>
      <c r="I36" s="2" t="n"/>
      <c r="J36" s="3">
        <f>VLOOKUP(F36,'Message Mapping'!A:L,12,FALSE)</f>
        <v/>
      </c>
      <c r="K36" s="3" t="n"/>
      <c r="L36" s="3" t="n"/>
      <c r="M36" s="3" t="n"/>
      <c r="N36" s="3" t="n"/>
      <c r="O36" s="3" t="n"/>
      <c r="P36" s="3" t="n"/>
    </row>
    <row r="37">
      <c r="A37" s="94" t="inlineStr">
        <is>
          <t>21N2</t>
        </is>
      </c>
      <c r="B37" s="2" t="inlineStr">
        <is>
          <t>21 - TRIP NEUTRO ZONA 2</t>
        </is>
      </c>
      <c r="C37" s="2" t="inlineStr">
        <is>
          <t>RelayTrip</t>
        </is>
      </c>
      <c r="D37" s="2" t="inlineStr">
        <is>
          <t>PROT</t>
        </is>
      </c>
      <c r="E37" s="2" t="inlineStr">
        <is>
          <t>Read</t>
        </is>
      </c>
      <c r="F37" s="2" t="inlineStr">
        <is>
          <t>null@null___NORMAL@ATUADO___RelayTrip_S_TS_SA</t>
        </is>
      </c>
      <c r="G37" s="2">
        <f>VLOOKUP(F37,'Message Mapping'!A:L,3,FALSE)</f>
        <v/>
      </c>
      <c r="H37" s="2">
        <f>VLOOKUP(F37,'Message Mapping'!A:L,4,FALSE)</f>
        <v/>
      </c>
      <c r="I37" s="2" t="n"/>
      <c r="J37" s="3">
        <f>VLOOKUP(F37,'Message Mapping'!A:L,12,FALSE)</f>
        <v/>
      </c>
      <c r="K37" s="3" t="n"/>
      <c r="L37" s="3" t="n"/>
      <c r="M37" s="3" t="n"/>
      <c r="N37" s="3" t="n"/>
      <c r="O37" s="3" t="n"/>
      <c r="P37" s="3" t="n"/>
    </row>
    <row r="38">
      <c r="A38" s="94" t="inlineStr">
        <is>
          <t>21N3</t>
        </is>
      </c>
      <c r="B38" s="2" t="inlineStr">
        <is>
          <t>21 - TRIP NEUTRO ZONA 3</t>
        </is>
      </c>
      <c r="C38" s="2" t="inlineStr">
        <is>
          <t>RelayTrip</t>
        </is>
      </c>
      <c r="D38" s="2" t="inlineStr">
        <is>
          <t>PROT</t>
        </is>
      </c>
      <c r="E38" s="2" t="inlineStr">
        <is>
          <t>Read</t>
        </is>
      </c>
      <c r="F38" s="2" t="inlineStr">
        <is>
          <t>null@null___NORMAL@ATUADO___RelayTrip_S_TS_SA</t>
        </is>
      </c>
      <c r="G38" s="2">
        <f>VLOOKUP(F38,'Message Mapping'!A:L,3,FALSE)</f>
        <v/>
      </c>
      <c r="H38" s="2">
        <f>VLOOKUP(F38,'Message Mapping'!A:L,4,FALSE)</f>
        <v/>
      </c>
      <c r="I38" s="2" t="n"/>
      <c r="J38" s="3">
        <f>VLOOKUP(F38,'Message Mapping'!A:L,12,FALSE)</f>
        <v/>
      </c>
      <c r="K38" s="3" t="n"/>
      <c r="L38" s="3" t="n"/>
      <c r="M38" s="3" t="n"/>
      <c r="N38" s="3" t="n"/>
      <c r="O38" s="3" t="n"/>
      <c r="P38" s="3" t="n"/>
    </row>
    <row r="39">
      <c r="A39" s="94" t="inlineStr">
        <is>
          <t>21N4</t>
        </is>
      </c>
      <c r="B39" s="2" t="inlineStr">
        <is>
          <t>21 - TRIP NEUTRO ZONA 4</t>
        </is>
      </c>
      <c r="C39" s="2" t="inlineStr">
        <is>
          <t>RelayTrip</t>
        </is>
      </c>
      <c r="D39" s="2" t="inlineStr">
        <is>
          <t>PROT</t>
        </is>
      </c>
      <c r="E39" s="2" t="inlineStr">
        <is>
          <t>Read</t>
        </is>
      </c>
      <c r="F39" s="2" t="inlineStr">
        <is>
          <t>null@null___NORMAL@ATUADO___RelayTrip_S_TS_SA</t>
        </is>
      </c>
      <c r="G39" s="2">
        <f>VLOOKUP(F39,'Message Mapping'!A:L,3,FALSE)</f>
        <v/>
      </c>
      <c r="H39" s="2">
        <f>VLOOKUP(F39,'Message Mapping'!A:L,4,FALSE)</f>
        <v/>
      </c>
      <c r="I39" s="2" t="n"/>
      <c r="J39" s="3">
        <f>VLOOKUP(F39,'Message Mapping'!A:L,12,FALSE)</f>
        <v/>
      </c>
      <c r="K39" s="3" t="n"/>
      <c r="L39" s="3" t="n"/>
      <c r="M39" s="3" t="n"/>
      <c r="N39" s="3" t="n"/>
      <c r="O39" s="3" t="n"/>
      <c r="P39" s="3" t="n"/>
    </row>
    <row r="40">
      <c r="A40" s="94" t="inlineStr">
        <is>
          <t>21Z1</t>
        </is>
      </c>
      <c r="B40" s="2" t="inlineStr">
        <is>
          <t>21 - TRIP ZONA 1</t>
        </is>
      </c>
      <c r="C40" s="2" t="inlineStr">
        <is>
          <t>RelayTrip</t>
        </is>
      </c>
      <c r="D40" s="2" t="inlineStr">
        <is>
          <t>PROT</t>
        </is>
      </c>
      <c r="E40" s="2" t="inlineStr">
        <is>
          <t>Read</t>
        </is>
      </c>
      <c r="F40" s="2" t="inlineStr">
        <is>
          <t>null@null___NORMAL@ATUADO___RelayTrip_S_TS_SA</t>
        </is>
      </c>
      <c r="G40" s="2">
        <f>VLOOKUP(F40,'Message Mapping'!A:L,3,FALSE)</f>
        <v/>
      </c>
      <c r="H40" s="2">
        <f>VLOOKUP(F40,'Message Mapping'!A:L,4,FALSE)</f>
        <v/>
      </c>
      <c r="I40" s="2" t="n"/>
      <c r="J40" s="3">
        <f>VLOOKUP(F40,'Message Mapping'!A:L,12,FALSE)</f>
        <v/>
      </c>
      <c r="K40" s="3" t="n"/>
      <c r="L40" s="3" t="n"/>
      <c r="M40" s="3" t="n"/>
      <c r="N40" s="3" t="n"/>
      <c r="O40" s="3" t="n"/>
      <c r="P40" s="3" t="n"/>
    </row>
    <row r="41">
      <c r="A41" s="94" t="inlineStr">
        <is>
          <t>21Z2</t>
        </is>
      </c>
      <c r="B41" s="2" t="inlineStr">
        <is>
          <t>21 - TRIP ZONA 2</t>
        </is>
      </c>
      <c r="C41" s="2" t="inlineStr">
        <is>
          <t>RelayTrip</t>
        </is>
      </c>
      <c r="D41" s="2" t="inlineStr">
        <is>
          <t>PROT</t>
        </is>
      </c>
      <c r="E41" s="2" t="inlineStr">
        <is>
          <t>Read</t>
        </is>
      </c>
      <c r="F41" s="2" t="inlineStr">
        <is>
          <t>null@null___NORMAL@ATUADO___RelayTrip_S_TS_SA</t>
        </is>
      </c>
      <c r="G41" s="2">
        <f>VLOOKUP(F41,'Message Mapping'!A:L,3,FALSE)</f>
        <v/>
      </c>
      <c r="H41" s="2">
        <f>VLOOKUP(F41,'Message Mapping'!A:L,4,FALSE)</f>
        <v/>
      </c>
      <c r="I41" s="2" t="n"/>
      <c r="J41" s="3">
        <f>VLOOKUP(F41,'Message Mapping'!A:L,12,FALSE)</f>
        <v/>
      </c>
      <c r="K41" s="3" t="n"/>
      <c r="L41" s="3" t="n"/>
      <c r="M41" s="3" t="n"/>
      <c r="N41" s="3" t="n"/>
      <c r="O41" s="3" t="n"/>
      <c r="P41" s="3" t="n"/>
    </row>
    <row r="42">
      <c r="A42" s="94" t="inlineStr">
        <is>
          <t>21Z3</t>
        </is>
      </c>
      <c r="B42" s="2" t="inlineStr">
        <is>
          <t>21 - TRIP ZONA 3</t>
        </is>
      </c>
      <c r="C42" s="2" t="inlineStr">
        <is>
          <t>RelayTrip</t>
        </is>
      </c>
      <c r="D42" s="2" t="inlineStr">
        <is>
          <t>PROT</t>
        </is>
      </c>
      <c r="E42" s="2" t="inlineStr">
        <is>
          <t>Read</t>
        </is>
      </c>
      <c r="F42" s="2" t="inlineStr">
        <is>
          <t>null@null___NORMAL@ATUADO___RelayTrip_S_TS_SA</t>
        </is>
      </c>
      <c r="G42" s="2">
        <f>VLOOKUP(F42,'Message Mapping'!A:L,3,FALSE)</f>
        <v/>
      </c>
      <c r="H42" s="2">
        <f>VLOOKUP(F42,'Message Mapping'!A:L,4,FALSE)</f>
        <v/>
      </c>
      <c r="I42" s="2" t="n"/>
      <c r="J42" s="3">
        <f>VLOOKUP(F42,'Message Mapping'!A:L,12,FALSE)</f>
        <v/>
      </c>
      <c r="K42" s="3" t="n"/>
      <c r="L42" s="3" t="n"/>
      <c r="M42" s="3" t="n"/>
      <c r="N42" s="3" t="n"/>
      <c r="O42" s="3" t="n"/>
      <c r="P42" s="3" t="n"/>
    </row>
    <row r="43">
      <c r="A43" s="94" t="inlineStr">
        <is>
          <t>21Z4</t>
        </is>
      </c>
      <c r="B43" s="2" t="inlineStr">
        <is>
          <t>21 - TRIP ZONA 4</t>
        </is>
      </c>
      <c r="C43" s="2" t="inlineStr">
        <is>
          <t>RelayTrip</t>
        </is>
      </c>
      <c r="D43" s="2" t="inlineStr">
        <is>
          <t>PROT</t>
        </is>
      </c>
      <c r="E43" s="2" t="inlineStr">
        <is>
          <t>Read</t>
        </is>
      </c>
      <c r="F43" s="2" t="inlineStr">
        <is>
          <t>null@null___NORMAL@ATUADO___RelayTrip_S_TS_SA</t>
        </is>
      </c>
      <c r="G43" s="2">
        <f>VLOOKUP(F43,'Message Mapping'!A:L,3,FALSE)</f>
        <v/>
      </c>
      <c r="H43" s="2">
        <f>VLOOKUP(F43,'Message Mapping'!A:L,4,FALSE)</f>
        <v/>
      </c>
      <c r="I43" s="2" t="n"/>
      <c r="J43" s="3">
        <f>VLOOKUP(F43,'Message Mapping'!A:L,12,FALSE)</f>
        <v/>
      </c>
      <c r="K43" s="3" t="n"/>
      <c r="L43" s="3" t="n"/>
      <c r="M43" s="3" t="n"/>
      <c r="N43" s="3" t="n"/>
      <c r="O43" s="3" t="n"/>
      <c r="P43" s="3" t="n"/>
    </row>
    <row r="44">
      <c r="A44" s="94" t="inlineStr">
        <is>
          <t>21Z5</t>
        </is>
      </c>
      <c r="B44" s="2" t="inlineStr">
        <is>
          <t>21 - TRIP ZONA 5</t>
        </is>
      </c>
      <c r="C44" s="2" t="inlineStr">
        <is>
          <t>RelayTrip</t>
        </is>
      </c>
      <c r="D44" s="2" t="inlineStr">
        <is>
          <t>PROT</t>
        </is>
      </c>
      <c r="E44" s="2" t="inlineStr">
        <is>
          <t>Read</t>
        </is>
      </c>
      <c r="F44" s="2" t="inlineStr">
        <is>
          <t>null@null___NORMAL@ATUADO___RelayTrip_S_TS_SA</t>
        </is>
      </c>
      <c r="G44" s="2">
        <f>VLOOKUP(F44,'Message Mapping'!A:L,3,FALSE)</f>
        <v/>
      </c>
      <c r="H44" s="2">
        <f>VLOOKUP(F44,'Message Mapping'!A:L,4,FALSE)</f>
        <v/>
      </c>
      <c r="I44" s="2" t="n"/>
      <c r="J44" s="3">
        <f>VLOOKUP(F44,'Message Mapping'!A:L,12,FALSE)</f>
        <v/>
      </c>
      <c r="K44" s="3" t="n"/>
      <c r="L44" s="3" t="n"/>
      <c r="M44" s="3" t="n"/>
      <c r="N44" s="3" t="n"/>
      <c r="O44" s="3" t="n"/>
      <c r="P44" s="3" t="n"/>
    </row>
    <row r="45">
      <c r="A45" s="94" t="inlineStr">
        <is>
          <t>24I</t>
        </is>
      </c>
      <c r="B45" s="2" t="inlineStr">
        <is>
          <t>24 - INSTANTANEA SOBREEXCITACAO (VOLTS HERTZ)</t>
        </is>
      </c>
      <c r="C45" s="2" t="inlineStr">
        <is>
          <t>RelayTrip</t>
        </is>
      </c>
      <c r="D45" s="2" t="inlineStr">
        <is>
          <t>PROT</t>
        </is>
      </c>
      <c r="E45" s="2" t="inlineStr">
        <is>
          <t>Read</t>
        </is>
      </c>
      <c r="F45" s="2" t="inlineStr">
        <is>
          <t>null@null___NORMAL@ATUADO___RelayTrip_S_TS_SA</t>
        </is>
      </c>
      <c r="G45" s="2">
        <f>VLOOKUP(F45,'Message Mapping'!A:L,3,FALSE)</f>
        <v/>
      </c>
      <c r="H45" s="2">
        <f>VLOOKUP(F45,'Message Mapping'!A:L,4,FALSE)</f>
        <v/>
      </c>
      <c r="I45" s="2" t="n"/>
      <c r="J45" s="3">
        <f>VLOOKUP(F45,'Message Mapping'!A:L,12,FALSE)</f>
        <v/>
      </c>
      <c r="K45" s="3" t="n"/>
      <c r="L45" s="3" t="n"/>
      <c r="M45" s="3" t="n"/>
      <c r="N45" s="3" t="n"/>
      <c r="O45" s="3" t="n"/>
      <c r="P45" s="3" t="n"/>
    </row>
    <row r="46">
      <c r="A46" s="94" t="inlineStr">
        <is>
          <t>24I1</t>
        </is>
      </c>
      <c r="B46" s="2" t="inlineStr">
        <is>
          <t>24 - INSTANTANEA SOBREEXCITACAO (VOLTS HERTZ) E1</t>
        </is>
      </c>
      <c r="C46" s="2" t="inlineStr">
        <is>
          <t>RelayTrip</t>
        </is>
      </c>
      <c r="D46" s="2" t="inlineStr">
        <is>
          <t>PROT</t>
        </is>
      </c>
      <c r="E46" s="2" t="inlineStr">
        <is>
          <t>Read</t>
        </is>
      </c>
      <c r="F46" s="2" t="inlineStr">
        <is>
          <t>null@null___NORMAL@ATUADO___RelayTrip_S_TS_SA</t>
        </is>
      </c>
      <c r="G46" s="2">
        <f>VLOOKUP(F46,'Message Mapping'!A:L,3,FALSE)</f>
        <v/>
      </c>
      <c r="H46" s="2">
        <f>VLOOKUP(F46,'Message Mapping'!A:L,4,FALSE)</f>
        <v/>
      </c>
      <c r="I46" s="2" t="n"/>
      <c r="J46" s="3">
        <f>VLOOKUP(F46,'Message Mapping'!A:L,12,FALSE)</f>
        <v/>
      </c>
      <c r="K46" s="3" t="n"/>
      <c r="L46" s="3" t="n"/>
      <c r="M46" s="3" t="n"/>
      <c r="N46" s="3" t="n"/>
      <c r="O46" s="3" t="n"/>
      <c r="P46" s="3" t="n"/>
    </row>
    <row r="47">
      <c r="A47" s="94" t="inlineStr">
        <is>
          <t>24I2</t>
        </is>
      </c>
      <c r="B47" s="2" t="inlineStr">
        <is>
          <t>24 - INSTANTANEA SOBREEXCITACAO (VOLTS HERTZ) E2</t>
        </is>
      </c>
      <c r="C47" s="2" t="inlineStr">
        <is>
          <t>RelayTrip</t>
        </is>
      </c>
      <c r="D47" s="2" t="inlineStr">
        <is>
          <t>PROT</t>
        </is>
      </c>
      <c r="E47" s="2" t="inlineStr">
        <is>
          <t>Read</t>
        </is>
      </c>
      <c r="F47" s="2" t="inlineStr">
        <is>
          <t>null@null___NORMAL@ATUADO___RelayTrip_S_TS_SA</t>
        </is>
      </c>
      <c r="G47" s="2">
        <f>VLOOKUP(F47,'Message Mapping'!A:L,3,FALSE)</f>
        <v/>
      </c>
      <c r="H47" s="2">
        <f>VLOOKUP(F47,'Message Mapping'!A:L,4,FALSE)</f>
        <v/>
      </c>
      <c r="I47" s="2" t="n"/>
      <c r="J47" s="3">
        <f>VLOOKUP(F47,'Message Mapping'!A:L,12,FALSE)</f>
        <v/>
      </c>
      <c r="K47" s="3" t="n"/>
      <c r="L47" s="3" t="n"/>
      <c r="M47" s="3" t="n"/>
      <c r="N47" s="3" t="n"/>
      <c r="O47" s="3" t="n"/>
      <c r="P47" s="3" t="n"/>
    </row>
    <row r="48">
      <c r="A48" s="94" t="inlineStr">
        <is>
          <t>24T</t>
        </is>
      </c>
      <c r="B48" s="2" t="inlineStr">
        <is>
          <t>24 - TEMPORIZADA SOBREEXCITACAO (VOLTS HERTZ)</t>
        </is>
      </c>
      <c r="C48" s="2" t="inlineStr">
        <is>
          <t>RelayTrip</t>
        </is>
      </c>
      <c r="D48" s="2" t="inlineStr">
        <is>
          <t>PROT</t>
        </is>
      </c>
      <c r="E48" s="2" t="inlineStr">
        <is>
          <t>Read</t>
        </is>
      </c>
      <c r="F48" s="2" t="inlineStr">
        <is>
          <t>null@null___NORMAL@ATUADO___RelayTrip_S_TS_SA</t>
        </is>
      </c>
      <c r="G48" s="2">
        <f>VLOOKUP(F48,'Message Mapping'!A:L,3,FALSE)</f>
        <v/>
      </c>
      <c r="H48" s="2">
        <f>VLOOKUP(F48,'Message Mapping'!A:L,4,FALSE)</f>
        <v/>
      </c>
      <c r="I48" s="2" t="n"/>
      <c r="J48" s="3">
        <f>VLOOKUP(F48,'Message Mapping'!A:L,12,FALSE)</f>
        <v/>
      </c>
      <c r="K48" s="3" t="n"/>
      <c r="L48" s="3" t="n"/>
      <c r="M48" s="3" t="n"/>
      <c r="N48" s="3" t="n"/>
      <c r="O48" s="3" t="n"/>
      <c r="P48" s="3" t="n"/>
    </row>
    <row r="49">
      <c r="A49" s="94" t="inlineStr">
        <is>
          <t>24T1</t>
        </is>
      </c>
      <c r="B49" s="2" t="inlineStr">
        <is>
          <t>24 - TEMPORIZADA SOBREEXCITACAO (VOLTS HERTZ) E1</t>
        </is>
      </c>
      <c r="C49" s="2" t="inlineStr">
        <is>
          <t>RelayTrip</t>
        </is>
      </c>
      <c r="D49" s="2" t="inlineStr">
        <is>
          <t>PROT</t>
        </is>
      </c>
      <c r="E49" s="2" t="inlineStr">
        <is>
          <t>Read</t>
        </is>
      </c>
      <c r="F49" s="2" t="inlineStr">
        <is>
          <t>null@null___NORMAL@ATUADO___RelayTrip_S_TS_SA</t>
        </is>
      </c>
      <c r="G49" s="2">
        <f>VLOOKUP(F49,'Message Mapping'!A:L,3,FALSE)</f>
        <v/>
      </c>
      <c r="H49" s="2">
        <f>VLOOKUP(F49,'Message Mapping'!A:L,4,FALSE)</f>
        <v/>
      </c>
      <c r="I49" s="2" t="n"/>
      <c r="J49" s="3">
        <f>VLOOKUP(F49,'Message Mapping'!A:L,12,FALSE)</f>
        <v/>
      </c>
      <c r="K49" s="3" t="n"/>
      <c r="L49" s="3" t="n"/>
      <c r="M49" s="3" t="n"/>
      <c r="N49" s="3" t="n"/>
      <c r="O49" s="3" t="n"/>
      <c r="P49" s="3" t="n"/>
    </row>
    <row r="50">
      <c r="A50" s="94" t="inlineStr">
        <is>
          <t>24T2</t>
        </is>
      </c>
      <c r="B50" s="2" t="inlineStr">
        <is>
          <t>24 - TEMPORIZADA SOBREEXCITACAO (VOLTS HERTZ) E2</t>
        </is>
      </c>
      <c r="C50" s="2" t="inlineStr">
        <is>
          <t>RelayTrip</t>
        </is>
      </c>
      <c r="D50" s="2" t="inlineStr">
        <is>
          <t>PROT</t>
        </is>
      </c>
      <c r="E50" s="2" t="inlineStr">
        <is>
          <t>Read</t>
        </is>
      </c>
      <c r="F50" s="2" t="inlineStr">
        <is>
          <t>null@null___NORMAL@ATUADO___RelayTrip_S_TS_SA</t>
        </is>
      </c>
      <c r="G50" s="2">
        <f>VLOOKUP(F50,'Message Mapping'!A:L,3,FALSE)</f>
        <v/>
      </c>
      <c r="H50" s="2">
        <f>VLOOKUP(F50,'Message Mapping'!A:L,4,FALSE)</f>
        <v/>
      </c>
      <c r="I50" s="2" t="n"/>
      <c r="J50" s="3">
        <f>VLOOKUP(F50,'Message Mapping'!A:L,12,FALSE)</f>
        <v/>
      </c>
      <c r="K50" s="3" t="n"/>
      <c r="L50" s="3" t="n"/>
      <c r="M50" s="3" t="n"/>
      <c r="N50" s="3" t="n"/>
      <c r="O50" s="3" t="n"/>
      <c r="P50" s="3" t="n"/>
    </row>
    <row r="51">
      <c r="A51" s="94" t="inlineStr">
        <is>
          <t>24</t>
        </is>
      </c>
      <c r="B51" s="2" t="inlineStr">
        <is>
          <t>24 - TRIP SOBREEXCITACAO (VOLTS HERTZ)</t>
        </is>
      </c>
      <c r="C51" s="2" t="inlineStr">
        <is>
          <t>RelayTrip</t>
        </is>
      </c>
      <c r="D51" s="2" t="inlineStr">
        <is>
          <t>PROT</t>
        </is>
      </c>
      <c r="E51" s="2" t="inlineStr">
        <is>
          <t>Read</t>
        </is>
      </c>
      <c r="F51" s="2" t="inlineStr">
        <is>
          <t>null@null___NORMAL@ATUADO___RelayTrip_S_TS_SA</t>
        </is>
      </c>
      <c r="G51" s="2">
        <f>VLOOKUP(F51,'Message Mapping'!A:L,3,FALSE)</f>
        <v/>
      </c>
      <c r="H51" s="2">
        <f>VLOOKUP(F51,'Message Mapping'!A:L,4,FALSE)</f>
        <v/>
      </c>
      <c r="I51" s="2" t="n"/>
      <c r="J51" s="3">
        <f>VLOOKUP(F51,'Message Mapping'!A:L,12,FALSE)</f>
        <v/>
      </c>
      <c r="K51" s="3" t="n"/>
      <c r="L51" s="3" t="n"/>
      <c r="M51" s="3" t="n"/>
      <c r="N51" s="3" t="n"/>
      <c r="O51" s="3" t="n"/>
      <c r="P51" s="3" t="n"/>
    </row>
    <row r="52">
      <c r="A52" s="94" t="inlineStr">
        <is>
          <t>25ER</t>
        </is>
      </c>
      <c r="B52" s="2" t="inlineStr">
        <is>
          <t>25 - FALHA SINCRONISMO</t>
        </is>
      </c>
      <c r="C52" s="2" t="inlineStr">
        <is>
          <t>Custom</t>
        </is>
      </c>
      <c r="D52" s="2" t="inlineStr">
        <is>
          <t>FALHAS FCOM/VCA/VCC</t>
        </is>
      </c>
      <c r="E52" s="2" t="inlineStr">
        <is>
          <t>Read</t>
        </is>
      </c>
      <c r="F52" s="2" t="inlineStr">
        <is>
          <t>null@null___NORMAL@FALHA___Custom_S_TS_SB</t>
        </is>
      </c>
      <c r="G52" s="2">
        <f>VLOOKUP(F52,'Message Mapping'!A:L,3,FALSE)</f>
        <v/>
      </c>
      <c r="H52" s="2">
        <f>VLOOKUP(F52,'Message Mapping'!A:L,4,FALSE)</f>
        <v/>
      </c>
      <c r="I52" s="2" t="n"/>
      <c r="J52" s="3">
        <f>VLOOKUP(F52,'Message Mapping'!A:L,12,FALSE)</f>
        <v/>
      </c>
      <c r="K52" s="3" t="n"/>
      <c r="L52" s="3" t="n"/>
      <c r="M52" s="3" t="n"/>
      <c r="N52" s="3" t="n"/>
      <c r="O52" s="3" t="n"/>
      <c r="P52" s="3" t="n"/>
    </row>
    <row r="53">
      <c r="A53" s="94" t="inlineStr">
        <is>
          <t>25CA</t>
        </is>
      </c>
      <c r="B53" s="2" t="inlineStr">
        <is>
          <t>25 - FALTA VCA RELE SINCRONISMO</t>
        </is>
      </c>
      <c r="C53" s="2" t="inlineStr">
        <is>
          <t>Custom</t>
        </is>
      </c>
      <c r="D53" s="2" t="inlineStr">
        <is>
          <t>FALHAS FCOM/VCA/VCC</t>
        </is>
      </c>
      <c r="E53" s="2" t="inlineStr">
        <is>
          <t>Read</t>
        </is>
      </c>
      <c r="F53" s="2" t="inlineStr">
        <is>
          <t>null@null___NORMAL@FALTA___Custom_S_TS_SB</t>
        </is>
      </c>
      <c r="G53" s="2">
        <f>VLOOKUP(F53,'Message Mapping'!A:L,3,FALSE)</f>
        <v/>
      </c>
      <c r="H53" s="2">
        <f>VLOOKUP(F53,'Message Mapping'!A:L,4,FALSE)</f>
        <v/>
      </c>
      <c r="I53" s="2" t="n"/>
      <c r="J53" s="3">
        <f>VLOOKUP(F53,'Message Mapping'!A:L,12,FALSE)</f>
        <v/>
      </c>
      <c r="K53" s="3" t="n"/>
      <c r="L53" s="3" t="n"/>
      <c r="M53" s="3" t="n"/>
      <c r="N53" s="3" t="n"/>
      <c r="O53" s="3" t="n"/>
      <c r="P53" s="3" t="n"/>
    </row>
    <row r="54">
      <c r="A54" s="94" t="inlineStr">
        <is>
          <t>25IE</t>
        </is>
      </c>
      <c r="B54" s="2" t="inlineStr">
        <is>
          <t>25 - FUNCAO SINCRONISMO</t>
        </is>
      </c>
      <c r="C54" s="2" t="inlineStr">
        <is>
          <t>Enabled</t>
        </is>
      </c>
      <c r="D54" s="2" t="inlineStr">
        <is>
          <t>FUNCÕES/43/PARALELISMO</t>
        </is>
      </c>
      <c r="E54" s="2" t="inlineStr">
        <is>
          <t>ReadWrite</t>
        </is>
      </c>
      <c r="F54" s="2" t="inlineStr">
        <is>
          <t>INCLUIR@EXCLUIR___INCLUIDO@EXCLUIDO___Enabled_S_TC_SS</t>
        </is>
      </c>
      <c r="G54" s="2">
        <f>VLOOKUP(F54,'Message Mapping'!A:L,3,FALSE)</f>
        <v/>
      </c>
      <c r="H54" s="2">
        <f>VLOOKUP(F54,'Message Mapping'!A:L,4,FALSE)</f>
        <v/>
      </c>
      <c r="I54" s="2" t="n"/>
      <c r="J54" s="3">
        <f>VLOOKUP(F54,'Message Mapping'!A:L,12,FALSE)</f>
        <v/>
      </c>
      <c r="K54" s="3" t="n"/>
      <c r="L54" s="3" t="n"/>
      <c r="M54" s="3" t="n"/>
      <c r="N54" s="3" t="n"/>
      <c r="O54" s="3" t="n"/>
      <c r="P54" s="3" t="n"/>
    </row>
    <row r="55">
      <c r="A55" s="94" t="inlineStr">
        <is>
          <t>25IE</t>
        </is>
      </c>
      <c r="B55" s="2" t="inlineStr">
        <is>
          <t>25 - FUNCAO SINCRONISMO</t>
        </is>
      </c>
      <c r="C55" s="2" t="inlineStr">
        <is>
          <t>Enabled</t>
        </is>
      </c>
      <c r="D55" s="2" t="inlineStr">
        <is>
          <t>FUNCÕES/43/PARALELISMO</t>
        </is>
      </c>
      <c r="E55" s="2" t="inlineStr">
        <is>
          <t>Read</t>
        </is>
      </c>
      <c r="F55" s="2" t="inlineStr">
        <is>
          <t>null@null___INCLUIDO@EXCLUIDO___Enabled_S_TS_SS</t>
        </is>
      </c>
      <c r="G55" s="2">
        <f>VLOOKUP(F55,'Message Mapping'!A:L,3,FALSE)</f>
        <v/>
      </c>
      <c r="H55" s="2">
        <f>VLOOKUP(F55,'Message Mapping'!A:L,4,FALSE)</f>
        <v/>
      </c>
      <c r="I55" s="2" t="n"/>
      <c r="J55" s="3">
        <f>VLOOKUP(F55,'Message Mapping'!A:L,12,FALSE)</f>
        <v/>
      </c>
      <c r="K55" s="3" t="n"/>
      <c r="L55" s="3" t="n"/>
      <c r="M55" s="3" t="n"/>
      <c r="N55" s="3" t="n"/>
      <c r="O55" s="3" t="n"/>
      <c r="P55" s="3" t="n"/>
    </row>
    <row r="56">
      <c r="A56" s="95" t="inlineStr">
        <is>
          <t>25AM</t>
        </is>
      </c>
      <c r="B56" s="2" t="inlineStr">
        <is>
          <t xml:space="preserve">25 - RELE 25 AUTOMATICO MANUAL </t>
        </is>
      </c>
      <c r="C56" s="2" t="inlineStr">
        <is>
          <t>Custom</t>
        </is>
      </c>
      <c r="D56" s="2" t="inlineStr">
        <is>
          <t>FUNCÕES/43/PARALELISMO</t>
        </is>
      </c>
      <c r="E56" s="2" t="inlineStr">
        <is>
          <t>Read</t>
        </is>
      </c>
      <c r="F56" s="2" t="inlineStr">
        <is>
          <t>null@null___MANUAL@AUTOMATICO___Custom_S_TS_SS</t>
        </is>
      </c>
      <c r="G56" s="2">
        <f>VLOOKUP(F56,'Message Mapping'!A:L,3,FALSE)</f>
        <v/>
      </c>
      <c r="H56" s="2">
        <f>VLOOKUP(F56,'Message Mapping'!A:L,4,FALSE)</f>
        <v/>
      </c>
      <c r="I56" s="2" t="n"/>
      <c r="J56" s="3">
        <f>VLOOKUP(F56,'Message Mapping'!A:L,12,FALSE)</f>
        <v/>
      </c>
      <c r="K56" s="3" t="n"/>
      <c r="L56" s="3" t="n"/>
      <c r="M56" s="3" t="n"/>
      <c r="N56" s="3" t="n"/>
      <c r="O56" s="3" t="n"/>
      <c r="P56" s="3" t="n"/>
    </row>
    <row r="57">
      <c r="A57" s="94" t="inlineStr">
        <is>
          <t>25LR</t>
        </is>
      </c>
      <c r="B57" s="2" t="inlineStr">
        <is>
          <t xml:space="preserve">25 - CHAVE LOCAL REMOTO RELE 25 </t>
        </is>
      </c>
      <c r="C57" s="2" t="inlineStr">
        <is>
          <t>Custom</t>
        </is>
      </c>
      <c r="D57" s="2" t="inlineStr">
        <is>
          <t>FUNCÕES/43/PARALELISMO</t>
        </is>
      </c>
      <c r="E57" s="2" t="inlineStr">
        <is>
          <t>Read</t>
        </is>
      </c>
      <c r="F57" s="2" t="inlineStr">
        <is>
          <t>null@null___REMOTO@LOCAL___Custom_S_TS_SS</t>
        </is>
      </c>
      <c r="G57" s="2">
        <f>VLOOKUP(F57,'Message Mapping'!A:L,3,FALSE)</f>
        <v/>
      </c>
      <c r="H57" s="2">
        <f>VLOOKUP(F57,'Message Mapping'!A:L,4,FALSE)</f>
        <v/>
      </c>
      <c r="I57" s="2" t="n"/>
      <c r="J57" s="3">
        <f>VLOOKUP(F57,'Message Mapping'!A:L,12,FALSE)</f>
        <v/>
      </c>
      <c r="K57" s="3" t="n"/>
      <c r="L57" s="3" t="n"/>
      <c r="M57" s="3" t="n"/>
      <c r="N57" s="3" t="n"/>
      <c r="O57" s="3" t="n"/>
      <c r="P57" s="3" t="n"/>
    </row>
    <row r="58">
      <c r="A58" s="94" t="inlineStr">
        <is>
          <t>25OK</t>
        </is>
      </c>
      <c r="B58" s="2" t="inlineStr">
        <is>
          <t>25 - SINCRONISMO FONTE/CARGA</t>
        </is>
      </c>
      <c r="C58" s="2" t="inlineStr">
        <is>
          <t>Custom</t>
        </is>
      </c>
      <c r="D58" s="2" t="inlineStr">
        <is>
          <t>FALHAS FCOM/VCA/VCC</t>
        </is>
      </c>
      <c r="E58" s="2" t="inlineStr">
        <is>
          <t>Read</t>
        </is>
      </c>
      <c r="F58" s="2" t="inlineStr">
        <is>
          <t>null@null___NORMAL@ATUADO___Custom_S_TS_SB</t>
        </is>
      </c>
      <c r="G58" s="2">
        <f>VLOOKUP(F58,'Message Mapping'!A:L,3,FALSE)</f>
        <v/>
      </c>
      <c r="H58" s="2">
        <f>VLOOKUP(F58,'Message Mapping'!A:L,4,FALSE)</f>
        <v/>
      </c>
      <c r="I58" s="2" t="n"/>
      <c r="J58" s="3">
        <f>VLOOKUP(F58,'Message Mapping'!A:L,12,FALSE)</f>
        <v/>
      </c>
      <c r="K58" s="3" t="n"/>
      <c r="L58" s="3" t="n"/>
      <c r="M58" s="3" t="n"/>
      <c r="N58" s="3" t="n"/>
      <c r="O58" s="3" t="n"/>
      <c r="P58" s="3" t="n"/>
    </row>
    <row r="59">
      <c r="A59" s="94" t="inlineStr">
        <is>
          <t>25AT</t>
        </is>
      </c>
      <c r="B59" s="2" t="inlineStr">
        <is>
          <t>25 - TRIP DIFERENCA DE ANGULO</t>
        </is>
      </c>
      <c r="C59" s="2" t="inlineStr">
        <is>
          <t>RelayTrip</t>
        </is>
      </c>
      <c r="D59" s="2" t="inlineStr">
        <is>
          <t>PROT</t>
        </is>
      </c>
      <c r="E59" s="2" t="inlineStr">
        <is>
          <t>Read</t>
        </is>
      </c>
      <c r="F59" s="2" t="inlineStr">
        <is>
          <t>null@null___NORMAL@ATUADO___RelayTrip_S_TS_SA</t>
        </is>
      </c>
      <c r="G59" s="2">
        <f>VLOOKUP(F59,'Message Mapping'!A:L,3,FALSE)</f>
        <v/>
      </c>
      <c r="H59" s="2">
        <f>VLOOKUP(F59,'Message Mapping'!A:L,4,FALSE)</f>
        <v/>
      </c>
      <c r="I59" s="2" t="n"/>
      <c r="J59" s="3">
        <f>VLOOKUP(F59,'Message Mapping'!A:L,12,FALSE)</f>
        <v/>
      </c>
      <c r="K59" s="3" t="n"/>
      <c r="L59" s="3" t="n"/>
      <c r="M59" s="3" t="n"/>
      <c r="N59" s="3" t="n"/>
      <c r="O59" s="3" t="n"/>
      <c r="P59" s="3" t="n"/>
    </row>
    <row r="60">
      <c r="A60" s="94" t="inlineStr">
        <is>
          <t>25FT</t>
        </is>
      </c>
      <c r="B60" s="2" t="inlineStr">
        <is>
          <t>25 - TRIP DIFERENCA FREQUENCIA</t>
        </is>
      </c>
      <c r="C60" s="2" t="inlineStr">
        <is>
          <t>RelayTrip</t>
        </is>
      </c>
      <c r="D60" s="2" t="inlineStr">
        <is>
          <t>PROT</t>
        </is>
      </c>
      <c r="E60" s="2" t="inlineStr">
        <is>
          <t>Read</t>
        </is>
      </c>
      <c r="F60" s="2" t="inlineStr">
        <is>
          <t>null@null___NORMAL@ATUADO___RelayTrip_S_TS_SA</t>
        </is>
      </c>
      <c r="G60" s="2">
        <f>VLOOKUP(F60,'Message Mapping'!A:L,3,FALSE)</f>
        <v/>
      </c>
      <c r="H60" s="2">
        <f>VLOOKUP(F60,'Message Mapping'!A:L,4,FALSE)</f>
        <v/>
      </c>
      <c r="I60" s="2" t="n"/>
      <c r="J60" s="3">
        <f>VLOOKUP(F60,'Message Mapping'!A:L,12,FALSE)</f>
        <v/>
      </c>
      <c r="K60" s="3" t="n"/>
      <c r="L60" s="3" t="n"/>
      <c r="M60" s="3" t="n"/>
      <c r="N60" s="3" t="n"/>
      <c r="O60" s="3" t="n"/>
      <c r="P60" s="3" t="n"/>
    </row>
    <row r="61">
      <c r="A61" s="94" t="inlineStr">
        <is>
          <t>25VT</t>
        </is>
      </c>
      <c r="B61" s="2" t="inlineStr">
        <is>
          <t>25 - TRIP DIFERENCA TENSAO</t>
        </is>
      </c>
      <c r="C61" s="2" t="inlineStr">
        <is>
          <t>RelayTrip</t>
        </is>
      </c>
      <c r="D61" s="2" t="inlineStr">
        <is>
          <t>PROT</t>
        </is>
      </c>
      <c r="E61" s="2" t="inlineStr">
        <is>
          <t>Read</t>
        </is>
      </c>
      <c r="F61" s="2" t="inlineStr">
        <is>
          <t>null@null___NORMAL@ATUADO___RelayTrip_S_TS_SA</t>
        </is>
      </c>
      <c r="G61" s="2">
        <f>VLOOKUP(F61,'Message Mapping'!A:L,3,FALSE)</f>
        <v/>
      </c>
      <c r="H61" s="2">
        <f>VLOOKUP(F61,'Message Mapping'!A:L,4,FALSE)</f>
        <v/>
      </c>
      <c r="I61" s="2" t="n"/>
      <c r="J61" s="3">
        <f>VLOOKUP(F61,'Message Mapping'!A:L,12,FALSE)</f>
        <v/>
      </c>
      <c r="K61" s="3" t="n"/>
      <c r="L61" s="3" t="n"/>
      <c r="M61" s="3" t="n"/>
      <c r="N61" s="3" t="n"/>
      <c r="O61" s="3" t="n"/>
      <c r="P61" s="3" t="n"/>
    </row>
    <row r="62">
      <c r="A62" s="94" t="inlineStr">
        <is>
          <t>25_T</t>
        </is>
      </c>
      <c r="B62" s="2" t="inlineStr">
        <is>
          <t>25 - TRIP SINCRONISMO</t>
        </is>
      </c>
      <c r="C62" s="2" t="inlineStr">
        <is>
          <t>RelayTrip</t>
        </is>
      </c>
      <c r="D62" s="2" t="inlineStr">
        <is>
          <t>PROT</t>
        </is>
      </c>
      <c r="E62" s="2" t="inlineStr">
        <is>
          <t>Read</t>
        </is>
      </c>
      <c r="F62" s="2" t="inlineStr">
        <is>
          <t>null@null___NORMAL@ATUADO___RelayTrip_S_TS_SA</t>
        </is>
      </c>
      <c r="G62" s="2">
        <f>VLOOKUP(F62,'Message Mapping'!A:L,3,FALSE)</f>
        <v/>
      </c>
      <c r="H62" s="2">
        <f>VLOOKUP(F62,'Message Mapping'!A:L,4,FALSE)</f>
        <v/>
      </c>
      <c r="I62" s="2" t="n"/>
      <c r="J62" s="3">
        <f>VLOOKUP(F62,'Message Mapping'!A:L,12,FALSE)</f>
        <v/>
      </c>
      <c r="K62" s="3" t="n"/>
      <c r="L62" s="3" t="n"/>
      <c r="M62" s="3" t="n"/>
      <c r="N62" s="3" t="n"/>
      <c r="O62" s="3" t="n"/>
      <c r="P62" s="3" t="n"/>
    </row>
    <row r="63">
      <c r="A63" s="94" t="inlineStr">
        <is>
          <t>TOA</t>
        </is>
      </c>
      <c r="B63" s="2" t="inlineStr">
        <is>
          <t>26 - ALARME TEMPERATURA OLEO</t>
        </is>
      </c>
      <c r="C63" s="2" t="inlineStr">
        <is>
          <t>Custom</t>
        </is>
      </c>
      <c r="D63" s="2" t="inlineStr">
        <is>
          <t>PROT</t>
        </is>
      </c>
      <c r="E63" s="2" t="inlineStr">
        <is>
          <t>Read</t>
        </is>
      </c>
      <c r="F63" s="2" t="inlineStr">
        <is>
          <t>null@null___NORMAL@ATUADO___Custom_S_TS_SA</t>
        </is>
      </c>
      <c r="G63" s="2">
        <f>VLOOKUP(F63,'Message Mapping'!A:L,3,FALSE)</f>
        <v/>
      </c>
      <c r="H63" s="2">
        <f>VLOOKUP(F63,'Message Mapping'!A:L,4,FALSE)</f>
        <v/>
      </c>
      <c r="I63" s="2" t="n"/>
      <c r="J63" s="3">
        <f>VLOOKUP(F63,'Message Mapping'!A:L,12,FALSE)</f>
        <v/>
      </c>
      <c r="K63" s="3" t="n"/>
      <c r="L63" s="3" t="n"/>
      <c r="M63" s="3" t="n"/>
      <c r="N63" s="3" t="n"/>
      <c r="O63" s="3" t="n"/>
      <c r="P63" s="3" t="n"/>
    </row>
    <row r="64">
      <c r="A64" s="94" t="inlineStr">
        <is>
          <t>TOC</t>
        </is>
      </c>
      <c r="B64" s="2" t="inlineStr">
        <is>
          <t>26 - ALARME TEMPERATURA OLEO CDC</t>
        </is>
      </c>
      <c r="C64" s="2" t="inlineStr">
        <is>
          <t>Custom</t>
        </is>
      </c>
      <c r="D64" s="2" t="inlineStr">
        <is>
          <t>PROT</t>
        </is>
      </c>
      <c r="E64" s="2" t="inlineStr">
        <is>
          <t>Read</t>
        </is>
      </c>
      <c r="F64" s="2" t="inlineStr">
        <is>
          <t>null@null___NORMAL@ATUADO___Custom_S_TS_SA</t>
        </is>
      </c>
      <c r="G64" s="2">
        <f>VLOOKUP(F64,'Message Mapping'!A:L,3,FALSE)</f>
        <v/>
      </c>
      <c r="H64" s="2">
        <f>VLOOKUP(F64,'Message Mapping'!A:L,4,FALSE)</f>
        <v/>
      </c>
      <c r="I64" s="2" t="n"/>
      <c r="J64" s="3">
        <f>VLOOKUP(F64,'Message Mapping'!A:L,12,FALSE)</f>
        <v/>
      </c>
      <c r="K64" s="3" t="n"/>
      <c r="L64" s="3" t="n"/>
      <c r="M64" s="3" t="n"/>
      <c r="N64" s="3" t="n"/>
      <c r="O64" s="3" t="n"/>
      <c r="P64" s="3" t="n"/>
    </row>
    <row r="65">
      <c r="A65" s="94" t="inlineStr">
        <is>
          <t>TOD</t>
        </is>
      </c>
      <c r="B65" s="2" t="inlineStr">
        <is>
          <t>26 - TRIP TEMPERATURA OLEO</t>
        </is>
      </c>
      <c r="C65" s="2" t="inlineStr">
        <is>
          <t>RelayTrip</t>
        </is>
      </c>
      <c r="D65" s="2" t="inlineStr">
        <is>
          <t>PROT</t>
        </is>
      </c>
      <c r="E65" s="2" t="inlineStr">
        <is>
          <t>Read</t>
        </is>
      </c>
      <c r="F65" s="2" t="inlineStr">
        <is>
          <t>null@null___NORMAL@ATUADO___RelayTrip_S_TS_SA</t>
        </is>
      </c>
      <c r="G65" s="2">
        <f>VLOOKUP(F65,'Message Mapping'!A:L,3,FALSE)</f>
        <v/>
      </c>
      <c r="H65" s="2">
        <f>VLOOKUP(F65,'Message Mapping'!A:L,4,FALSE)</f>
        <v/>
      </c>
      <c r="I65" s="2" t="n"/>
      <c r="J65" s="3">
        <f>VLOOKUP(F65,'Message Mapping'!A:L,12,FALSE)</f>
        <v/>
      </c>
      <c r="K65" s="3" t="n"/>
      <c r="L65" s="3" t="n"/>
      <c r="M65" s="3" t="n"/>
      <c r="N65" s="3" t="n"/>
      <c r="O65" s="3" t="n"/>
      <c r="P65" s="3" t="n"/>
    </row>
    <row r="66">
      <c r="A66" s="94" t="inlineStr">
        <is>
          <t>TOEA</t>
        </is>
      </c>
      <c r="B66" s="2" t="inlineStr">
        <is>
          <t>26 49 - ALARME TEMPERATURA</t>
        </is>
      </c>
      <c r="C66" s="2" t="inlineStr">
        <is>
          <t>Custom</t>
        </is>
      </c>
      <c r="D66" s="2" t="inlineStr">
        <is>
          <t>PROT</t>
        </is>
      </c>
      <c r="E66" s="2" t="inlineStr">
        <is>
          <t>Read</t>
        </is>
      </c>
      <c r="F66" s="2" t="inlineStr">
        <is>
          <t>null@null___NORMAL@ATUADO___Custom_S_TS_SI</t>
        </is>
      </c>
      <c r="G66" s="2">
        <f>VLOOKUP(F66,'Message Mapping'!A:L,3,FALSE)</f>
        <v/>
      </c>
      <c r="H66" s="2">
        <f>VLOOKUP(F66,'Message Mapping'!A:L,4,FALSE)</f>
        <v/>
      </c>
      <c r="I66" s="2" t="n"/>
      <c r="J66" s="3">
        <f>VLOOKUP(F66,'Message Mapping'!A:L,12,FALSE)</f>
        <v/>
      </c>
      <c r="K66" s="3" t="n"/>
      <c r="L66" s="3" t="n"/>
      <c r="M66" s="3" t="n"/>
      <c r="N66" s="3" t="n"/>
      <c r="O66" s="3" t="n"/>
      <c r="P66" s="3" t="n"/>
    </row>
    <row r="67" ht="38.25" customHeight="1">
      <c r="A67" s="94" t="inlineStr">
        <is>
          <t>2649</t>
        </is>
      </c>
      <c r="B67" s="2" t="inlineStr">
        <is>
          <t>26 49 - FUNCAO TEMPERATURA</t>
        </is>
      </c>
      <c r="C67" s="2" t="inlineStr">
        <is>
          <t>Enabled</t>
        </is>
      </c>
      <c r="D67" s="2" t="inlineStr">
        <is>
          <t>FUNCÕES/43/PARALELISMO</t>
        </is>
      </c>
      <c r="E67" s="2" t="inlineStr">
        <is>
          <t>ReadWrite</t>
        </is>
      </c>
      <c r="F67" s="2" t="inlineStr">
        <is>
          <t>INCLUIR@EXCLUIR___INCLUIDO@EXCLUIDO___Enabled_S_TC_SS</t>
        </is>
      </c>
      <c r="G67" s="2">
        <f>VLOOKUP(F67,'Message Mapping'!A:L,3,FALSE)</f>
        <v/>
      </c>
      <c r="H67" s="2">
        <f>VLOOKUP(F67,'Message Mapping'!A:L,4,FALSE)</f>
        <v/>
      </c>
      <c r="I67" s="2" t="n"/>
      <c r="J67" s="3">
        <f>VLOOKUP(F67,'Message Mapping'!A:L,12,FALSE)</f>
        <v/>
      </c>
      <c r="K67" s="3" t="inlineStr">
        <is>
          <t>Usado para indicar que houve o trip do disjuntor do alimentador, devido atuação da proteção por temperatura dos transformadores. Para verificar quais alimentadores possuem a função ativada, deve-se verificar a folha de ajustes da proteção.</t>
        </is>
      </c>
      <c r="L67" s="3" t="n"/>
      <c r="M67" s="3" t="n"/>
      <c r="N67" s="3" t="n"/>
      <c r="O67" s="3" t="n"/>
      <c r="P67" s="3" t="n"/>
    </row>
    <row r="68">
      <c r="A68" s="94" t="inlineStr">
        <is>
          <t>2649</t>
        </is>
      </c>
      <c r="B68" s="2" t="inlineStr">
        <is>
          <t>26 49 - FUNCAO TEMPERATURA</t>
        </is>
      </c>
      <c r="C68" s="2" t="inlineStr">
        <is>
          <t>Enabled</t>
        </is>
      </c>
      <c r="D68" s="2" t="inlineStr">
        <is>
          <t>FUNCÕES/43/PARALELISMO</t>
        </is>
      </c>
      <c r="E68" s="2" t="inlineStr">
        <is>
          <t>Read</t>
        </is>
      </c>
      <c r="F68" s="2" t="inlineStr">
        <is>
          <t>null@null___INCLUIDO@EXCLUIDO___Enabled_S_TS_SS</t>
        </is>
      </c>
      <c r="G68" s="2">
        <f>VLOOKUP(F68,'Message Mapping'!A:L,3,FALSE)</f>
        <v/>
      </c>
      <c r="H68" s="2">
        <f>VLOOKUP(F68,'Message Mapping'!A:L,4,FALSE)</f>
        <v/>
      </c>
      <c r="I68" s="2" t="n"/>
      <c r="J68" s="3">
        <f>VLOOKUP(F68,'Message Mapping'!A:L,12,FALSE)</f>
        <v/>
      </c>
      <c r="K68" s="3" t="inlineStr">
        <is>
          <t>Usado nos transformadores, pra indicar o trip por temperatura (óleo ou enrolamento).</t>
        </is>
      </c>
      <c r="L68" s="3" t="n"/>
      <c r="M68" s="3" t="n"/>
      <c r="N68" s="3" t="n"/>
      <c r="O68" s="3" t="n"/>
      <c r="P68" s="3" t="n"/>
    </row>
    <row r="69">
      <c r="A69" s="94" t="inlineStr">
        <is>
          <t>TOED</t>
        </is>
      </c>
      <c r="B69" s="2" t="inlineStr">
        <is>
          <t>26 49 - TRIP TEMPERATURA</t>
        </is>
      </c>
      <c r="C69" s="2" t="inlineStr">
        <is>
          <t>RelayTrip</t>
        </is>
      </c>
      <c r="D69" s="2" t="inlineStr">
        <is>
          <t>PROT</t>
        </is>
      </c>
      <c r="E69" s="2" t="inlineStr">
        <is>
          <t>Read</t>
        </is>
      </c>
      <c r="F69" s="2" t="inlineStr">
        <is>
          <t>null@null___NORMAL@ATUADO___RelayTrip_S_TS_SA</t>
        </is>
      </c>
      <c r="G69" s="2">
        <f>VLOOKUP(F69,'Message Mapping'!A:L,3,FALSE)</f>
        <v/>
      </c>
      <c r="H69" s="2">
        <f>VLOOKUP(F69,'Message Mapping'!A:L,4,FALSE)</f>
        <v/>
      </c>
      <c r="I69" s="2" t="n"/>
      <c r="J69" s="3">
        <f>VLOOKUP(F69,'Message Mapping'!A:L,12,FALSE)</f>
        <v/>
      </c>
      <c r="K69" s="3" t="n"/>
      <c r="L69" s="3" t="n"/>
      <c r="M69" s="3" t="n"/>
      <c r="N69" s="3" t="n"/>
      <c r="O69" s="3" t="n"/>
      <c r="P69" s="3" t="n"/>
    </row>
    <row r="70">
      <c r="A70" s="94" t="inlineStr">
        <is>
          <t>27BL</t>
        </is>
      </c>
      <c r="B70" s="2" t="inlineStr">
        <is>
          <t>27 - BLOQUEIO SUBTENSAO</t>
        </is>
      </c>
      <c r="C70" s="2" t="inlineStr">
        <is>
          <t>Custom</t>
        </is>
      </c>
      <c r="D70" s="2" t="inlineStr">
        <is>
          <t>PROT</t>
        </is>
      </c>
      <c r="E70" s="2" t="inlineStr">
        <is>
          <t>Read</t>
        </is>
      </c>
      <c r="F70" s="2" t="inlineStr">
        <is>
          <t>null@null___NORMAL@ATUADO___Custom_S_TS_SA</t>
        </is>
      </c>
      <c r="G70" s="2">
        <f>VLOOKUP(F70,'Message Mapping'!A:L,3,FALSE)</f>
        <v/>
      </c>
      <c r="H70" s="2">
        <f>VLOOKUP(F70,'Message Mapping'!A:L,4,FALSE)</f>
        <v/>
      </c>
      <c r="I70" s="2" t="n"/>
      <c r="J70" s="3">
        <f>VLOOKUP(F70,'Message Mapping'!A:L,12,FALSE)</f>
        <v/>
      </c>
      <c r="K70" s="3" t="n"/>
      <c r="L70" s="3" t="n"/>
      <c r="M70" s="3" t="n"/>
      <c r="N70" s="3" t="n"/>
      <c r="O70" s="3" t="n"/>
      <c r="P70" s="3" t="n"/>
    </row>
    <row r="71">
      <c r="A71" s="94" t="inlineStr">
        <is>
          <t>27</t>
        </is>
      </c>
      <c r="B71" s="2" t="inlineStr">
        <is>
          <t>27 - FUNCAO SUBTENSAO</t>
        </is>
      </c>
      <c r="C71" s="2" t="inlineStr">
        <is>
          <t>Enabled</t>
        </is>
      </c>
      <c r="D71" s="2" t="inlineStr">
        <is>
          <t>FUNCÕES/43/PARALELISMO</t>
        </is>
      </c>
      <c r="E71" s="2" t="inlineStr">
        <is>
          <t>ReadWrite</t>
        </is>
      </c>
      <c r="F71" s="2" t="inlineStr">
        <is>
          <t>INCLUIR@EXCLUIR___INCLUIDO@EXCLUIDO___Enabled_S_TC_SS</t>
        </is>
      </c>
      <c r="G71" s="2">
        <f>VLOOKUP(F71,'Message Mapping'!A:L,3,FALSE)</f>
        <v/>
      </c>
      <c r="H71" s="2">
        <f>VLOOKUP(F71,'Message Mapping'!A:L,4,FALSE)</f>
        <v/>
      </c>
      <c r="I71" s="2" t="n"/>
      <c r="J71" s="3">
        <f>VLOOKUP(F71,'Message Mapping'!A:L,12,FALSE)</f>
        <v/>
      </c>
      <c r="K71" s="3" t="n"/>
      <c r="L71" s="3" t="n"/>
      <c r="M71" s="3" t="n"/>
      <c r="N71" s="3" t="n"/>
      <c r="O71" s="3" t="n"/>
      <c r="P71" s="3" t="n"/>
    </row>
    <row r="72">
      <c r="A72" s="94" t="inlineStr">
        <is>
          <t>27</t>
        </is>
      </c>
      <c r="B72" s="2" t="inlineStr">
        <is>
          <t>27 - FUNCAO SUBTENSAO</t>
        </is>
      </c>
      <c r="C72" s="2" t="inlineStr">
        <is>
          <t>Enabled</t>
        </is>
      </c>
      <c r="D72" s="2" t="inlineStr">
        <is>
          <t>FUNCÕES/43/PARALELISMO</t>
        </is>
      </c>
      <c r="E72" s="2" t="inlineStr">
        <is>
          <t>Read</t>
        </is>
      </c>
      <c r="F72" s="2" t="inlineStr">
        <is>
          <t>null@null___INCLUIDO@EXCLUIDO___Enabled_S_TS_SS</t>
        </is>
      </c>
      <c r="G72" s="2">
        <f>VLOOKUP(F72,'Message Mapping'!A:L,3,FALSE)</f>
        <v/>
      </c>
      <c r="H72" s="2">
        <f>VLOOKUP(F72,'Message Mapping'!A:L,4,FALSE)</f>
        <v/>
      </c>
      <c r="I72" s="2" t="n"/>
      <c r="J72" s="3">
        <f>VLOOKUP(F72,'Message Mapping'!A:L,12,FALSE)</f>
        <v/>
      </c>
      <c r="K72" s="3" t="n"/>
      <c r="L72" s="3" t="n"/>
      <c r="M72" s="3" t="n"/>
      <c r="N72" s="3" t="n"/>
      <c r="O72" s="3" t="n"/>
      <c r="P72" s="3" t="n"/>
    </row>
    <row r="73">
      <c r="A73" s="94" t="inlineStr">
        <is>
          <t>27BR</t>
        </is>
      </c>
      <c r="B73" s="2" t="inlineStr">
        <is>
          <t>27 - SUBTENSAO BARRA</t>
        </is>
      </c>
      <c r="C73" s="2" t="inlineStr">
        <is>
          <t>Custom</t>
        </is>
      </c>
      <c r="D73" s="2" t="inlineStr">
        <is>
          <t>PROT</t>
        </is>
      </c>
      <c r="E73" s="2" t="inlineStr">
        <is>
          <t>Read</t>
        </is>
      </c>
      <c r="F73" s="2" t="inlineStr">
        <is>
          <t>null@null___NORMAL@ATUADO___Custom_S_TS_SA</t>
        </is>
      </c>
      <c r="G73" s="2">
        <f>VLOOKUP(F73,'Message Mapping'!A:L,3,FALSE)</f>
        <v/>
      </c>
      <c r="H73" s="2">
        <f>VLOOKUP(F73,'Message Mapping'!A:L,4,FALSE)</f>
        <v/>
      </c>
      <c r="I73" s="2" t="n"/>
      <c r="J73" s="3">
        <f>VLOOKUP(F73,'Message Mapping'!A:L,12,FALSE)</f>
        <v/>
      </c>
      <c r="K73" s="3" t="n"/>
      <c r="L73" s="3" t="n"/>
      <c r="M73" s="3" t="n"/>
      <c r="N73" s="3" t="n"/>
      <c r="O73" s="3" t="n"/>
      <c r="P73" s="3" t="n"/>
    </row>
    <row r="74">
      <c r="A74" s="94" t="inlineStr">
        <is>
          <t>27CD</t>
        </is>
      </c>
      <c r="B74" s="2" t="inlineStr">
        <is>
          <t>27 - BLOQUEIO SUBTENSAO CDC</t>
        </is>
      </c>
      <c r="C74" s="2" t="inlineStr">
        <is>
          <t>Custom</t>
        </is>
      </c>
      <c r="D74" s="2" t="inlineStr">
        <is>
          <t>PROT</t>
        </is>
      </c>
      <c r="E74" s="2" t="inlineStr">
        <is>
          <t>Read</t>
        </is>
      </c>
      <c r="F74" s="2" t="inlineStr">
        <is>
          <t>null@null___NORMAL@ATUADO___Custom_S_TS_SA</t>
        </is>
      </c>
      <c r="G74" s="2">
        <f>VLOOKUP(F74,'Message Mapping'!A:L,3,FALSE)</f>
        <v/>
      </c>
      <c r="H74" s="2">
        <f>VLOOKUP(F74,'Message Mapping'!A:L,4,FALSE)</f>
        <v/>
      </c>
      <c r="I74" s="2" t="n"/>
      <c r="J74" s="3">
        <f>VLOOKUP(F74,'Message Mapping'!A:L,12,FALSE)</f>
        <v/>
      </c>
      <c r="K74" s="3" t="n"/>
      <c r="L74" s="3" t="n"/>
      <c r="M74" s="3" t="n"/>
      <c r="N74" s="3" t="n"/>
      <c r="O74" s="3" t="n"/>
      <c r="P74" s="3" t="n"/>
    </row>
    <row r="75">
      <c r="A75" s="96" t="inlineStr">
        <is>
          <t>27E1</t>
        </is>
      </c>
      <c r="B75" s="2" t="inlineStr">
        <is>
          <t>27 - SUBTENSAO E1</t>
        </is>
      </c>
      <c r="C75" s="2" t="inlineStr">
        <is>
          <t>Custom</t>
        </is>
      </c>
      <c r="D75" s="2" t="inlineStr">
        <is>
          <t>PROT</t>
        </is>
      </c>
      <c r="E75" s="2" t="inlineStr">
        <is>
          <t>Read</t>
        </is>
      </c>
      <c r="F75" s="2" t="inlineStr">
        <is>
          <t>null@null___NORMAL@ATUADO___Custom_S_TS_SA</t>
        </is>
      </c>
      <c r="G75" s="2">
        <f>VLOOKUP(F75,'Message Mapping'!A:L,3,FALSE)</f>
        <v/>
      </c>
      <c r="H75" s="2">
        <f>VLOOKUP(F75,'Message Mapping'!A:L,4,FALSE)</f>
        <v/>
      </c>
      <c r="I75" s="2" t="n"/>
      <c r="J75" s="3">
        <f>VLOOKUP(F75,'Message Mapping'!A:L,12,FALSE)</f>
        <v/>
      </c>
      <c r="K75" s="3" t="n"/>
      <c r="L75" s="3" t="n"/>
      <c r="M75" s="3" t="n"/>
      <c r="N75" s="3" t="n"/>
      <c r="O75" s="3" t="n"/>
      <c r="P75" s="3" t="n"/>
    </row>
    <row r="76">
      <c r="A76" s="96" t="inlineStr">
        <is>
          <t>27E2</t>
        </is>
      </c>
      <c r="B76" s="2" t="inlineStr">
        <is>
          <t>27 - SUBTENSAO E2</t>
        </is>
      </c>
      <c r="C76" s="2" t="inlineStr">
        <is>
          <t>Custom</t>
        </is>
      </c>
      <c r="D76" s="2" t="inlineStr">
        <is>
          <t>PROT</t>
        </is>
      </c>
      <c r="E76" s="2" t="inlineStr">
        <is>
          <t>Read</t>
        </is>
      </c>
      <c r="F76" s="2" t="inlineStr">
        <is>
          <t>null@null___NORMAL@ATUADO___Custom_S_TS_SA</t>
        </is>
      </c>
      <c r="G76" s="2">
        <f>VLOOKUP(F76,'Message Mapping'!A:L,3,FALSE)</f>
        <v/>
      </c>
      <c r="H76" s="2">
        <f>VLOOKUP(F76,'Message Mapping'!A:L,4,FALSE)</f>
        <v/>
      </c>
      <c r="I76" s="2" t="n"/>
      <c r="J76" s="3">
        <f>VLOOKUP(F76,'Message Mapping'!A:L,12,FALSE)</f>
        <v/>
      </c>
      <c r="K76" s="3" t="n"/>
      <c r="L76" s="3" t="n"/>
      <c r="M76" s="3" t="n"/>
      <c r="N76" s="3" t="n"/>
      <c r="O76" s="3" t="n"/>
      <c r="P76" s="3" t="n"/>
    </row>
    <row r="77">
      <c r="A77" s="94" t="inlineStr">
        <is>
          <t>27AB</t>
        </is>
      </c>
      <c r="B77" s="2" t="inlineStr">
        <is>
          <t>27 - SUBTENSAO FASE AB</t>
        </is>
      </c>
      <c r="C77" s="2" t="inlineStr">
        <is>
          <t>Custom</t>
        </is>
      </c>
      <c r="D77" s="2" t="inlineStr">
        <is>
          <t>PROT</t>
        </is>
      </c>
      <c r="E77" s="2" t="inlineStr">
        <is>
          <t>Read</t>
        </is>
      </c>
      <c r="F77" s="2" t="inlineStr">
        <is>
          <t>null@null___NORMAL@ATUADO___Custom_S_TS_SA</t>
        </is>
      </c>
      <c r="G77" s="2">
        <f>VLOOKUP(F77,'Message Mapping'!A:L,3,FALSE)</f>
        <v/>
      </c>
      <c r="H77" s="2">
        <f>VLOOKUP(F77,'Message Mapping'!A:L,4,FALSE)</f>
        <v/>
      </c>
      <c r="I77" s="2" t="n"/>
      <c r="J77" s="3">
        <f>VLOOKUP(F77,'Message Mapping'!A:L,12,FALSE)</f>
        <v/>
      </c>
      <c r="K77" s="3" t="n"/>
      <c r="L77" s="3" t="n"/>
      <c r="M77" s="3" t="n"/>
      <c r="N77" s="3" t="n"/>
      <c r="O77" s="3" t="n"/>
      <c r="P77" s="3" t="n"/>
    </row>
    <row r="78">
      <c r="A78" s="94" t="inlineStr">
        <is>
          <t>27AC</t>
        </is>
      </c>
      <c r="B78" s="2" t="inlineStr">
        <is>
          <t>27 - SUBTENSAO FASE AC</t>
        </is>
      </c>
      <c r="C78" s="2" t="inlineStr">
        <is>
          <t>Custom</t>
        </is>
      </c>
      <c r="D78" s="2" t="inlineStr">
        <is>
          <t>PROT</t>
        </is>
      </c>
      <c r="E78" s="2" t="inlineStr">
        <is>
          <t>Read</t>
        </is>
      </c>
      <c r="F78" s="2" t="inlineStr">
        <is>
          <t>null@null___NORMAL@ATUADO___Custom_S_TS_SA</t>
        </is>
      </c>
      <c r="G78" s="2">
        <f>VLOOKUP(F78,'Message Mapping'!A:L,3,FALSE)</f>
        <v/>
      </c>
      <c r="H78" s="2">
        <f>VLOOKUP(F78,'Message Mapping'!A:L,4,FALSE)</f>
        <v/>
      </c>
      <c r="I78" s="2" t="n"/>
      <c r="J78" s="3">
        <f>VLOOKUP(F78,'Message Mapping'!A:L,12,FALSE)</f>
        <v/>
      </c>
      <c r="K78" s="3" t="n"/>
      <c r="L78" s="3" t="n"/>
      <c r="M78" s="3" t="n"/>
      <c r="N78" s="3" t="n"/>
      <c r="O78" s="3" t="n"/>
      <c r="P78" s="3" t="n"/>
    </row>
    <row r="79">
      <c r="A79" s="94" t="inlineStr">
        <is>
          <t>27BC</t>
        </is>
      </c>
      <c r="B79" s="2" t="inlineStr">
        <is>
          <t>27 - SUBTENSAO FASE BC</t>
        </is>
      </c>
      <c r="C79" s="2" t="inlineStr">
        <is>
          <t>Custom</t>
        </is>
      </c>
      <c r="D79" s="2" t="inlineStr">
        <is>
          <t>PROT</t>
        </is>
      </c>
      <c r="E79" s="2" t="inlineStr">
        <is>
          <t>Read</t>
        </is>
      </c>
      <c r="F79" s="2" t="inlineStr">
        <is>
          <t>null@null___NORMAL@ATUADO___Custom_S_TS_SA</t>
        </is>
      </c>
      <c r="G79" s="2">
        <f>VLOOKUP(F79,'Message Mapping'!A:L,3,FALSE)</f>
        <v/>
      </c>
      <c r="H79" s="2">
        <f>VLOOKUP(F79,'Message Mapping'!A:L,4,FALSE)</f>
        <v/>
      </c>
      <c r="I79" s="2" t="n"/>
      <c r="J79" s="3">
        <f>VLOOKUP(F79,'Message Mapping'!A:L,12,FALSE)</f>
        <v/>
      </c>
      <c r="K79" s="3" t="n"/>
      <c r="L79" s="3" t="n"/>
      <c r="M79" s="3" t="n"/>
      <c r="N79" s="3" t="n"/>
      <c r="O79" s="3" t="n"/>
      <c r="P79" s="3" t="n"/>
    </row>
    <row r="80">
      <c r="A80" s="94" t="inlineStr">
        <is>
          <t>27LT</t>
        </is>
      </c>
      <c r="B80" s="2" t="inlineStr">
        <is>
          <t>27 - SUBTENSAO LINHA</t>
        </is>
      </c>
      <c r="C80" s="2" t="inlineStr">
        <is>
          <t>Custom</t>
        </is>
      </c>
      <c r="D80" s="2" t="inlineStr">
        <is>
          <t>PROT</t>
        </is>
      </c>
      <c r="E80" s="2" t="inlineStr">
        <is>
          <t>Read</t>
        </is>
      </c>
      <c r="F80" s="2" t="inlineStr">
        <is>
          <t>null@null___NORMAL@ATUADO___Custom_S_TS_SA</t>
        </is>
      </c>
      <c r="G80" s="2">
        <f>VLOOKUP(F80,'Message Mapping'!A:L,3,FALSE)</f>
        <v/>
      </c>
      <c r="H80" s="2">
        <f>VLOOKUP(F80,'Message Mapping'!A:L,4,FALSE)</f>
        <v/>
      </c>
      <c r="I80" s="2" t="n"/>
      <c r="J80" s="3">
        <f>VLOOKUP(F80,'Message Mapping'!A:L,12,FALSE)</f>
        <v/>
      </c>
      <c r="K80" s="3" t="n"/>
      <c r="L80" s="3" t="n"/>
      <c r="M80" s="3" t="n"/>
      <c r="N80" s="3" t="n"/>
      <c r="O80" s="3" t="n"/>
      <c r="P80" s="3" t="n"/>
    </row>
    <row r="81">
      <c r="A81" s="94" t="inlineStr">
        <is>
          <t>27TP</t>
        </is>
      </c>
      <c r="B81" s="2" t="inlineStr">
        <is>
          <t>27 - SUBTENSAO TP</t>
        </is>
      </c>
      <c r="C81" s="2" t="inlineStr">
        <is>
          <t>Custom</t>
        </is>
      </c>
      <c r="D81" s="2" t="inlineStr">
        <is>
          <t>PROT</t>
        </is>
      </c>
      <c r="E81" s="2" t="inlineStr">
        <is>
          <t>Read</t>
        </is>
      </c>
      <c r="F81" s="2" t="inlineStr">
        <is>
          <t>null@null___NORMAL@ATUADO___Custom_S_TS_SA</t>
        </is>
      </c>
      <c r="G81" s="2">
        <f>VLOOKUP(F81,'Message Mapping'!A:L,3,FALSE)</f>
        <v/>
      </c>
      <c r="H81" s="2">
        <f>VLOOKUP(F81,'Message Mapping'!A:L,4,FALSE)</f>
        <v/>
      </c>
      <c r="I81" s="2" t="n"/>
      <c r="J81" s="3">
        <f>VLOOKUP(F81,'Message Mapping'!A:L,12,FALSE)</f>
        <v/>
      </c>
      <c r="K81" s="3" t="n"/>
      <c r="L81" s="3" t="n"/>
      <c r="M81" s="3" t="n"/>
      <c r="N81" s="3" t="n"/>
      <c r="O81" s="3" t="n"/>
      <c r="P81" s="3" t="n"/>
    </row>
    <row r="82">
      <c r="A82" s="94" t="inlineStr">
        <is>
          <t>27CA</t>
        </is>
      </c>
      <c r="B82" s="2" t="inlineStr">
        <is>
          <t>27 - SUBTENSAO VCA</t>
        </is>
      </c>
      <c r="C82" s="2" t="inlineStr">
        <is>
          <t>Custom</t>
        </is>
      </c>
      <c r="D82" s="2" t="inlineStr">
        <is>
          <t>PROT</t>
        </is>
      </c>
      <c r="E82" s="2" t="inlineStr">
        <is>
          <t>Read</t>
        </is>
      </c>
      <c r="F82" s="2" t="inlineStr">
        <is>
          <t>null@null___NORMAL@ATUADO___Custom_S_TS_SA</t>
        </is>
      </c>
      <c r="G82" s="2">
        <f>VLOOKUP(F82,'Message Mapping'!A:L,3,FALSE)</f>
        <v/>
      </c>
      <c r="H82" s="2">
        <f>VLOOKUP(F82,'Message Mapping'!A:L,4,FALSE)</f>
        <v/>
      </c>
      <c r="I82" s="2" t="n"/>
      <c r="J82" s="3">
        <f>VLOOKUP(F82,'Message Mapping'!A:L,12,FALSE)</f>
        <v/>
      </c>
      <c r="K82" s="3" t="n"/>
      <c r="L82" s="3" t="n"/>
      <c r="M82" s="3" t="n"/>
      <c r="N82" s="3" t="n"/>
      <c r="O82" s="3" t="n"/>
      <c r="P82" s="3" t="n"/>
    </row>
    <row r="83">
      <c r="A83" s="94" t="inlineStr">
        <is>
          <t>27CC</t>
        </is>
      </c>
      <c r="B83" s="2" t="inlineStr">
        <is>
          <t>27 - SUBTENSAO VCC</t>
        </is>
      </c>
      <c r="C83" s="2" t="inlineStr">
        <is>
          <t>Custom</t>
        </is>
      </c>
      <c r="D83" s="2" t="inlineStr">
        <is>
          <t>PROT</t>
        </is>
      </c>
      <c r="E83" s="2" t="inlineStr">
        <is>
          <t>Read</t>
        </is>
      </c>
      <c r="F83" s="2" t="inlineStr">
        <is>
          <t>null@null___NORMAL@ATUADO___Custom_S_TS_SA</t>
        </is>
      </c>
      <c r="G83" s="2">
        <f>VLOOKUP(F83,'Message Mapping'!A:L,3,FALSE)</f>
        <v/>
      </c>
      <c r="H83" s="2">
        <f>VLOOKUP(F83,'Message Mapping'!A:L,4,FALSE)</f>
        <v/>
      </c>
      <c r="I83" s="2" t="n"/>
      <c r="J83" s="3">
        <f>VLOOKUP(F83,'Message Mapping'!A:L,12,FALSE)</f>
        <v/>
      </c>
      <c r="K83" s="3" t="n"/>
      <c r="L83" s="3" t="n"/>
      <c r="M83" s="3" t="n"/>
      <c r="N83" s="3" t="n"/>
      <c r="O83" s="3" t="n"/>
      <c r="P83" s="3" t="n"/>
    </row>
    <row r="84">
      <c r="A84" s="94" t="inlineStr">
        <is>
          <t>27_T</t>
        </is>
      </c>
      <c r="B84" s="2" t="inlineStr">
        <is>
          <t>27 - TRIP SUBTENSAO</t>
        </is>
      </c>
      <c r="C84" s="2" t="inlineStr">
        <is>
          <t>Custom</t>
        </is>
      </c>
      <c r="D84" s="2" t="inlineStr">
        <is>
          <t>PROT</t>
        </is>
      </c>
      <c r="E84" s="2" t="inlineStr">
        <is>
          <t>Read</t>
        </is>
      </c>
      <c r="F84" s="2" t="inlineStr">
        <is>
          <t>null@null___NORMAL@ATUADO___Custom_S_TS_SA</t>
        </is>
      </c>
      <c r="G84" s="2">
        <f>VLOOKUP(F84,'Message Mapping'!A:L,3,FALSE)</f>
        <v/>
      </c>
      <c r="H84" s="2">
        <f>VLOOKUP(F84,'Message Mapping'!A:L,4,FALSE)</f>
        <v/>
      </c>
      <c r="I84" s="2" t="n"/>
      <c r="J84" s="3">
        <f>VLOOKUP(F84,'Message Mapping'!A:L,12,FALSE)</f>
        <v/>
      </c>
      <c r="K84" s="3" t="n"/>
      <c r="L84" s="3" t="n"/>
      <c r="M84" s="3" t="n"/>
      <c r="N84" s="3" t="n"/>
      <c r="O84" s="3" t="n"/>
      <c r="P84" s="3" t="n"/>
    </row>
    <row r="85">
      <c r="A85" s="94" t="inlineStr">
        <is>
          <t>2759</t>
        </is>
      </c>
      <c r="B85" s="2" t="inlineStr">
        <is>
          <t>27 59 - SUBTENSAO OU SOBRETENSAO</t>
        </is>
      </c>
      <c r="C85" s="2" t="inlineStr">
        <is>
          <t>Custom</t>
        </is>
      </c>
      <c r="D85" s="2" t="inlineStr">
        <is>
          <t>PROT</t>
        </is>
      </c>
      <c r="E85" s="2" t="inlineStr">
        <is>
          <t>Read</t>
        </is>
      </c>
      <c r="F85" s="2" t="inlineStr">
        <is>
          <t>null@null___NORMAL@ATUADO___Custom_S_TS_SA</t>
        </is>
      </c>
      <c r="G85" s="2">
        <f>VLOOKUP(F85,'Message Mapping'!A:L,3,FALSE)</f>
        <v/>
      </c>
      <c r="H85" s="2">
        <f>VLOOKUP(F85,'Message Mapping'!A:L,4,FALSE)</f>
        <v/>
      </c>
      <c r="I85" s="2" t="n"/>
      <c r="J85" s="3">
        <f>VLOOKUP(F85,'Message Mapping'!A:L,12,FALSE)</f>
        <v/>
      </c>
      <c r="K85" s="3" t="n"/>
      <c r="L85" s="3" t="n"/>
      <c r="M85" s="3" t="n"/>
      <c r="N85" s="3" t="n"/>
      <c r="O85" s="3" t="n"/>
      <c r="P85" s="3" t="n"/>
    </row>
    <row r="86">
      <c r="A86" s="94" t="inlineStr">
        <is>
          <t>32</t>
        </is>
      </c>
      <c r="B86" s="2" t="inlineStr">
        <is>
          <t>32 - DIRECIONAL DE POTENCIA</t>
        </is>
      </c>
      <c r="C86" s="2" t="inlineStr">
        <is>
          <t>RelayTrip</t>
        </is>
      </c>
      <c r="D86" s="2" t="inlineStr">
        <is>
          <t>PROT</t>
        </is>
      </c>
      <c r="E86" s="2" t="inlineStr">
        <is>
          <t>Read</t>
        </is>
      </c>
      <c r="F86" s="2" t="inlineStr">
        <is>
          <t>null@null___NORMAL@ATUADO___RelayTrip_S_TS_SA</t>
        </is>
      </c>
      <c r="G86" s="2">
        <f>VLOOKUP(F86,'Message Mapping'!A:L,3,FALSE)</f>
        <v/>
      </c>
      <c r="H86" s="2">
        <f>VLOOKUP(F86,'Message Mapping'!A:L,4,FALSE)</f>
        <v/>
      </c>
      <c r="I86" s="2" t="n"/>
      <c r="J86" s="3">
        <f>VLOOKUP(F86,'Message Mapping'!A:L,12,FALSE)</f>
        <v/>
      </c>
      <c r="K86" s="3" t="n"/>
      <c r="L86" s="3" t="n"/>
      <c r="M86" s="3" t="n"/>
      <c r="N86" s="3" t="n"/>
      <c r="O86" s="3" t="n"/>
      <c r="P86" s="3" t="n"/>
    </row>
    <row r="87">
      <c r="A87" s="94" t="inlineStr">
        <is>
          <t>43AM</t>
        </is>
      </c>
      <c r="B87" s="2" t="inlineStr">
        <is>
          <t>43 - CHAVE AUTOMATICO MANUAL</t>
        </is>
      </c>
      <c r="C87" s="2" t="inlineStr">
        <is>
          <t>Custom</t>
        </is>
      </c>
      <c r="D87" s="2" t="inlineStr">
        <is>
          <t>FUNCÕES/43/PARALELISMO</t>
        </is>
      </c>
      <c r="E87" s="2" t="inlineStr">
        <is>
          <t>Read</t>
        </is>
      </c>
      <c r="F87" s="2" t="inlineStr">
        <is>
          <t>null@null___MANUAL@AUTOMATICO___Custom_S_TS_SS</t>
        </is>
      </c>
      <c r="G87" s="2">
        <f>VLOOKUP(F87,'Message Mapping'!A:L,3,FALSE)</f>
        <v/>
      </c>
      <c r="H87" s="2">
        <f>VLOOKUP(F87,'Message Mapping'!A:L,4,FALSE)</f>
        <v/>
      </c>
      <c r="I87" s="2" t="n"/>
      <c r="J87" s="3">
        <f>VLOOKUP(F87,'Message Mapping'!A:L,12,FALSE)</f>
        <v/>
      </c>
      <c r="K87" s="3" t="n"/>
      <c r="L87" s="3" t="n"/>
      <c r="M87" s="3" t="n"/>
      <c r="N87" s="3" t="n"/>
      <c r="O87" s="3" t="n"/>
      <c r="P87" s="3" t="n"/>
    </row>
    <row r="88">
      <c r="A88" s="94" t="inlineStr">
        <is>
          <t>43LR</t>
        </is>
      </c>
      <c r="B88" s="2" t="inlineStr">
        <is>
          <t>43 - CHAVE LOCAL REMOTO</t>
        </is>
      </c>
      <c r="C88" s="2" t="inlineStr">
        <is>
          <t>Local</t>
        </is>
      </c>
      <c r="D88" s="2" t="inlineStr">
        <is>
          <t>FUNCÕES/43/PARALELISMO</t>
        </is>
      </c>
      <c r="E88" s="2" t="inlineStr">
        <is>
          <t>Read</t>
        </is>
      </c>
      <c r="F88" s="2" t="inlineStr">
        <is>
          <t>null@null___REMOTO@LOCAL___Custom_S_TS_SS</t>
        </is>
      </c>
      <c r="G88" s="2">
        <f>VLOOKUP(F88,'Message Mapping'!A:L,3,FALSE)</f>
        <v/>
      </c>
      <c r="H88" s="2">
        <f>VLOOKUP(F88,'Message Mapping'!A:L,4,FALSE)</f>
        <v/>
      </c>
      <c r="I88" s="2" t="n"/>
      <c r="J88" s="3">
        <f>VLOOKUP(F88,'Message Mapping'!A:L,12,FALSE)</f>
        <v/>
      </c>
      <c r="K88" s="3" t="n"/>
      <c r="L88" s="3" t="n"/>
      <c r="M88" s="3" t="n"/>
      <c r="N88" s="3" t="n"/>
      <c r="O88" s="3" t="n"/>
      <c r="P88" s="3" t="n"/>
    </row>
    <row r="89">
      <c r="A89" s="94" t="inlineStr">
        <is>
          <t>RLCD</t>
        </is>
      </c>
      <c r="B89" s="2" t="inlineStr">
        <is>
          <t>43 - CHAVE LOCAL REMOTO COMUTADOR</t>
        </is>
      </c>
      <c r="C89" s="2" t="inlineStr">
        <is>
          <t>Custom</t>
        </is>
      </c>
      <c r="D89" s="2" t="inlineStr">
        <is>
          <t>FUNCÕES/43/PARALELISMO</t>
        </is>
      </c>
      <c r="E89" s="2" t="inlineStr">
        <is>
          <t>Read</t>
        </is>
      </c>
      <c r="F89" s="2" t="inlineStr">
        <is>
          <t>null@null___REMOTO@LOCAL___Custom_S_TS_SS</t>
        </is>
      </c>
      <c r="G89" s="2">
        <f>VLOOKUP(F89,'Message Mapping'!A:L,3,FALSE)</f>
        <v/>
      </c>
      <c r="H89" s="2">
        <f>VLOOKUP(F89,'Message Mapping'!A:L,4,FALSE)</f>
        <v/>
      </c>
      <c r="I89" s="2" t="n"/>
      <c r="J89" s="3">
        <f>VLOOKUP(F89,'Message Mapping'!A:L,12,FALSE)</f>
        <v/>
      </c>
      <c r="K89" s="3" t="n"/>
      <c r="L89" s="3" t="n"/>
      <c r="M89" s="3" t="n"/>
      <c r="N89" s="3" t="n"/>
      <c r="O89" s="3" t="n"/>
      <c r="P89" s="3" t="n"/>
    </row>
    <row r="90">
      <c r="A90" s="94" t="inlineStr">
        <is>
          <t>90LR</t>
        </is>
      </c>
      <c r="B90" s="2" t="inlineStr">
        <is>
          <t>43 - CHAVE LOCAL REMOTO RELE 90</t>
        </is>
      </c>
      <c r="C90" s="2" t="inlineStr">
        <is>
          <t>Custom</t>
        </is>
      </c>
      <c r="D90" s="2" t="inlineStr">
        <is>
          <t>FUNCÕES/43/PARALELISMO</t>
        </is>
      </c>
      <c r="E90" s="2" t="inlineStr">
        <is>
          <t>Read</t>
        </is>
      </c>
      <c r="F90" s="2" t="inlineStr">
        <is>
          <t>null@null___REMOTO@LOCAL___Custom_S_TS_SS</t>
        </is>
      </c>
      <c r="G90" s="2">
        <f>VLOOKUP(F90,'Message Mapping'!A:L,3,FALSE)</f>
        <v/>
      </c>
      <c r="H90" s="2">
        <f>VLOOKUP(F90,'Message Mapping'!A:L,4,FALSE)</f>
        <v/>
      </c>
      <c r="I90" s="2" t="n"/>
      <c r="J90" s="3">
        <f>VLOOKUP(F90,'Message Mapping'!A:L,12,FALSE)</f>
        <v/>
      </c>
      <c r="K90" s="3" t="n"/>
      <c r="L90" s="3" t="n"/>
      <c r="M90" s="3" t="n"/>
      <c r="N90" s="3" t="n"/>
      <c r="O90" s="3" t="n"/>
      <c r="P90" s="3" t="n"/>
    </row>
    <row r="91">
      <c r="A91" s="94" t="inlineStr">
        <is>
          <t>PLLR</t>
        </is>
      </c>
      <c r="B91" s="2" t="inlineStr">
        <is>
          <t>43 - CHAVE LOCAL REMOTO RELE PARALELISMO</t>
        </is>
      </c>
      <c r="C91" s="2" t="inlineStr">
        <is>
          <t>Custom</t>
        </is>
      </c>
      <c r="D91" s="2" t="inlineStr">
        <is>
          <t>FUNCÕES/43/PARALELISMO</t>
        </is>
      </c>
      <c r="E91" s="2" t="inlineStr">
        <is>
          <t>Read</t>
        </is>
      </c>
      <c r="F91" s="2" t="inlineStr">
        <is>
          <t>null@null___REMOTO@LOCAL___Custom_S_TS_SS</t>
        </is>
      </c>
      <c r="G91" s="2">
        <f>VLOOKUP(F91,'Message Mapping'!A:L,3,FALSE)</f>
        <v/>
      </c>
      <c r="H91" s="2">
        <f>VLOOKUP(F91,'Message Mapping'!A:L,4,FALSE)</f>
        <v/>
      </c>
      <c r="I91" s="2" t="n"/>
      <c r="J91" s="3">
        <f>VLOOKUP(F91,'Message Mapping'!A:L,12,FALSE)</f>
        <v/>
      </c>
      <c r="K91" s="3" t="n"/>
      <c r="L91" s="3" t="n"/>
      <c r="M91" s="3" t="n"/>
      <c r="N91" s="3" t="n"/>
      <c r="O91" s="3" t="n"/>
      <c r="P91" s="3" t="n"/>
    </row>
    <row r="92">
      <c r="A92" s="94" t="inlineStr">
        <is>
          <t>43TR</t>
        </is>
      </c>
      <c r="B92" s="2" t="inlineStr">
        <is>
          <t>43 - CHAVE LOCAL REMOTO TRANSFORMADOR</t>
        </is>
      </c>
      <c r="C92" s="2" t="inlineStr">
        <is>
          <t>Custom</t>
        </is>
      </c>
      <c r="D92" s="2" t="inlineStr">
        <is>
          <t>FUNCÕES/43/PARALELISMO</t>
        </is>
      </c>
      <c r="E92" s="2" t="inlineStr">
        <is>
          <t>Read</t>
        </is>
      </c>
      <c r="F92" s="2" t="inlineStr">
        <is>
          <t>null@null___REMOTO@LOCAL___Custom_S_TS_SS</t>
        </is>
      </c>
      <c r="G92" s="2">
        <f>VLOOKUP(F92,'Message Mapping'!A:L,3,FALSE)</f>
        <v/>
      </c>
      <c r="H92" s="2">
        <f>VLOOKUP(F92,'Message Mapping'!A:L,4,FALSE)</f>
        <v/>
      </c>
      <c r="I92" s="2" t="n"/>
      <c r="J92" s="3">
        <f>VLOOKUP(F92,'Message Mapping'!A:L,12,FALSE)</f>
        <v/>
      </c>
      <c r="K92" s="3" t="n"/>
      <c r="L92" s="3" t="n"/>
      <c r="M92" s="3" t="n"/>
      <c r="N92" s="3" t="n"/>
      <c r="O92" s="3" t="n"/>
      <c r="P92" s="3" t="n"/>
    </row>
    <row r="93">
      <c r="A93" s="94" t="inlineStr">
        <is>
          <t>43VF</t>
        </is>
      </c>
      <c r="B93" s="2" t="inlineStr">
        <is>
          <t>43 - CHAVE LOCAL REMOTO VENTILACAO FORCADA</t>
        </is>
      </c>
      <c r="C93" s="2" t="inlineStr">
        <is>
          <t>Custom</t>
        </is>
      </c>
      <c r="D93" s="2" t="inlineStr">
        <is>
          <t>FUNCÕES/43/PARALELISMO</t>
        </is>
      </c>
      <c r="E93" s="2" t="inlineStr">
        <is>
          <t>Read</t>
        </is>
      </c>
      <c r="F93" s="2" t="inlineStr">
        <is>
          <t>null@null___REMOTO@LOCAL___Custom_S_TS_SS</t>
        </is>
      </c>
      <c r="G93" s="2">
        <f>VLOOKUP(F93,'Message Mapping'!A:L,3,FALSE)</f>
        <v/>
      </c>
      <c r="H93" s="2">
        <f>VLOOKUP(F93,'Message Mapping'!A:L,4,FALSE)</f>
        <v/>
      </c>
      <c r="I93" s="2" t="n"/>
      <c r="J93" s="3">
        <f>VLOOKUP(F93,'Message Mapping'!A:L,12,FALSE)</f>
        <v/>
      </c>
      <c r="K93" s="3" t="n"/>
      <c r="L93" s="3" t="n"/>
      <c r="M93" s="3" t="n"/>
      <c r="N93" s="3" t="n"/>
      <c r="O93" s="3" t="n"/>
      <c r="P93" s="3" t="n"/>
    </row>
    <row r="94">
      <c r="A94" s="94" t="inlineStr">
        <is>
          <t>43EP</t>
        </is>
      </c>
      <c r="B94" s="2" t="inlineStr">
        <is>
          <t>43 - CHAVE PROTECAO</t>
        </is>
      </c>
      <c r="C94" s="2" t="inlineStr">
        <is>
          <t>Custom</t>
        </is>
      </c>
      <c r="D94" s="2" t="inlineStr">
        <is>
          <t>FUNCÕES/43/PARALELISMO</t>
        </is>
      </c>
      <c r="E94" s="2" t="inlineStr">
        <is>
          <t>Read</t>
        </is>
      </c>
      <c r="F94" s="2" t="inlineStr">
        <is>
          <t>null@null___REMOTO@LOCAL___Custom_S_TS_SS</t>
        </is>
      </c>
      <c r="G94" s="2">
        <f>VLOOKUP(F94,'Message Mapping'!A:L,3,FALSE)</f>
        <v/>
      </c>
      <c r="H94" s="2">
        <f>VLOOKUP(F94,'Message Mapping'!A:L,4,FALSE)</f>
        <v/>
      </c>
      <c r="I94" s="2" t="n"/>
      <c r="J94" s="3">
        <f>VLOOKUP(F94,'Message Mapping'!A:L,12,FALSE)</f>
        <v/>
      </c>
      <c r="K94" s="3" t="n"/>
      <c r="L94" s="3" t="n"/>
      <c r="M94" s="3" t="n"/>
      <c r="N94" s="3" t="n"/>
      <c r="O94" s="3" t="n"/>
      <c r="P94" s="3" t="n"/>
    </row>
    <row r="95">
      <c r="A95" s="94" t="inlineStr">
        <is>
          <t>43RT</t>
        </is>
      </c>
      <c r="B95" s="2" t="inlineStr">
        <is>
          <t>43 - CHAVE REJEICAO POR TEMPERATURA</t>
        </is>
      </c>
      <c r="C95" s="2" t="inlineStr">
        <is>
          <t>Custom</t>
        </is>
      </c>
      <c r="D95" s="2" t="inlineStr">
        <is>
          <t>FUNCÕES/43/PARALELISMO</t>
        </is>
      </c>
      <c r="E95" s="2" t="inlineStr">
        <is>
          <t>Read</t>
        </is>
      </c>
      <c r="F95" s="2" t="inlineStr">
        <is>
          <t>null@null___REMOTO@LOCAL___Custom_S_TS_SS</t>
        </is>
      </c>
      <c r="G95" s="2">
        <f>VLOOKUP(F95,'Message Mapping'!A:L,3,FALSE)</f>
        <v/>
      </c>
      <c r="H95" s="2">
        <f>VLOOKUP(F95,'Message Mapping'!A:L,4,FALSE)</f>
        <v/>
      </c>
      <c r="I95" s="2" t="n"/>
      <c r="J95" s="3">
        <f>VLOOKUP(F95,'Message Mapping'!A:L,12,FALSE)</f>
        <v/>
      </c>
      <c r="K95" s="3" t="n"/>
      <c r="L95" s="3" t="n"/>
      <c r="M95" s="3" t="n"/>
      <c r="N95" s="3" t="n"/>
      <c r="O95" s="3" t="n"/>
      <c r="P95" s="3" t="n"/>
    </row>
    <row r="96">
      <c r="A96" s="94" t="inlineStr">
        <is>
          <t>43TC</t>
        </is>
      </c>
      <c r="B96" s="2" t="inlineStr">
        <is>
          <t>43 - CHAVE TELECOMANDO</t>
        </is>
      </c>
      <c r="C96" s="2" t="inlineStr">
        <is>
          <t>Local</t>
        </is>
      </c>
      <c r="D96" s="2" t="inlineStr">
        <is>
          <t>FUNCÕES/43/PARALELISMO</t>
        </is>
      </c>
      <c r="E96" s="2" t="inlineStr">
        <is>
          <t>Read</t>
        </is>
      </c>
      <c r="F96" s="2" t="inlineStr">
        <is>
          <t>null@null___INCLUIDO@EXCLUIDO___Local_S_TS_SS</t>
        </is>
      </c>
      <c r="G96" s="2">
        <f>VLOOKUP(F96,'Message Mapping'!A:L,3,FALSE)</f>
        <v/>
      </c>
      <c r="H96" s="2">
        <f>VLOOKUP(F96,'Message Mapping'!A:L,4,FALSE)</f>
        <v/>
      </c>
      <c r="I96" s="2" t="n"/>
      <c r="J96" s="3">
        <f>VLOOKUP(F96,'Message Mapping'!A:L,12,FALSE)</f>
        <v/>
      </c>
      <c r="K96" s="3" t="n"/>
      <c r="L96" s="3" t="n"/>
      <c r="M96" s="3" t="n"/>
      <c r="N96" s="3" t="n"/>
      <c r="O96" s="3" t="n"/>
      <c r="P96" s="3" t="n"/>
    </row>
    <row r="97">
      <c r="A97" s="94" t="inlineStr">
        <is>
          <t>43TP</t>
        </is>
      </c>
      <c r="B97" s="2" t="inlineStr">
        <is>
          <t>43 - TRANSFERENCIA DE PROTECAO</t>
        </is>
      </c>
      <c r="C97" s="2" t="inlineStr">
        <is>
          <t>Custom</t>
        </is>
      </c>
      <c r="D97" s="2" t="inlineStr">
        <is>
          <t>FUNCÕES/43/PARALELISMO</t>
        </is>
      </c>
      <c r="E97" s="2" t="inlineStr">
        <is>
          <t>Read</t>
        </is>
      </c>
      <c r="F97" s="2" t="inlineStr">
        <is>
          <t>null@null___INCLUIDO@EXCLUIDO___Custom_S_TS_SS</t>
        </is>
      </c>
      <c r="G97" s="2">
        <f>VLOOKUP(F97,'Message Mapping'!A:L,3,FALSE)</f>
        <v/>
      </c>
      <c r="H97" s="2">
        <f>VLOOKUP(F97,'Message Mapping'!A:L,4,FALSE)</f>
        <v/>
      </c>
      <c r="I97" s="2" t="n"/>
      <c r="J97" s="3">
        <f>VLOOKUP(F97,'Message Mapping'!A:L,12,FALSE)</f>
        <v/>
      </c>
      <c r="K97" s="3" t="n"/>
      <c r="L97" s="3" t="n"/>
      <c r="M97" s="3" t="n"/>
      <c r="N97" s="3" t="n"/>
      <c r="O97" s="3" t="n"/>
      <c r="P97" s="3" t="n"/>
    </row>
    <row r="98">
      <c r="A98" s="94" t="inlineStr">
        <is>
          <t>46</t>
        </is>
      </c>
      <c r="B98" s="2" t="inlineStr">
        <is>
          <t>46 - CORRENTE DE SEQUENCIA NEGATIVA</t>
        </is>
      </c>
      <c r="C98" s="2" t="inlineStr">
        <is>
          <t>RelayTrip</t>
        </is>
      </c>
      <c r="D98" s="2" t="inlineStr">
        <is>
          <t>PROT</t>
        </is>
      </c>
      <c r="E98" s="2" t="inlineStr">
        <is>
          <t>Read</t>
        </is>
      </c>
      <c r="F98" s="2" t="inlineStr">
        <is>
          <t>null@null___NORMAL@ATUADO___RelayTrip_S_TS_SA</t>
        </is>
      </c>
      <c r="G98" s="2">
        <f>VLOOKUP(F98,'Message Mapping'!A:L,3,FALSE)</f>
        <v/>
      </c>
      <c r="H98" s="2">
        <f>VLOOKUP(F98,'Message Mapping'!A:L,4,FALSE)</f>
        <v/>
      </c>
      <c r="I98" s="2" t="n"/>
      <c r="J98" s="3">
        <f>VLOOKUP(F98,'Message Mapping'!A:L,12,FALSE)</f>
        <v/>
      </c>
      <c r="K98" s="3" t="n"/>
      <c r="L98" s="3" t="n"/>
      <c r="M98" s="3" t="n"/>
      <c r="N98" s="3" t="n"/>
      <c r="O98" s="3" t="n"/>
      <c r="P98" s="3" t="n"/>
    </row>
    <row r="99">
      <c r="A99" s="96" t="inlineStr">
        <is>
          <t>46E1</t>
        </is>
      </c>
      <c r="B99" s="2" t="inlineStr">
        <is>
          <t>46 - CORRENTE DE SEQUENCIA NEGATIVA E1</t>
        </is>
      </c>
      <c r="C99" s="2" t="inlineStr">
        <is>
          <t>RelayTrip</t>
        </is>
      </c>
      <c r="D99" s="2" t="inlineStr">
        <is>
          <t>PROT</t>
        </is>
      </c>
      <c r="E99" s="2" t="inlineStr">
        <is>
          <t>Read</t>
        </is>
      </c>
      <c r="F99" s="2" t="inlineStr">
        <is>
          <t>null@null___NORMAL@ATUADO___RelayTrip_S_TS_SA</t>
        </is>
      </c>
      <c r="G99" s="2">
        <f>VLOOKUP(F99,'Message Mapping'!A:L,3,FALSE)</f>
        <v/>
      </c>
      <c r="H99" s="2">
        <f>VLOOKUP(F99,'Message Mapping'!A:L,4,FALSE)</f>
        <v/>
      </c>
      <c r="I99" s="2" t="n"/>
      <c r="J99" s="3">
        <f>VLOOKUP(F99,'Message Mapping'!A:L,12,FALSE)</f>
        <v/>
      </c>
      <c r="K99" s="3" t="n"/>
      <c r="L99" s="3" t="n"/>
      <c r="M99" s="3" t="n"/>
      <c r="N99" s="3" t="n"/>
      <c r="O99" s="3" t="n"/>
      <c r="P99" s="3" t="n"/>
    </row>
    <row r="100">
      <c r="A100" s="94" t="inlineStr">
        <is>
          <t>TEA</t>
        </is>
      </c>
      <c r="B100" s="2" t="inlineStr">
        <is>
          <t>49 - ALARME TEMPERATURA ENROLAMENTO</t>
        </is>
      </c>
      <c r="C100" s="2" t="inlineStr">
        <is>
          <t>Custom</t>
        </is>
      </c>
      <c r="D100" s="2" t="inlineStr">
        <is>
          <t>PROT</t>
        </is>
      </c>
      <c r="E100" s="2" t="inlineStr">
        <is>
          <t>Read</t>
        </is>
      </c>
      <c r="F100" s="2" t="inlineStr">
        <is>
          <t>null@null___NORMAL@ATUADO___Custom_S_TS_SA</t>
        </is>
      </c>
      <c r="G100" s="2">
        <f>VLOOKUP(F100,'Message Mapping'!A:L,3,FALSE)</f>
        <v/>
      </c>
      <c r="H100" s="2">
        <f>VLOOKUP(F100,'Message Mapping'!A:L,4,FALSE)</f>
        <v/>
      </c>
      <c r="I100" s="2" t="n"/>
      <c r="J100" s="3">
        <f>VLOOKUP(F100,'Message Mapping'!A:L,12,FALSE)</f>
        <v/>
      </c>
      <c r="K100" s="3" t="n"/>
      <c r="L100" s="3" t="n"/>
      <c r="M100" s="3" t="n"/>
      <c r="N100" s="3" t="n"/>
      <c r="O100" s="3" t="n"/>
      <c r="P100" s="3" t="n"/>
    </row>
    <row r="101">
      <c r="A101" s="94" t="inlineStr">
        <is>
          <t>TED</t>
        </is>
      </c>
      <c r="B101" s="2" t="inlineStr">
        <is>
          <t>49 - TRIP TEMPERATURA ENROLAMENTO</t>
        </is>
      </c>
      <c r="C101" s="2" t="inlineStr">
        <is>
          <t>RelayTrip</t>
        </is>
      </c>
      <c r="D101" s="2" t="inlineStr">
        <is>
          <t>PROT</t>
        </is>
      </c>
      <c r="E101" s="2" t="inlineStr">
        <is>
          <t>Read</t>
        </is>
      </c>
      <c r="F101" s="2" t="inlineStr">
        <is>
          <t>null@null___NORMAL@ATUADO___RelayTrip_S_TS_SA</t>
        </is>
      </c>
      <c r="G101" s="2">
        <f>VLOOKUP(F101,'Message Mapping'!A:L,3,FALSE)</f>
        <v/>
      </c>
      <c r="H101" s="2">
        <f>VLOOKUP(F101,'Message Mapping'!A:L,4,FALSE)</f>
        <v/>
      </c>
      <c r="I101" s="2" t="n"/>
      <c r="J101" s="3">
        <f>VLOOKUP(F101,'Message Mapping'!A:L,12,FALSE)</f>
        <v/>
      </c>
      <c r="K101" s="3" t="n"/>
      <c r="L101" s="3" t="n"/>
      <c r="M101" s="3" t="n"/>
      <c r="N101" s="3" t="n"/>
      <c r="O101" s="3" t="n"/>
      <c r="P101" s="3" t="n"/>
    </row>
    <row r="102">
      <c r="A102" s="94" t="inlineStr">
        <is>
          <t>50CD</t>
        </is>
      </c>
      <c r="B102" s="2" t="inlineStr">
        <is>
          <t>50 - SOBRECORRENTE CDC</t>
        </is>
      </c>
      <c r="C102" s="5" t="inlineStr">
        <is>
          <t>RelayTrip</t>
        </is>
      </c>
      <c r="D102" s="2" t="inlineStr">
        <is>
          <t>PROT</t>
        </is>
      </c>
      <c r="E102" s="2" t="inlineStr">
        <is>
          <t>Read</t>
        </is>
      </c>
      <c r="F102" s="2" t="inlineStr">
        <is>
          <t>null@null___NORMAL@ATUADO___RelayTrip_S_TS_SA</t>
        </is>
      </c>
      <c r="G102" s="2">
        <f>VLOOKUP(F102,'Message Mapping'!A:L,3,FALSE)</f>
        <v/>
      </c>
      <c r="H102" s="2">
        <f>VLOOKUP(F102,'Message Mapping'!A:L,4,FALSE)</f>
        <v/>
      </c>
      <c r="I102" s="2" t="n"/>
      <c r="J102" s="3">
        <f>VLOOKUP(F102,'Message Mapping'!A:L,12,FALSE)</f>
        <v/>
      </c>
      <c r="K102" s="3" t="n"/>
      <c r="L102" s="3" t="n"/>
      <c r="M102" s="3" t="n"/>
      <c r="N102" s="3" t="n"/>
      <c r="O102" s="3" t="n"/>
      <c r="P102" s="3" t="n"/>
    </row>
    <row r="103">
      <c r="A103" s="94" t="inlineStr">
        <is>
          <t>50_1</t>
        </is>
      </c>
      <c r="B103" s="2" t="inlineStr">
        <is>
          <t>50 - SOBRECORRENTE INSTANTANEA E1</t>
        </is>
      </c>
      <c r="C103" s="2" t="inlineStr">
        <is>
          <t>RelayTrip</t>
        </is>
      </c>
      <c r="D103" s="2" t="inlineStr">
        <is>
          <t>PROT</t>
        </is>
      </c>
      <c r="E103" s="2" t="inlineStr">
        <is>
          <t>Read</t>
        </is>
      </c>
      <c r="F103" s="2" t="inlineStr">
        <is>
          <t>null@null___NORMAL@ATUADO___RelayTrip_S_TS_SA</t>
        </is>
      </c>
      <c r="G103" s="2">
        <f>VLOOKUP(F103,'Message Mapping'!A:L,3,FALSE)</f>
        <v/>
      </c>
      <c r="H103" s="2">
        <f>VLOOKUP(F103,'Message Mapping'!A:L,4,FALSE)</f>
        <v/>
      </c>
      <c r="I103" s="2" t="n"/>
      <c r="J103" s="3">
        <f>VLOOKUP(F103,'Message Mapping'!A:L,12,FALSE)</f>
        <v/>
      </c>
      <c r="K103" s="3" t="n"/>
      <c r="L103" s="3" t="n"/>
      <c r="M103" s="3" t="n"/>
      <c r="N103" s="3" t="n"/>
      <c r="O103" s="3" t="n"/>
      <c r="P103" s="3" t="n"/>
    </row>
    <row r="104">
      <c r="A104" s="94" t="inlineStr">
        <is>
          <t>50_2</t>
        </is>
      </c>
      <c r="B104" s="2" t="inlineStr">
        <is>
          <t>50 - SOBRECORRENTE INSTANTANEA E2</t>
        </is>
      </c>
      <c r="C104" s="2" t="inlineStr">
        <is>
          <t>RelayTrip</t>
        </is>
      </c>
      <c r="D104" s="2" t="inlineStr">
        <is>
          <t>PROT</t>
        </is>
      </c>
      <c r="E104" s="2" t="inlineStr">
        <is>
          <t>Read</t>
        </is>
      </c>
      <c r="F104" s="2" t="inlineStr">
        <is>
          <t>null@null___NORMAL@ATUADO___RelayTrip_S_TS_SA</t>
        </is>
      </c>
      <c r="G104" s="2">
        <f>VLOOKUP(F104,'Message Mapping'!A:L,3,FALSE)</f>
        <v/>
      </c>
      <c r="H104" s="2">
        <f>VLOOKUP(F104,'Message Mapping'!A:L,4,FALSE)</f>
        <v/>
      </c>
      <c r="I104" s="2" t="n"/>
      <c r="J104" s="3">
        <f>VLOOKUP(F104,'Message Mapping'!A:L,12,FALSE)</f>
        <v/>
      </c>
      <c r="K104" s="3" t="n"/>
      <c r="L104" s="3" t="n"/>
      <c r="M104" s="3" t="n"/>
      <c r="N104" s="3" t="n"/>
      <c r="O104" s="3" t="n"/>
      <c r="P104" s="3" t="n"/>
    </row>
    <row r="105">
      <c r="A105" s="94" t="inlineStr">
        <is>
          <t>50BF</t>
        </is>
      </c>
      <c r="B105" s="2" t="inlineStr">
        <is>
          <t>50 - FALHA DISJUNTOR</t>
        </is>
      </c>
      <c r="C105" s="2" t="inlineStr">
        <is>
          <t>RelayTrip</t>
        </is>
      </c>
      <c r="D105" s="2" t="inlineStr">
        <is>
          <t>PROT</t>
        </is>
      </c>
      <c r="E105" s="2" t="inlineStr">
        <is>
          <t>Read</t>
        </is>
      </c>
      <c r="F105" s="2" t="inlineStr">
        <is>
          <t>null@null___NORMAL@ATUADO___RelayTrip_S_TS_SA</t>
        </is>
      </c>
      <c r="G105" s="2">
        <f>VLOOKUP(F105,'Message Mapping'!A:L,3,FALSE)</f>
        <v/>
      </c>
      <c r="H105" s="2">
        <f>VLOOKUP(F105,'Message Mapping'!A:L,4,FALSE)</f>
        <v/>
      </c>
      <c r="I105" s="2" t="n"/>
      <c r="J105" s="3">
        <f>VLOOKUP(F105,'Message Mapping'!A:L,12,FALSE)</f>
        <v/>
      </c>
      <c r="K105" s="3" t="n"/>
      <c r="L105" s="3" t="n"/>
      <c r="M105" s="3" t="n"/>
      <c r="N105" s="3" t="n"/>
      <c r="O105" s="3" t="n"/>
      <c r="P105" s="3" t="n"/>
    </row>
    <row r="106">
      <c r="A106" s="94" t="inlineStr">
        <is>
          <t>50F</t>
        </is>
      </c>
      <c r="B106" s="2" t="inlineStr">
        <is>
          <t>50 - SOBRECORRENTE INSTANTANEA FASE</t>
        </is>
      </c>
      <c r="C106" s="2" t="inlineStr">
        <is>
          <t>RelayTrip</t>
        </is>
      </c>
      <c r="D106" s="2" t="inlineStr">
        <is>
          <t>PROT</t>
        </is>
      </c>
      <c r="E106" s="2" t="inlineStr">
        <is>
          <t>Read</t>
        </is>
      </c>
      <c r="F106" s="2" t="inlineStr">
        <is>
          <t>null@null___NORMAL@ATUADO___RelayTrip_S_TS_SA</t>
        </is>
      </c>
      <c r="G106" s="2">
        <f>VLOOKUP(F106,'Message Mapping'!A:L,3,FALSE)</f>
        <v/>
      </c>
      <c r="H106" s="2">
        <f>VLOOKUP(F106,'Message Mapping'!A:L,4,FALSE)</f>
        <v/>
      </c>
      <c r="I106" s="2" t="n"/>
      <c r="J106" s="3">
        <f>VLOOKUP(F106,'Message Mapping'!A:L,12,FALSE)</f>
        <v/>
      </c>
      <c r="K106" s="3" t="n"/>
      <c r="L106" s="3" t="n"/>
      <c r="M106" s="3" t="n"/>
      <c r="N106" s="3" t="n"/>
      <c r="O106" s="3" t="n"/>
      <c r="P106" s="3" t="n"/>
    </row>
    <row r="107">
      <c r="A107" s="94" t="inlineStr">
        <is>
          <t>50FA</t>
        </is>
      </c>
      <c r="B107" s="2" t="inlineStr">
        <is>
          <t>50 - SOBRECORRENTE INSTANTANEA FASE A</t>
        </is>
      </c>
      <c r="C107" s="2" t="inlineStr">
        <is>
          <t>RelayTrip</t>
        </is>
      </c>
      <c r="D107" s="2" t="inlineStr">
        <is>
          <t>PROT</t>
        </is>
      </c>
      <c r="E107" s="2" t="inlineStr">
        <is>
          <t>Read</t>
        </is>
      </c>
      <c r="F107" s="2" t="inlineStr">
        <is>
          <t>null@null___NORMAL@ATUADO___RelayTrip_S_TS_SA</t>
        </is>
      </c>
      <c r="G107" s="2">
        <f>VLOOKUP(F107,'Message Mapping'!A:L,3,FALSE)</f>
        <v/>
      </c>
      <c r="H107" s="2">
        <f>VLOOKUP(F107,'Message Mapping'!A:L,4,FALSE)</f>
        <v/>
      </c>
      <c r="I107" s="2" t="n"/>
      <c r="J107" s="3">
        <f>VLOOKUP(F107,'Message Mapping'!A:L,12,FALSE)</f>
        <v/>
      </c>
      <c r="K107" s="3" t="n"/>
      <c r="L107" s="3" t="n"/>
      <c r="M107" s="3" t="n"/>
      <c r="N107" s="3" t="n"/>
      <c r="O107" s="3" t="n"/>
      <c r="P107" s="3" t="n"/>
    </row>
    <row r="108">
      <c r="A108" s="94" t="inlineStr">
        <is>
          <t>50FB</t>
        </is>
      </c>
      <c r="B108" s="2" t="inlineStr">
        <is>
          <t>50 - SOBRECORRENTE INSTANTANEA FASE B</t>
        </is>
      </c>
      <c r="C108" s="2" t="inlineStr">
        <is>
          <t>RelayTrip</t>
        </is>
      </c>
      <c r="D108" s="2" t="inlineStr">
        <is>
          <t>PROT</t>
        </is>
      </c>
      <c r="E108" s="2" t="inlineStr">
        <is>
          <t>Read</t>
        </is>
      </c>
      <c r="F108" s="2" t="inlineStr">
        <is>
          <t>null@null___NORMAL@ATUADO___RelayTrip_S_TS_SA</t>
        </is>
      </c>
      <c r="G108" s="2">
        <f>VLOOKUP(F108,'Message Mapping'!A:L,3,FALSE)</f>
        <v/>
      </c>
      <c r="H108" s="2">
        <f>VLOOKUP(F108,'Message Mapping'!A:L,4,FALSE)</f>
        <v/>
      </c>
      <c r="I108" s="2" t="n"/>
      <c r="J108" s="3">
        <f>VLOOKUP(F108,'Message Mapping'!A:L,12,FALSE)</f>
        <v/>
      </c>
      <c r="K108" s="3" t="n"/>
      <c r="L108" s="3" t="n"/>
      <c r="M108" s="3" t="n"/>
      <c r="N108" s="3" t="n"/>
      <c r="O108" s="3" t="n"/>
      <c r="P108" s="3" t="n"/>
    </row>
    <row r="109">
      <c r="A109" s="94" t="inlineStr">
        <is>
          <t>50FC</t>
        </is>
      </c>
      <c r="B109" s="2" t="inlineStr">
        <is>
          <t>50 - SOBRECORRENTE INSTANTANEA FASE C</t>
        </is>
      </c>
      <c r="C109" s="2" t="inlineStr">
        <is>
          <t>RelayTrip</t>
        </is>
      </c>
      <c r="D109" s="2" t="inlineStr">
        <is>
          <t>PROT</t>
        </is>
      </c>
      <c r="E109" s="2" t="inlineStr">
        <is>
          <t>Read</t>
        </is>
      </c>
      <c r="F109" s="2" t="inlineStr">
        <is>
          <t>null@null___NORMAL@ATUADO___RelayTrip_S_TS_SA</t>
        </is>
      </c>
      <c r="G109" s="2">
        <f>VLOOKUP(F109,'Message Mapping'!A:L,3,FALSE)</f>
        <v/>
      </c>
      <c r="H109" s="2">
        <f>VLOOKUP(F109,'Message Mapping'!A:L,4,FALSE)</f>
        <v/>
      </c>
      <c r="I109" s="2" t="n"/>
      <c r="J109" s="3">
        <f>VLOOKUP(F109,'Message Mapping'!A:L,12,FALSE)</f>
        <v/>
      </c>
      <c r="K109" s="3" t="n"/>
      <c r="L109" s="3" t="n"/>
      <c r="M109" s="3" t="n"/>
      <c r="N109" s="3" t="n"/>
      <c r="O109" s="3" t="n"/>
      <c r="P109" s="3" t="n"/>
    </row>
    <row r="110">
      <c r="A110" s="94" t="inlineStr">
        <is>
          <t>50CA</t>
        </is>
      </c>
      <c r="B110" s="2" t="inlineStr">
        <is>
          <t>50 - SOBRECORRENTE INSTANTANEA FASE C OU A</t>
        </is>
      </c>
      <c r="C110" s="2" t="inlineStr">
        <is>
          <t>RelayTrip</t>
        </is>
      </c>
      <c r="D110" s="2" t="inlineStr">
        <is>
          <t>PROT</t>
        </is>
      </c>
      <c r="E110" s="2" t="inlineStr">
        <is>
          <t>Read</t>
        </is>
      </c>
      <c r="F110" s="2" t="inlineStr">
        <is>
          <t>null@null___NORMAL@ATUADO___RelayTrip_S_TS_SA</t>
        </is>
      </c>
      <c r="G110" s="2">
        <f>VLOOKUP(F110,'Message Mapping'!A:L,3,FALSE)</f>
        <v/>
      </c>
      <c r="H110" s="2">
        <f>VLOOKUP(F110,'Message Mapping'!A:L,4,FALSE)</f>
        <v/>
      </c>
      <c r="I110" s="2" t="n"/>
      <c r="J110" s="3">
        <f>VLOOKUP(F110,'Message Mapping'!A:L,12,FALSE)</f>
        <v/>
      </c>
      <c r="K110" s="3" t="n"/>
      <c r="L110" s="3" t="n"/>
      <c r="M110" s="3" t="n"/>
      <c r="N110" s="3" t="n"/>
      <c r="O110" s="3" t="n"/>
      <c r="P110" s="3" t="n"/>
    </row>
    <row r="111">
      <c r="A111" s="94" t="inlineStr">
        <is>
          <t>50F1</t>
        </is>
      </c>
      <c r="B111" s="2" t="inlineStr">
        <is>
          <t>50 - SOBRECORRENTE INSTANTANEA FASE E1</t>
        </is>
      </c>
      <c r="C111" s="2" t="inlineStr">
        <is>
          <t>RelayTrip</t>
        </is>
      </c>
      <c r="D111" s="2" t="inlineStr">
        <is>
          <t>PROT</t>
        </is>
      </c>
      <c r="E111" s="2" t="inlineStr">
        <is>
          <t>Read</t>
        </is>
      </c>
      <c r="F111" s="2" t="inlineStr">
        <is>
          <t>null@null___NORMAL@ATUADO___RelayTrip_S_TS_SA</t>
        </is>
      </c>
      <c r="G111" s="2">
        <f>VLOOKUP(F111,'Message Mapping'!A:L,3,FALSE)</f>
        <v/>
      </c>
      <c r="H111" s="2">
        <f>VLOOKUP(F111,'Message Mapping'!A:L,4,FALSE)</f>
        <v/>
      </c>
      <c r="I111" s="2" t="n"/>
      <c r="J111" s="3">
        <f>VLOOKUP(F111,'Message Mapping'!A:L,12,FALSE)</f>
        <v/>
      </c>
      <c r="K111" s="3" t="n"/>
      <c r="L111" s="3" t="n"/>
      <c r="M111" s="3" t="n"/>
      <c r="N111" s="3" t="n"/>
      <c r="O111" s="3" t="n"/>
      <c r="P111" s="3" t="n"/>
    </row>
    <row r="112">
      <c r="A112" s="94" t="inlineStr">
        <is>
          <t>50F2</t>
        </is>
      </c>
      <c r="B112" s="2" t="inlineStr">
        <is>
          <t>50 - SOBRECORRENTE INSTANTANEA FASE E2</t>
        </is>
      </c>
      <c r="C112" s="2" t="inlineStr">
        <is>
          <t>RelayTrip</t>
        </is>
      </c>
      <c r="D112" s="2" t="inlineStr">
        <is>
          <t>PROT</t>
        </is>
      </c>
      <c r="E112" s="2" t="inlineStr">
        <is>
          <t>Read</t>
        </is>
      </c>
      <c r="F112" s="2" t="inlineStr">
        <is>
          <t>null@null___NORMAL@ATUADO___RelayTrip_S_TS_SA</t>
        </is>
      </c>
      <c r="G112" s="2">
        <f>VLOOKUP(F112,'Message Mapping'!A:L,3,FALSE)</f>
        <v/>
      </c>
      <c r="H112" s="2">
        <f>VLOOKUP(F112,'Message Mapping'!A:L,4,FALSE)</f>
        <v/>
      </c>
      <c r="I112" s="2" t="n"/>
      <c r="J112" s="3">
        <f>VLOOKUP(F112,'Message Mapping'!A:L,12,FALSE)</f>
        <v/>
      </c>
      <c r="K112" s="3" t="n"/>
      <c r="L112" s="3" t="n"/>
      <c r="M112" s="3" t="n"/>
      <c r="N112" s="3" t="n"/>
      <c r="O112" s="3" t="n"/>
      <c r="P112" s="3" t="n"/>
    </row>
    <row r="113">
      <c r="A113" s="94" t="inlineStr">
        <is>
          <t>50F3</t>
        </is>
      </c>
      <c r="B113" s="2" t="inlineStr">
        <is>
          <t>50 - SOBRECORRENTE INSTANTANEA FASE E3</t>
        </is>
      </c>
      <c r="C113" s="2" t="inlineStr">
        <is>
          <t>RelayTrip</t>
        </is>
      </c>
      <c r="D113" s="2" t="inlineStr">
        <is>
          <t>PROT</t>
        </is>
      </c>
      <c r="E113" s="2" t="inlineStr">
        <is>
          <t>Read</t>
        </is>
      </c>
      <c r="F113" s="2" t="inlineStr">
        <is>
          <t>null@null___NORMAL@ATUADO___RelayTrip_S_TS_SA</t>
        </is>
      </c>
      <c r="G113" s="2">
        <f>VLOOKUP(F113,'Message Mapping'!A:L,3,FALSE)</f>
        <v/>
      </c>
      <c r="H113" s="2">
        <f>VLOOKUP(F113,'Message Mapping'!A:L,4,FALSE)</f>
        <v/>
      </c>
      <c r="I113" s="2" t="n"/>
      <c r="J113" s="3">
        <f>VLOOKUP(F113,'Message Mapping'!A:L,12,FALSE)</f>
        <v/>
      </c>
      <c r="K113" s="3" t="n"/>
      <c r="L113" s="3" t="n"/>
      <c r="M113" s="3" t="n"/>
      <c r="N113" s="3" t="n"/>
      <c r="O113" s="3" t="n"/>
      <c r="P113" s="3" t="n"/>
    </row>
    <row r="114">
      <c r="A114" s="94" t="inlineStr">
        <is>
          <t>50FN</t>
        </is>
      </c>
      <c r="B114" s="2" t="inlineStr">
        <is>
          <t>50 - SOBRECORRENTE INSTANTANEA FASE NEUTRO</t>
        </is>
      </c>
      <c r="C114" s="2" t="inlineStr">
        <is>
          <t>RelayTrip</t>
        </is>
      </c>
      <c r="D114" s="2" t="inlineStr">
        <is>
          <t>PROT</t>
        </is>
      </c>
      <c r="E114" s="2" t="inlineStr">
        <is>
          <t>Read</t>
        </is>
      </c>
      <c r="F114" s="2" t="inlineStr">
        <is>
          <t>null@null___NORMAL@ATUADO___RelayTrip_S_TS_SA</t>
        </is>
      </c>
      <c r="G114" s="2">
        <f>VLOOKUP(F114,'Message Mapping'!A:L,3,FALSE)</f>
        <v/>
      </c>
      <c r="H114" s="2">
        <f>VLOOKUP(F114,'Message Mapping'!A:L,4,FALSE)</f>
        <v/>
      </c>
      <c r="I114" s="2" t="n"/>
      <c r="J114" s="3">
        <f>VLOOKUP(F114,'Message Mapping'!A:L,12,FALSE)</f>
        <v/>
      </c>
      <c r="K114" s="3" t="n"/>
      <c r="L114" s="3" t="n"/>
      <c r="M114" s="3" t="n"/>
      <c r="N114" s="3" t="n"/>
      <c r="O114" s="3" t="n"/>
      <c r="P114" s="3" t="n"/>
    </row>
    <row r="115">
      <c r="A115" s="94" t="inlineStr">
        <is>
          <t>50N</t>
        </is>
      </c>
      <c r="B115" s="2" t="inlineStr">
        <is>
          <t>50 - SOBRECORRENTE INSTANTANEA NEUTRO</t>
        </is>
      </c>
      <c r="C115" s="2" t="inlineStr">
        <is>
          <t>RelayTrip</t>
        </is>
      </c>
      <c r="D115" s="2" t="inlineStr">
        <is>
          <t>PROT</t>
        </is>
      </c>
      <c r="E115" s="2" t="inlineStr">
        <is>
          <t>Read</t>
        </is>
      </c>
      <c r="F115" s="2" t="inlineStr">
        <is>
          <t>null@null___NORMAL@ATUADO___RelayTrip_S_TS_SA</t>
        </is>
      </c>
      <c r="G115" s="2">
        <f>VLOOKUP(F115,'Message Mapping'!A:L,3,FALSE)</f>
        <v/>
      </c>
      <c r="H115" s="2">
        <f>VLOOKUP(F115,'Message Mapping'!A:L,4,FALSE)</f>
        <v/>
      </c>
      <c r="I115" s="2" t="n"/>
      <c r="J115" s="3">
        <f>VLOOKUP(F115,'Message Mapping'!A:L,12,FALSE)</f>
        <v/>
      </c>
      <c r="K115" s="3" t="n"/>
      <c r="L115" s="3" t="n"/>
      <c r="M115" s="3" t="n"/>
      <c r="N115" s="3" t="n"/>
      <c r="O115" s="3" t="n"/>
      <c r="P115" s="3" t="n"/>
    </row>
    <row r="116">
      <c r="A116" s="94" t="inlineStr">
        <is>
          <t>50N1</t>
        </is>
      </c>
      <c r="B116" s="2" t="inlineStr">
        <is>
          <t>50 - SOBRECORRENTE INSTANTANEA NEUTRO E1</t>
        </is>
      </c>
      <c r="C116" s="2" t="inlineStr">
        <is>
          <t>RelayTrip</t>
        </is>
      </c>
      <c r="D116" s="2" t="inlineStr">
        <is>
          <t>PROT</t>
        </is>
      </c>
      <c r="E116" s="2" t="inlineStr">
        <is>
          <t>Read</t>
        </is>
      </c>
      <c r="F116" s="2" t="inlineStr">
        <is>
          <t>null@null___NORMAL@ATUADO___RelayTrip_S_TS_SA</t>
        </is>
      </c>
      <c r="G116" s="2">
        <f>VLOOKUP(F116,'Message Mapping'!A:L,3,FALSE)</f>
        <v/>
      </c>
      <c r="H116" s="2">
        <f>VLOOKUP(F116,'Message Mapping'!A:L,4,FALSE)</f>
        <v/>
      </c>
      <c r="I116" s="2" t="n"/>
      <c r="J116" s="3">
        <f>VLOOKUP(F116,'Message Mapping'!A:L,12,FALSE)</f>
        <v/>
      </c>
      <c r="K116" s="3" t="n"/>
      <c r="L116" s="3" t="n"/>
      <c r="M116" s="3" t="n"/>
      <c r="N116" s="3" t="n"/>
      <c r="O116" s="3" t="n"/>
      <c r="P116" s="3" t="n"/>
    </row>
    <row r="117">
      <c r="A117" s="94" t="inlineStr">
        <is>
          <t>50N2</t>
        </is>
      </c>
      <c r="B117" s="2" t="inlineStr">
        <is>
          <t>50 - SOBRECORRENTE INSTANTANEA NEUTRO E2</t>
        </is>
      </c>
      <c r="C117" s="2" t="inlineStr">
        <is>
          <t>RelayTrip</t>
        </is>
      </c>
      <c r="D117" s="2" t="inlineStr">
        <is>
          <t>PROT</t>
        </is>
      </c>
      <c r="E117" s="2" t="inlineStr">
        <is>
          <t>Read</t>
        </is>
      </c>
      <c r="F117" s="2" t="inlineStr">
        <is>
          <t>null@null___NORMAL@ATUADO___RelayTrip_S_TS_SA</t>
        </is>
      </c>
      <c r="G117" s="2">
        <f>VLOOKUP(F117,'Message Mapping'!A:L,3,FALSE)</f>
        <v/>
      </c>
      <c r="H117" s="2">
        <f>VLOOKUP(F117,'Message Mapping'!A:L,4,FALSE)</f>
        <v/>
      </c>
      <c r="I117" s="2" t="n"/>
      <c r="J117" s="3">
        <f>VLOOKUP(F117,'Message Mapping'!A:L,12,FALSE)</f>
        <v/>
      </c>
      <c r="K117" s="3" t="n"/>
      <c r="L117" s="3" t="n"/>
      <c r="M117" s="3" t="n"/>
      <c r="N117" s="3" t="n"/>
      <c r="O117" s="3" t="n"/>
      <c r="P117" s="3" t="n"/>
    </row>
    <row r="118">
      <c r="A118" s="94" t="inlineStr">
        <is>
          <t>50N3</t>
        </is>
      </c>
      <c r="B118" s="2" t="inlineStr">
        <is>
          <t>50 - SOBRECORRENTE INSTANTANEA NEUTRO E3</t>
        </is>
      </c>
      <c r="C118" s="2" t="inlineStr">
        <is>
          <t>RelayTrip</t>
        </is>
      </c>
      <c r="D118" s="2" t="inlineStr">
        <is>
          <t>PROT</t>
        </is>
      </c>
      <c r="E118" s="2" t="inlineStr">
        <is>
          <t>Read</t>
        </is>
      </c>
      <c r="F118" s="2" t="inlineStr">
        <is>
          <t>null@null___NORMAL@ATUADO___RelayTrip_S_TS_SA</t>
        </is>
      </c>
      <c r="G118" s="2">
        <f>VLOOKUP(F118,'Message Mapping'!A:L,3,FALSE)</f>
        <v/>
      </c>
      <c r="H118" s="2">
        <f>VLOOKUP(F118,'Message Mapping'!A:L,4,FALSE)</f>
        <v/>
      </c>
      <c r="I118" s="2" t="n"/>
      <c r="J118" s="3">
        <f>VLOOKUP(F118,'Message Mapping'!A:L,12,FALSE)</f>
        <v/>
      </c>
      <c r="K118" s="3" t="n"/>
      <c r="L118" s="3" t="n"/>
      <c r="M118" s="3" t="n"/>
      <c r="N118" s="3" t="n"/>
      <c r="O118" s="3" t="n"/>
      <c r="P118" s="3" t="n"/>
    </row>
    <row r="119">
      <c r="A119" s="94" t="inlineStr">
        <is>
          <t>5BKP</t>
        </is>
      </c>
      <c r="B119" s="2" t="inlineStr">
        <is>
          <t>50 51 - SOBRECORRENTE BACKUP</t>
        </is>
      </c>
      <c r="C119" s="2" t="inlineStr">
        <is>
          <t>RelayTrip</t>
        </is>
      </c>
      <c r="D119" s="2" t="inlineStr">
        <is>
          <t>PROT</t>
        </is>
      </c>
      <c r="E119" s="2" t="inlineStr">
        <is>
          <t>Read</t>
        </is>
      </c>
      <c r="F119" s="2" t="inlineStr">
        <is>
          <t>null@null___NORMAL@ATUADO___RelayTrip_S_TS_SA</t>
        </is>
      </c>
      <c r="G119" s="2">
        <f>VLOOKUP(F119,'Message Mapping'!A:L,3,FALSE)</f>
        <v/>
      </c>
      <c r="H119" s="2">
        <f>VLOOKUP(F119,'Message Mapping'!A:L,4,FALSE)</f>
        <v/>
      </c>
      <c r="I119" s="2" t="n"/>
      <c r="J119" s="3">
        <f>VLOOKUP(F119,'Message Mapping'!A:L,12,FALSE)</f>
        <v/>
      </c>
      <c r="K119" s="3" t="n"/>
      <c r="L119" s="3" t="n"/>
      <c r="M119" s="3" t="n"/>
      <c r="N119" s="3" t="n"/>
      <c r="O119" s="3" t="n"/>
      <c r="P119" s="3" t="n"/>
    </row>
    <row r="120">
      <c r="A120" s="94" t="inlineStr">
        <is>
          <t>5F</t>
        </is>
      </c>
      <c r="B120" s="2" t="inlineStr">
        <is>
          <t>50 51 - SOBRECORRENTE FASE</t>
        </is>
      </c>
      <c r="C120" s="2" t="inlineStr">
        <is>
          <t>RelayTrip</t>
        </is>
      </c>
      <c r="D120" s="2" t="inlineStr">
        <is>
          <t>PROT</t>
        </is>
      </c>
      <c r="E120" s="2" t="inlineStr">
        <is>
          <t>Read</t>
        </is>
      </c>
      <c r="F120" s="2" t="inlineStr">
        <is>
          <t>null@null___NORMAL@ATUADO___RelayTrip_S_TS_SA</t>
        </is>
      </c>
      <c r="G120" s="2">
        <f>VLOOKUP(F120,'Message Mapping'!A:L,3,FALSE)</f>
        <v/>
      </c>
      <c r="H120" s="2">
        <f>VLOOKUP(F120,'Message Mapping'!A:L,4,FALSE)</f>
        <v/>
      </c>
      <c r="I120" s="2" t="n"/>
      <c r="J120" s="3">
        <f>VLOOKUP(F120,'Message Mapping'!A:L,12,FALSE)</f>
        <v/>
      </c>
      <c r="K120" s="3" t="n"/>
      <c r="L120" s="3" t="n"/>
      <c r="M120" s="3" t="n"/>
      <c r="N120" s="3" t="n"/>
      <c r="O120" s="3" t="n"/>
      <c r="P120" s="3" t="n"/>
    </row>
    <row r="121">
      <c r="A121" s="94" t="inlineStr">
        <is>
          <t>5FA</t>
        </is>
      </c>
      <c r="B121" s="2" t="inlineStr">
        <is>
          <t>50 51 - SOBRECORRENTE FASE A</t>
        </is>
      </c>
      <c r="C121" s="2" t="inlineStr">
        <is>
          <t>RelayTrip</t>
        </is>
      </c>
      <c r="D121" s="2" t="inlineStr">
        <is>
          <t>PROT</t>
        </is>
      </c>
      <c r="E121" s="2" t="inlineStr">
        <is>
          <t>Read</t>
        </is>
      </c>
      <c r="F121" s="2" t="inlineStr">
        <is>
          <t>null@null___NORMAL@ATUADO___RelayTrip_S_TS_SA</t>
        </is>
      </c>
      <c r="G121" s="2">
        <f>VLOOKUP(F121,'Message Mapping'!A:L,3,FALSE)</f>
        <v/>
      </c>
      <c r="H121" s="2">
        <f>VLOOKUP(F121,'Message Mapping'!A:L,4,FALSE)</f>
        <v/>
      </c>
      <c r="I121" s="2" t="n"/>
      <c r="J121" s="3">
        <f>VLOOKUP(F121,'Message Mapping'!A:L,12,FALSE)</f>
        <v/>
      </c>
      <c r="K121" s="3" t="n"/>
      <c r="L121" s="3" t="n"/>
      <c r="M121" s="3" t="n"/>
      <c r="N121" s="3" t="n"/>
      <c r="O121" s="3" t="n"/>
      <c r="P121" s="3" t="n"/>
    </row>
    <row r="122">
      <c r="A122" s="94" t="inlineStr">
        <is>
          <t>5FB</t>
        </is>
      </c>
      <c r="B122" s="2" t="inlineStr">
        <is>
          <t>50 51 - SOBRECORRENTE FASE B</t>
        </is>
      </c>
      <c r="C122" s="2" t="inlineStr">
        <is>
          <t>RelayTrip</t>
        </is>
      </c>
      <c r="D122" s="2" t="inlineStr">
        <is>
          <t>PROT</t>
        </is>
      </c>
      <c r="E122" s="2" t="inlineStr">
        <is>
          <t>Read</t>
        </is>
      </c>
      <c r="F122" s="2" t="inlineStr">
        <is>
          <t>null@null___NORMAL@ATUADO___RelayTrip_S_TS_SA</t>
        </is>
      </c>
      <c r="G122" s="2">
        <f>VLOOKUP(F122,'Message Mapping'!A:L,3,FALSE)</f>
        <v/>
      </c>
      <c r="H122" s="2">
        <f>VLOOKUP(F122,'Message Mapping'!A:L,4,FALSE)</f>
        <v/>
      </c>
      <c r="I122" s="2" t="n"/>
      <c r="J122" s="3">
        <f>VLOOKUP(F122,'Message Mapping'!A:L,12,FALSE)</f>
        <v/>
      </c>
      <c r="K122" s="3" t="n"/>
      <c r="L122" s="3" t="n"/>
      <c r="M122" s="3" t="n"/>
      <c r="N122" s="3" t="n"/>
      <c r="O122" s="3" t="n"/>
      <c r="P122" s="3" t="n"/>
    </row>
    <row r="123">
      <c r="A123" s="94" t="inlineStr">
        <is>
          <t>5FC</t>
        </is>
      </c>
      <c r="B123" s="2" t="inlineStr">
        <is>
          <t>50 51 - SOBRECORRENTE FASE C</t>
        </is>
      </c>
      <c r="C123" s="2" t="inlineStr">
        <is>
          <t>RelayTrip</t>
        </is>
      </c>
      <c r="D123" s="2" t="inlineStr">
        <is>
          <t>PROT</t>
        </is>
      </c>
      <c r="E123" s="2" t="inlineStr">
        <is>
          <t>Read</t>
        </is>
      </c>
      <c r="F123" s="2" t="inlineStr">
        <is>
          <t>null@null___NORMAL@ATUADO___RelayTrip_S_TS_SA</t>
        </is>
      </c>
      <c r="G123" s="2">
        <f>VLOOKUP(F123,'Message Mapping'!A:L,3,FALSE)</f>
        <v/>
      </c>
      <c r="H123" s="2">
        <f>VLOOKUP(F123,'Message Mapping'!A:L,4,FALSE)</f>
        <v/>
      </c>
      <c r="I123" s="2" t="n"/>
      <c r="J123" s="3">
        <f>VLOOKUP(F123,'Message Mapping'!A:L,12,FALSE)</f>
        <v/>
      </c>
      <c r="K123" s="3" t="n"/>
      <c r="L123" s="3" t="n"/>
      <c r="M123" s="3" t="n"/>
      <c r="N123" s="3" t="n"/>
      <c r="O123" s="3" t="n"/>
      <c r="P123" s="3" t="n"/>
    </row>
    <row r="124">
      <c r="A124" s="94" t="inlineStr">
        <is>
          <t>5FN</t>
        </is>
      </c>
      <c r="B124" s="2" t="inlineStr">
        <is>
          <t>50 51 - SOBRECORRENTE FASE NEUTRO</t>
        </is>
      </c>
      <c r="C124" s="2" t="inlineStr">
        <is>
          <t>RelayTrip</t>
        </is>
      </c>
      <c r="D124" s="2" t="inlineStr">
        <is>
          <t>PROT</t>
        </is>
      </c>
      <c r="E124" s="2" t="inlineStr">
        <is>
          <t>Read</t>
        </is>
      </c>
      <c r="F124" s="2" t="inlineStr">
        <is>
          <t>null@null___NORMAL@ATUADO___RelayTrip_S_TS_SA</t>
        </is>
      </c>
      <c r="G124" s="2">
        <f>VLOOKUP(F124,'Message Mapping'!A:L,3,FALSE)</f>
        <v/>
      </c>
      <c r="H124" s="2">
        <f>VLOOKUP(F124,'Message Mapping'!A:L,4,FALSE)</f>
        <v/>
      </c>
      <c r="I124" s="2" t="n"/>
      <c r="J124" s="3">
        <f>VLOOKUP(F124,'Message Mapping'!A:L,12,FALSE)</f>
        <v/>
      </c>
      <c r="K124" s="3" t="n"/>
      <c r="L124" s="3" t="n"/>
      <c r="M124" s="3" t="n"/>
      <c r="N124" s="3" t="n"/>
      <c r="O124" s="3" t="n"/>
      <c r="P124" s="3" t="n"/>
    </row>
    <row r="125">
      <c r="A125" s="94" t="inlineStr">
        <is>
          <t>5FN1</t>
        </is>
      </c>
      <c r="B125" s="2" t="inlineStr">
        <is>
          <t>50 51 - SOBRECORRENTE FASE NEUTRO 1</t>
        </is>
      </c>
      <c r="C125" s="2" t="inlineStr">
        <is>
          <t>RelayTrip</t>
        </is>
      </c>
      <c r="D125" s="2" t="inlineStr">
        <is>
          <t>PROT</t>
        </is>
      </c>
      <c r="E125" s="2" t="inlineStr">
        <is>
          <t>Read</t>
        </is>
      </c>
      <c r="F125" s="2" t="inlineStr">
        <is>
          <t>null@null___NORMAL@ATUADO___RelayTrip_S_TS_SA</t>
        </is>
      </c>
      <c r="G125" s="2">
        <f>VLOOKUP(F125,'Message Mapping'!A:L,3,FALSE)</f>
        <v/>
      </c>
      <c r="H125" s="2">
        <f>VLOOKUP(F125,'Message Mapping'!A:L,4,FALSE)</f>
        <v/>
      </c>
      <c r="I125" s="2" t="n"/>
      <c r="J125" s="3">
        <f>VLOOKUP(F125,'Message Mapping'!A:L,12,FALSE)</f>
        <v/>
      </c>
      <c r="K125" s="3" t="n"/>
      <c r="L125" s="3" t="n"/>
      <c r="M125" s="3" t="n"/>
      <c r="N125" s="3" t="n"/>
      <c r="O125" s="3" t="n"/>
      <c r="P125" s="3" t="n"/>
    </row>
    <row r="126">
      <c r="A126" s="94" t="inlineStr">
        <is>
          <t>5FN2</t>
        </is>
      </c>
      <c r="B126" s="2" t="inlineStr">
        <is>
          <t>50 51 - SOBRECORRENTE FASE NEUTRO 2</t>
        </is>
      </c>
      <c r="C126" s="2" t="inlineStr">
        <is>
          <t>RelayTrip</t>
        </is>
      </c>
      <c r="D126" s="2" t="inlineStr">
        <is>
          <t>PROT</t>
        </is>
      </c>
      <c r="E126" s="2" t="inlineStr">
        <is>
          <t>Read</t>
        </is>
      </c>
      <c r="F126" s="2" t="inlineStr">
        <is>
          <t>null@null___NORMAL@ATUADO___RelayTrip_S_TS_SA</t>
        </is>
      </c>
      <c r="G126" s="2">
        <f>VLOOKUP(F126,'Message Mapping'!A:L,3,FALSE)</f>
        <v/>
      </c>
      <c r="H126" s="2">
        <f>VLOOKUP(F126,'Message Mapping'!A:L,4,FALSE)</f>
        <v/>
      </c>
      <c r="I126" s="2" t="n"/>
      <c r="J126" s="3">
        <f>VLOOKUP(F126,'Message Mapping'!A:L,12,FALSE)</f>
        <v/>
      </c>
      <c r="K126" s="3" t="n"/>
      <c r="L126" s="3" t="n"/>
      <c r="M126" s="3" t="n"/>
      <c r="N126" s="3" t="n"/>
      <c r="O126" s="3" t="n"/>
      <c r="P126" s="3" t="n"/>
    </row>
    <row r="127">
      <c r="A127" s="94" t="inlineStr">
        <is>
          <t>5N</t>
        </is>
      </c>
      <c r="B127" s="2" t="inlineStr">
        <is>
          <t>50 51 - SOBRECORRENTE NEUTRO</t>
        </is>
      </c>
      <c r="C127" s="2" t="inlineStr">
        <is>
          <t>RelayTrip</t>
        </is>
      </c>
      <c r="D127" s="2" t="inlineStr">
        <is>
          <t>PROT</t>
        </is>
      </c>
      <c r="E127" s="2" t="inlineStr">
        <is>
          <t>Read</t>
        </is>
      </c>
      <c r="F127" s="2" t="inlineStr">
        <is>
          <t>null@null___NORMAL@ATUADO___RelayTrip_S_TS_SA</t>
        </is>
      </c>
      <c r="G127" s="2">
        <f>VLOOKUP(F127,'Message Mapping'!A:L,3,FALSE)</f>
        <v/>
      </c>
      <c r="H127" s="2">
        <f>VLOOKUP(F127,'Message Mapping'!A:L,4,FALSE)</f>
        <v/>
      </c>
      <c r="I127" s="2" t="n"/>
      <c r="J127" s="3">
        <f>VLOOKUP(F127,'Message Mapping'!A:L,12,FALSE)</f>
        <v/>
      </c>
      <c r="K127" s="3" t="n"/>
      <c r="L127" s="3" t="n"/>
      <c r="M127" s="3" t="n"/>
      <c r="N127" s="3" t="n"/>
      <c r="O127" s="3" t="n"/>
      <c r="P127" s="3" t="n"/>
    </row>
    <row r="128">
      <c r="A128" s="94" t="inlineStr">
        <is>
          <t>5NBK</t>
        </is>
      </c>
      <c r="B128" s="2" t="inlineStr">
        <is>
          <t>50 51 - SOBRECORRENTE NEUTRO BACKUP</t>
        </is>
      </c>
      <c r="C128" s="2" t="inlineStr">
        <is>
          <t>RelayTrip</t>
        </is>
      </c>
      <c r="D128" s="2" t="inlineStr">
        <is>
          <t>PROT</t>
        </is>
      </c>
      <c r="E128" s="2" t="inlineStr">
        <is>
          <t>Read</t>
        </is>
      </c>
      <c r="F128" s="2" t="inlineStr">
        <is>
          <t>null@null___NORMAL@ATUADO___RelayTrip_S_TS_SA</t>
        </is>
      </c>
      <c r="G128" s="2">
        <f>VLOOKUP(F128,'Message Mapping'!A:L,3,FALSE)</f>
        <v/>
      </c>
      <c r="H128" s="2">
        <f>VLOOKUP(F128,'Message Mapping'!A:L,4,FALSE)</f>
        <v/>
      </c>
      <c r="I128" s="2" t="n"/>
      <c r="J128" s="3">
        <f>VLOOKUP(F128,'Message Mapping'!A:L,12,FALSE)</f>
        <v/>
      </c>
      <c r="K128" s="3" t="n"/>
      <c r="L128" s="3" t="n"/>
      <c r="M128" s="3" t="n"/>
      <c r="N128" s="3" t="n"/>
      <c r="O128" s="3" t="n"/>
      <c r="P128" s="3" t="n"/>
    </row>
    <row r="129">
      <c r="A129" s="94" t="inlineStr">
        <is>
          <t>561F</t>
        </is>
      </c>
      <c r="B129" s="2" t="inlineStr">
        <is>
          <t>50 51 61 - FASE</t>
        </is>
      </c>
      <c r="C129" s="2" t="inlineStr">
        <is>
          <t>RelayTrip</t>
        </is>
      </c>
      <c r="D129" s="2" t="inlineStr">
        <is>
          <t>PROT</t>
        </is>
      </c>
      <c r="E129" s="2" t="inlineStr">
        <is>
          <t>Read</t>
        </is>
      </c>
      <c r="F129" s="2" t="inlineStr">
        <is>
          <t>null@null___NORMAL@ATUADO___RelayTrip_S_TS_SA</t>
        </is>
      </c>
      <c r="G129" s="2">
        <f>VLOOKUP(F129,'Message Mapping'!A:L,3,FALSE)</f>
        <v/>
      </c>
      <c r="H129" s="2">
        <f>VLOOKUP(F129,'Message Mapping'!A:L,4,FALSE)</f>
        <v/>
      </c>
      <c r="I129" s="2" t="n"/>
      <c r="J129" s="3">
        <f>VLOOKUP(F129,'Message Mapping'!A:L,12,FALSE)</f>
        <v/>
      </c>
      <c r="K129" s="3" t="n"/>
      <c r="L129" s="3" t="n"/>
      <c r="M129" s="3" t="n"/>
      <c r="N129" s="3" t="n"/>
      <c r="O129" s="3" t="n"/>
      <c r="P129" s="3" t="n"/>
    </row>
    <row r="130">
      <c r="A130" s="94" t="inlineStr">
        <is>
          <t>51N</t>
        </is>
      </c>
      <c r="B130" s="2" t="inlineStr">
        <is>
          <t>51 - FUNCAO SOBRECORRENTE TEMPORIZADA NEUTRO</t>
        </is>
      </c>
      <c r="C130" s="2" t="inlineStr">
        <is>
          <t>Enabled</t>
        </is>
      </c>
      <c r="D130" s="2" t="inlineStr">
        <is>
          <t>FUNCÕES/43/PARALELISMO</t>
        </is>
      </c>
      <c r="E130" s="2" t="inlineStr">
        <is>
          <t>ReadWrite</t>
        </is>
      </c>
      <c r="F130" s="2" t="inlineStr">
        <is>
          <t>INCLUIR@EXCLUIR___INCLUIDO@EXCLUIDO___Enabled_S_TC_SS</t>
        </is>
      </c>
      <c r="G130" s="2">
        <f>VLOOKUP(F130,'Message Mapping'!A:L,3,FALSE)</f>
        <v/>
      </c>
      <c r="H130" s="2">
        <f>VLOOKUP(F130,'Message Mapping'!A:L,4,FALSE)</f>
        <v/>
      </c>
      <c r="I130" s="2" t="n"/>
      <c r="J130" s="3">
        <f>VLOOKUP(F130,'Message Mapping'!A:L,12,FALSE)</f>
        <v/>
      </c>
      <c r="K130" s="3" t="n"/>
      <c r="L130" s="3" t="n"/>
      <c r="M130" s="3" t="n"/>
      <c r="N130" s="3" t="n"/>
      <c r="O130" s="3" t="n"/>
      <c r="P130" s="3" t="n"/>
    </row>
    <row r="131">
      <c r="A131" s="94" t="inlineStr">
        <is>
          <t>51N</t>
        </is>
      </c>
      <c r="B131" s="2" t="inlineStr">
        <is>
          <t>51 - FUNCAO SOBRECORRENTE TEMPORIZADA NEUTRO</t>
        </is>
      </c>
      <c r="C131" s="2" t="inlineStr">
        <is>
          <t>Enabled</t>
        </is>
      </c>
      <c r="D131" s="2" t="inlineStr">
        <is>
          <t>FUNCÕES/43/PARALELISMO</t>
        </is>
      </c>
      <c r="E131" s="2" t="inlineStr">
        <is>
          <t>Read</t>
        </is>
      </c>
      <c r="F131" s="2" t="inlineStr">
        <is>
          <t>null@null___INCLUIDO@EXCLUIDO___Enabled_S_TS_SS</t>
        </is>
      </c>
      <c r="G131" s="2">
        <f>VLOOKUP(F131,'Message Mapping'!A:L,3,FALSE)</f>
        <v/>
      </c>
      <c r="H131" s="2">
        <f>VLOOKUP(F131,'Message Mapping'!A:L,4,FALSE)</f>
        <v/>
      </c>
      <c r="I131" s="2" t="n"/>
      <c r="J131" s="3">
        <f>VLOOKUP(F131,'Message Mapping'!A:L,12,FALSE)</f>
        <v/>
      </c>
      <c r="K131" s="3" t="n"/>
      <c r="L131" s="3" t="n"/>
      <c r="M131" s="3" t="n"/>
      <c r="N131" s="3" t="n"/>
      <c r="O131" s="3" t="n"/>
      <c r="P131" s="3" t="n"/>
    </row>
    <row r="132">
      <c r="A132" s="94" t="inlineStr">
        <is>
          <t>51F</t>
        </is>
      </c>
      <c r="B132" s="2" t="inlineStr">
        <is>
          <t>51 - SOBRECORRENTE TEMPORIZADA FASE</t>
        </is>
      </c>
      <c r="C132" s="2" t="inlineStr">
        <is>
          <t>RelayTrip</t>
        </is>
      </c>
      <c r="D132" s="2" t="inlineStr">
        <is>
          <t>PROT</t>
        </is>
      </c>
      <c r="E132" s="2" t="inlineStr">
        <is>
          <t>Read</t>
        </is>
      </c>
      <c r="F132" s="2" t="inlineStr">
        <is>
          <t>null@null___NORMAL@ATUADO___RelayTrip_S_TS_SA</t>
        </is>
      </c>
      <c r="G132" s="2">
        <f>VLOOKUP(F132,'Message Mapping'!A:L,3,FALSE)</f>
        <v/>
      </c>
      <c r="H132" s="2">
        <f>VLOOKUP(F132,'Message Mapping'!A:L,4,FALSE)</f>
        <v/>
      </c>
      <c r="I132" s="2" t="n"/>
      <c r="J132" s="3">
        <f>VLOOKUP(F132,'Message Mapping'!A:L,12,FALSE)</f>
        <v/>
      </c>
      <c r="K132" s="3" t="n"/>
      <c r="L132" s="3" t="n"/>
      <c r="M132" s="3" t="n"/>
      <c r="N132" s="3" t="n"/>
      <c r="O132" s="3" t="n"/>
      <c r="P132" s="3" t="n"/>
    </row>
    <row r="133">
      <c r="A133" s="94" t="inlineStr">
        <is>
          <t>51FA</t>
        </is>
      </c>
      <c r="B133" s="2" t="inlineStr">
        <is>
          <t>51 - SOBRECORRENTE TEMPORIZADA FASE A</t>
        </is>
      </c>
      <c r="C133" s="2" t="inlineStr">
        <is>
          <t>RelayTrip</t>
        </is>
      </c>
      <c r="D133" s="2" t="inlineStr">
        <is>
          <t>PROT</t>
        </is>
      </c>
      <c r="E133" s="2" t="inlineStr">
        <is>
          <t>Read</t>
        </is>
      </c>
      <c r="F133" s="2" t="inlineStr">
        <is>
          <t>null@null___NORMAL@ATUADO___RelayTrip_S_TS_SA</t>
        </is>
      </c>
      <c r="G133" s="2">
        <f>VLOOKUP(F133,'Message Mapping'!A:L,3,FALSE)</f>
        <v/>
      </c>
      <c r="H133" s="2">
        <f>VLOOKUP(F133,'Message Mapping'!A:L,4,FALSE)</f>
        <v/>
      </c>
      <c r="I133" s="2" t="n"/>
      <c r="J133" s="3">
        <f>VLOOKUP(F133,'Message Mapping'!A:L,12,FALSE)</f>
        <v/>
      </c>
      <c r="K133" s="3" t="n"/>
      <c r="L133" s="3" t="n"/>
      <c r="M133" s="3" t="n"/>
      <c r="N133" s="3" t="n"/>
      <c r="O133" s="3" t="n"/>
      <c r="P133" s="3" t="n"/>
    </row>
    <row r="134">
      <c r="A134" s="94" t="inlineStr">
        <is>
          <t>51FB</t>
        </is>
      </c>
      <c r="B134" s="2" t="inlineStr">
        <is>
          <t>51 - SOBRECORRENTE TEMPORIZADA FASE B</t>
        </is>
      </c>
      <c r="C134" s="2" t="inlineStr">
        <is>
          <t>RelayTrip</t>
        </is>
      </c>
      <c r="D134" s="2" t="inlineStr">
        <is>
          <t>PROT</t>
        </is>
      </c>
      <c r="E134" s="2" t="inlineStr">
        <is>
          <t>Read</t>
        </is>
      </c>
      <c r="F134" s="2" t="inlineStr">
        <is>
          <t>null@null___NORMAL@ATUADO___RelayTrip_S_TS_SA</t>
        </is>
      </c>
      <c r="G134" s="2">
        <f>VLOOKUP(F134,'Message Mapping'!A:L,3,FALSE)</f>
        <v/>
      </c>
      <c r="H134" s="2">
        <f>VLOOKUP(F134,'Message Mapping'!A:L,4,FALSE)</f>
        <v/>
      </c>
      <c r="I134" s="2" t="n"/>
      <c r="J134" s="3">
        <f>VLOOKUP(F134,'Message Mapping'!A:L,12,FALSE)</f>
        <v/>
      </c>
      <c r="K134" s="3" t="n"/>
      <c r="L134" s="3" t="n"/>
      <c r="M134" s="3" t="n"/>
      <c r="N134" s="3" t="n"/>
      <c r="O134" s="3" t="n"/>
      <c r="P134" s="3" t="n"/>
    </row>
    <row r="135">
      <c r="A135" s="94" t="inlineStr">
        <is>
          <t>51FC</t>
        </is>
      </c>
      <c r="B135" s="2" t="inlineStr">
        <is>
          <t>51 - SOBRECORRENTE TEMPORIZADA FASE C</t>
        </is>
      </c>
      <c r="C135" s="2" t="inlineStr">
        <is>
          <t>RelayTrip</t>
        </is>
      </c>
      <c r="D135" s="2" t="inlineStr">
        <is>
          <t>PROT</t>
        </is>
      </c>
      <c r="E135" s="2" t="inlineStr">
        <is>
          <t>Read</t>
        </is>
      </c>
      <c r="F135" s="2" t="inlineStr">
        <is>
          <t>null@null___NORMAL@ATUADO___RelayTrip_S_TS_SA</t>
        </is>
      </c>
      <c r="G135" s="2">
        <f>VLOOKUP(F135,'Message Mapping'!A:L,3,FALSE)</f>
        <v/>
      </c>
      <c r="H135" s="2">
        <f>VLOOKUP(F135,'Message Mapping'!A:L,4,FALSE)</f>
        <v/>
      </c>
      <c r="I135" s="2" t="n"/>
      <c r="J135" s="3">
        <f>VLOOKUP(F135,'Message Mapping'!A:L,12,FALSE)</f>
        <v/>
      </c>
      <c r="K135" s="3" t="n"/>
      <c r="L135" s="3" t="n"/>
      <c r="M135" s="3" t="n"/>
      <c r="N135" s="3" t="n"/>
      <c r="O135" s="3" t="n"/>
      <c r="P135" s="3" t="n"/>
    </row>
    <row r="136">
      <c r="A136" s="94" t="inlineStr">
        <is>
          <t>51CA</t>
        </is>
      </c>
      <c r="B136" s="2" t="inlineStr">
        <is>
          <t>51 - SOBRECORRENTE TEMPORIZADA FASE C OU A</t>
        </is>
      </c>
      <c r="C136" s="2" t="inlineStr">
        <is>
          <t>RelayTrip</t>
        </is>
      </c>
      <c r="D136" s="2" t="inlineStr">
        <is>
          <t>PROT</t>
        </is>
      </c>
      <c r="E136" s="2" t="inlineStr">
        <is>
          <t>Read</t>
        </is>
      </c>
      <c r="F136" s="2" t="inlineStr">
        <is>
          <t>null@null___NORMAL@ATUADO___RelayTrip_S_TS_SA</t>
        </is>
      </c>
      <c r="G136" s="2">
        <f>VLOOKUP(F136,'Message Mapping'!A:L,3,FALSE)</f>
        <v/>
      </c>
      <c r="H136" s="2">
        <f>VLOOKUP(F136,'Message Mapping'!A:L,4,FALSE)</f>
        <v/>
      </c>
      <c r="I136" s="2" t="n"/>
      <c r="J136" s="3">
        <f>VLOOKUP(F136,'Message Mapping'!A:L,12,FALSE)</f>
        <v/>
      </c>
      <c r="K136" s="3" t="n"/>
      <c r="L136" s="3" t="n"/>
      <c r="M136" s="3" t="n"/>
      <c r="N136" s="3" t="n"/>
      <c r="O136" s="3" t="n"/>
      <c r="P136" s="3" t="n"/>
    </row>
    <row r="137">
      <c r="A137" s="94" t="inlineStr">
        <is>
          <t>51F1</t>
        </is>
      </c>
      <c r="B137" s="2" t="inlineStr">
        <is>
          <t>51 - SOBRECORRENTE TEMPORIZADA FASE E1</t>
        </is>
      </c>
      <c r="C137" s="2" t="inlineStr">
        <is>
          <t>RelayTrip</t>
        </is>
      </c>
      <c r="D137" s="2" t="inlineStr">
        <is>
          <t>PROT</t>
        </is>
      </c>
      <c r="E137" s="2" t="inlineStr">
        <is>
          <t>Read</t>
        </is>
      </c>
      <c r="F137" s="2" t="inlineStr">
        <is>
          <t>null@null___NORMAL@ATUADO___RelayTrip_S_TS_SA</t>
        </is>
      </c>
      <c r="G137" s="2">
        <f>VLOOKUP(F137,'Message Mapping'!A:L,3,FALSE)</f>
        <v/>
      </c>
      <c r="H137" s="2">
        <f>VLOOKUP(F137,'Message Mapping'!A:L,4,FALSE)</f>
        <v/>
      </c>
      <c r="I137" s="2" t="n"/>
      <c r="J137" s="3">
        <f>VLOOKUP(F137,'Message Mapping'!A:L,12,FALSE)</f>
        <v/>
      </c>
      <c r="K137" s="3" t="n"/>
      <c r="L137" s="3" t="n"/>
      <c r="M137" s="3" t="n"/>
      <c r="N137" s="3" t="n"/>
      <c r="O137" s="3" t="n"/>
      <c r="P137" s="3" t="n"/>
    </row>
    <row r="138">
      <c r="A138" s="94" t="inlineStr">
        <is>
          <t>51F2</t>
        </is>
      </c>
      <c r="B138" s="2" t="inlineStr">
        <is>
          <t>51 - SOBRECORRENTE TEMPORIZADA FASE E2</t>
        </is>
      </c>
      <c r="C138" s="2" t="inlineStr">
        <is>
          <t>RelayTrip</t>
        </is>
      </c>
      <c r="D138" s="2" t="inlineStr">
        <is>
          <t>PROT</t>
        </is>
      </c>
      <c r="E138" s="2" t="inlineStr">
        <is>
          <t>Read</t>
        </is>
      </c>
      <c r="F138" s="2" t="inlineStr">
        <is>
          <t>null@null___NORMAL@ATUADO___RelayTrip_S_TS_SA</t>
        </is>
      </c>
      <c r="G138" s="2">
        <f>VLOOKUP(F138,'Message Mapping'!A:L,3,FALSE)</f>
        <v/>
      </c>
      <c r="H138" s="2">
        <f>VLOOKUP(F138,'Message Mapping'!A:L,4,FALSE)</f>
        <v/>
      </c>
      <c r="I138" s="2" t="n"/>
      <c r="J138" s="3">
        <f>VLOOKUP(F138,'Message Mapping'!A:L,12,FALSE)</f>
        <v/>
      </c>
      <c r="K138" s="3" t="n"/>
      <c r="L138" s="3" t="n"/>
      <c r="M138" s="3" t="n"/>
      <c r="N138" s="3" t="n"/>
      <c r="O138" s="3" t="n"/>
      <c r="P138" s="3" t="n"/>
    </row>
    <row r="139">
      <c r="A139" s="94" t="inlineStr">
        <is>
          <t>51FN</t>
        </is>
      </c>
      <c r="B139" s="2" t="inlineStr">
        <is>
          <t>51 - SOBRECORRENTE TEMPORIZADA FASE NEUTRO</t>
        </is>
      </c>
      <c r="C139" s="2" t="inlineStr">
        <is>
          <t>RelayTrip</t>
        </is>
      </c>
      <c r="D139" s="2" t="inlineStr">
        <is>
          <t>PROT</t>
        </is>
      </c>
      <c r="E139" s="2" t="inlineStr">
        <is>
          <t>Read</t>
        </is>
      </c>
      <c r="F139" s="2" t="inlineStr">
        <is>
          <t>null@null___NORMAL@ATUADO___RelayTrip_S_TS_SA</t>
        </is>
      </c>
      <c r="G139" s="2">
        <f>VLOOKUP(F139,'Message Mapping'!A:L,3,FALSE)</f>
        <v/>
      </c>
      <c r="H139" s="2">
        <f>VLOOKUP(F139,'Message Mapping'!A:L,4,FALSE)</f>
        <v/>
      </c>
      <c r="I139" s="2" t="n"/>
      <c r="J139" s="3">
        <f>VLOOKUP(F139,'Message Mapping'!A:L,12,FALSE)</f>
        <v/>
      </c>
      <c r="K139" s="3" t="n"/>
      <c r="L139" s="3" t="n"/>
      <c r="M139" s="3" t="n"/>
      <c r="N139" s="3" t="n"/>
      <c r="O139" s="3" t="n"/>
      <c r="P139" s="3" t="n"/>
    </row>
    <row r="140">
      <c r="A140" s="94" t="inlineStr">
        <is>
          <t>51NL</t>
        </is>
      </c>
      <c r="B140" s="2" t="inlineStr">
        <is>
          <t>51 - SOBRECORRENTE TEMPORIZADA LOCAL</t>
        </is>
      </c>
      <c r="C140" s="2" t="inlineStr">
        <is>
          <t>RelayTrip</t>
        </is>
      </c>
      <c r="D140" s="2" t="inlineStr">
        <is>
          <t>PROT</t>
        </is>
      </c>
      <c r="E140" s="2" t="inlineStr">
        <is>
          <t>Read</t>
        </is>
      </c>
      <c r="F140" s="2" t="inlineStr">
        <is>
          <t>null@null___NORMAL@ATUADO___RelayTrip_S_TS_SA</t>
        </is>
      </c>
      <c r="G140" s="2">
        <f>VLOOKUP(F140,'Message Mapping'!A:L,3,FALSE)</f>
        <v/>
      </c>
      <c r="H140" s="2">
        <f>VLOOKUP(F140,'Message Mapping'!A:L,4,FALSE)</f>
        <v/>
      </c>
      <c r="I140" s="2" t="n"/>
      <c r="J140" s="3">
        <f>VLOOKUP(F140,'Message Mapping'!A:L,12,FALSE)</f>
        <v/>
      </c>
      <c r="K140" s="3" t="n"/>
      <c r="L140" s="3" t="n"/>
      <c r="M140" s="3" t="n"/>
      <c r="N140" s="3" t="n"/>
      <c r="O140" s="3" t="n"/>
      <c r="P140" s="3" t="n"/>
    </row>
    <row r="141">
      <c r="A141" s="94" t="inlineStr">
        <is>
          <t>51N1</t>
        </is>
      </c>
      <c r="B141" s="2" t="inlineStr">
        <is>
          <t>51 - SOBRECORRENTE TEMPORIZADA NEUTRO E1</t>
        </is>
      </c>
      <c r="C141" s="2" t="inlineStr">
        <is>
          <t>RelayTrip</t>
        </is>
      </c>
      <c r="D141" s="2" t="inlineStr">
        <is>
          <t>PROT</t>
        </is>
      </c>
      <c r="E141" s="2" t="inlineStr">
        <is>
          <t>Read</t>
        </is>
      </c>
      <c r="F141" s="2" t="inlineStr">
        <is>
          <t>null@null___NORMAL@ATUADO___RelayTrip_S_TS_SA</t>
        </is>
      </c>
      <c r="G141" s="2">
        <f>VLOOKUP(F141,'Message Mapping'!A:L,3,FALSE)</f>
        <v/>
      </c>
      <c r="H141" s="2">
        <f>VLOOKUP(F141,'Message Mapping'!A:L,4,FALSE)</f>
        <v/>
      </c>
      <c r="I141" s="2" t="n"/>
      <c r="J141" s="3">
        <f>VLOOKUP(F141,'Message Mapping'!A:L,12,FALSE)</f>
        <v/>
      </c>
      <c r="K141" s="3" t="n"/>
      <c r="L141" s="3" t="n"/>
      <c r="M141" s="3" t="n"/>
      <c r="N141" s="3" t="n"/>
      <c r="O141" s="3" t="n"/>
      <c r="P141" s="3" t="n"/>
    </row>
    <row r="142">
      <c r="A142" s="94" t="inlineStr">
        <is>
          <t>51N2</t>
        </is>
      </c>
      <c r="B142" s="2" t="inlineStr">
        <is>
          <t>51 - SOBRECORRENTE TEMPORIZADA NEUTRO E2</t>
        </is>
      </c>
      <c r="C142" s="2" t="inlineStr">
        <is>
          <t>RelayTrip</t>
        </is>
      </c>
      <c r="D142" s="2" t="inlineStr">
        <is>
          <t>PROT</t>
        </is>
      </c>
      <c r="E142" s="2" t="inlineStr">
        <is>
          <t>Read</t>
        </is>
      </c>
      <c r="F142" s="2" t="inlineStr">
        <is>
          <t>null@null___NORMAL@ATUADO___RelayTrip_S_TS_SA</t>
        </is>
      </c>
      <c r="G142" s="2">
        <f>VLOOKUP(F142,'Message Mapping'!A:L,3,FALSE)</f>
        <v/>
      </c>
      <c r="H142" s="2">
        <f>VLOOKUP(F142,'Message Mapping'!A:L,4,FALSE)</f>
        <v/>
      </c>
      <c r="I142" s="2" t="n"/>
      <c r="J142" s="3">
        <f>VLOOKUP(F142,'Message Mapping'!A:L,12,FALSE)</f>
        <v/>
      </c>
      <c r="K142" s="3" t="n"/>
      <c r="L142" s="3" t="n"/>
      <c r="M142" s="3" t="n"/>
      <c r="N142" s="3" t="n"/>
      <c r="O142" s="3" t="n"/>
      <c r="P142" s="3" t="n"/>
    </row>
    <row r="143">
      <c r="A143" s="94" t="inlineStr">
        <is>
          <t>51V</t>
        </is>
      </c>
      <c r="B143" s="2" t="inlineStr">
        <is>
          <t>51 - SOBRECORRENTE TEMPORIZADA POR TENSAO</t>
        </is>
      </c>
      <c r="C143" s="2" t="inlineStr">
        <is>
          <t>RelayTrip</t>
        </is>
      </c>
      <c r="D143" s="2" t="inlineStr">
        <is>
          <t>PROT</t>
        </is>
      </c>
      <c r="E143" s="2" t="inlineStr">
        <is>
          <t>Read</t>
        </is>
      </c>
      <c r="F143" s="2" t="inlineStr">
        <is>
          <t>null@null___NORMAL@ATUADO___RelayTrip_S_TS_SA</t>
        </is>
      </c>
      <c r="G143" s="2">
        <f>VLOOKUP(F143,'Message Mapping'!A:L,3,FALSE)</f>
        <v/>
      </c>
      <c r="H143" s="2">
        <f>VLOOKUP(F143,'Message Mapping'!A:L,4,FALSE)</f>
        <v/>
      </c>
      <c r="I143" s="2" t="n"/>
      <c r="J143" s="3">
        <f>VLOOKUP(F143,'Message Mapping'!A:L,12,FALSE)</f>
        <v/>
      </c>
      <c r="K143" s="3" t="n"/>
      <c r="L143" s="3" t="n"/>
      <c r="M143" s="3" t="n"/>
      <c r="N143" s="3" t="n"/>
      <c r="O143" s="3" t="n"/>
      <c r="P143" s="3" t="n"/>
    </row>
    <row r="144">
      <c r="A144" s="94" t="inlineStr">
        <is>
          <t>5161</t>
        </is>
      </c>
      <c r="B144" s="2" t="inlineStr">
        <is>
          <t>51 61 - FASE NEUTRO</t>
        </is>
      </c>
      <c r="C144" s="2" t="inlineStr">
        <is>
          <t>RelayTrip</t>
        </is>
      </c>
      <c r="D144" s="2" t="inlineStr">
        <is>
          <t>PROT</t>
        </is>
      </c>
      <c r="E144" s="2" t="inlineStr">
        <is>
          <t>Read</t>
        </is>
      </c>
      <c r="F144" s="2" t="inlineStr">
        <is>
          <t>null@null___NORMAL@ATUADO___RelayTrip_S_TS_SA</t>
        </is>
      </c>
      <c r="G144" s="2">
        <f>VLOOKUP(F144,'Message Mapping'!A:L,3,FALSE)</f>
        <v/>
      </c>
      <c r="H144" s="2">
        <f>VLOOKUP(F144,'Message Mapping'!A:L,4,FALSE)</f>
        <v/>
      </c>
      <c r="I144" s="2" t="n"/>
      <c r="J144" s="3">
        <f>VLOOKUP(F144,'Message Mapping'!A:L,12,FALSE)</f>
        <v/>
      </c>
      <c r="K144" s="3" t="n"/>
      <c r="L144" s="3" t="n"/>
      <c r="M144" s="3" t="n"/>
      <c r="N144" s="3" t="n"/>
      <c r="O144" s="3" t="n"/>
      <c r="P144" s="3" t="n"/>
    </row>
    <row r="145">
      <c r="A145" s="95" t="inlineStr">
        <is>
          <t>59</t>
        </is>
      </c>
      <c r="B145" s="2" t="inlineStr">
        <is>
          <t>59 - FUNCAO SOBRETENSAO</t>
        </is>
      </c>
      <c r="C145" s="2" t="inlineStr">
        <is>
          <t>Enabled</t>
        </is>
      </c>
      <c r="D145" s="2" t="inlineStr">
        <is>
          <t>FUNCÕES/43/PARALELISMO</t>
        </is>
      </c>
      <c r="E145" s="2" t="inlineStr">
        <is>
          <t>ReadWrite</t>
        </is>
      </c>
      <c r="F145" s="2" t="inlineStr">
        <is>
          <t>INCLUIR@EXCLUIR___INCLUIDO@EXCLUIDO___Enabled_S_TC_SS</t>
        </is>
      </c>
      <c r="G145" s="2">
        <f>VLOOKUP(F145,'Message Mapping'!A:L,3,FALSE)</f>
        <v/>
      </c>
      <c r="H145" s="2">
        <f>VLOOKUP(F145,'Message Mapping'!A:L,4,FALSE)</f>
        <v/>
      </c>
      <c r="I145" s="2" t="n"/>
      <c r="J145" s="3">
        <f>VLOOKUP(F145,'Message Mapping'!A:L,12,FALSE)</f>
        <v/>
      </c>
      <c r="K145" s="3" t="n"/>
      <c r="L145" s="3" t="n"/>
      <c r="M145" s="3" t="n"/>
      <c r="N145" s="3" t="n"/>
      <c r="O145" s="3" t="n"/>
      <c r="P145" s="3" t="n"/>
    </row>
    <row r="146">
      <c r="A146" s="95" t="inlineStr">
        <is>
          <t>59</t>
        </is>
      </c>
      <c r="B146" s="2" t="inlineStr">
        <is>
          <t>59 - FUNCAO SOBRETENSAO</t>
        </is>
      </c>
      <c r="C146" s="2" t="inlineStr">
        <is>
          <t>Enabled</t>
        </is>
      </c>
      <c r="D146" s="2" t="inlineStr">
        <is>
          <t>FUNCÕES/43/PARALELISMO</t>
        </is>
      </c>
      <c r="E146" s="2" t="inlineStr">
        <is>
          <t>Read</t>
        </is>
      </c>
      <c r="F146" s="2" t="inlineStr">
        <is>
          <t>null@null___INCLUIDO@EXCLUIDO___Enabled_S_TS_SS</t>
        </is>
      </c>
      <c r="G146" s="2">
        <f>VLOOKUP(F146,'Message Mapping'!A:L,3,FALSE)</f>
        <v/>
      </c>
      <c r="H146" s="2">
        <f>VLOOKUP(F146,'Message Mapping'!A:L,4,FALSE)</f>
        <v/>
      </c>
      <c r="I146" s="2" t="n"/>
      <c r="J146" s="3">
        <f>VLOOKUP(F146,'Message Mapping'!A:L,12,FALSE)</f>
        <v/>
      </c>
      <c r="K146" s="3" t="n"/>
      <c r="L146" s="3" t="n"/>
      <c r="M146" s="3" t="n"/>
      <c r="N146" s="3" t="n"/>
      <c r="O146" s="3" t="n"/>
      <c r="P146" s="3" t="n"/>
    </row>
    <row r="147">
      <c r="A147" s="94" t="inlineStr">
        <is>
          <t>59A</t>
        </is>
      </c>
      <c r="B147" s="2" t="inlineStr">
        <is>
          <t>59 - ALARME SOBRETENSAO</t>
        </is>
      </c>
      <c r="C147" s="2" t="inlineStr">
        <is>
          <t>Custom</t>
        </is>
      </c>
      <c r="D147" s="2" t="inlineStr">
        <is>
          <t>PROT</t>
        </is>
      </c>
      <c r="E147" s="2" t="inlineStr">
        <is>
          <t>Read</t>
        </is>
      </c>
      <c r="F147" s="2" t="inlineStr">
        <is>
          <t>null@null___NORMAL@ATUADO___Custom_S_TS_SA</t>
        </is>
      </c>
      <c r="G147" s="2">
        <f>VLOOKUP(F147,'Message Mapping'!A:L,3,FALSE)</f>
        <v/>
      </c>
      <c r="H147" s="2">
        <f>VLOOKUP(F147,'Message Mapping'!A:L,4,FALSE)</f>
        <v/>
      </c>
      <c r="I147" s="2" t="n"/>
      <c r="J147" s="3">
        <f>VLOOKUP(F147,'Message Mapping'!A:L,12,FALSE)</f>
        <v/>
      </c>
      <c r="K147" s="3" t="n"/>
      <c r="L147" s="3" t="n"/>
      <c r="M147" s="3" t="n"/>
      <c r="N147" s="3" t="n"/>
      <c r="O147" s="3" t="n"/>
      <c r="P147" s="3" t="n"/>
    </row>
    <row r="148">
      <c r="A148" s="94" t="inlineStr">
        <is>
          <t>59CD</t>
        </is>
      </c>
      <c r="B148" s="2" t="inlineStr">
        <is>
          <t>59 - BLOQUEIO CDC SOBRETENSAO</t>
        </is>
      </c>
      <c r="C148" s="2" t="inlineStr">
        <is>
          <t>Custom</t>
        </is>
      </c>
      <c r="D148" s="2" t="inlineStr">
        <is>
          <t>PROT</t>
        </is>
      </c>
      <c r="E148" s="2" t="inlineStr">
        <is>
          <t>Read</t>
        </is>
      </c>
      <c r="F148" s="2" t="inlineStr">
        <is>
          <t>null@null___NORMAL@ATUADO___Custom_S_TS_SA</t>
        </is>
      </c>
      <c r="G148" s="2">
        <f>VLOOKUP(F148,'Message Mapping'!A:L,3,FALSE)</f>
        <v/>
      </c>
      <c r="H148" s="2">
        <f>VLOOKUP(F148,'Message Mapping'!A:L,4,FALSE)</f>
        <v/>
      </c>
      <c r="I148" s="2" t="n"/>
      <c r="J148" s="3">
        <f>VLOOKUP(F148,'Message Mapping'!A:L,12,FALSE)</f>
        <v/>
      </c>
      <c r="K148" s="3" t="n"/>
      <c r="L148" s="3" t="n"/>
      <c r="M148" s="3" t="n"/>
      <c r="N148" s="3" t="n"/>
      <c r="O148" s="3" t="n"/>
      <c r="P148" s="3" t="n"/>
    </row>
    <row r="149">
      <c r="A149" s="94" t="inlineStr">
        <is>
          <t>59E1</t>
        </is>
      </c>
      <c r="B149" s="2" t="inlineStr">
        <is>
          <t>59 - SOBRETENSAO E1</t>
        </is>
      </c>
      <c r="C149" s="2" t="inlineStr">
        <is>
          <t>RelayTrip</t>
        </is>
      </c>
      <c r="D149" s="2" t="inlineStr">
        <is>
          <t>PROT</t>
        </is>
      </c>
      <c r="E149" s="2" t="inlineStr">
        <is>
          <t>Read</t>
        </is>
      </c>
      <c r="F149" s="2" t="inlineStr">
        <is>
          <t>null@null___NORMAL@ATUADO___RelayTrip_S_TS_SA</t>
        </is>
      </c>
      <c r="G149" s="2">
        <f>VLOOKUP(F149,'Message Mapping'!A:L,3,FALSE)</f>
        <v/>
      </c>
      <c r="H149" s="2">
        <f>VLOOKUP(F149,'Message Mapping'!A:L,4,FALSE)</f>
        <v/>
      </c>
      <c r="I149" s="2" t="n"/>
      <c r="J149" s="3">
        <f>VLOOKUP(F149,'Message Mapping'!A:L,12,FALSE)</f>
        <v/>
      </c>
      <c r="K149" s="3" t="n"/>
      <c r="L149" s="3" t="n"/>
      <c r="M149" s="3" t="n"/>
      <c r="N149" s="3" t="n"/>
      <c r="O149" s="3" t="n"/>
      <c r="P149" s="3" t="n"/>
    </row>
    <row r="150">
      <c r="A150" s="94" t="inlineStr">
        <is>
          <t>59E2</t>
        </is>
      </c>
      <c r="B150" s="2" t="inlineStr">
        <is>
          <t>59 - SOBRETENSAO E2</t>
        </is>
      </c>
      <c r="C150" s="2" t="inlineStr">
        <is>
          <t>RelayTrip</t>
        </is>
      </c>
      <c r="D150" s="2" t="inlineStr">
        <is>
          <t>PROT</t>
        </is>
      </c>
      <c r="E150" s="2" t="inlineStr">
        <is>
          <t>Read</t>
        </is>
      </c>
      <c r="F150" s="2" t="inlineStr">
        <is>
          <t>null@null___NORMAL@ATUADO___RelayTrip_S_TS_SA</t>
        </is>
      </c>
      <c r="G150" s="2">
        <f>VLOOKUP(F150,'Message Mapping'!A:L,3,FALSE)</f>
        <v/>
      </c>
      <c r="H150" s="2">
        <f>VLOOKUP(F150,'Message Mapping'!A:L,4,FALSE)</f>
        <v/>
      </c>
      <c r="I150" s="2" t="n"/>
      <c r="J150" s="3">
        <f>VLOOKUP(F150,'Message Mapping'!A:L,12,FALSE)</f>
        <v/>
      </c>
      <c r="K150" s="3" t="n"/>
      <c r="L150" s="3" t="n"/>
      <c r="M150" s="3" t="n"/>
      <c r="N150" s="3" t="n"/>
      <c r="O150" s="3" t="n"/>
      <c r="P150" s="3" t="n"/>
    </row>
    <row r="151">
      <c r="A151" s="94" t="inlineStr">
        <is>
          <t>59E3</t>
        </is>
      </c>
      <c r="B151" s="2" t="inlineStr">
        <is>
          <t>59 - SOBRETENSAO E3</t>
        </is>
      </c>
      <c r="C151" s="2" t="inlineStr">
        <is>
          <t>RelayTrip</t>
        </is>
      </c>
      <c r="D151" s="2" t="inlineStr">
        <is>
          <t>PROT</t>
        </is>
      </c>
      <c r="E151" s="2" t="inlineStr">
        <is>
          <t>Read</t>
        </is>
      </c>
      <c r="F151" s="2" t="inlineStr">
        <is>
          <t>null@null___NORMAL@ATUADO___RelayTrip_S_TS_SA</t>
        </is>
      </c>
      <c r="G151" s="2">
        <f>VLOOKUP(F151,'Message Mapping'!A:L,3,FALSE)</f>
        <v/>
      </c>
      <c r="H151" s="2">
        <f>VLOOKUP(F151,'Message Mapping'!A:L,4,FALSE)</f>
        <v/>
      </c>
      <c r="I151" s="2" t="n"/>
      <c r="J151" s="3">
        <f>VLOOKUP(F151,'Message Mapping'!A:L,12,FALSE)</f>
        <v/>
      </c>
      <c r="K151" s="3" t="n"/>
      <c r="L151" s="3" t="n"/>
      <c r="M151" s="3" t="n"/>
      <c r="N151" s="3" t="n"/>
      <c r="O151" s="3" t="n"/>
      <c r="P151" s="3" t="n"/>
    </row>
    <row r="152">
      <c r="A152" s="94" t="inlineStr">
        <is>
          <t>59E4</t>
        </is>
      </c>
      <c r="B152" s="2" t="inlineStr">
        <is>
          <t>59 - SOBRETENSAO E4</t>
        </is>
      </c>
      <c r="C152" s="2" t="inlineStr">
        <is>
          <t>RelayTrip</t>
        </is>
      </c>
      <c r="D152" s="2" t="inlineStr">
        <is>
          <t>PROT</t>
        </is>
      </c>
      <c r="E152" s="2" t="inlineStr">
        <is>
          <t>Read</t>
        </is>
      </c>
      <c r="F152" s="2" t="inlineStr">
        <is>
          <t>null@null___NORMAL@ATUADO___RelayTrip_S_TS_SA</t>
        </is>
      </c>
      <c r="G152" s="2">
        <f>VLOOKUP(F152,'Message Mapping'!A:L,3,FALSE)</f>
        <v/>
      </c>
      <c r="H152" s="2">
        <f>VLOOKUP(F152,'Message Mapping'!A:L,4,FALSE)</f>
        <v/>
      </c>
      <c r="I152" s="2" t="n"/>
      <c r="J152" s="3">
        <f>VLOOKUP(F152,'Message Mapping'!A:L,12,FALSE)</f>
        <v/>
      </c>
      <c r="K152" s="3" t="n"/>
      <c r="L152" s="3" t="n"/>
      <c r="M152" s="3" t="n"/>
      <c r="N152" s="3" t="n"/>
      <c r="O152" s="3" t="n"/>
      <c r="P152" s="3" t="n"/>
    </row>
    <row r="153">
      <c r="A153" s="94" t="inlineStr">
        <is>
          <t>59E5</t>
        </is>
      </c>
      <c r="B153" s="2" t="inlineStr">
        <is>
          <t>59 - SOBRETENSAO E5</t>
        </is>
      </c>
      <c r="C153" s="2" t="inlineStr">
        <is>
          <t>RelayTrip</t>
        </is>
      </c>
      <c r="D153" s="2" t="inlineStr">
        <is>
          <t>PROT</t>
        </is>
      </c>
      <c r="E153" s="2" t="inlineStr">
        <is>
          <t>Read</t>
        </is>
      </c>
      <c r="F153" s="2" t="inlineStr">
        <is>
          <t>null@null___NORMAL@ATUADO___RelayTrip_S_TS_SA</t>
        </is>
      </c>
      <c r="G153" s="2">
        <f>VLOOKUP(F153,'Message Mapping'!A:L,3,FALSE)</f>
        <v/>
      </c>
      <c r="H153" s="2">
        <f>VLOOKUP(F153,'Message Mapping'!A:L,4,FALSE)</f>
        <v/>
      </c>
      <c r="I153" s="2" t="n"/>
      <c r="J153" s="3">
        <f>VLOOKUP(F153,'Message Mapping'!A:L,12,FALSE)</f>
        <v/>
      </c>
      <c r="K153" s="3" t="n"/>
      <c r="L153" s="3" t="n"/>
      <c r="M153" s="3" t="n"/>
      <c r="N153" s="3" t="n"/>
      <c r="O153" s="3" t="n"/>
      <c r="P153" s="3" t="n"/>
    </row>
    <row r="154">
      <c r="A154" s="94" t="inlineStr">
        <is>
          <t>59I</t>
        </is>
      </c>
      <c r="B154" s="2" t="inlineStr">
        <is>
          <t>59 - SOBRETENSAO INSTANTANEA</t>
        </is>
      </c>
      <c r="C154" s="2" t="inlineStr">
        <is>
          <t>RelayTrip</t>
        </is>
      </c>
      <c r="D154" s="2" t="inlineStr">
        <is>
          <t>PROT</t>
        </is>
      </c>
      <c r="E154" s="2" t="inlineStr">
        <is>
          <t>Read</t>
        </is>
      </c>
      <c r="F154" s="2" t="inlineStr">
        <is>
          <t>null@null___NORMAL@ATUADO___RelayTrip_S_TS_SA</t>
        </is>
      </c>
      <c r="G154" s="2">
        <f>VLOOKUP(F154,'Message Mapping'!A:L,3,FALSE)</f>
        <v/>
      </c>
      <c r="H154" s="2">
        <f>VLOOKUP(F154,'Message Mapping'!A:L,4,FALSE)</f>
        <v/>
      </c>
      <c r="I154" s="2" t="n"/>
      <c r="J154" s="3">
        <f>VLOOKUP(F154,'Message Mapping'!A:L,12,FALSE)</f>
        <v/>
      </c>
      <c r="K154" s="3" t="n"/>
      <c r="L154" s="3" t="n"/>
      <c r="M154" s="3" t="n"/>
      <c r="N154" s="3" t="n"/>
      <c r="O154" s="3" t="n"/>
      <c r="P154" s="3" t="n"/>
    </row>
    <row r="155">
      <c r="A155" s="94" t="inlineStr">
        <is>
          <t>59N</t>
        </is>
      </c>
      <c r="B155" s="2" t="inlineStr">
        <is>
          <t>59 - SOBRETENSAO NEUTRO</t>
        </is>
      </c>
      <c r="C155" s="2" t="inlineStr">
        <is>
          <t>RelayTrip</t>
        </is>
      </c>
      <c r="D155" s="2" t="inlineStr">
        <is>
          <t>PROT</t>
        </is>
      </c>
      <c r="E155" s="2" t="inlineStr">
        <is>
          <t>Read</t>
        </is>
      </c>
      <c r="F155" s="2" t="inlineStr">
        <is>
          <t>null@null___NORMAL@ATUADO___RelayTrip_S_TS_SA</t>
        </is>
      </c>
      <c r="G155" s="2">
        <f>VLOOKUP(F155,'Message Mapping'!A:L,3,FALSE)</f>
        <v/>
      </c>
      <c r="H155" s="2">
        <f>VLOOKUP(F155,'Message Mapping'!A:L,4,FALSE)</f>
        <v/>
      </c>
      <c r="I155" s="2" t="n"/>
      <c r="J155" s="3">
        <f>VLOOKUP(F155,'Message Mapping'!A:L,12,FALSE)</f>
        <v/>
      </c>
      <c r="K155" s="3" t="n"/>
      <c r="L155" s="3" t="n"/>
      <c r="M155" s="3" t="n"/>
      <c r="N155" s="3" t="n"/>
      <c r="O155" s="3" t="n"/>
      <c r="P155" s="3" t="n"/>
    </row>
    <row r="156">
      <c r="A156" s="94" t="inlineStr">
        <is>
          <t>59_T</t>
        </is>
      </c>
      <c r="B156" s="2" t="inlineStr">
        <is>
          <t>59 - TRIP SOBRETENSAO</t>
        </is>
      </c>
      <c r="C156" s="2" t="inlineStr">
        <is>
          <t>RelayTrip</t>
        </is>
      </c>
      <c r="D156" s="2" t="inlineStr">
        <is>
          <t>PROT</t>
        </is>
      </c>
      <c r="E156" s="2" t="inlineStr">
        <is>
          <t>Read</t>
        </is>
      </c>
      <c r="F156" s="2" t="inlineStr">
        <is>
          <t>null@null___NORMAL@ATUADO___RelayTrip_S_TS_SA</t>
        </is>
      </c>
      <c r="G156" s="2">
        <f>VLOOKUP(F156,'Message Mapping'!A:L,3,FALSE)</f>
        <v/>
      </c>
      <c r="H156" s="2">
        <f>VLOOKUP(F156,'Message Mapping'!A:L,4,FALSE)</f>
        <v/>
      </c>
      <c r="I156" s="2" t="n"/>
      <c r="J156" s="3">
        <f>VLOOKUP(F156,'Message Mapping'!A:L,12,FALSE)</f>
        <v/>
      </c>
      <c r="K156" s="3" t="n"/>
      <c r="L156" s="3" t="n"/>
      <c r="M156" s="3" t="n"/>
      <c r="N156" s="3" t="n"/>
      <c r="O156" s="3" t="n"/>
      <c r="P156" s="3" t="n"/>
    </row>
    <row r="157">
      <c r="A157" s="94" t="inlineStr">
        <is>
          <t>61</t>
        </is>
      </c>
      <c r="B157" s="2" t="inlineStr">
        <is>
          <t>61 - DESEQUILIBRIO</t>
        </is>
      </c>
      <c r="C157" s="2" t="inlineStr">
        <is>
          <t>RelayTrip</t>
        </is>
      </c>
      <c r="D157" s="2" t="inlineStr">
        <is>
          <t>PROT</t>
        </is>
      </c>
      <c r="E157" s="2" t="inlineStr">
        <is>
          <t>Read</t>
        </is>
      </c>
      <c r="F157" s="2" t="inlineStr">
        <is>
          <t>null@null___NORMAL@ATUADO___RelayTrip_S_TS_SA</t>
        </is>
      </c>
      <c r="G157" s="2">
        <f>VLOOKUP(F157,'Message Mapping'!A:L,3,FALSE)</f>
        <v/>
      </c>
      <c r="H157" s="2">
        <f>VLOOKUP(F157,'Message Mapping'!A:L,4,FALSE)</f>
        <v/>
      </c>
      <c r="I157" s="2" t="n"/>
      <c r="J157" s="3">
        <f>VLOOKUP(F157,'Message Mapping'!A:L,12,FALSE)</f>
        <v/>
      </c>
      <c r="K157" s="3" t="n"/>
      <c r="L157" s="3" t="n"/>
      <c r="M157" s="3" t="n"/>
      <c r="N157" s="3" t="n"/>
      <c r="O157" s="3" t="n"/>
      <c r="P157" s="3" t="n"/>
    </row>
    <row r="158">
      <c r="A158" s="94" t="inlineStr">
        <is>
          <t>61_1</t>
        </is>
      </c>
      <c r="B158" s="2" t="inlineStr">
        <is>
          <t>61 - DESEQUILIBRIO E1</t>
        </is>
      </c>
      <c r="C158" s="2" t="inlineStr">
        <is>
          <t>RelayTrip</t>
        </is>
      </c>
      <c r="D158" s="2" t="inlineStr">
        <is>
          <t>PROT</t>
        </is>
      </c>
      <c r="E158" s="2" t="inlineStr">
        <is>
          <t>Read</t>
        </is>
      </c>
      <c r="F158" s="2" t="inlineStr">
        <is>
          <t>null@null___NORMAL@ATUADO___RelayTrip_S_TS_SA</t>
        </is>
      </c>
      <c r="G158" s="2">
        <f>VLOOKUP(F158,'Message Mapping'!A:L,3,FALSE)</f>
        <v/>
      </c>
      <c r="H158" s="2">
        <f>VLOOKUP(F158,'Message Mapping'!A:L,4,FALSE)</f>
        <v/>
      </c>
      <c r="I158" s="2" t="n"/>
      <c r="J158" s="3">
        <f>VLOOKUP(F158,'Message Mapping'!A:L,12,FALSE)</f>
        <v/>
      </c>
      <c r="K158" s="3" t="n"/>
      <c r="L158" s="3" t="n"/>
      <c r="M158" s="3" t="n"/>
      <c r="N158" s="3" t="n"/>
      <c r="O158" s="3" t="n"/>
      <c r="P158" s="3" t="n"/>
    </row>
    <row r="159">
      <c r="A159" s="94" t="inlineStr">
        <is>
          <t>61_2</t>
        </is>
      </c>
      <c r="B159" s="2" t="inlineStr">
        <is>
          <t>61 - DESEQUILIBRIO E2</t>
        </is>
      </c>
      <c r="C159" s="2" t="inlineStr">
        <is>
          <t>RelayTrip</t>
        </is>
      </c>
      <c r="D159" s="2" t="inlineStr">
        <is>
          <t>PROT</t>
        </is>
      </c>
      <c r="E159" s="2" t="inlineStr">
        <is>
          <t>Read</t>
        </is>
      </c>
      <c r="F159" s="2" t="inlineStr">
        <is>
          <t>null@null___NORMAL@ATUADO___RelayTrip_S_TS_SA</t>
        </is>
      </c>
      <c r="G159" s="2">
        <f>VLOOKUP(F159,'Message Mapping'!A:L,3,FALSE)</f>
        <v/>
      </c>
      <c r="H159" s="2">
        <f>VLOOKUP(F159,'Message Mapping'!A:L,4,FALSE)</f>
        <v/>
      </c>
      <c r="I159" s="2" t="n"/>
      <c r="J159" s="3">
        <f>VLOOKUP(F159,'Message Mapping'!A:L,12,FALSE)</f>
        <v/>
      </c>
      <c r="K159" s="3" t="n"/>
      <c r="L159" s="3" t="n"/>
      <c r="M159" s="3" t="n"/>
      <c r="N159" s="3" t="n"/>
      <c r="O159" s="3" t="n"/>
      <c r="P159" s="3" t="n"/>
    </row>
    <row r="160">
      <c r="A160" s="94" t="inlineStr">
        <is>
          <t>61I</t>
        </is>
      </c>
      <c r="B160" s="2" t="inlineStr">
        <is>
          <t>61 - DESEQUILIBRIO INSTANTANEO</t>
        </is>
      </c>
      <c r="C160" s="2" t="inlineStr">
        <is>
          <t>RelayTrip</t>
        </is>
      </c>
      <c r="D160" s="2" t="inlineStr">
        <is>
          <t>PROT</t>
        </is>
      </c>
      <c r="E160" s="2" t="inlineStr">
        <is>
          <t>Read</t>
        </is>
      </c>
      <c r="F160" s="2" t="inlineStr">
        <is>
          <t>null@null___NORMAL@ATUADO___RelayTrip_S_TS_SA</t>
        </is>
      </c>
      <c r="G160" s="2">
        <f>VLOOKUP(F160,'Message Mapping'!A:L,3,FALSE)</f>
        <v/>
      </c>
      <c r="H160" s="2">
        <f>VLOOKUP(F160,'Message Mapping'!A:L,4,FALSE)</f>
        <v/>
      </c>
      <c r="I160" s="2" t="n"/>
      <c r="J160" s="3">
        <f>VLOOKUP(F160,'Message Mapping'!A:L,12,FALSE)</f>
        <v/>
      </c>
      <c r="K160" s="3" t="n"/>
      <c r="L160" s="3" t="n"/>
      <c r="M160" s="3" t="n"/>
      <c r="N160" s="3" t="n"/>
      <c r="O160" s="3" t="n"/>
      <c r="P160" s="3" t="n"/>
    </row>
    <row r="161">
      <c r="A161" s="94" t="inlineStr">
        <is>
          <t>61N</t>
        </is>
      </c>
      <c r="B161" s="2" t="inlineStr">
        <is>
          <t>61 - DESEQUILIBRIO NEUTRO</t>
        </is>
      </c>
      <c r="C161" s="2" t="inlineStr">
        <is>
          <t>RelayTrip</t>
        </is>
      </c>
      <c r="D161" s="2" t="inlineStr">
        <is>
          <t>PROT</t>
        </is>
      </c>
      <c r="E161" s="2" t="inlineStr">
        <is>
          <t>Read</t>
        </is>
      </c>
      <c r="F161" s="2" t="inlineStr">
        <is>
          <t>null@null___NORMAL@ATUADO___RelayTrip_S_TS_SA</t>
        </is>
      </c>
      <c r="G161" s="2">
        <f>VLOOKUP(F161,'Message Mapping'!A:L,3,FALSE)</f>
        <v/>
      </c>
      <c r="H161" s="2">
        <f>VLOOKUP(F161,'Message Mapping'!A:L,4,FALSE)</f>
        <v/>
      </c>
      <c r="I161" s="2" t="n"/>
      <c r="J161" s="3">
        <f>VLOOKUP(F161,'Message Mapping'!A:L,12,FALSE)</f>
        <v/>
      </c>
      <c r="K161" s="3" t="n"/>
      <c r="L161" s="3" t="n"/>
      <c r="M161" s="3" t="n"/>
      <c r="N161" s="3" t="n"/>
      <c r="O161" s="3" t="n"/>
      <c r="P161" s="3" t="n"/>
    </row>
    <row r="162">
      <c r="A162" s="94" t="inlineStr">
        <is>
          <t>61T</t>
        </is>
      </c>
      <c r="B162" s="2" t="inlineStr">
        <is>
          <t>61 - DESEQUILIBRIO TEMPORIZADO</t>
        </is>
      </c>
      <c r="C162" s="2" t="inlineStr">
        <is>
          <t>RelayTrip</t>
        </is>
      </c>
      <c r="D162" s="2" t="inlineStr">
        <is>
          <t>PROT</t>
        </is>
      </c>
      <c r="E162" s="2" t="inlineStr">
        <is>
          <t>Read</t>
        </is>
      </c>
      <c r="F162" s="2" t="inlineStr">
        <is>
          <t>null@null___NORMAL@ATUADO___RelayTrip_S_TS_SA</t>
        </is>
      </c>
      <c r="G162" s="2">
        <f>VLOOKUP(F162,'Message Mapping'!A:L,3,FALSE)</f>
        <v/>
      </c>
      <c r="H162" s="2">
        <f>VLOOKUP(F162,'Message Mapping'!A:L,4,FALSE)</f>
        <v/>
      </c>
      <c r="I162" s="2" t="n"/>
      <c r="J162" s="3">
        <f>VLOOKUP(F162,'Message Mapping'!A:L,12,FALSE)</f>
        <v/>
      </c>
      <c r="K162" s="3" t="n"/>
      <c r="L162" s="3" t="n"/>
      <c r="M162" s="3" t="n"/>
      <c r="N162" s="3" t="n"/>
      <c r="O162" s="3" t="n"/>
      <c r="P162" s="3" t="n"/>
    </row>
    <row r="163">
      <c r="A163" s="94" t="inlineStr">
        <is>
          <t>62BF</t>
        </is>
      </c>
      <c r="B163" s="2" t="inlineStr">
        <is>
          <t>62 - FALHA DISJUNTOR BLOQUEIO</t>
        </is>
      </c>
      <c r="C163" s="2" t="inlineStr">
        <is>
          <t>RelayTrip</t>
        </is>
      </c>
      <c r="D163" s="2" t="inlineStr">
        <is>
          <t>PROT</t>
        </is>
      </c>
      <c r="E163" s="2" t="inlineStr">
        <is>
          <t>Read</t>
        </is>
      </c>
      <c r="F163" s="2" t="inlineStr">
        <is>
          <t>null@null___NORMAL@ATUADO___RelayTrip_S_TS_SA</t>
        </is>
      </c>
      <c r="G163" s="2">
        <f>VLOOKUP(F163,'Message Mapping'!A:L,3,FALSE)</f>
        <v/>
      </c>
      <c r="H163" s="2">
        <f>VLOOKUP(F163,'Message Mapping'!A:L,4,FALSE)</f>
        <v/>
      </c>
      <c r="I163" s="2" t="n"/>
      <c r="J163" s="3">
        <f>VLOOKUP(F163,'Message Mapping'!A:L,12,FALSE)</f>
        <v/>
      </c>
      <c r="K163" s="3" t="n"/>
      <c r="L163" s="3" t="n"/>
      <c r="M163" s="3" t="n"/>
      <c r="N163" s="3" t="n"/>
      <c r="O163" s="3" t="n"/>
      <c r="P163" s="3" t="n"/>
    </row>
    <row r="164">
      <c r="A164" s="94" t="inlineStr">
        <is>
          <t>BFAT</t>
        </is>
      </c>
      <c r="B164" s="2" t="inlineStr">
        <is>
          <t>62 - FALHA DISJUNTOR BLOQUEIO AT</t>
        </is>
      </c>
      <c r="C164" s="2" t="inlineStr">
        <is>
          <t>RelayTrip</t>
        </is>
      </c>
      <c r="D164" s="2" t="inlineStr">
        <is>
          <t>PROT</t>
        </is>
      </c>
      <c r="E164" s="2" t="inlineStr">
        <is>
          <t>Read</t>
        </is>
      </c>
      <c r="F164" s="2" t="inlineStr">
        <is>
          <t>null@null___NORMAL@ATUADO___RelayTrip_S_TS_SA</t>
        </is>
      </c>
      <c r="G164" s="2">
        <f>VLOOKUP(F164,'Message Mapping'!A:L,3,FALSE)</f>
        <v/>
      </c>
      <c r="H164" s="2">
        <f>VLOOKUP(F164,'Message Mapping'!A:L,4,FALSE)</f>
        <v/>
      </c>
      <c r="I164" s="2" t="n"/>
      <c r="J164" s="3">
        <f>VLOOKUP(F164,'Message Mapping'!A:L,12,FALSE)</f>
        <v/>
      </c>
      <c r="K164" s="3" t="n"/>
      <c r="L164" s="3" t="n"/>
      <c r="M164" s="3" t="n"/>
      <c r="N164" s="3" t="n"/>
      <c r="O164" s="3" t="n"/>
      <c r="P164" s="3" t="n"/>
    </row>
    <row r="165">
      <c r="A165" s="94" t="inlineStr">
        <is>
          <t>BFP1</t>
        </is>
      </c>
      <c r="B165" s="2" t="inlineStr">
        <is>
          <t>62 - FALHA DISJUNTOR BLOQUEIO BARRA P1</t>
        </is>
      </c>
      <c r="C165" s="2" t="inlineStr">
        <is>
          <t>RelayTrip</t>
        </is>
      </c>
      <c r="D165" s="2" t="inlineStr">
        <is>
          <t>PROT</t>
        </is>
      </c>
      <c r="E165" s="2" t="inlineStr">
        <is>
          <t>Read</t>
        </is>
      </c>
      <c r="F165" s="2" t="inlineStr">
        <is>
          <t>null@null___NORMAL@ATUADO___RelayTrip_S_TS_SA</t>
        </is>
      </c>
      <c r="G165" s="2">
        <f>VLOOKUP(F165,'Message Mapping'!A:L,3,FALSE)</f>
        <v/>
      </c>
      <c r="H165" s="2">
        <f>VLOOKUP(F165,'Message Mapping'!A:L,4,FALSE)</f>
        <v/>
      </c>
      <c r="I165" s="2" t="n"/>
      <c r="J165" s="3">
        <f>VLOOKUP(F165,'Message Mapping'!A:L,12,FALSE)</f>
        <v/>
      </c>
      <c r="K165" s="3" t="n"/>
      <c r="L165" s="3" t="n"/>
      <c r="M165" s="3" t="n"/>
      <c r="N165" s="3" t="n"/>
      <c r="O165" s="3" t="n"/>
      <c r="P165" s="3" t="n"/>
    </row>
    <row r="166">
      <c r="A166" s="94" t="inlineStr">
        <is>
          <t>BFP2</t>
        </is>
      </c>
      <c r="B166" s="2" t="inlineStr">
        <is>
          <t>62 - FALHA DISJUNTOR BLOQUEIO BARRA P2</t>
        </is>
      </c>
      <c r="C166" s="2" t="inlineStr">
        <is>
          <t>RelayTrip</t>
        </is>
      </c>
      <c r="D166" s="2" t="inlineStr">
        <is>
          <t>PROT</t>
        </is>
      </c>
      <c r="E166" s="2" t="inlineStr">
        <is>
          <t>Read</t>
        </is>
      </c>
      <c r="F166" s="2" t="inlineStr">
        <is>
          <t>null@null___NORMAL@ATUADO___RelayTrip_S_TS_SA</t>
        </is>
      </c>
      <c r="G166" s="2">
        <f>VLOOKUP(F166,'Message Mapping'!A:L,3,FALSE)</f>
        <v/>
      </c>
      <c r="H166" s="2">
        <f>VLOOKUP(F166,'Message Mapping'!A:L,4,FALSE)</f>
        <v/>
      </c>
      <c r="I166" s="2" t="n"/>
      <c r="J166" s="3">
        <f>VLOOKUP(F166,'Message Mapping'!A:L,12,FALSE)</f>
        <v/>
      </c>
      <c r="K166" s="3" t="n"/>
      <c r="L166" s="3" t="n"/>
      <c r="M166" s="3" t="n"/>
      <c r="N166" s="3" t="n"/>
      <c r="O166" s="3" t="n"/>
      <c r="P166" s="3" t="n"/>
    </row>
    <row r="167">
      <c r="A167" s="94" t="inlineStr">
        <is>
          <t>BFP3</t>
        </is>
      </c>
      <c r="B167" s="2" t="inlineStr">
        <is>
          <t>62 - FALHA DISJUNTOR BLOQUEIO BARRA P3</t>
        </is>
      </c>
      <c r="C167" s="2" t="inlineStr">
        <is>
          <t>RelayTrip</t>
        </is>
      </c>
      <c r="D167" s="2" t="inlineStr">
        <is>
          <t>PROT</t>
        </is>
      </c>
      <c r="E167" s="2" t="inlineStr">
        <is>
          <t>Read</t>
        </is>
      </c>
      <c r="F167" s="2" t="inlineStr">
        <is>
          <t>null@null___NORMAL@ATUADO___RelayTrip_S_TS_SA</t>
        </is>
      </c>
      <c r="G167" s="2">
        <f>VLOOKUP(F167,'Message Mapping'!A:L,3,FALSE)</f>
        <v/>
      </c>
      <c r="H167" s="2">
        <f>VLOOKUP(F167,'Message Mapping'!A:L,4,FALSE)</f>
        <v/>
      </c>
      <c r="I167" s="2" t="n"/>
      <c r="J167" s="3">
        <f>VLOOKUP(F167,'Message Mapping'!A:L,12,FALSE)</f>
        <v/>
      </c>
      <c r="K167" s="3" t="n"/>
      <c r="L167" s="3" t="n"/>
      <c r="M167" s="3" t="n"/>
      <c r="N167" s="3" t="n"/>
      <c r="O167" s="3" t="n"/>
      <c r="P167" s="3" t="n"/>
    </row>
    <row r="168">
      <c r="A168" s="94" t="inlineStr">
        <is>
          <t>BFBT</t>
        </is>
      </c>
      <c r="B168" s="2" t="inlineStr">
        <is>
          <t>62 - FALHA DISJUNTOR BLOQUEIO ALIMENTADORES</t>
        </is>
      </c>
      <c r="C168" s="2" t="inlineStr">
        <is>
          <t>RelayTrip</t>
        </is>
      </c>
      <c r="D168" s="2" t="inlineStr">
        <is>
          <t>PROT</t>
        </is>
      </c>
      <c r="E168" s="2" t="inlineStr">
        <is>
          <t>Read</t>
        </is>
      </c>
      <c r="F168" s="2" t="inlineStr">
        <is>
          <t>null@null___NORMAL@ATUADO___RelayTrip_S_TS_SA</t>
        </is>
      </c>
      <c r="G168" s="2">
        <f>VLOOKUP(F168,'Message Mapping'!A:L,3,FALSE)</f>
        <v/>
      </c>
      <c r="H168" s="2">
        <f>VLOOKUP(F168,'Message Mapping'!A:L,4,FALSE)</f>
        <v/>
      </c>
      <c r="I168" s="2" t="n"/>
      <c r="J168" s="3">
        <f>VLOOKUP(F168,'Message Mapping'!A:L,12,FALSE)</f>
        <v/>
      </c>
      <c r="K168" s="3" t="n"/>
      <c r="L168" s="3" t="n"/>
      <c r="M168" s="3" t="n"/>
      <c r="N168" s="3" t="n"/>
      <c r="O168" s="3" t="n"/>
      <c r="P168" s="3" t="n"/>
    </row>
    <row r="169">
      <c r="A169" s="94" t="inlineStr">
        <is>
          <t>63CA</t>
        </is>
      </c>
      <c r="B169" s="2" t="inlineStr">
        <is>
          <t xml:space="preserve">63 - ALARME BUCHHOLZ CDC  </t>
        </is>
      </c>
      <c r="C169" s="2" t="inlineStr">
        <is>
          <t>Custom</t>
        </is>
      </c>
      <c r="D169" s="2" t="inlineStr">
        <is>
          <t>PROT</t>
        </is>
      </c>
      <c r="E169" s="2" t="inlineStr">
        <is>
          <t>Read</t>
        </is>
      </c>
      <c r="F169" s="2" t="inlineStr">
        <is>
          <t>null@null___NORMAL@ATUADO___Custom_S_TS_SA</t>
        </is>
      </c>
      <c r="G169" s="2">
        <f>VLOOKUP(F169,'Message Mapping'!A:L,3,FALSE)</f>
        <v/>
      </c>
      <c r="H169" s="2">
        <f>VLOOKUP(F169,'Message Mapping'!A:L,4,FALSE)</f>
        <v/>
      </c>
      <c r="I169" s="2" t="n"/>
      <c r="J169" s="3">
        <f>VLOOKUP(F169,'Message Mapping'!A:L,12,FALSE)</f>
        <v/>
      </c>
      <c r="K169" s="3" t="n"/>
      <c r="L169" s="3" t="n"/>
      <c r="M169" s="3" t="n"/>
      <c r="N169" s="3" t="n"/>
      <c r="O169" s="3" t="n"/>
      <c r="P169" s="3" t="n"/>
    </row>
    <row r="170">
      <c r="A170" s="94" t="inlineStr">
        <is>
          <t>63A</t>
        </is>
      </c>
      <c r="B170" s="2" t="inlineStr">
        <is>
          <t>63 - ALARME BUCHHOLZ</t>
        </is>
      </c>
      <c r="C170" s="2" t="inlineStr">
        <is>
          <t>Custom</t>
        </is>
      </c>
      <c r="D170" s="2" t="inlineStr">
        <is>
          <t>PROT</t>
        </is>
      </c>
      <c r="E170" s="2" t="inlineStr">
        <is>
          <t>Read</t>
        </is>
      </c>
      <c r="F170" s="2" t="inlineStr">
        <is>
          <t>null@null___NORMAL@ATUADO___Custom_S_TS_SA</t>
        </is>
      </c>
      <c r="G170" s="2">
        <f>VLOOKUP(F170,'Message Mapping'!A:L,3,FALSE)</f>
        <v/>
      </c>
      <c r="H170" s="2">
        <f>VLOOKUP(F170,'Message Mapping'!A:L,4,FALSE)</f>
        <v/>
      </c>
      <c r="I170" s="2" t="n"/>
      <c r="J170" s="3">
        <f>VLOOKUP(F170,'Message Mapping'!A:L,12,FALSE)</f>
        <v/>
      </c>
      <c r="K170" s="3" t="n"/>
      <c r="L170" s="3" t="n"/>
      <c r="M170" s="3" t="n"/>
      <c r="N170" s="3" t="n"/>
      <c r="O170" s="3" t="n"/>
      <c r="P170" s="3" t="n"/>
    </row>
    <row r="171">
      <c r="A171" s="94" t="inlineStr">
        <is>
          <t>63TA</t>
        </is>
      </c>
      <c r="B171" s="2" t="inlineStr">
        <is>
          <t xml:space="preserve">63 - ALARME BUCHHOLZ TRAFO  </t>
        </is>
      </c>
      <c r="C171" s="2" t="inlineStr">
        <is>
          <t>Custom</t>
        </is>
      </c>
      <c r="D171" s="2" t="inlineStr">
        <is>
          <t>PROT</t>
        </is>
      </c>
      <c r="E171" s="2" t="inlineStr">
        <is>
          <t>Read</t>
        </is>
      </c>
      <c r="F171" s="2" t="inlineStr">
        <is>
          <t>null@null___NORMAL@ATUADO___Custom_S_TS_SA</t>
        </is>
      </c>
      <c r="G171" s="2">
        <f>VLOOKUP(F171,'Message Mapping'!A:L,3,FALSE)</f>
        <v/>
      </c>
      <c r="H171" s="2">
        <f>VLOOKUP(F171,'Message Mapping'!A:L,4,FALSE)</f>
        <v/>
      </c>
      <c r="I171" s="2" t="n"/>
      <c r="J171" s="3">
        <f>VLOOKUP(F171,'Message Mapping'!A:L,12,FALSE)</f>
        <v/>
      </c>
      <c r="K171" s="3" t="n"/>
      <c r="L171" s="3" t="n"/>
      <c r="M171" s="3" t="n"/>
      <c r="N171" s="3" t="n"/>
      <c r="O171" s="3" t="n"/>
      <c r="P171" s="3" t="n"/>
    </row>
    <row r="172">
      <c r="A172" s="94" t="inlineStr">
        <is>
          <t>63TC</t>
        </is>
      </c>
      <c r="B172" s="2" t="inlineStr">
        <is>
          <t>63 - TRIP BUCHHOLZ CDC OU TRAFO</t>
        </is>
      </c>
      <c r="C172" s="2" t="inlineStr">
        <is>
          <t>RelayTrip</t>
        </is>
      </c>
      <c r="D172" s="2" t="inlineStr">
        <is>
          <t>PROT</t>
        </is>
      </c>
      <c r="E172" s="2" t="inlineStr">
        <is>
          <t>Read</t>
        </is>
      </c>
      <c r="F172" s="2" t="inlineStr">
        <is>
          <t>null@null___NORMAL@ATUADO___RelayTrip_S_TS_SA</t>
        </is>
      </c>
      <c r="G172" s="2">
        <f>VLOOKUP(F172,'Message Mapping'!A:L,3,FALSE)</f>
        <v/>
      </c>
      <c r="H172" s="2">
        <f>VLOOKUP(F172,'Message Mapping'!A:L,4,FALSE)</f>
        <v/>
      </c>
      <c r="I172" s="2" t="n"/>
      <c r="J172" s="3">
        <f>VLOOKUP(F172,'Message Mapping'!A:L,12,FALSE)</f>
        <v/>
      </c>
      <c r="K172" s="3" t="n"/>
      <c r="L172" s="3" t="n"/>
      <c r="M172" s="3" t="n"/>
      <c r="N172" s="3" t="n"/>
      <c r="O172" s="3" t="n"/>
      <c r="P172" s="3" t="n"/>
    </row>
    <row r="173">
      <c r="A173" s="94" t="inlineStr">
        <is>
          <t>63CD</t>
        </is>
      </c>
      <c r="B173" s="2" t="inlineStr">
        <is>
          <t>63 - TRIP BUCHHOLZ CDC</t>
        </is>
      </c>
      <c r="C173" s="2" t="inlineStr">
        <is>
          <t>RelayTrip</t>
        </is>
      </c>
      <c r="D173" s="2" t="inlineStr">
        <is>
          <t>PROT</t>
        </is>
      </c>
      <c r="E173" s="2" t="inlineStr">
        <is>
          <t>Read</t>
        </is>
      </c>
      <c r="F173" s="2" t="inlineStr">
        <is>
          <t>null@null___NORMAL@ATUADO___RelayTrip_S_TS_SA</t>
        </is>
      </c>
      <c r="G173" s="2">
        <f>VLOOKUP(F173,'Message Mapping'!A:L,3,FALSE)</f>
        <v/>
      </c>
      <c r="H173" s="2">
        <f>VLOOKUP(F173,'Message Mapping'!A:L,4,FALSE)</f>
        <v/>
      </c>
      <c r="I173" s="2" t="n"/>
      <c r="J173" s="3">
        <f>VLOOKUP(F173,'Message Mapping'!A:L,12,FALSE)</f>
        <v/>
      </c>
      <c r="K173" s="3" t="n"/>
      <c r="L173" s="3" t="n"/>
      <c r="M173" s="3" t="n"/>
      <c r="N173" s="3" t="n"/>
      <c r="O173" s="3" t="n"/>
      <c r="P173" s="3" t="n"/>
    </row>
    <row r="174">
      <c r="A174" s="94" t="inlineStr">
        <is>
          <t>63C</t>
        </is>
      </c>
      <c r="B174" s="2" t="inlineStr">
        <is>
          <t>63 - BUCHHOLZ CDC</t>
        </is>
      </c>
      <c r="C174" s="2" t="inlineStr">
        <is>
          <t>RelayTrip</t>
        </is>
      </c>
      <c r="D174" s="2" t="inlineStr">
        <is>
          <t>PROT</t>
        </is>
      </c>
      <c r="E174" s="2" t="inlineStr">
        <is>
          <t>Read</t>
        </is>
      </c>
      <c r="F174" s="2" t="inlineStr">
        <is>
          <t>null@null___NORMAL@ATUADO___RelayTrip_S_TS_SA</t>
        </is>
      </c>
      <c r="G174" s="2">
        <f>VLOOKUP(F174,'Message Mapping'!A:L,3,FALSE)</f>
        <v/>
      </c>
      <c r="H174" s="2">
        <f>VLOOKUP(F174,'Message Mapping'!A:L,4,FALSE)</f>
        <v/>
      </c>
      <c r="I174" s="2" t="n"/>
      <c r="J174" s="3">
        <f>VLOOKUP(F174,'Message Mapping'!A:L,12,FALSE)</f>
        <v/>
      </c>
      <c r="K174" s="3" t="n"/>
      <c r="L174" s="3" t="n"/>
      <c r="M174" s="3" t="n"/>
      <c r="N174" s="3" t="n"/>
      <c r="O174" s="3" t="n"/>
      <c r="P174" s="3" t="n"/>
    </row>
    <row r="175">
      <c r="A175" s="94" t="inlineStr">
        <is>
          <t>63TD</t>
        </is>
      </c>
      <c r="B175" s="2" t="inlineStr">
        <is>
          <t xml:space="preserve">63 - TRIP BUCHHOLZ TRAFO  </t>
        </is>
      </c>
      <c r="C175" s="2" t="inlineStr">
        <is>
          <t>RelayTrip</t>
        </is>
      </c>
      <c r="D175" s="2" t="inlineStr">
        <is>
          <t>PROT</t>
        </is>
      </c>
      <c r="E175" s="2" t="inlineStr">
        <is>
          <t>Read</t>
        </is>
      </c>
      <c r="F175" s="2" t="inlineStr">
        <is>
          <t>null@null___NORMAL@ATUADO___RelayTrip_S_TS_SA</t>
        </is>
      </c>
      <c r="G175" s="2">
        <f>VLOOKUP(F175,'Message Mapping'!A:L,3,FALSE)</f>
        <v/>
      </c>
      <c r="H175" s="2">
        <f>VLOOKUP(F175,'Message Mapping'!A:L,4,FALSE)</f>
        <v/>
      </c>
      <c r="I175" s="2" t="n"/>
      <c r="J175" s="3">
        <f>VLOOKUP(F175,'Message Mapping'!A:L,12,FALSE)</f>
        <v/>
      </c>
      <c r="K175" s="3" t="n"/>
      <c r="L175" s="3" t="n"/>
      <c r="M175" s="3" t="n"/>
      <c r="N175" s="3" t="n"/>
      <c r="O175" s="3" t="n"/>
      <c r="P175" s="3" t="n"/>
    </row>
    <row r="176">
      <c r="A176" s="94" t="inlineStr">
        <is>
          <t>63T</t>
        </is>
      </c>
      <c r="B176" s="2" t="inlineStr">
        <is>
          <t xml:space="preserve">63 - BUCHHOLZ TRAFO  </t>
        </is>
      </c>
      <c r="C176" s="2" t="inlineStr">
        <is>
          <t>RelayTrip</t>
        </is>
      </c>
      <c r="D176" s="2" t="inlineStr">
        <is>
          <t>PROT</t>
        </is>
      </c>
      <c r="E176" s="2" t="inlineStr">
        <is>
          <t>Read</t>
        </is>
      </c>
      <c r="F176" s="2" t="inlineStr">
        <is>
          <t>null@null___NORMAL@ATUADO___RelayTrip_S_TS_SA</t>
        </is>
      </c>
      <c r="G176" s="2">
        <f>VLOOKUP(F176,'Message Mapping'!A:L,3,FALSE)</f>
        <v/>
      </c>
      <c r="H176" s="2">
        <f>VLOOKUP(F176,'Message Mapping'!A:L,4,FALSE)</f>
        <v/>
      </c>
      <c r="I176" s="2" t="n"/>
      <c r="J176" s="3">
        <f>VLOOKUP(F176,'Message Mapping'!A:L,12,FALSE)</f>
        <v/>
      </c>
      <c r="K176" s="3" t="n"/>
      <c r="L176" s="3" t="n"/>
      <c r="M176" s="3" t="n"/>
      <c r="N176" s="3" t="n"/>
      <c r="O176" s="3" t="n"/>
      <c r="P176" s="3" t="n"/>
    </row>
    <row r="177">
      <c r="A177" s="94" t="inlineStr">
        <is>
          <t>67FTD</t>
        </is>
      </c>
      <c r="B177" s="2" t="inlineStr">
        <is>
          <t>67 - DIRECIONAL SOBRECORRENTE DIRETO FASE TEMPORIZADA</t>
        </is>
      </c>
      <c r="C177" s="2" t="inlineStr">
        <is>
          <t>RelayTrip</t>
        </is>
      </c>
      <c r="D177" s="2" t="inlineStr">
        <is>
          <t>PROT</t>
        </is>
      </c>
      <c r="E177" s="2" t="inlineStr">
        <is>
          <t>Read</t>
        </is>
      </c>
      <c r="F177" s="2" t="inlineStr">
        <is>
          <t>null@null___NORMAL@ATUADO___RelayTrip_S_TS_SA</t>
        </is>
      </c>
      <c r="G177" s="2">
        <f>VLOOKUP(F177,'Message Mapping'!A:L,3,FALSE)</f>
        <v/>
      </c>
      <c r="H177" s="2">
        <f>VLOOKUP(F177,'Message Mapping'!A:L,4,FALSE)</f>
        <v/>
      </c>
      <c r="I177" s="2" t="n"/>
      <c r="J177" s="3">
        <f>VLOOKUP(F177,'Message Mapping'!A:L,12,FALSE)</f>
        <v/>
      </c>
      <c r="K177" s="3" t="n"/>
      <c r="L177" s="3" t="n"/>
      <c r="M177" s="3" t="n"/>
      <c r="N177" s="3" t="n"/>
      <c r="O177" s="3" t="n"/>
      <c r="P177" s="3" t="n"/>
    </row>
    <row r="178">
      <c r="A178" s="94" t="inlineStr">
        <is>
          <t>67NTD</t>
        </is>
      </c>
      <c r="B178" s="2" t="inlineStr">
        <is>
          <t>67 - DIRECIONAL SOBRECORRENTE DIRETO NEUTRO TEMPORIZADA</t>
        </is>
      </c>
      <c r="C178" s="2" t="inlineStr">
        <is>
          <t>RelayTrip</t>
        </is>
      </c>
      <c r="D178" s="2" t="inlineStr">
        <is>
          <t>PROT</t>
        </is>
      </c>
      <c r="E178" s="2" t="inlineStr">
        <is>
          <t>Read</t>
        </is>
      </c>
      <c r="F178" s="2" t="inlineStr">
        <is>
          <t>null@null___NORMAL@ATUADO___RelayTrip_S_TS_SA</t>
        </is>
      </c>
      <c r="G178" s="2">
        <f>VLOOKUP(F178,'Message Mapping'!A:L,3,FALSE)</f>
        <v/>
      </c>
      <c r="H178" s="2">
        <f>VLOOKUP(F178,'Message Mapping'!A:L,4,FALSE)</f>
        <v/>
      </c>
      <c r="I178" s="2" t="n"/>
      <c r="J178" s="3">
        <f>VLOOKUP(F178,'Message Mapping'!A:L,12,FALSE)</f>
        <v/>
      </c>
      <c r="K178" s="3" t="n"/>
      <c r="L178" s="3" t="n"/>
      <c r="M178" s="3" t="n"/>
      <c r="N178" s="3" t="n"/>
      <c r="O178" s="3" t="n"/>
      <c r="P178" s="3" t="n"/>
    </row>
    <row r="179">
      <c r="A179" s="94" t="inlineStr">
        <is>
          <t>67_1</t>
        </is>
      </c>
      <c r="B179" s="2" t="inlineStr">
        <is>
          <t>67 - DIRECIONAL SOBRECORRENTE E1</t>
        </is>
      </c>
      <c r="C179" s="2" t="inlineStr">
        <is>
          <t>RelayTrip</t>
        </is>
      </c>
      <c r="D179" s="2" t="inlineStr">
        <is>
          <t>PROT</t>
        </is>
      </c>
      <c r="E179" s="2" t="inlineStr">
        <is>
          <t>Read</t>
        </is>
      </c>
      <c r="F179" s="2" t="inlineStr">
        <is>
          <t>null@null___NORMAL@ATUADO___RelayTrip_S_TS_SA</t>
        </is>
      </c>
      <c r="G179" s="2">
        <f>VLOOKUP(F179,'Message Mapping'!A:L,3,FALSE)</f>
        <v/>
      </c>
      <c r="H179" s="2">
        <f>VLOOKUP(F179,'Message Mapping'!A:L,4,FALSE)</f>
        <v/>
      </c>
      <c r="I179" s="2" t="n"/>
      <c r="J179" s="3">
        <f>VLOOKUP(F179,'Message Mapping'!A:L,12,FALSE)</f>
        <v/>
      </c>
      <c r="K179" s="3" t="n"/>
      <c r="L179" s="3" t="n"/>
      <c r="M179" s="3" t="n"/>
      <c r="N179" s="3" t="n"/>
      <c r="O179" s="3" t="n"/>
      <c r="P179" s="3" t="n"/>
    </row>
    <row r="180">
      <c r="A180" s="94" t="inlineStr">
        <is>
          <t>67_2</t>
        </is>
      </c>
      <c r="B180" s="2" t="inlineStr">
        <is>
          <t>67 - DIRECIONAL SOBRECORRENTE E2</t>
        </is>
      </c>
      <c r="C180" s="2" t="inlineStr">
        <is>
          <t>RelayTrip</t>
        </is>
      </c>
      <c r="D180" s="2" t="inlineStr">
        <is>
          <t>PROT</t>
        </is>
      </c>
      <c r="E180" s="2" t="inlineStr">
        <is>
          <t>Read</t>
        </is>
      </c>
      <c r="F180" s="2" t="inlineStr">
        <is>
          <t>null@null___NORMAL@ATUADO___RelayTrip_S_TS_SA</t>
        </is>
      </c>
      <c r="G180" s="2">
        <f>VLOOKUP(F180,'Message Mapping'!A:L,3,FALSE)</f>
        <v/>
      </c>
      <c r="H180" s="2">
        <f>VLOOKUP(F180,'Message Mapping'!A:L,4,FALSE)</f>
        <v/>
      </c>
      <c r="I180" s="2" t="n"/>
      <c r="J180" s="3">
        <f>VLOOKUP(F180,'Message Mapping'!A:L,12,FALSE)</f>
        <v/>
      </c>
      <c r="K180" s="3" t="n"/>
      <c r="L180" s="3" t="n"/>
      <c r="M180" s="3" t="n"/>
      <c r="N180" s="3" t="n"/>
      <c r="O180" s="3" t="n"/>
      <c r="P180" s="3" t="n"/>
    </row>
    <row r="181">
      <c r="A181" s="97" t="inlineStr">
        <is>
          <t>67F</t>
        </is>
      </c>
      <c r="B181" s="2" t="inlineStr">
        <is>
          <t>67 - DIRECIONAL SOBRECORRENTE FASE</t>
        </is>
      </c>
      <c r="C181" s="2" t="inlineStr">
        <is>
          <t>RelayTrip</t>
        </is>
      </c>
      <c r="D181" s="2" t="inlineStr">
        <is>
          <t>PROT</t>
        </is>
      </c>
      <c r="E181" s="2" t="inlineStr">
        <is>
          <t>Read</t>
        </is>
      </c>
      <c r="F181" s="2" t="inlineStr">
        <is>
          <t>null@null___NORMAL@ATUADO___RelayTrip_S_TS_SA</t>
        </is>
      </c>
      <c r="G181" s="2">
        <f>VLOOKUP(F181,'Message Mapping'!A:L,3,FALSE)</f>
        <v/>
      </c>
      <c r="H181" s="2">
        <f>VLOOKUP(F181,'Message Mapping'!A:L,4,FALSE)</f>
        <v/>
      </c>
      <c r="I181" s="2" t="n"/>
      <c r="J181" s="3">
        <f>VLOOKUP(F181,'Message Mapping'!A:L,12,FALSE)</f>
        <v/>
      </c>
      <c r="K181" s="3" t="n"/>
      <c r="L181" s="3" t="n"/>
      <c r="M181" s="3" t="n"/>
      <c r="N181" s="3" t="n"/>
      <c r="O181" s="3" t="n"/>
      <c r="P181" s="3" t="n"/>
    </row>
    <row r="182">
      <c r="A182" s="94" t="inlineStr">
        <is>
          <t>67FA</t>
        </is>
      </c>
      <c r="B182" s="2" t="inlineStr">
        <is>
          <t>67 - DIRECIONAL SOBRECORRENTE FASE A</t>
        </is>
      </c>
      <c r="C182" s="2" t="inlineStr">
        <is>
          <t>RelayTrip</t>
        </is>
      </c>
      <c r="D182" s="2" t="inlineStr">
        <is>
          <t>PROT</t>
        </is>
      </c>
      <c r="E182" s="2" t="inlineStr">
        <is>
          <t>Read</t>
        </is>
      </c>
      <c r="F182" s="2" t="inlineStr">
        <is>
          <t>null@null___NORMAL@ATUADO___RelayTrip_S_TS_SA</t>
        </is>
      </c>
      <c r="G182" s="2">
        <f>VLOOKUP(F182,'Message Mapping'!A:L,3,FALSE)</f>
        <v/>
      </c>
      <c r="H182" s="2">
        <f>VLOOKUP(F182,'Message Mapping'!A:L,4,FALSE)</f>
        <v/>
      </c>
      <c r="I182" s="2" t="n"/>
      <c r="J182" s="3">
        <f>VLOOKUP(F182,'Message Mapping'!A:L,12,FALSE)</f>
        <v/>
      </c>
      <c r="K182" s="3" t="n"/>
      <c r="L182" s="3" t="n"/>
      <c r="M182" s="3" t="n"/>
      <c r="N182" s="3" t="n"/>
      <c r="O182" s="3" t="n"/>
      <c r="P182" s="3" t="n"/>
    </row>
    <row r="183">
      <c r="A183" s="94" t="inlineStr">
        <is>
          <t>67FB</t>
        </is>
      </c>
      <c r="B183" s="2" t="inlineStr">
        <is>
          <t>67 - DIRECIONAL SOBRECORRENTE FASE B</t>
        </is>
      </c>
      <c r="C183" s="2" t="inlineStr">
        <is>
          <t>RelayTrip</t>
        </is>
      </c>
      <c r="D183" s="2" t="inlineStr">
        <is>
          <t>PROT</t>
        </is>
      </c>
      <c r="E183" s="2" t="inlineStr">
        <is>
          <t>Read</t>
        </is>
      </c>
      <c r="F183" s="2" t="inlineStr">
        <is>
          <t>null@null___NORMAL@ATUADO___RelayTrip_S_TS_SA</t>
        </is>
      </c>
      <c r="G183" s="2">
        <f>VLOOKUP(F183,'Message Mapping'!A:L,3,FALSE)</f>
        <v/>
      </c>
      <c r="H183" s="2">
        <f>VLOOKUP(F183,'Message Mapping'!A:L,4,FALSE)</f>
        <v/>
      </c>
      <c r="I183" s="2" t="n"/>
      <c r="J183" s="3">
        <f>VLOOKUP(F183,'Message Mapping'!A:L,12,FALSE)</f>
        <v/>
      </c>
      <c r="K183" s="3" t="n"/>
      <c r="L183" s="3" t="n"/>
      <c r="M183" s="3" t="n"/>
      <c r="N183" s="3" t="n"/>
      <c r="O183" s="3" t="n"/>
      <c r="P183" s="3" t="n"/>
    </row>
    <row r="184">
      <c r="A184" s="94" t="inlineStr">
        <is>
          <t>67FC</t>
        </is>
      </c>
      <c r="B184" s="2" t="inlineStr">
        <is>
          <t>67 - DIRECIONAL SOBRECORRENTE FASE C</t>
        </is>
      </c>
      <c r="C184" s="2" t="inlineStr">
        <is>
          <t>RelayTrip</t>
        </is>
      </c>
      <c r="D184" s="2" t="inlineStr">
        <is>
          <t>PROT</t>
        </is>
      </c>
      <c r="E184" s="2" t="inlineStr">
        <is>
          <t>Read</t>
        </is>
      </c>
      <c r="F184" s="2" t="inlineStr">
        <is>
          <t>null@null___NORMAL@ATUADO___RelayTrip_S_TS_SA</t>
        </is>
      </c>
      <c r="G184" s="2">
        <f>VLOOKUP(F184,'Message Mapping'!A:L,3,FALSE)</f>
        <v/>
      </c>
      <c r="H184" s="2">
        <f>VLOOKUP(F184,'Message Mapping'!A:L,4,FALSE)</f>
        <v/>
      </c>
      <c r="I184" s="2" t="n"/>
      <c r="J184" s="3">
        <f>VLOOKUP(F184,'Message Mapping'!A:L,12,FALSE)</f>
        <v/>
      </c>
      <c r="K184" s="3" t="n"/>
      <c r="L184" s="3" t="n"/>
      <c r="M184" s="3" t="n"/>
      <c r="N184" s="3" t="n"/>
      <c r="O184" s="3" t="n"/>
      <c r="P184" s="3" t="n"/>
    </row>
    <row r="185">
      <c r="A185" s="94" t="inlineStr">
        <is>
          <t>67F1</t>
        </is>
      </c>
      <c r="B185" s="2" t="inlineStr">
        <is>
          <t>67 - DIRECIONAL SOBRECORRENTE FASE E1</t>
        </is>
      </c>
      <c r="C185" s="2" t="inlineStr">
        <is>
          <t>RelayTrip</t>
        </is>
      </c>
      <c r="D185" s="2" t="inlineStr">
        <is>
          <t>PROT</t>
        </is>
      </c>
      <c r="E185" s="2" t="inlineStr">
        <is>
          <t>Read</t>
        </is>
      </c>
      <c r="F185" s="2" t="inlineStr">
        <is>
          <t>null@null___NORMAL@ATUADO___RelayTrip_S_TS_SA</t>
        </is>
      </c>
      <c r="G185" s="2">
        <f>VLOOKUP(F185,'Message Mapping'!A:L,3,FALSE)</f>
        <v/>
      </c>
      <c r="H185" s="2">
        <f>VLOOKUP(F185,'Message Mapping'!A:L,4,FALSE)</f>
        <v/>
      </c>
      <c r="I185" s="2" t="n"/>
      <c r="J185" s="3">
        <f>VLOOKUP(F185,'Message Mapping'!A:L,12,FALSE)</f>
        <v/>
      </c>
      <c r="K185" s="3" t="n"/>
      <c r="L185" s="3" t="n"/>
      <c r="M185" s="3" t="n"/>
      <c r="N185" s="3" t="n"/>
      <c r="O185" s="3" t="n"/>
      <c r="P185" s="3" t="n"/>
    </row>
    <row r="186">
      <c r="A186" s="94" t="inlineStr">
        <is>
          <t>67F2</t>
        </is>
      </c>
      <c r="B186" s="2" t="inlineStr">
        <is>
          <t>67 - DIRECIONAL SOBRECORRENTE FASE E2</t>
        </is>
      </c>
      <c r="C186" s="2" t="inlineStr">
        <is>
          <t>RelayTrip</t>
        </is>
      </c>
      <c r="D186" s="2" t="inlineStr">
        <is>
          <t>PROT</t>
        </is>
      </c>
      <c r="E186" s="2" t="inlineStr">
        <is>
          <t>Read</t>
        </is>
      </c>
      <c r="F186" s="2" t="inlineStr">
        <is>
          <t>null@null___NORMAL@ATUADO___RelayTrip_S_TS_SA</t>
        </is>
      </c>
      <c r="G186" s="2">
        <f>VLOOKUP(F186,'Message Mapping'!A:L,3,FALSE)</f>
        <v/>
      </c>
      <c r="H186" s="2">
        <f>VLOOKUP(F186,'Message Mapping'!A:L,4,FALSE)</f>
        <v/>
      </c>
      <c r="I186" s="2" t="n"/>
      <c r="J186" s="3">
        <f>VLOOKUP(F186,'Message Mapping'!A:L,12,FALSE)</f>
        <v/>
      </c>
      <c r="K186" s="3" t="n"/>
      <c r="L186" s="3" t="n"/>
      <c r="M186" s="3" t="n"/>
      <c r="N186" s="3" t="n"/>
      <c r="O186" s="3" t="n"/>
      <c r="P186" s="3" t="n"/>
    </row>
    <row r="187">
      <c r="A187" s="94" t="inlineStr">
        <is>
          <t>67FT</t>
        </is>
      </c>
      <c r="B187" s="2" t="inlineStr">
        <is>
          <t>67 - DIRECIONAL SOBRECORRENTE FASE TEMPORIZADO</t>
        </is>
      </c>
      <c r="C187" s="2" t="inlineStr">
        <is>
          <t>RelayTrip</t>
        </is>
      </c>
      <c r="D187" s="2" t="inlineStr">
        <is>
          <t>PROT</t>
        </is>
      </c>
      <c r="E187" s="2" t="inlineStr">
        <is>
          <t>Read</t>
        </is>
      </c>
      <c r="F187" s="2" t="inlineStr">
        <is>
          <t>null@null___NORMAL@ATUADO___RelayTrip_S_TS_SA</t>
        </is>
      </c>
      <c r="G187" s="2">
        <f>VLOOKUP(F187,'Message Mapping'!A:L,3,FALSE)</f>
        <v/>
      </c>
      <c r="H187" s="2">
        <f>VLOOKUP(F187,'Message Mapping'!A:L,4,FALSE)</f>
        <v/>
      </c>
      <c r="I187" s="2" t="n"/>
      <c r="J187" s="3">
        <f>VLOOKUP(F187,'Message Mapping'!A:L,12,FALSE)</f>
        <v/>
      </c>
      <c r="K187" s="3" t="n"/>
      <c r="L187" s="3" t="n"/>
      <c r="M187" s="3" t="n"/>
      <c r="N187" s="3" t="n"/>
      <c r="O187" s="3" t="n"/>
      <c r="P187" s="3" t="n"/>
    </row>
    <row r="188">
      <c r="A188" s="94" t="inlineStr">
        <is>
          <t>67P1</t>
        </is>
      </c>
      <c r="B188" s="2" t="inlineStr">
        <is>
          <t>67 - DIRECIONAL SOBRECORRENTE FASE TEMPORIZADO E1</t>
        </is>
      </c>
      <c r="C188" s="2" t="inlineStr">
        <is>
          <t>RelayTrip</t>
        </is>
      </c>
      <c r="D188" s="2" t="inlineStr">
        <is>
          <t>PROT</t>
        </is>
      </c>
      <c r="E188" s="2" t="inlineStr">
        <is>
          <t>Read</t>
        </is>
      </c>
      <c r="F188" s="2" t="inlineStr">
        <is>
          <t>null@null___NORMAL@ATUADO___RelayTrip_S_TS_SA</t>
        </is>
      </c>
      <c r="G188" s="2">
        <f>VLOOKUP(F188,'Message Mapping'!A:L,3,FALSE)</f>
        <v/>
      </c>
      <c r="H188" s="2">
        <f>VLOOKUP(F188,'Message Mapping'!A:L,4,FALSE)</f>
        <v/>
      </c>
      <c r="I188" s="2" t="n"/>
      <c r="J188" s="3">
        <f>VLOOKUP(F188,'Message Mapping'!A:L,12,FALSE)</f>
        <v/>
      </c>
      <c r="K188" s="3" t="n"/>
      <c r="L188" s="3" t="n"/>
      <c r="M188" s="3" t="n"/>
      <c r="N188" s="3" t="n"/>
      <c r="O188" s="3" t="n"/>
      <c r="P188" s="3" t="n"/>
    </row>
    <row r="189">
      <c r="A189" s="94" t="inlineStr">
        <is>
          <t>67P2</t>
        </is>
      </c>
      <c r="B189" s="2" t="inlineStr">
        <is>
          <t>67 - DIRECIONAL SOBRECORRENTE FASE TEMPORIZADO E2</t>
        </is>
      </c>
      <c r="C189" s="2" t="inlineStr">
        <is>
          <t>RelayTrip</t>
        </is>
      </c>
      <c r="D189" s="2" t="inlineStr">
        <is>
          <t>PROT</t>
        </is>
      </c>
      <c r="E189" s="2" t="inlineStr">
        <is>
          <t>Read</t>
        </is>
      </c>
      <c r="F189" s="2" t="inlineStr">
        <is>
          <t>null@null___NORMAL@ATUADO___RelayTrip_S_TS_SA</t>
        </is>
      </c>
      <c r="G189" s="2">
        <f>VLOOKUP(F189,'Message Mapping'!A:L,3,FALSE)</f>
        <v/>
      </c>
      <c r="H189" s="2">
        <f>VLOOKUP(F189,'Message Mapping'!A:L,4,FALSE)</f>
        <v/>
      </c>
      <c r="I189" s="2" t="n"/>
      <c r="J189" s="3">
        <f>VLOOKUP(F189,'Message Mapping'!A:L,12,FALSE)</f>
        <v/>
      </c>
      <c r="K189" s="3" t="n"/>
      <c r="L189" s="3" t="n"/>
      <c r="M189" s="3" t="n"/>
      <c r="N189" s="3" t="n"/>
      <c r="O189" s="3" t="n"/>
      <c r="P189" s="3" t="n"/>
    </row>
    <row r="190">
      <c r="A190" s="94" t="inlineStr">
        <is>
          <t>67N</t>
        </is>
      </c>
      <c r="B190" s="2" t="inlineStr">
        <is>
          <t>67 - DIRECIONAL SOBRECORRENTE NEUTRO</t>
        </is>
      </c>
      <c r="C190" s="2" t="inlineStr">
        <is>
          <t>RelayTrip</t>
        </is>
      </c>
      <c r="D190" s="2" t="inlineStr">
        <is>
          <t>PROT</t>
        </is>
      </c>
      <c r="E190" s="2" t="inlineStr">
        <is>
          <t>Read</t>
        </is>
      </c>
      <c r="F190" s="2" t="inlineStr">
        <is>
          <t>null@null___NORMAL@ATUADO___RelayTrip_S_TS_SA</t>
        </is>
      </c>
      <c r="G190" s="2">
        <f>VLOOKUP(F190,'Message Mapping'!A:L,3,FALSE)</f>
        <v/>
      </c>
      <c r="H190" s="2">
        <f>VLOOKUP(F190,'Message Mapping'!A:L,4,FALSE)</f>
        <v/>
      </c>
      <c r="I190" s="2" t="n"/>
      <c r="J190" s="3">
        <f>VLOOKUP(F190,'Message Mapping'!A:L,12,FALSE)</f>
        <v/>
      </c>
      <c r="K190" s="3" t="n"/>
      <c r="L190" s="3" t="n"/>
      <c r="M190" s="3" t="n"/>
      <c r="N190" s="3" t="n"/>
      <c r="O190" s="3" t="n"/>
      <c r="P190" s="3" t="n"/>
    </row>
    <row r="191">
      <c r="A191" s="94" t="inlineStr">
        <is>
          <t>67N1</t>
        </is>
      </c>
      <c r="B191" s="2" t="inlineStr">
        <is>
          <t>67 - DIRECIONAL SOBRECORRENTE NEUTRO E1</t>
        </is>
      </c>
      <c r="C191" s="2" t="inlineStr">
        <is>
          <t>RelayTrip</t>
        </is>
      </c>
      <c r="D191" s="2" t="inlineStr">
        <is>
          <t>PROT</t>
        </is>
      </c>
      <c r="E191" s="2" t="inlineStr">
        <is>
          <t>Read</t>
        </is>
      </c>
      <c r="F191" s="2" t="inlineStr">
        <is>
          <t>null@null___NORMAL@ATUADO___RelayTrip_S_TS_SA</t>
        </is>
      </c>
      <c r="G191" s="2">
        <f>VLOOKUP(F191,'Message Mapping'!A:L,3,FALSE)</f>
        <v/>
      </c>
      <c r="H191" s="2">
        <f>VLOOKUP(F191,'Message Mapping'!A:L,4,FALSE)</f>
        <v/>
      </c>
      <c r="I191" s="2" t="n"/>
      <c r="J191" s="3">
        <f>VLOOKUP(F191,'Message Mapping'!A:L,12,FALSE)</f>
        <v/>
      </c>
      <c r="K191" s="3" t="n"/>
      <c r="L191" s="3" t="n"/>
      <c r="M191" s="3" t="n"/>
      <c r="N191" s="3" t="n"/>
      <c r="O191" s="3" t="n"/>
      <c r="P191" s="3" t="n"/>
    </row>
    <row r="192">
      <c r="A192" s="94" t="inlineStr">
        <is>
          <t>67N2</t>
        </is>
      </c>
      <c r="B192" s="2" t="inlineStr">
        <is>
          <t>67 - DIRECIONAL SOBRECORRENTE NEUTRO E2</t>
        </is>
      </c>
      <c r="C192" s="2" t="inlineStr">
        <is>
          <t>RelayTrip</t>
        </is>
      </c>
      <c r="D192" s="2" t="inlineStr">
        <is>
          <t>PROT</t>
        </is>
      </c>
      <c r="E192" s="2" t="inlineStr">
        <is>
          <t>Read</t>
        </is>
      </c>
      <c r="F192" s="2" t="inlineStr">
        <is>
          <t>null@null___NORMAL@ATUADO___RelayTrip_S_TS_SA</t>
        </is>
      </c>
      <c r="G192" s="2">
        <f>VLOOKUP(F192,'Message Mapping'!A:L,3,FALSE)</f>
        <v/>
      </c>
      <c r="H192" s="2">
        <f>VLOOKUP(F192,'Message Mapping'!A:L,4,FALSE)</f>
        <v/>
      </c>
      <c r="I192" s="2" t="n"/>
      <c r="J192" s="3">
        <f>VLOOKUP(F192,'Message Mapping'!A:L,12,FALSE)</f>
        <v/>
      </c>
      <c r="K192" s="3" t="n"/>
      <c r="L192" s="3" t="n"/>
      <c r="M192" s="3" t="n"/>
      <c r="N192" s="3" t="n"/>
      <c r="O192" s="3" t="n"/>
      <c r="P192" s="3" t="n"/>
    </row>
    <row r="193">
      <c r="A193" s="94" t="inlineStr">
        <is>
          <t>67NT</t>
        </is>
      </c>
      <c r="B193" s="2" t="inlineStr">
        <is>
          <t>67 - DIRECIONAL SOBRECORRENTE NEUTRO TEMPORIZADO</t>
        </is>
      </c>
      <c r="C193" s="2" t="inlineStr">
        <is>
          <t>RelayTrip</t>
        </is>
      </c>
      <c r="D193" s="2" t="inlineStr">
        <is>
          <t>PROT</t>
        </is>
      </c>
      <c r="E193" s="2" t="inlineStr">
        <is>
          <t>Read</t>
        </is>
      </c>
      <c r="F193" s="2" t="inlineStr">
        <is>
          <t>null@null___NORMAL@ATUADO___RelayTrip_S_TS_SA</t>
        </is>
      </c>
      <c r="G193" s="2">
        <f>VLOOKUP(F193,'Message Mapping'!A:L,3,FALSE)</f>
        <v/>
      </c>
      <c r="H193" s="2">
        <f>VLOOKUP(F193,'Message Mapping'!A:L,4,FALSE)</f>
        <v/>
      </c>
      <c r="I193" s="2" t="n"/>
      <c r="J193" s="3">
        <f>VLOOKUP(F193,'Message Mapping'!A:L,12,FALSE)</f>
        <v/>
      </c>
      <c r="K193" s="3" t="n"/>
      <c r="L193" s="3" t="n"/>
      <c r="M193" s="3" t="n"/>
      <c r="N193" s="3" t="n"/>
      <c r="O193" s="3" t="n"/>
      <c r="P193" s="3" t="n"/>
    </row>
    <row r="194">
      <c r="A194" s="94" t="inlineStr">
        <is>
          <t>67NT1</t>
        </is>
      </c>
      <c r="B194" s="2" t="inlineStr">
        <is>
          <t>67 - DIRECIONAL SOBRECORRENTE NEUTRO TEMPORIZADO E1</t>
        </is>
      </c>
      <c r="C194" s="2" t="inlineStr">
        <is>
          <t>RelayTrip</t>
        </is>
      </c>
      <c r="D194" s="2" t="inlineStr">
        <is>
          <t>PROT</t>
        </is>
      </c>
      <c r="E194" s="2" t="inlineStr">
        <is>
          <t>Read</t>
        </is>
      </c>
      <c r="F194" s="2" t="inlineStr">
        <is>
          <t>null@null___NORMAL@ATUADO___RelayTrip_S_TS_SA</t>
        </is>
      </c>
      <c r="G194" s="2">
        <f>VLOOKUP(F194,'Message Mapping'!A:L,3,FALSE)</f>
        <v/>
      </c>
      <c r="H194" s="2">
        <f>VLOOKUP(F194,'Message Mapping'!A:L,4,FALSE)</f>
        <v/>
      </c>
      <c r="I194" s="2" t="n"/>
      <c r="J194" s="3">
        <f>VLOOKUP(F194,'Message Mapping'!A:L,12,FALSE)</f>
        <v/>
      </c>
      <c r="K194" s="3" t="n"/>
      <c r="L194" s="3" t="n"/>
      <c r="M194" s="3" t="n"/>
      <c r="N194" s="3" t="n"/>
      <c r="O194" s="3" t="n"/>
      <c r="P194" s="3" t="n"/>
    </row>
    <row r="195">
      <c r="A195" s="94" t="inlineStr">
        <is>
          <t>67NT2</t>
        </is>
      </c>
      <c r="B195" s="2" t="inlineStr">
        <is>
          <t>67 - DIRECIONAL SOBRECORRENTE NEUTRO TEMPORIZADO E2</t>
        </is>
      </c>
      <c r="C195" s="2" t="inlineStr">
        <is>
          <t>RelayTrip</t>
        </is>
      </c>
      <c r="D195" s="2" t="inlineStr">
        <is>
          <t>PROT</t>
        </is>
      </c>
      <c r="E195" s="2" t="inlineStr">
        <is>
          <t>Read</t>
        </is>
      </c>
      <c r="F195" s="2" t="inlineStr">
        <is>
          <t>null@null___NORMAL@ATUADO___RelayTrip_S_TS_SA</t>
        </is>
      </c>
      <c r="G195" s="2">
        <f>VLOOKUP(F195,'Message Mapping'!A:L,3,FALSE)</f>
        <v/>
      </c>
      <c r="H195" s="2">
        <f>VLOOKUP(F195,'Message Mapping'!A:L,4,FALSE)</f>
        <v/>
      </c>
      <c r="I195" s="2" t="n"/>
      <c r="J195" s="3">
        <f>VLOOKUP(F195,'Message Mapping'!A:L,12,FALSE)</f>
        <v/>
      </c>
      <c r="K195" s="3" t="n"/>
      <c r="L195" s="3" t="n"/>
      <c r="M195" s="3" t="n"/>
      <c r="N195" s="3" t="n"/>
      <c r="O195" s="3" t="n"/>
      <c r="P195" s="3" t="n"/>
    </row>
    <row r="196">
      <c r="A196" s="94" t="inlineStr">
        <is>
          <t>67FTR</t>
        </is>
      </c>
      <c r="B196" s="2" t="inlineStr">
        <is>
          <t>67 - DIRECIONAL SOBRECORRENTE REVERSO FASE TEMPORIZADA</t>
        </is>
      </c>
      <c r="C196" s="2" t="inlineStr">
        <is>
          <t>RelayTrip</t>
        </is>
      </c>
      <c r="D196" s="2" t="inlineStr">
        <is>
          <t>PROT</t>
        </is>
      </c>
      <c r="E196" s="2" t="inlineStr">
        <is>
          <t>Read</t>
        </is>
      </c>
      <c r="F196" s="2" t="inlineStr">
        <is>
          <t>null@null___NORMAL@ATUADO___RelayTrip_S_TS_SA</t>
        </is>
      </c>
      <c r="G196" s="2">
        <f>VLOOKUP(F196,'Message Mapping'!A:L,3,FALSE)</f>
        <v/>
      </c>
      <c r="H196" s="2">
        <f>VLOOKUP(F196,'Message Mapping'!A:L,4,FALSE)</f>
        <v/>
      </c>
      <c r="I196" s="2" t="n"/>
      <c r="J196" s="3">
        <f>VLOOKUP(F196,'Message Mapping'!A:L,12,FALSE)</f>
        <v/>
      </c>
      <c r="K196" s="3" t="n"/>
      <c r="L196" s="3" t="n"/>
      <c r="M196" s="3" t="n"/>
      <c r="N196" s="3" t="n"/>
      <c r="O196" s="3" t="n"/>
      <c r="P196" s="3" t="n"/>
    </row>
    <row r="197">
      <c r="A197" s="94" t="inlineStr">
        <is>
          <t>67NTR</t>
        </is>
      </c>
      <c r="B197" s="2" t="inlineStr">
        <is>
          <t>67 - DIRECIONAL SOBRECORRENTE REVERSO NEUTRO TEMPORIZADA</t>
        </is>
      </c>
      <c r="C197" s="2" t="inlineStr">
        <is>
          <t>RelayTrip</t>
        </is>
      </c>
      <c r="D197" s="2" t="inlineStr">
        <is>
          <t>PROT</t>
        </is>
      </c>
      <c r="E197" s="2" t="inlineStr">
        <is>
          <t>Read</t>
        </is>
      </c>
      <c r="F197" s="2" t="inlineStr">
        <is>
          <t>null@null___NORMAL@ATUADO___RelayTrip_S_TS_SA</t>
        </is>
      </c>
      <c r="G197" s="2">
        <f>VLOOKUP(F197,'Message Mapping'!A:L,3,FALSE)</f>
        <v/>
      </c>
      <c r="H197" s="2">
        <f>VLOOKUP(F197,'Message Mapping'!A:L,4,FALSE)</f>
        <v/>
      </c>
      <c r="I197" s="2" t="n"/>
      <c r="J197" s="3">
        <f>VLOOKUP(F197,'Message Mapping'!A:L,12,FALSE)</f>
        <v/>
      </c>
      <c r="K197" s="3" t="n"/>
      <c r="L197" s="3" t="n"/>
      <c r="M197" s="3" t="n"/>
      <c r="N197" s="3" t="n"/>
      <c r="O197" s="3" t="n"/>
      <c r="P197" s="3" t="n"/>
    </row>
    <row r="198">
      <c r="A198" s="94" t="inlineStr">
        <is>
          <t>67</t>
        </is>
      </c>
      <c r="B198" s="6" t="inlineStr">
        <is>
          <t>67 - FUNCAO DIRECIONAL SOBRECORRENTE</t>
        </is>
      </c>
      <c r="C198" s="2" t="inlineStr">
        <is>
          <t>Enabled</t>
        </is>
      </c>
      <c r="D198" s="2" t="inlineStr">
        <is>
          <t>FUNCÕES/43/PARALELISMO</t>
        </is>
      </c>
      <c r="E198" s="2" t="inlineStr">
        <is>
          <t>ReadWrite</t>
        </is>
      </c>
      <c r="F198" s="2" t="inlineStr">
        <is>
          <t>INCLUIR@EXCLUIR___INCLUIDO@EXCLUIDO___Enabled_S_TC_SS</t>
        </is>
      </c>
      <c r="G198" s="2">
        <f>VLOOKUP(F198,'Message Mapping'!A:L,3,FALSE)</f>
        <v/>
      </c>
      <c r="H198" s="2">
        <f>VLOOKUP(F198,'Message Mapping'!A:L,4,FALSE)</f>
        <v/>
      </c>
      <c r="I198" s="2" t="n"/>
      <c r="J198" s="3">
        <f>VLOOKUP(F198,'Message Mapping'!A:L,12,FALSE)</f>
        <v/>
      </c>
      <c r="K198" s="3" t="n"/>
      <c r="L198" s="3" t="n"/>
      <c r="M198" s="3" t="n"/>
      <c r="N198" s="3" t="n"/>
      <c r="O198" s="3" t="n"/>
      <c r="P198" s="3" t="n"/>
    </row>
    <row r="199">
      <c r="A199" s="94" t="inlineStr">
        <is>
          <t>67</t>
        </is>
      </c>
      <c r="B199" s="2" t="inlineStr">
        <is>
          <t>67 - FUNCAO DIRECIONAL SOBRECORRENTE</t>
        </is>
      </c>
      <c r="C199" s="2" t="inlineStr">
        <is>
          <t>Enabled</t>
        </is>
      </c>
      <c r="D199" s="2" t="inlineStr">
        <is>
          <t>FUNCÕES/43/PARALELISMO</t>
        </is>
      </c>
      <c r="E199" s="2" t="inlineStr">
        <is>
          <t>Read</t>
        </is>
      </c>
      <c r="F199" s="2" t="inlineStr">
        <is>
          <t>null@null___INCLUIDO@EXCLUIDO___Enabled_S_TS_SS</t>
        </is>
      </c>
      <c r="G199" s="2">
        <f>VLOOKUP(F199,'Message Mapping'!A:L,3,FALSE)</f>
        <v/>
      </c>
      <c r="H199" s="2">
        <f>VLOOKUP(F199,'Message Mapping'!A:L,4,FALSE)</f>
        <v/>
      </c>
      <c r="I199" s="2" t="n"/>
      <c r="J199" s="3">
        <f>VLOOKUP(F199,'Message Mapping'!A:L,12,FALSE)</f>
        <v/>
      </c>
      <c r="K199" s="3" t="n"/>
      <c r="L199" s="3" t="n"/>
      <c r="M199" s="3" t="n"/>
      <c r="N199" s="3" t="n"/>
      <c r="O199" s="3" t="n"/>
      <c r="P199" s="3" t="n"/>
    </row>
    <row r="200">
      <c r="A200" s="94" t="inlineStr">
        <is>
          <t>67NX</t>
        </is>
      </c>
      <c r="B200" s="2" t="inlineStr">
        <is>
          <t>67 - FUNCAO DIRECIONAL SOBRECORRENTE NEUTRO</t>
        </is>
      </c>
      <c r="C200" s="2" t="inlineStr">
        <is>
          <t>Enabled</t>
        </is>
      </c>
      <c r="D200" s="2" t="inlineStr">
        <is>
          <t>FUNCÕES/43/PARALELISMO</t>
        </is>
      </c>
      <c r="E200" s="2" t="inlineStr">
        <is>
          <t>ReadWrite</t>
        </is>
      </c>
      <c r="F200" s="2" t="inlineStr">
        <is>
          <t>INCLUIR@EXCLUIR___INCLUIDO@EXCLUIDO___Enabled_S_TC_SS</t>
        </is>
      </c>
      <c r="G200" s="2">
        <f>VLOOKUP(F200,'Message Mapping'!A:L,3,FALSE)</f>
        <v/>
      </c>
      <c r="H200" s="2">
        <f>VLOOKUP(F200,'Message Mapping'!A:L,4,FALSE)</f>
        <v/>
      </c>
      <c r="I200" s="2" t="n"/>
      <c r="J200" s="3">
        <f>VLOOKUP(F200,'Message Mapping'!A:L,12,FALSE)</f>
        <v/>
      </c>
      <c r="K200" s="3" t="n"/>
      <c r="L200" s="3" t="n"/>
      <c r="M200" s="3" t="n"/>
      <c r="N200" s="3" t="n"/>
      <c r="O200" s="3" t="n"/>
      <c r="P200" s="3" t="n"/>
    </row>
    <row r="201">
      <c r="A201" s="94" t="inlineStr">
        <is>
          <t>67NX</t>
        </is>
      </c>
      <c r="B201" s="2" t="inlineStr">
        <is>
          <t>67 - FUNCAO DIRECIONAL SOBRECORRENTE NEUTRO</t>
        </is>
      </c>
      <c r="C201" s="2" t="inlineStr">
        <is>
          <t>Enabled</t>
        </is>
      </c>
      <c r="D201" s="2" t="inlineStr">
        <is>
          <t>FUNCÕES/43/PARALELISMO</t>
        </is>
      </c>
      <c r="E201" s="2" t="inlineStr">
        <is>
          <t>Read</t>
        </is>
      </c>
      <c r="F201" s="2" t="inlineStr">
        <is>
          <t>null@null___INCLUIDO@EXCLUIDO___Enabled_S_TS_SS</t>
        </is>
      </c>
      <c r="G201" s="2">
        <f>VLOOKUP(F201,'Message Mapping'!A:L,3,FALSE)</f>
        <v/>
      </c>
      <c r="H201" s="2">
        <f>VLOOKUP(F201,'Message Mapping'!A:L,4,FALSE)</f>
        <v/>
      </c>
      <c r="I201" s="2" t="n"/>
      <c r="J201" s="3">
        <f>VLOOKUP(F201,'Message Mapping'!A:L,12,FALSE)</f>
        <v/>
      </c>
      <c r="K201" s="3" t="n"/>
      <c r="L201" s="3" t="n"/>
      <c r="M201" s="3" t="n"/>
      <c r="N201" s="3" t="n"/>
      <c r="O201" s="3" t="n"/>
      <c r="P201" s="3" t="n"/>
    </row>
    <row r="202">
      <c r="A202" s="94" t="inlineStr">
        <is>
          <t>67_T</t>
        </is>
      </c>
      <c r="B202" s="2" t="inlineStr">
        <is>
          <t>67 - TRIP DIRECIONAL SOBRECORRENTE</t>
        </is>
      </c>
      <c r="C202" s="2" t="inlineStr">
        <is>
          <t>RelayTrip</t>
        </is>
      </c>
      <c r="D202" s="2" t="inlineStr">
        <is>
          <t>PROT</t>
        </is>
      </c>
      <c r="E202" s="2" t="inlineStr">
        <is>
          <t>Read</t>
        </is>
      </c>
      <c r="F202" s="2" t="inlineStr">
        <is>
          <t>null@null___NORMAL@ATUADO___RelayTrip_S_TS_SA</t>
        </is>
      </c>
      <c r="G202" s="2">
        <f>VLOOKUP(F202,'Message Mapping'!A:L,3,FALSE)</f>
        <v/>
      </c>
      <c r="H202" s="2">
        <f>VLOOKUP(F202,'Message Mapping'!A:L,4,FALSE)</f>
        <v/>
      </c>
      <c r="I202" s="2" t="n"/>
      <c r="J202" s="3">
        <f>VLOOKUP(F202,'Message Mapping'!A:L,12,FALSE)</f>
        <v/>
      </c>
      <c r="K202" s="3" t="n"/>
      <c r="L202" s="3" t="n"/>
      <c r="M202" s="3" t="n"/>
      <c r="N202" s="3" t="n"/>
      <c r="O202" s="3" t="n"/>
      <c r="P202" s="3" t="n"/>
    </row>
    <row r="203">
      <c r="A203" s="94" t="inlineStr">
        <is>
          <t>67FD</t>
        </is>
      </c>
      <c r="B203" s="2" t="inlineStr">
        <is>
          <t>67 - DIRECIONAL SOBRECORRENTE DIRETO FASE</t>
        </is>
      </c>
      <c r="C203" s="2" t="inlineStr">
        <is>
          <t>RelayTrip</t>
        </is>
      </c>
      <c r="D203" s="2" t="inlineStr">
        <is>
          <t>PROT</t>
        </is>
      </c>
      <c r="E203" s="2" t="inlineStr">
        <is>
          <t>Read</t>
        </is>
      </c>
      <c r="F203" s="2" t="inlineStr">
        <is>
          <t>null@null___NORMAL@ATUADO___RelayTrip_S_TS_SA</t>
        </is>
      </c>
      <c r="G203" s="2">
        <f>VLOOKUP(F203,'Message Mapping'!A:L,3,FALSE)</f>
        <v/>
      </c>
      <c r="H203" s="2">
        <f>VLOOKUP(F203,'Message Mapping'!A:L,4,FALSE)</f>
        <v/>
      </c>
      <c r="I203" s="2" t="n"/>
      <c r="J203" s="3">
        <f>VLOOKUP(F203,'Message Mapping'!A:L,12,FALSE)</f>
        <v/>
      </c>
      <c r="K203" s="3" t="n"/>
      <c r="L203" s="3" t="n"/>
      <c r="M203" s="3" t="n"/>
      <c r="N203" s="3" t="n"/>
      <c r="O203" s="3" t="n"/>
      <c r="P203" s="3" t="n"/>
    </row>
    <row r="204">
      <c r="A204" s="94" t="inlineStr">
        <is>
          <t>67ND</t>
        </is>
      </c>
      <c r="B204" s="2" t="inlineStr">
        <is>
          <t>67 - DIRECIONAL SOBRECORRENTE DIRETO NEUTRO</t>
        </is>
      </c>
      <c r="C204" s="2" t="inlineStr">
        <is>
          <t>RelayTrip</t>
        </is>
      </c>
      <c r="D204" s="2" t="inlineStr">
        <is>
          <t>PROT</t>
        </is>
      </c>
      <c r="E204" s="2" t="inlineStr">
        <is>
          <t>Read</t>
        </is>
      </c>
      <c r="F204" s="2" t="inlineStr">
        <is>
          <t>null@null___NORMAL@ATUADO___RelayTrip_S_TS_SA</t>
        </is>
      </c>
      <c r="G204" s="2">
        <f>VLOOKUP(F204,'Message Mapping'!A:L,3,FALSE)</f>
        <v/>
      </c>
      <c r="H204" s="2">
        <f>VLOOKUP(F204,'Message Mapping'!A:L,4,FALSE)</f>
        <v/>
      </c>
      <c r="I204" s="2" t="n"/>
      <c r="J204" s="3">
        <f>VLOOKUP(F204,'Message Mapping'!A:L,12,FALSE)</f>
        <v/>
      </c>
      <c r="K204" s="3" t="n"/>
      <c r="L204" s="3" t="n"/>
      <c r="M204" s="3" t="n"/>
      <c r="N204" s="3" t="n"/>
      <c r="O204" s="3" t="n"/>
      <c r="P204" s="3" t="n"/>
    </row>
    <row r="205">
      <c r="A205" s="94" t="inlineStr">
        <is>
          <t>67FR</t>
        </is>
      </c>
      <c r="B205" s="2" t="inlineStr">
        <is>
          <t>67 - DIRECIONAL SOBRECORRENTE REVERSO FASE</t>
        </is>
      </c>
      <c r="C205" s="2" t="inlineStr">
        <is>
          <t>RelayTrip</t>
        </is>
      </c>
      <c r="D205" s="2" t="inlineStr">
        <is>
          <t>PROT</t>
        </is>
      </c>
      <c r="E205" s="2" t="inlineStr">
        <is>
          <t>Read</t>
        </is>
      </c>
      <c r="F205" s="2" t="inlineStr">
        <is>
          <t>null@null___NORMAL@ATUADO___RelayTrip_S_TS_SA</t>
        </is>
      </c>
      <c r="G205" s="2">
        <f>VLOOKUP(F205,'Message Mapping'!A:L,3,FALSE)</f>
        <v/>
      </c>
      <c r="H205" s="2">
        <f>VLOOKUP(F205,'Message Mapping'!A:L,4,FALSE)</f>
        <v/>
      </c>
      <c r="I205" s="2" t="n"/>
      <c r="J205" s="3">
        <f>VLOOKUP(F205,'Message Mapping'!A:L,12,FALSE)</f>
        <v/>
      </c>
      <c r="K205" s="3" t="n"/>
      <c r="L205" s="3" t="n"/>
      <c r="M205" s="3" t="n"/>
      <c r="N205" s="3" t="n"/>
      <c r="O205" s="3" t="n"/>
      <c r="P205" s="3" t="n"/>
    </row>
    <row r="206">
      <c r="A206" s="94" t="inlineStr">
        <is>
          <t>67NR</t>
        </is>
      </c>
      <c r="B206" s="2" t="inlineStr">
        <is>
          <t>67 - DIRECIONAL SOBRECORRENTE REVERSO NEUTRO</t>
        </is>
      </c>
      <c r="C206" s="2" t="inlineStr">
        <is>
          <t>RelayTrip</t>
        </is>
      </c>
      <c r="D206" s="2" t="inlineStr">
        <is>
          <t>PROT</t>
        </is>
      </c>
      <c r="E206" s="2" t="inlineStr">
        <is>
          <t>Read</t>
        </is>
      </c>
      <c r="F206" s="2" t="inlineStr">
        <is>
          <t>null@null___NORMAL@ATUADO___RelayTrip_S_TS_SA</t>
        </is>
      </c>
      <c r="G206" s="2">
        <f>VLOOKUP(F206,'Message Mapping'!A:L,3,FALSE)</f>
        <v/>
      </c>
      <c r="H206" s="2">
        <f>VLOOKUP(F206,'Message Mapping'!A:L,4,FALSE)</f>
        <v/>
      </c>
      <c r="I206" s="2" t="n"/>
      <c r="J206" s="3">
        <f>VLOOKUP(F206,'Message Mapping'!A:L,12,FALSE)</f>
        <v/>
      </c>
      <c r="K206" s="3" t="n"/>
      <c r="L206" s="3" t="n"/>
      <c r="M206" s="3" t="n"/>
      <c r="N206" s="3" t="n"/>
      <c r="O206" s="3" t="n"/>
      <c r="P206" s="3" t="n"/>
    </row>
    <row r="207">
      <c r="A207" s="94" t="inlineStr">
        <is>
          <t>71H</t>
        </is>
      </c>
      <c r="B207" s="2" t="inlineStr">
        <is>
          <t>71 - NIVEL ALTO OLEO</t>
        </is>
      </c>
      <c r="C207" s="2" t="inlineStr">
        <is>
          <t>Custom</t>
        </is>
      </c>
      <c r="D207" s="2" t="inlineStr">
        <is>
          <t>PROT</t>
        </is>
      </c>
      <c r="E207" s="2" t="inlineStr">
        <is>
          <t>Read</t>
        </is>
      </c>
      <c r="F207" s="2" t="inlineStr">
        <is>
          <t>null@null___NORMAL@ATUADO___Custom_S_TS_SA</t>
        </is>
      </c>
      <c r="G207" s="2">
        <f>VLOOKUP(F207,'Message Mapping'!A:L,3,FALSE)</f>
        <v/>
      </c>
      <c r="H207" s="2">
        <f>VLOOKUP(F207,'Message Mapping'!A:L,4,FALSE)</f>
        <v/>
      </c>
      <c r="I207" s="2" t="n"/>
      <c r="J207" s="3">
        <f>VLOOKUP(F207,'Message Mapping'!A:L,12,FALSE)</f>
        <v/>
      </c>
      <c r="K207" s="3" t="n"/>
      <c r="L207" s="3" t="n"/>
      <c r="M207" s="3" t="n"/>
      <c r="N207" s="3" t="n"/>
      <c r="O207" s="3" t="n"/>
      <c r="P207" s="3" t="n"/>
    </row>
    <row r="208">
      <c r="A208" s="94" t="inlineStr">
        <is>
          <t>71CH</t>
        </is>
      </c>
      <c r="B208" s="2" t="inlineStr">
        <is>
          <t>71 - NIVEL ALTO OLEO CDC</t>
        </is>
      </c>
      <c r="C208" s="2" t="inlineStr">
        <is>
          <t>Custom</t>
        </is>
      </c>
      <c r="D208" s="2" t="inlineStr">
        <is>
          <t>PROT</t>
        </is>
      </c>
      <c r="E208" s="2" t="inlineStr">
        <is>
          <t>Read</t>
        </is>
      </c>
      <c r="F208" s="2" t="inlineStr">
        <is>
          <t>null@null___NORMAL@ATUADO___Custom_S_TS_SA</t>
        </is>
      </c>
      <c r="G208" s="2">
        <f>VLOOKUP(F208,'Message Mapping'!A:L,3,FALSE)</f>
        <v/>
      </c>
      <c r="H208" s="2">
        <f>VLOOKUP(F208,'Message Mapping'!A:L,4,FALSE)</f>
        <v/>
      </c>
      <c r="I208" s="2" t="n"/>
      <c r="J208" s="3">
        <f>VLOOKUP(F208,'Message Mapping'!A:L,12,FALSE)</f>
        <v/>
      </c>
      <c r="K208" s="3" t="n"/>
      <c r="L208" s="3" t="n"/>
      <c r="M208" s="3" t="n"/>
      <c r="N208" s="3" t="n"/>
      <c r="O208" s="3" t="n"/>
      <c r="P208" s="3" t="n"/>
    </row>
    <row r="209">
      <c r="A209" s="94" t="inlineStr">
        <is>
          <t>71HI</t>
        </is>
      </c>
      <c r="B209" s="2" t="inlineStr">
        <is>
          <t>71 - NIVEL ALTO OLEO CDC OU TRAFO</t>
        </is>
      </c>
      <c r="C209" s="2" t="inlineStr">
        <is>
          <t>Custom</t>
        </is>
      </c>
      <c r="D209" s="2" t="inlineStr">
        <is>
          <t>PROT</t>
        </is>
      </c>
      <c r="E209" s="2" t="inlineStr">
        <is>
          <t>Read</t>
        </is>
      </c>
      <c r="F209" s="2" t="inlineStr">
        <is>
          <t>null@null___NORMAL@ATUADO___Custom_S_TS_SA</t>
        </is>
      </c>
      <c r="G209" s="2">
        <f>VLOOKUP(F209,'Message Mapping'!A:L,3,FALSE)</f>
        <v/>
      </c>
      <c r="H209" s="2">
        <f>VLOOKUP(F209,'Message Mapping'!A:L,4,FALSE)</f>
        <v/>
      </c>
      <c r="I209" s="2" t="n"/>
      <c r="J209" s="3">
        <f>VLOOKUP(F209,'Message Mapping'!A:L,12,FALSE)</f>
        <v/>
      </c>
      <c r="K209" s="3" t="n"/>
      <c r="L209" s="3" t="n"/>
      <c r="M209" s="3" t="n"/>
      <c r="N209" s="3" t="n"/>
      <c r="O209" s="3" t="n"/>
      <c r="P209" s="3" t="n"/>
    </row>
    <row r="210">
      <c r="A210" s="94" t="inlineStr">
        <is>
          <t>71TH</t>
        </is>
      </c>
      <c r="B210" s="2" t="inlineStr">
        <is>
          <t>71 - NIVEL ALTO OLEO TRAFO</t>
        </is>
      </c>
      <c r="C210" s="2" t="inlineStr">
        <is>
          <t>Custom</t>
        </is>
      </c>
      <c r="D210" s="2" t="inlineStr">
        <is>
          <t>PROT</t>
        </is>
      </c>
      <c r="E210" s="2" t="inlineStr">
        <is>
          <t>Read</t>
        </is>
      </c>
      <c r="F210" s="2" t="inlineStr">
        <is>
          <t>null@null___NORMAL@ATUADO___Custom_S_TS_SA</t>
        </is>
      </c>
      <c r="G210" s="2">
        <f>VLOOKUP(F210,'Message Mapping'!A:L,3,FALSE)</f>
        <v/>
      </c>
      <c r="H210" s="2">
        <f>VLOOKUP(F210,'Message Mapping'!A:L,4,FALSE)</f>
        <v/>
      </c>
      <c r="I210" s="2" t="n"/>
      <c r="J210" s="3">
        <f>VLOOKUP(F210,'Message Mapping'!A:L,12,FALSE)</f>
        <v/>
      </c>
      <c r="K210" s="3" t="n"/>
      <c r="L210" s="3" t="n"/>
      <c r="M210" s="3" t="n"/>
      <c r="N210" s="3" t="n"/>
      <c r="O210" s="3" t="n"/>
      <c r="P210" s="3" t="n"/>
    </row>
    <row r="211">
      <c r="A211" s="94" t="inlineStr">
        <is>
          <t>71L</t>
        </is>
      </c>
      <c r="B211" s="2" t="inlineStr">
        <is>
          <t xml:space="preserve">71 - NIVEL BAIXO OLEO  </t>
        </is>
      </c>
      <c r="C211" s="2" t="inlineStr">
        <is>
          <t>Custom</t>
        </is>
      </c>
      <c r="D211" s="2" t="inlineStr">
        <is>
          <t>PROT</t>
        </is>
      </c>
      <c r="E211" s="2" t="inlineStr">
        <is>
          <t>Read</t>
        </is>
      </c>
      <c r="F211" s="2" t="inlineStr">
        <is>
          <t>null@null___NORMAL@ATUADO___Custom_S_TS_SA</t>
        </is>
      </c>
      <c r="G211" s="2">
        <f>VLOOKUP(F211,'Message Mapping'!A:L,3,FALSE)</f>
        <v/>
      </c>
      <c r="H211" s="2">
        <f>VLOOKUP(F211,'Message Mapping'!A:L,4,FALSE)</f>
        <v/>
      </c>
      <c r="I211" s="2" t="n"/>
      <c r="J211" s="3">
        <f>VLOOKUP(F211,'Message Mapping'!A:L,12,FALSE)</f>
        <v/>
      </c>
      <c r="K211" s="3" t="n"/>
      <c r="L211" s="3" t="n"/>
      <c r="M211" s="3" t="n"/>
      <c r="N211" s="3" t="n"/>
      <c r="O211" s="3" t="n"/>
      <c r="P211" s="3" t="n"/>
    </row>
    <row r="212">
      <c r="A212" s="94" t="inlineStr">
        <is>
          <t>71CL</t>
        </is>
      </c>
      <c r="B212" s="2" t="inlineStr">
        <is>
          <t>71 - NIVEL BAIXO OLEO CDC</t>
        </is>
      </c>
      <c r="C212" s="2" t="inlineStr">
        <is>
          <t>Custom</t>
        </is>
      </c>
      <c r="D212" s="2" t="inlineStr">
        <is>
          <t>PROT</t>
        </is>
      </c>
      <c r="E212" s="2" t="inlineStr">
        <is>
          <t>Read</t>
        </is>
      </c>
      <c r="F212" s="2" t="inlineStr">
        <is>
          <t>null@null___NORMAL@ATUADO___Custom_S_TS_SA</t>
        </is>
      </c>
      <c r="G212" s="2">
        <f>VLOOKUP(F212,'Message Mapping'!A:L,3,FALSE)</f>
        <v/>
      </c>
      <c r="H212" s="2">
        <f>VLOOKUP(F212,'Message Mapping'!A:L,4,FALSE)</f>
        <v/>
      </c>
      <c r="I212" s="2" t="n"/>
      <c r="J212" s="3">
        <f>VLOOKUP(F212,'Message Mapping'!A:L,12,FALSE)</f>
        <v/>
      </c>
      <c r="K212" s="3" t="n"/>
      <c r="L212" s="3" t="n"/>
      <c r="M212" s="3" t="n"/>
      <c r="N212" s="3" t="n"/>
      <c r="O212" s="3" t="n"/>
      <c r="P212" s="3" t="n"/>
    </row>
    <row r="213">
      <c r="A213" s="94" t="inlineStr">
        <is>
          <t>71LO</t>
        </is>
      </c>
      <c r="B213" s="2" t="inlineStr">
        <is>
          <t>71 - NIVEL BAIXO OLEO CDC OU TRAFO</t>
        </is>
      </c>
      <c r="C213" s="2" t="inlineStr">
        <is>
          <t>Custom</t>
        </is>
      </c>
      <c r="D213" s="2" t="inlineStr">
        <is>
          <t>PROT</t>
        </is>
      </c>
      <c r="E213" s="2" t="inlineStr">
        <is>
          <t>Read</t>
        </is>
      </c>
      <c r="F213" s="2" t="inlineStr">
        <is>
          <t>null@null___NORMAL@ATUADO___Custom_S_TS_SA</t>
        </is>
      </c>
      <c r="G213" s="2">
        <f>VLOOKUP(F213,'Message Mapping'!A:L,3,FALSE)</f>
        <v/>
      </c>
      <c r="H213" s="2">
        <f>VLOOKUP(F213,'Message Mapping'!A:L,4,FALSE)</f>
        <v/>
      </c>
      <c r="I213" s="2" t="n"/>
      <c r="J213" s="3">
        <f>VLOOKUP(F213,'Message Mapping'!A:L,12,FALSE)</f>
        <v/>
      </c>
      <c r="K213" s="3" t="n"/>
      <c r="L213" s="3" t="n"/>
      <c r="M213" s="3" t="n"/>
      <c r="N213" s="3" t="n"/>
      <c r="O213" s="3" t="n"/>
      <c r="P213" s="3" t="n"/>
    </row>
    <row r="214">
      <c r="A214" s="94" t="inlineStr">
        <is>
          <t>71TL</t>
        </is>
      </c>
      <c r="B214" s="2" t="inlineStr">
        <is>
          <t>71 - NIVEL BAIXO OLEO TRAFO</t>
        </is>
      </c>
      <c r="C214" s="2" t="inlineStr">
        <is>
          <t>Custom</t>
        </is>
      </c>
      <c r="D214" s="2" t="inlineStr">
        <is>
          <t>PROT</t>
        </is>
      </c>
      <c r="E214" s="2" t="inlineStr">
        <is>
          <t>Read</t>
        </is>
      </c>
      <c r="F214" s="2" t="inlineStr">
        <is>
          <t>null@null___NORMAL@ATUADO___Custom_S_TS_SA</t>
        </is>
      </c>
      <c r="G214" s="2">
        <f>VLOOKUP(F214,'Message Mapping'!A:L,3,FALSE)</f>
        <v/>
      </c>
      <c r="H214" s="2">
        <f>VLOOKUP(F214,'Message Mapping'!A:L,4,FALSE)</f>
        <v/>
      </c>
      <c r="I214" s="2" t="n"/>
      <c r="J214" s="3">
        <f>VLOOKUP(F214,'Message Mapping'!A:L,12,FALSE)</f>
        <v/>
      </c>
      <c r="K214" s="3" t="n"/>
      <c r="L214" s="3" t="n"/>
      <c r="M214" s="3" t="n"/>
      <c r="N214" s="3" t="n"/>
      <c r="O214" s="3" t="n"/>
      <c r="P214" s="3" t="n"/>
    </row>
    <row r="215">
      <c r="A215" s="94" t="inlineStr">
        <is>
          <t>71</t>
        </is>
      </c>
      <c r="B215" s="2" t="inlineStr">
        <is>
          <t>71 - NIVEL OLEO</t>
        </is>
      </c>
      <c r="C215" s="2" t="inlineStr">
        <is>
          <t>Custom</t>
        </is>
      </c>
      <c r="D215" s="2" t="inlineStr">
        <is>
          <t>PROT</t>
        </is>
      </c>
      <c r="E215" s="2" t="inlineStr">
        <is>
          <t>Read</t>
        </is>
      </c>
      <c r="F215" s="2" t="inlineStr">
        <is>
          <t>null@null___NORMAL@ATUADO___Custom_S_TS_SA</t>
        </is>
      </c>
      <c r="G215" s="2">
        <f>VLOOKUP(F215,'Message Mapping'!A:L,3,FALSE)</f>
        <v/>
      </c>
      <c r="H215" s="2">
        <f>VLOOKUP(F215,'Message Mapping'!A:L,4,FALSE)</f>
        <v/>
      </c>
      <c r="I215" s="2" t="n"/>
      <c r="J215" s="3">
        <f>VLOOKUP(F215,'Message Mapping'!A:L,12,FALSE)</f>
        <v/>
      </c>
      <c r="K215" s="3" t="n"/>
      <c r="L215" s="3" t="n"/>
      <c r="M215" s="3" t="n"/>
      <c r="N215" s="3" t="n"/>
      <c r="O215" s="3" t="n"/>
      <c r="P215" s="3" t="n"/>
    </row>
    <row r="216">
      <c r="A216" s="94" t="inlineStr">
        <is>
          <t>71C</t>
        </is>
      </c>
      <c r="B216" s="2" t="inlineStr">
        <is>
          <t>71 - NIVEL OLEO CDC</t>
        </is>
      </c>
      <c r="C216" s="2" t="inlineStr">
        <is>
          <t>Custom</t>
        </is>
      </c>
      <c r="D216" s="2" t="inlineStr">
        <is>
          <t>PROT</t>
        </is>
      </c>
      <c r="E216" s="2" t="inlineStr">
        <is>
          <t>Read</t>
        </is>
      </c>
      <c r="F216" s="2" t="inlineStr">
        <is>
          <t>null@null___NORMAL@ATUADO___Custom_S_TS_SA</t>
        </is>
      </c>
      <c r="G216" s="2">
        <f>VLOOKUP(F216,'Message Mapping'!A:L,3,FALSE)</f>
        <v/>
      </c>
      <c r="H216" s="2">
        <f>VLOOKUP(F216,'Message Mapping'!A:L,4,FALSE)</f>
        <v/>
      </c>
      <c r="I216" s="2" t="n"/>
      <c r="J216" s="3">
        <f>VLOOKUP(F216,'Message Mapping'!A:L,12,FALSE)</f>
        <v/>
      </c>
      <c r="K216" s="3" t="n"/>
      <c r="L216" s="3" t="n"/>
      <c r="M216" s="3" t="n"/>
      <c r="N216" s="3" t="n"/>
      <c r="O216" s="3" t="n"/>
      <c r="P216" s="3" t="n"/>
    </row>
    <row r="217">
      <c r="A217" s="94" t="inlineStr">
        <is>
          <t>71TC</t>
        </is>
      </c>
      <c r="B217" s="2" t="inlineStr">
        <is>
          <t>71 - NIVEL OLEO CDC OU TRAFO</t>
        </is>
      </c>
      <c r="C217" s="2" t="inlineStr">
        <is>
          <t>Custom</t>
        </is>
      </c>
      <c r="D217" s="2" t="inlineStr">
        <is>
          <t>PROT</t>
        </is>
      </c>
      <c r="E217" s="2" t="inlineStr">
        <is>
          <t>Read</t>
        </is>
      </c>
      <c r="F217" s="2" t="inlineStr">
        <is>
          <t>null@null___NORMAL@ATUADO___Custom_S_TS_SA</t>
        </is>
      </c>
      <c r="G217" s="2">
        <f>VLOOKUP(F217,'Message Mapping'!A:L,3,FALSE)</f>
        <v/>
      </c>
      <c r="H217" s="2">
        <f>VLOOKUP(F217,'Message Mapping'!A:L,4,FALSE)</f>
        <v/>
      </c>
      <c r="I217" s="2" t="n"/>
      <c r="J217" s="3">
        <f>VLOOKUP(F217,'Message Mapping'!A:L,12,FALSE)</f>
        <v/>
      </c>
      <c r="K217" s="3" t="n"/>
      <c r="L217" s="3" t="n"/>
      <c r="M217" s="3" t="n"/>
      <c r="N217" s="3" t="n"/>
      <c r="O217" s="3" t="n"/>
      <c r="P217" s="3" t="n"/>
    </row>
    <row r="218">
      <c r="A218" s="94" t="inlineStr">
        <is>
          <t>71T</t>
        </is>
      </c>
      <c r="B218" s="2" t="inlineStr">
        <is>
          <t>71 - NIVEL OLEO TRAFO</t>
        </is>
      </c>
      <c r="C218" s="2" t="inlineStr">
        <is>
          <t>Custom</t>
        </is>
      </c>
      <c r="D218" s="2" t="inlineStr">
        <is>
          <t>PROT</t>
        </is>
      </c>
      <c r="E218" s="2" t="inlineStr">
        <is>
          <t>Read</t>
        </is>
      </c>
      <c r="F218" s="2" t="inlineStr">
        <is>
          <t>null@null___NORMAL@ATUADO___Custom_S_TS_SA</t>
        </is>
      </c>
      <c r="G218" s="2">
        <f>VLOOKUP(F218,'Message Mapping'!A:L,3,FALSE)</f>
        <v/>
      </c>
      <c r="H218" s="2">
        <f>VLOOKUP(F218,'Message Mapping'!A:L,4,FALSE)</f>
        <v/>
      </c>
      <c r="I218" s="2" t="n"/>
      <c r="J218" s="3">
        <f>VLOOKUP(F218,'Message Mapping'!A:L,12,FALSE)</f>
        <v/>
      </c>
      <c r="K218" s="3" t="n"/>
      <c r="L218" s="3" t="n"/>
      <c r="M218" s="3" t="n"/>
      <c r="N218" s="3" t="n"/>
      <c r="O218" s="3" t="n"/>
      <c r="P218" s="3" t="n"/>
    </row>
    <row r="219">
      <c r="A219" s="94" t="inlineStr">
        <is>
          <t>78_T</t>
        </is>
      </c>
      <c r="B219" s="2" t="inlineStr">
        <is>
          <t>78 - DESEQUILIBRIO ANGULO FASE</t>
        </is>
      </c>
      <c r="C219" s="2" t="inlineStr">
        <is>
          <t>RelayTrip</t>
        </is>
      </c>
      <c r="D219" s="2" t="inlineStr">
        <is>
          <t>PROT</t>
        </is>
      </c>
      <c r="E219" s="2" t="inlineStr">
        <is>
          <t>Read</t>
        </is>
      </c>
      <c r="F219" s="2" t="inlineStr">
        <is>
          <t>null@null___NORMAL@ATUADO___RelayTrip_S_TS_SA</t>
        </is>
      </c>
      <c r="G219" s="2">
        <f>VLOOKUP(F219,'Message Mapping'!A:L,3,FALSE)</f>
        <v/>
      </c>
      <c r="H219" s="2">
        <f>VLOOKUP(F219,'Message Mapping'!A:L,4,FALSE)</f>
        <v/>
      </c>
      <c r="I219" s="2" t="n"/>
      <c r="J219" s="3">
        <f>VLOOKUP(F219,'Message Mapping'!A:L,12,FALSE)</f>
        <v/>
      </c>
      <c r="K219" s="3" t="n"/>
      <c r="L219" s="3" t="n"/>
      <c r="M219" s="3" t="n"/>
      <c r="N219" s="3" t="n"/>
      <c r="O219" s="3" t="n"/>
      <c r="P219" s="3" t="n"/>
    </row>
    <row r="220">
      <c r="A220" s="94" t="inlineStr">
        <is>
          <t>78VS</t>
        </is>
      </c>
      <c r="B220" s="2" t="inlineStr">
        <is>
          <t>78 - SALTO VETOR ANTI-ILHAMENTO</t>
        </is>
      </c>
      <c r="C220" s="2" t="inlineStr">
        <is>
          <t>RelayTrip</t>
        </is>
      </c>
      <c r="D220" s="2" t="inlineStr">
        <is>
          <t>PROT</t>
        </is>
      </c>
      <c r="E220" s="2" t="inlineStr">
        <is>
          <t>Read</t>
        </is>
      </c>
      <c r="F220" s="2" t="inlineStr">
        <is>
          <t>null@null___NORMAL@ATUADO___RelayTrip_S_TS_SA</t>
        </is>
      </c>
      <c r="G220" s="2">
        <f>VLOOKUP(F220,'Message Mapping'!A:L,3,FALSE)</f>
        <v/>
      </c>
      <c r="H220" s="2">
        <f>VLOOKUP(F220,'Message Mapping'!A:L,4,FALSE)</f>
        <v/>
      </c>
      <c r="I220" s="2" t="n"/>
      <c r="J220" s="3">
        <f>VLOOKUP(F220,'Message Mapping'!A:L,12,FALSE)</f>
        <v/>
      </c>
      <c r="K220" s="3" t="n"/>
      <c r="L220" s="3" t="n"/>
      <c r="M220" s="3" t="n"/>
      <c r="N220" s="3" t="n"/>
      <c r="O220" s="3" t="n"/>
      <c r="P220" s="3" t="n"/>
    </row>
    <row r="221">
      <c r="A221" s="94" t="inlineStr">
        <is>
          <t>79</t>
        </is>
      </c>
      <c r="B221" s="2" t="inlineStr">
        <is>
          <t>79 - FUNCAO RELIGAMENTO</t>
        </is>
      </c>
      <c r="C221" s="2" t="inlineStr">
        <is>
          <t>ReclosingEnabled</t>
        </is>
      </c>
      <c r="D221" s="2" t="inlineStr">
        <is>
          <t>FUNCÕES/43/PARALELISMO</t>
        </is>
      </c>
      <c r="E221" s="2" t="inlineStr">
        <is>
          <t>ReadWrite</t>
        </is>
      </c>
      <c r="F221" s="2" t="inlineStr">
        <is>
          <t>INCLUIR@EXCLUIR___INCLUIDO@EXCLUIDO___Enabled_S_TC_SS</t>
        </is>
      </c>
      <c r="G221" s="2">
        <f>VLOOKUP(F221,'Message Mapping'!A:L,3,FALSE)</f>
        <v/>
      </c>
      <c r="H221" s="2">
        <f>VLOOKUP(F221,'Message Mapping'!A:L,4,FALSE)</f>
        <v/>
      </c>
      <c r="I221" s="2" t="n"/>
      <c r="J221" s="3">
        <f>VLOOKUP(F221,'Message Mapping'!A:L,12,FALSE)</f>
        <v/>
      </c>
      <c r="K221" s="3" t="n"/>
      <c r="L221" s="3" t="n"/>
      <c r="M221" s="3" t="n"/>
      <c r="N221" s="3" t="n"/>
      <c r="O221" s="3" t="n"/>
      <c r="P221" s="3" t="n"/>
    </row>
    <row r="222">
      <c r="A222" s="94" t="inlineStr">
        <is>
          <t>79</t>
        </is>
      </c>
      <c r="B222" s="2" t="inlineStr">
        <is>
          <t>79 - FUNCAO RELIGAMENTO</t>
        </is>
      </c>
      <c r="C222" s="2" t="inlineStr">
        <is>
          <t>ReclosingEnabled</t>
        </is>
      </c>
      <c r="D222" s="2" t="inlineStr">
        <is>
          <t>FUNCÕES/43/PARALELISMO</t>
        </is>
      </c>
      <c r="E222" s="2" t="inlineStr">
        <is>
          <t>Read</t>
        </is>
      </c>
      <c r="F222" s="2" t="inlineStr">
        <is>
          <t>null@null___INCLUIDO@EXCLUIDO___Enabled_S_TS_SS</t>
        </is>
      </c>
      <c r="G222" s="2">
        <f>VLOOKUP(F222,'Message Mapping'!A:L,3,FALSE)</f>
        <v/>
      </c>
      <c r="H222" s="2">
        <f>VLOOKUP(F222,'Message Mapping'!A:L,4,FALSE)</f>
        <v/>
      </c>
      <c r="I222" s="2" t="n"/>
      <c r="J222" s="3">
        <f>VLOOKUP(F222,'Message Mapping'!A:L,12,FALSE)</f>
        <v/>
      </c>
      <c r="K222" s="3" t="n"/>
      <c r="L222" s="3" t="n"/>
      <c r="M222" s="3" t="n"/>
      <c r="N222" s="3" t="n"/>
      <c r="O222" s="3" t="n"/>
      <c r="P222" s="3" t="n"/>
    </row>
    <row r="223">
      <c r="A223" s="94" t="inlineStr">
        <is>
          <t>79_1</t>
        </is>
      </c>
      <c r="B223" s="2" t="inlineStr">
        <is>
          <t>79 - PARTIDA RELIGAMENTO</t>
        </is>
      </c>
      <c r="C223" s="2" t="inlineStr">
        <is>
          <t>Custom</t>
        </is>
      </c>
      <c r="D223" s="2" t="inlineStr">
        <is>
          <t>PROT</t>
        </is>
      </c>
      <c r="E223" s="2" t="inlineStr">
        <is>
          <t>Read</t>
        </is>
      </c>
      <c r="F223" s="2" t="inlineStr">
        <is>
          <t>null@null___NORMAL@ATUADO___Custom_S_TS_SA</t>
        </is>
      </c>
      <c r="G223" s="2">
        <f>VLOOKUP(F223,'Message Mapping'!A:L,3,FALSE)</f>
        <v/>
      </c>
      <c r="H223" s="2">
        <f>VLOOKUP(F223,'Message Mapping'!A:L,4,FALSE)</f>
        <v/>
      </c>
      <c r="I223" s="2" t="n"/>
      <c r="J223" s="3">
        <f>VLOOKUP(F223,'Message Mapping'!A:L,12,FALSE)</f>
        <v/>
      </c>
      <c r="K223" s="3" t="n"/>
      <c r="L223" s="3" t="n"/>
      <c r="M223" s="3" t="n"/>
      <c r="N223" s="3" t="n"/>
      <c r="O223" s="3" t="n"/>
      <c r="P223" s="3" t="n"/>
    </row>
    <row r="224">
      <c r="A224" s="94" t="inlineStr">
        <is>
          <t>79LO</t>
        </is>
      </c>
      <c r="B224" s="2" t="inlineStr">
        <is>
          <t>79 - RELIGAMENTO BLOQUEADO</t>
        </is>
      </c>
      <c r="C224" s="2" t="inlineStr">
        <is>
          <t>RecloserLockout</t>
        </is>
      </c>
      <c r="D224" s="2" t="inlineStr">
        <is>
          <t>PROT</t>
        </is>
      </c>
      <c r="E224" s="2" t="inlineStr">
        <is>
          <t>Read</t>
        </is>
      </c>
      <c r="F224" s="2" t="inlineStr">
        <is>
          <t>null@null___NORMAL@ATUADO___RecloserLockout_S_TS_SA</t>
        </is>
      </c>
      <c r="G224" s="2">
        <f>VLOOKUP(F224,'Message Mapping'!A:L,3,FALSE)</f>
        <v/>
      </c>
      <c r="H224" s="2">
        <f>VLOOKUP(F224,'Message Mapping'!A:L,4,FALSE)</f>
        <v/>
      </c>
      <c r="I224" s="2" t="n"/>
      <c r="J224" s="3">
        <f>VLOOKUP(F224,'Message Mapping'!A:L,12,FALSE)</f>
        <v/>
      </c>
      <c r="K224" s="3" t="n"/>
      <c r="L224" s="3" t="n"/>
      <c r="M224" s="3" t="n"/>
      <c r="N224" s="3" t="n"/>
      <c r="O224" s="3" t="n"/>
      <c r="P224" s="3" t="n"/>
    </row>
    <row r="225">
      <c r="A225" s="94" t="inlineStr">
        <is>
          <t>79OK</t>
        </is>
      </c>
      <c r="B225" s="2" t="inlineStr">
        <is>
          <t>79 - RELIGAMENTO COM SUCESSO</t>
        </is>
      </c>
      <c r="C225" s="2" t="inlineStr">
        <is>
          <t>Custom</t>
        </is>
      </c>
      <c r="D225" s="2" t="inlineStr">
        <is>
          <t>PROT</t>
        </is>
      </c>
      <c r="E225" s="2" t="inlineStr">
        <is>
          <t>Read</t>
        </is>
      </c>
      <c r="F225" s="2" t="inlineStr">
        <is>
          <t>null@null___NORMAL@ATUADO___Custom_S_TS_SA</t>
        </is>
      </c>
      <c r="G225" s="2">
        <f>VLOOKUP(F225,'Message Mapping'!A:L,3,FALSE)</f>
        <v/>
      </c>
      <c r="H225" s="2">
        <f>VLOOKUP(F225,'Message Mapping'!A:L,4,FALSE)</f>
        <v/>
      </c>
      <c r="I225" s="2" t="n"/>
      <c r="J225" s="3">
        <f>VLOOKUP(F225,'Message Mapping'!A:L,12,FALSE)</f>
        <v/>
      </c>
      <c r="K225" s="3" t="n"/>
      <c r="L225" s="3" t="n"/>
      <c r="M225" s="3" t="n"/>
      <c r="N225" s="3" t="n"/>
      <c r="O225" s="3" t="n"/>
      <c r="P225" s="3" t="n"/>
    </row>
    <row r="226">
      <c r="A226" s="94" t="inlineStr">
        <is>
          <t>79_EXC</t>
        </is>
      </c>
      <c r="B226" s="2" t="inlineStr">
        <is>
          <t>79 - EXCLUIR RELIGAMENTO</t>
        </is>
      </c>
      <c r="C226" s="2" t="inlineStr">
        <is>
          <t>Custom</t>
        </is>
      </c>
      <c r="D226" s="2" t="inlineStr">
        <is>
          <t>PROT</t>
        </is>
      </c>
      <c r="E226" s="2" t="inlineStr">
        <is>
          <t>Write</t>
        </is>
      </c>
      <c r="F226" s="2" t="inlineStr">
        <is>
          <t>null@EXCLUIR___null@null___ReclosingEnabled___admsINV_D_TC_SS</t>
        </is>
      </c>
      <c r="G226" s="2">
        <f>VLOOKUP(F226,'Message Mapping'!A:L,3,FALSE)</f>
        <v/>
      </c>
      <c r="H226" s="2">
        <f>VLOOKUP(F226,'Message Mapping'!A:L,4,FALSE)</f>
        <v/>
      </c>
      <c r="I226" s="2" t="n"/>
      <c r="J226" s="3">
        <f>VLOOKUP(F226,'Message Mapping'!A:L,12,FALSE)</f>
        <v/>
      </c>
      <c r="K226" s="3" t="n"/>
      <c r="L226" s="3" t="n"/>
      <c r="M226" s="3" t="n"/>
      <c r="N226" s="3" t="n"/>
      <c r="O226" s="3" t="n"/>
      <c r="P226" s="3" t="n"/>
    </row>
    <row r="227">
      <c r="A227" s="94" t="inlineStr">
        <is>
          <t>79_INC</t>
        </is>
      </c>
      <c r="B227" s="2" t="inlineStr">
        <is>
          <t>79 - INCLUIR RELIGAMENTO</t>
        </is>
      </c>
      <c r="C227" s="2" t="inlineStr">
        <is>
          <t>Custom</t>
        </is>
      </c>
      <c r="D227" s="2" t="inlineStr">
        <is>
          <t>PROT</t>
        </is>
      </c>
      <c r="E227" s="2" t="inlineStr">
        <is>
          <t>Write</t>
        </is>
      </c>
      <c r="F227" s="2" t="inlineStr">
        <is>
          <t>INCLUIR@null___null@null___ReclosingEnabled___admsINV_D_TC_SS</t>
        </is>
      </c>
      <c r="G227" s="2">
        <f>VLOOKUP(F227,'Message Mapping'!A:L,3,FALSE)</f>
        <v/>
      </c>
      <c r="H227" s="2">
        <f>VLOOKUP(F227,'Message Mapping'!A:L,4,FALSE)</f>
        <v/>
      </c>
      <c r="I227" s="2" t="n"/>
      <c r="J227" s="3">
        <f>VLOOKUP(F227,'Message Mapping'!A:L,12,FALSE)</f>
        <v/>
      </c>
      <c r="K227" s="3" t="n"/>
      <c r="L227" s="3" t="n"/>
      <c r="M227" s="3" t="n"/>
      <c r="N227" s="3" t="n"/>
      <c r="O227" s="3" t="n"/>
      <c r="P227" s="3" t="n"/>
    </row>
    <row r="228">
      <c r="A228" s="94" t="inlineStr">
        <is>
          <t>79RE</t>
        </is>
      </c>
      <c r="B228" s="2" t="inlineStr">
        <is>
          <t>79 - RELIGAMENTO PRONTO</t>
        </is>
      </c>
      <c r="C228" s="2" t="inlineStr">
        <is>
          <t>Custom</t>
        </is>
      </c>
      <c r="D228" s="2" t="inlineStr">
        <is>
          <t>PROT</t>
        </is>
      </c>
      <c r="E228" s="2" t="inlineStr">
        <is>
          <t>Read</t>
        </is>
      </c>
      <c r="F228" s="2" t="inlineStr">
        <is>
          <t>null@null___NORMAL@ATUADO___Custom_S_TS_SA</t>
        </is>
      </c>
      <c r="G228" s="2">
        <f>VLOOKUP(F228,'Message Mapping'!A:L,3,FALSE)</f>
        <v/>
      </c>
      <c r="H228" s="2">
        <f>VLOOKUP(F228,'Message Mapping'!A:L,4,FALSE)</f>
        <v/>
      </c>
      <c r="I228" s="2" t="n"/>
      <c r="J228" s="3">
        <f>VLOOKUP(F228,'Message Mapping'!A:L,12,FALSE)</f>
        <v/>
      </c>
      <c r="K228" s="3" t="n"/>
      <c r="L228" s="3" t="n"/>
      <c r="M228" s="3" t="n"/>
      <c r="N228" s="3" t="n"/>
      <c r="O228" s="3" t="n"/>
      <c r="P228" s="3" t="n"/>
    </row>
    <row r="229">
      <c r="A229" s="94" t="inlineStr">
        <is>
          <t>79TF</t>
        </is>
      </c>
      <c r="B229" s="2" t="inlineStr">
        <is>
          <t>79 - RELIGAMENTO TRANSFERIDO</t>
        </is>
      </c>
      <c r="C229" s="2" t="inlineStr">
        <is>
          <t>Custom</t>
        </is>
      </c>
      <c r="D229" s="2" t="inlineStr">
        <is>
          <t>PROT</t>
        </is>
      </c>
      <c r="E229" s="2" t="inlineStr">
        <is>
          <t>Read</t>
        </is>
      </c>
      <c r="F229" s="2" t="inlineStr">
        <is>
          <t>null@null___NORMAL@ATUADO___Custom_S_TS_SA</t>
        </is>
      </c>
      <c r="G229" s="2">
        <f>VLOOKUP(F229,'Message Mapping'!A:L,3,FALSE)</f>
        <v/>
      </c>
      <c r="H229" s="2">
        <f>VLOOKUP(F229,'Message Mapping'!A:L,4,FALSE)</f>
        <v/>
      </c>
      <c r="I229" s="2" t="n"/>
      <c r="J229" s="3">
        <f>VLOOKUP(F229,'Message Mapping'!A:L,12,FALSE)</f>
        <v/>
      </c>
      <c r="K229" s="3" t="n"/>
      <c r="L229" s="3" t="n"/>
      <c r="M229" s="3" t="n"/>
      <c r="N229" s="3" t="n"/>
      <c r="O229" s="3" t="n"/>
      <c r="P229" s="3" t="n"/>
    </row>
    <row r="230">
      <c r="A230" s="94" t="inlineStr">
        <is>
          <t>81</t>
        </is>
      </c>
      <c r="B230" s="2" t="inlineStr">
        <is>
          <t xml:space="preserve">81 - FUNCAO SUB/SOB FREQUENCIA </t>
        </is>
      </c>
      <c r="C230" s="2" t="inlineStr">
        <is>
          <t>Enabled</t>
        </is>
      </c>
      <c r="D230" s="2" t="inlineStr">
        <is>
          <t>FUNCÕES/43/PARALELISMO</t>
        </is>
      </c>
      <c r="E230" s="2" t="inlineStr">
        <is>
          <t>ReadWrite</t>
        </is>
      </c>
      <c r="F230" s="2" t="inlineStr">
        <is>
          <t>INCLUIR@EXCLUIR___INCLUIDO@EXCLUIDO___Enabled_S_TC_SS</t>
        </is>
      </c>
      <c r="G230" s="2">
        <f>VLOOKUP(F230,'Message Mapping'!A:L,3,FALSE)</f>
        <v/>
      </c>
      <c r="H230" s="2">
        <f>VLOOKUP(F230,'Message Mapping'!A:L,4,FALSE)</f>
        <v/>
      </c>
      <c r="I230" s="2" t="n"/>
      <c r="J230" s="3">
        <f>VLOOKUP(F230,'Message Mapping'!A:L,12,FALSE)</f>
        <v/>
      </c>
      <c r="K230" s="3" t="n"/>
      <c r="L230" s="3" t="n"/>
      <c r="M230" s="3" t="n"/>
      <c r="N230" s="3" t="n"/>
      <c r="O230" s="3" t="n"/>
      <c r="P230" s="3" t="n"/>
    </row>
    <row r="231">
      <c r="A231" s="94" t="inlineStr">
        <is>
          <t>81</t>
        </is>
      </c>
      <c r="B231" s="2" t="inlineStr">
        <is>
          <t xml:space="preserve">81 - FUNCAO SUB/SOB FREQUENCIA </t>
        </is>
      </c>
      <c r="C231" s="2" t="inlineStr">
        <is>
          <t>Enabled</t>
        </is>
      </c>
      <c r="D231" s="2" t="inlineStr">
        <is>
          <t>FUNCÕES/43/PARALELISMO</t>
        </is>
      </c>
      <c r="E231" s="2" t="inlineStr">
        <is>
          <t>Read</t>
        </is>
      </c>
      <c r="F231" s="2" t="inlineStr">
        <is>
          <t>null@null___INCLUIDO@EXCLUIDO___Enabled_S_TS_SS</t>
        </is>
      </c>
      <c r="G231" s="2">
        <f>VLOOKUP(F231,'Message Mapping'!A:L,3,FALSE)</f>
        <v/>
      </c>
      <c r="H231" s="2">
        <f>VLOOKUP(F231,'Message Mapping'!A:L,4,FALSE)</f>
        <v/>
      </c>
      <c r="I231" s="2" t="n"/>
      <c r="J231" s="3">
        <f>VLOOKUP(F231,'Message Mapping'!A:L,12,FALSE)</f>
        <v/>
      </c>
      <c r="K231" s="3" t="n"/>
      <c r="L231" s="3" t="n"/>
      <c r="M231" s="3" t="n"/>
      <c r="N231" s="3" t="n"/>
      <c r="O231" s="3" t="n"/>
      <c r="P231" s="3" t="n"/>
    </row>
    <row r="232">
      <c r="A232" s="94" t="inlineStr">
        <is>
          <t>81SO</t>
        </is>
      </c>
      <c r="B232" s="2" t="inlineStr">
        <is>
          <t>81 - TRIP SOBRE FREQUENCIA</t>
        </is>
      </c>
      <c r="C232" s="2" t="inlineStr">
        <is>
          <t>RelayTrip</t>
        </is>
      </c>
      <c r="D232" s="2" t="inlineStr">
        <is>
          <t>PROT</t>
        </is>
      </c>
      <c r="E232" s="2" t="inlineStr">
        <is>
          <t>Read</t>
        </is>
      </c>
      <c r="F232" s="2" t="inlineStr">
        <is>
          <t>null@null___NORMAL@ATUADO___Custom_S_TS_SA</t>
        </is>
      </c>
      <c r="G232" s="2">
        <f>VLOOKUP(F232,'Message Mapping'!A:L,3,FALSE)</f>
        <v/>
      </c>
      <c r="H232" s="2">
        <f>VLOOKUP(F232,'Message Mapping'!A:L,4,FALSE)</f>
        <v/>
      </c>
      <c r="I232" s="2" t="n"/>
      <c r="J232" s="3">
        <f>VLOOKUP(F232,'Message Mapping'!A:L,12,FALSE)</f>
        <v/>
      </c>
      <c r="K232" s="3" t="n"/>
      <c r="L232" s="3" t="n"/>
      <c r="M232" s="3" t="n"/>
      <c r="N232" s="3" t="n"/>
      <c r="O232" s="3" t="n"/>
      <c r="P232" s="3" t="n"/>
    </row>
    <row r="233">
      <c r="A233" s="94" t="inlineStr">
        <is>
          <t>81O1</t>
        </is>
      </c>
      <c r="B233" s="2" t="inlineStr">
        <is>
          <t>81 - TRIP SOBRE FREQUENCIA E1</t>
        </is>
      </c>
      <c r="C233" s="2" t="inlineStr">
        <is>
          <t>RelayTrip</t>
        </is>
      </c>
      <c r="D233" s="2" t="inlineStr">
        <is>
          <t>PROT</t>
        </is>
      </c>
      <c r="E233" s="2" t="inlineStr">
        <is>
          <t>Read</t>
        </is>
      </c>
      <c r="F233" s="2" t="inlineStr">
        <is>
          <t>null@null___NORMAL@ATUADO___Custom_S_TS_SA</t>
        </is>
      </c>
      <c r="G233" s="2">
        <f>VLOOKUP(F233,'Message Mapping'!A:L,3,FALSE)</f>
        <v/>
      </c>
      <c r="H233" s="2">
        <f>VLOOKUP(F233,'Message Mapping'!A:L,4,FALSE)</f>
        <v/>
      </c>
      <c r="I233" s="2" t="n"/>
      <c r="J233" s="3">
        <f>VLOOKUP(F233,'Message Mapping'!A:L,12,FALSE)</f>
        <v/>
      </c>
      <c r="K233" s="3" t="n"/>
      <c r="L233" s="3" t="n"/>
      <c r="M233" s="3" t="n"/>
      <c r="N233" s="3" t="n"/>
      <c r="O233" s="3" t="n"/>
      <c r="P233" s="3" t="n"/>
    </row>
    <row r="234">
      <c r="A234" s="94" t="inlineStr">
        <is>
          <t>81O2</t>
        </is>
      </c>
      <c r="B234" s="2" t="inlineStr">
        <is>
          <t>81 - TRIP SOBRE FREQUENCIA E2</t>
        </is>
      </c>
      <c r="C234" s="2" t="inlineStr">
        <is>
          <t>RelayTrip</t>
        </is>
      </c>
      <c r="D234" s="2" t="inlineStr">
        <is>
          <t>PROT</t>
        </is>
      </c>
      <c r="E234" s="2" t="inlineStr">
        <is>
          <t>Read</t>
        </is>
      </c>
      <c r="F234" s="2" t="inlineStr">
        <is>
          <t>null@null___NORMAL@ATUADO___Custom_S_TS_SA</t>
        </is>
      </c>
      <c r="G234" s="2">
        <f>VLOOKUP(F234,'Message Mapping'!A:L,3,FALSE)</f>
        <v/>
      </c>
      <c r="H234" s="2">
        <f>VLOOKUP(F234,'Message Mapping'!A:L,4,FALSE)</f>
        <v/>
      </c>
      <c r="I234" s="2" t="n"/>
      <c r="J234" s="3">
        <f>VLOOKUP(F234,'Message Mapping'!A:L,12,FALSE)</f>
        <v/>
      </c>
      <c r="K234" s="3" t="n"/>
      <c r="L234" s="3" t="n"/>
      <c r="M234" s="3" t="n"/>
      <c r="N234" s="3" t="n"/>
      <c r="O234" s="3" t="n"/>
      <c r="P234" s="3" t="n"/>
    </row>
    <row r="235">
      <c r="A235" s="94" t="inlineStr">
        <is>
          <t>81SU</t>
        </is>
      </c>
      <c r="B235" s="2" t="inlineStr">
        <is>
          <t>81 - TRIP SUB FREQUENCIA</t>
        </is>
      </c>
      <c r="C235" s="2" t="inlineStr">
        <is>
          <t>RelayTrip</t>
        </is>
      </c>
      <c r="D235" s="2" t="inlineStr">
        <is>
          <t>PROT</t>
        </is>
      </c>
      <c r="E235" s="2" t="inlineStr">
        <is>
          <t>Read</t>
        </is>
      </c>
      <c r="F235" s="2" t="inlineStr">
        <is>
          <t>null@null___NORMAL@ATUADO___Custom_S_TS_SA</t>
        </is>
      </c>
      <c r="G235" s="2">
        <f>VLOOKUP(F235,'Message Mapping'!A:L,3,FALSE)</f>
        <v/>
      </c>
      <c r="H235" s="2">
        <f>VLOOKUP(F235,'Message Mapping'!A:L,4,FALSE)</f>
        <v/>
      </c>
      <c r="I235" s="2" t="n"/>
      <c r="J235" s="3">
        <f>VLOOKUP(F235,'Message Mapping'!A:L,12,FALSE)</f>
        <v/>
      </c>
      <c r="K235" s="3" t="n"/>
      <c r="L235" s="3" t="n"/>
      <c r="M235" s="3" t="n"/>
      <c r="N235" s="3" t="n"/>
      <c r="O235" s="3" t="n"/>
      <c r="P235" s="3" t="n"/>
    </row>
    <row r="236">
      <c r="A236" s="94" t="inlineStr">
        <is>
          <t>81_T</t>
        </is>
      </c>
      <c r="B236" s="2" t="inlineStr">
        <is>
          <t xml:space="preserve">81 - TRIP SUB/SOBRE FREQUENCIA </t>
        </is>
      </c>
      <c r="C236" s="2" t="inlineStr">
        <is>
          <t>RelayTrip</t>
        </is>
      </c>
      <c r="D236" s="2" t="inlineStr">
        <is>
          <t>PROT</t>
        </is>
      </c>
      <c r="E236" s="2" t="inlineStr">
        <is>
          <t>Read</t>
        </is>
      </c>
      <c r="F236" s="2" t="inlineStr">
        <is>
          <t>null@null___NORMAL@ATUADO___Custom_S_TS_SA</t>
        </is>
      </c>
      <c r="G236" s="2">
        <f>VLOOKUP(F236,'Message Mapping'!A:L,3,FALSE)</f>
        <v/>
      </c>
      <c r="H236" s="2">
        <f>VLOOKUP(F236,'Message Mapping'!A:L,4,FALSE)</f>
        <v/>
      </c>
      <c r="I236" s="2" t="n"/>
      <c r="J236" s="3">
        <f>VLOOKUP(F236,'Message Mapping'!A:L,12,FALSE)</f>
        <v/>
      </c>
      <c r="K236" s="3" t="n"/>
      <c r="L236" s="3" t="n"/>
      <c r="M236" s="3" t="n"/>
      <c r="N236" s="3" t="n"/>
      <c r="O236" s="3" t="n"/>
      <c r="P236" s="3" t="n"/>
    </row>
    <row r="237">
      <c r="A237" s="94" t="inlineStr">
        <is>
          <t>81IE1</t>
        </is>
      </c>
      <c r="B237" s="5" t="inlineStr">
        <is>
          <t>81 - TRIP SUB/SOBRE FREQUENCIA E1</t>
        </is>
      </c>
      <c r="C237" s="2" t="inlineStr">
        <is>
          <t>RelayTrip</t>
        </is>
      </c>
      <c r="D237" s="2" t="inlineStr">
        <is>
          <t>PROT</t>
        </is>
      </c>
      <c r="E237" s="2" t="inlineStr">
        <is>
          <t>Read</t>
        </is>
      </c>
      <c r="F237" s="2" t="inlineStr">
        <is>
          <t>null@null___NORMAL@ATUADO___Custom_S_TS_SA</t>
        </is>
      </c>
      <c r="G237" s="2">
        <f>VLOOKUP(F237,'Message Mapping'!A:L,3,FALSE)</f>
        <v/>
      </c>
      <c r="H237" s="2">
        <f>VLOOKUP(F237,'Message Mapping'!A:L,4,FALSE)</f>
        <v/>
      </c>
      <c r="I237" s="2" t="n"/>
      <c r="J237" s="3">
        <f>VLOOKUP(F237,'Message Mapping'!A:L,12,FALSE)</f>
        <v/>
      </c>
      <c r="K237" s="3" t="n"/>
      <c r="L237" s="3" t="n"/>
      <c r="M237" s="3" t="n"/>
      <c r="N237" s="3" t="n"/>
      <c r="O237" s="3" t="n"/>
      <c r="P237" s="3" t="n"/>
    </row>
    <row r="238">
      <c r="A238" s="94" t="inlineStr">
        <is>
          <t>81IE2</t>
        </is>
      </c>
      <c r="B238" s="5" t="inlineStr">
        <is>
          <t>81 - TRIP SUB/SOBRE FREQUENCIA E2</t>
        </is>
      </c>
      <c r="C238" s="2" t="inlineStr">
        <is>
          <t>RelayTrip</t>
        </is>
      </c>
      <c r="D238" s="2" t="inlineStr">
        <is>
          <t>PROT</t>
        </is>
      </c>
      <c r="E238" s="2" t="inlineStr">
        <is>
          <t>Read</t>
        </is>
      </c>
      <c r="F238" s="2" t="inlineStr">
        <is>
          <t>null@null___NORMAL@ATUADO___Custom_S_TS_SA</t>
        </is>
      </c>
      <c r="G238" s="2">
        <f>VLOOKUP(F238,'Message Mapping'!A:L,3,FALSE)</f>
        <v/>
      </c>
      <c r="H238" s="2">
        <f>VLOOKUP(F238,'Message Mapping'!A:L,4,FALSE)</f>
        <v/>
      </c>
      <c r="I238" s="2" t="n"/>
      <c r="J238" s="3">
        <f>VLOOKUP(F238,'Message Mapping'!A:L,12,FALSE)</f>
        <v/>
      </c>
      <c r="K238" s="3" t="n"/>
      <c r="L238" s="3" t="n"/>
      <c r="M238" s="3" t="n"/>
      <c r="N238" s="3" t="n"/>
      <c r="O238" s="3" t="n"/>
      <c r="P238" s="3" t="n"/>
    </row>
    <row r="239">
      <c r="A239" s="94" t="inlineStr">
        <is>
          <t>81E1</t>
        </is>
      </c>
      <c r="B239" s="2" t="inlineStr">
        <is>
          <t>81 - TRIP SUB/SOBRE FREQUENCIA E1</t>
        </is>
      </c>
      <c r="C239" s="2" t="inlineStr">
        <is>
          <t>RelayTrip</t>
        </is>
      </c>
      <c r="D239" s="2" t="inlineStr">
        <is>
          <t>PROT</t>
        </is>
      </c>
      <c r="E239" s="2" t="inlineStr">
        <is>
          <t>Read</t>
        </is>
      </c>
      <c r="F239" s="2" t="inlineStr">
        <is>
          <t>null@null___NORMAL@ATUADO___Custom_S_TS_SA</t>
        </is>
      </c>
      <c r="G239" s="2">
        <f>VLOOKUP(F239,'Message Mapping'!A:L,3,FALSE)</f>
        <v/>
      </c>
      <c r="H239" s="2">
        <f>VLOOKUP(F239,'Message Mapping'!A:L,4,FALSE)</f>
        <v/>
      </c>
      <c r="I239" s="2" t="n"/>
      <c r="J239" s="3">
        <f>VLOOKUP(F239,'Message Mapping'!A:L,12,FALSE)</f>
        <v/>
      </c>
      <c r="K239" s="3" t="n"/>
      <c r="L239" s="3" t="n"/>
      <c r="M239" s="3" t="n"/>
      <c r="N239" s="3" t="n"/>
      <c r="O239" s="3" t="n"/>
      <c r="P239" s="3" t="n"/>
    </row>
    <row r="240">
      <c r="A240" s="94" t="inlineStr">
        <is>
          <t>81E2</t>
        </is>
      </c>
      <c r="B240" s="2" t="inlineStr">
        <is>
          <t>81 - TRIP SUB/SOBRE FREQUENCIA E2</t>
        </is>
      </c>
      <c r="C240" s="2" t="inlineStr">
        <is>
          <t>RelayTrip</t>
        </is>
      </c>
      <c r="D240" s="2" t="inlineStr">
        <is>
          <t>PROT</t>
        </is>
      </c>
      <c r="E240" s="2" t="inlineStr">
        <is>
          <t>Read</t>
        </is>
      </c>
      <c r="F240" s="2" t="inlineStr">
        <is>
          <t>null@null___NORMAL@ATUADO___Custom_S_TS_SA</t>
        </is>
      </c>
      <c r="G240" s="2">
        <f>VLOOKUP(F240,'Message Mapping'!A:L,3,FALSE)</f>
        <v/>
      </c>
      <c r="H240" s="2">
        <f>VLOOKUP(F240,'Message Mapping'!A:L,4,FALSE)</f>
        <v/>
      </c>
      <c r="I240" s="2" t="n"/>
      <c r="J240" s="3">
        <f>VLOOKUP(F240,'Message Mapping'!A:L,12,FALSE)</f>
        <v/>
      </c>
      <c r="K240" s="3" t="n"/>
      <c r="L240" s="3" t="n"/>
      <c r="M240" s="3" t="n"/>
      <c r="N240" s="3" t="n"/>
      <c r="O240" s="3" t="n"/>
      <c r="P240" s="3" t="n"/>
    </row>
    <row r="241">
      <c r="A241" s="94" t="inlineStr">
        <is>
          <t>81E3</t>
        </is>
      </c>
      <c r="B241" s="2" t="inlineStr">
        <is>
          <t>81 - TRIP SUB/SOBRE FREQUENCIA E3</t>
        </is>
      </c>
      <c r="C241" s="2" t="inlineStr">
        <is>
          <t>RelayTrip</t>
        </is>
      </c>
      <c r="D241" s="2" t="inlineStr">
        <is>
          <t>PROT</t>
        </is>
      </c>
      <c r="E241" s="2" t="inlineStr">
        <is>
          <t>Read</t>
        </is>
      </c>
      <c r="F241" s="2" t="inlineStr">
        <is>
          <t>null@null___NORMAL@ATUADO___Custom_S_TS_SA</t>
        </is>
      </c>
      <c r="G241" s="2">
        <f>VLOOKUP(F241,'Message Mapping'!A:L,3,FALSE)</f>
        <v/>
      </c>
      <c r="H241" s="2">
        <f>VLOOKUP(F241,'Message Mapping'!A:L,4,FALSE)</f>
        <v/>
      </c>
      <c r="I241" s="2" t="n"/>
      <c r="J241" s="3">
        <f>VLOOKUP(F241,'Message Mapping'!A:L,12,FALSE)</f>
        <v/>
      </c>
      <c r="K241" s="3" t="n"/>
      <c r="L241" s="3" t="n"/>
      <c r="M241" s="3" t="n"/>
      <c r="N241" s="3" t="n"/>
      <c r="O241" s="3" t="n"/>
      <c r="P241" s="3" t="n"/>
    </row>
    <row r="242">
      <c r="A242" s="94" t="inlineStr">
        <is>
          <t>81E4</t>
        </is>
      </c>
      <c r="B242" s="2" t="inlineStr">
        <is>
          <t>81 - TRIP SUB/SOBRE FREQUENCIA E4</t>
        </is>
      </c>
      <c r="C242" s="2" t="inlineStr">
        <is>
          <t>RelayTrip</t>
        </is>
      </c>
      <c r="D242" s="2" t="inlineStr">
        <is>
          <t>PROT</t>
        </is>
      </c>
      <c r="E242" s="2" t="inlineStr">
        <is>
          <t>Read</t>
        </is>
      </c>
      <c r="F242" s="2" t="inlineStr">
        <is>
          <t>null@null___NORMAL@ATUADO___Custom_S_TS_SA</t>
        </is>
      </c>
      <c r="G242" s="2">
        <f>VLOOKUP(F242,'Message Mapping'!A:L,3,FALSE)</f>
        <v/>
      </c>
      <c r="H242" s="2">
        <f>VLOOKUP(F242,'Message Mapping'!A:L,4,FALSE)</f>
        <v/>
      </c>
      <c r="I242" s="2" t="n"/>
      <c r="J242" s="3">
        <f>VLOOKUP(F242,'Message Mapping'!A:L,12,FALSE)</f>
        <v/>
      </c>
      <c r="K242" s="3" t="n"/>
      <c r="L242" s="3" t="n"/>
      <c r="M242" s="3" t="n"/>
      <c r="N242" s="3" t="n"/>
      <c r="O242" s="3" t="n"/>
      <c r="P242" s="3" t="n"/>
    </row>
    <row r="243">
      <c r="A243" s="94" t="inlineStr">
        <is>
          <t>81E5</t>
        </is>
      </c>
      <c r="B243" s="2" t="inlineStr">
        <is>
          <t>81 - TRIP SUB/SOBRE FREQUENCIA E5</t>
        </is>
      </c>
      <c r="C243" s="2" t="inlineStr">
        <is>
          <t>RelayTrip</t>
        </is>
      </c>
      <c r="D243" s="2" t="inlineStr">
        <is>
          <t>PROT</t>
        </is>
      </c>
      <c r="E243" s="2" t="inlineStr">
        <is>
          <t>Read</t>
        </is>
      </c>
      <c r="F243" s="2" t="inlineStr">
        <is>
          <t>null@null___NORMAL@ATUADO___Custom_S_TS_SA</t>
        </is>
      </c>
      <c r="G243" s="2">
        <f>VLOOKUP(F243,'Message Mapping'!A:L,3,FALSE)</f>
        <v/>
      </c>
      <c r="H243" s="2">
        <f>VLOOKUP(F243,'Message Mapping'!A:L,4,FALSE)</f>
        <v/>
      </c>
      <c r="I243" s="2" t="n"/>
      <c r="J243" s="3">
        <f>VLOOKUP(F243,'Message Mapping'!A:L,12,FALSE)</f>
        <v/>
      </c>
      <c r="K243" s="3" t="n"/>
      <c r="L243" s="3" t="n"/>
      <c r="M243" s="3" t="n"/>
      <c r="N243" s="3" t="n"/>
      <c r="O243" s="3" t="n"/>
      <c r="P243" s="3" t="n"/>
    </row>
    <row r="244">
      <c r="A244" s="94" t="inlineStr">
        <is>
          <t>43TP</t>
        </is>
      </c>
      <c r="B244" s="2" t="inlineStr">
        <is>
          <t>43 - TRANSFERENCIA DE PROTECAO</t>
        </is>
      </c>
      <c r="C244" s="2" t="inlineStr">
        <is>
          <t>Custom</t>
        </is>
      </c>
      <c r="D244" s="2" t="inlineStr">
        <is>
          <t>FUNCÕES/43/PARALELISMO</t>
        </is>
      </c>
      <c r="E244" s="2" t="inlineStr">
        <is>
          <t>ReadWrite</t>
        </is>
      </c>
      <c r="F244" s="2" t="inlineStr">
        <is>
          <t>INCLUIR@EXCLUIR___INCLUIDO@EXCLUIDO___Custom_S_TC_SS</t>
        </is>
      </c>
      <c r="G244" s="2">
        <f>VLOOKUP(F244,'Message Mapping'!A:L,3,FALSE)</f>
        <v/>
      </c>
      <c r="H244" s="2">
        <f>VLOOKUP(F244,'Message Mapping'!A:L,4,FALSE)</f>
        <v/>
      </c>
      <c r="I244" s="2" t="n"/>
      <c r="J244" s="3">
        <f>VLOOKUP(F244,'Message Mapping'!A:L,12,FALSE)</f>
        <v/>
      </c>
      <c r="K244" s="3" t="n"/>
      <c r="L244" s="3" t="n"/>
      <c r="M244" s="3" t="n"/>
      <c r="N244" s="3" t="n"/>
      <c r="O244" s="3" t="n"/>
      <c r="P244" s="3" t="n"/>
    </row>
    <row r="245">
      <c r="A245" s="94" t="inlineStr">
        <is>
          <t>86</t>
        </is>
      </c>
      <c r="B245" s="2" t="inlineStr">
        <is>
          <t>86 - BLOQUEIO</t>
        </is>
      </c>
      <c r="C245" s="2" t="inlineStr">
        <is>
          <t>Custom</t>
        </is>
      </c>
      <c r="D245" s="2" t="inlineStr">
        <is>
          <t>PROT</t>
        </is>
      </c>
      <c r="E245" s="2" t="inlineStr">
        <is>
          <t>Read</t>
        </is>
      </c>
      <c r="F245" s="2" t="inlineStr">
        <is>
          <t>null@REARMAR___NORMAL@ATUADO___Custom_S_TS_SA</t>
        </is>
      </c>
      <c r="G245" s="2">
        <f>VLOOKUP(F245,'Message Mapping'!A:L,3,FALSE)</f>
        <v/>
      </c>
      <c r="H245" s="2">
        <f>VLOOKUP(F245,'Message Mapping'!A:L,4,FALSE)</f>
        <v/>
      </c>
      <c r="I245" s="2" t="n"/>
      <c r="J245" s="3">
        <f>VLOOKUP(F245,'Message Mapping'!A:L,12,FALSE)</f>
        <v/>
      </c>
      <c r="K245" s="3" t="inlineStr">
        <is>
          <t>Utilizado em transformadores, indica o defeito no equipamento.</t>
        </is>
      </c>
      <c r="L245" s="3" t="n"/>
      <c r="M245" s="3" t="n"/>
      <c r="N245" s="3" t="n"/>
      <c r="O245" s="3" t="n"/>
      <c r="P245" s="3" t="n"/>
    </row>
    <row r="246">
      <c r="A246" s="94" t="inlineStr">
        <is>
          <t>86</t>
        </is>
      </c>
      <c r="B246" s="2" t="inlineStr">
        <is>
          <t>86 - BLOQUEIO</t>
        </is>
      </c>
      <c r="C246" s="2" t="inlineStr">
        <is>
          <t>Custom</t>
        </is>
      </c>
      <c r="D246" s="2" t="inlineStr">
        <is>
          <t>PROT</t>
        </is>
      </c>
      <c r="E246" s="2" t="inlineStr">
        <is>
          <t>ReadWrite</t>
        </is>
      </c>
      <c r="F246" s="2" t="inlineStr">
        <is>
          <t>REARMAR@null___NORMAL@ATUADO___Custom_S_TC_SA</t>
        </is>
      </c>
      <c r="G246" s="2">
        <f>VLOOKUP(F246,'Message Mapping'!A:L,3,FALSE)</f>
        <v/>
      </c>
      <c r="H246" s="2">
        <f>VLOOKUP(F246,'Message Mapping'!A:L,4,FALSE)</f>
        <v/>
      </c>
      <c r="I246" s="2" t="n"/>
      <c r="J246" s="3">
        <f>VLOOKUP(F246,'Message Mapping'!A:L,12,FALSE)</f>
        <v/>
      </c>
      <c r="K246" s="3" t="inlineStr">
        <is>
          <t>Utilizado em transformadores, indica o defeito no equipamento.</t>
        </is>
      </c>
      <c r="L246" s="3" t="n"/>
      <c r="M246" s="3" t="n"/>
      <c r="N246" s="3" t="n"/>
      <c r="O246" s="3" t="n"/>
      <c r="P246" s="3" t="n"/>
    </row>
    <row r="247">
      <c r="A247" s="94" t="inlineStr">
        <is>
          <t>86BF</t>
        </is>
      </c>
      <c r="B247" s="2" t="inlineStr">
        <is>
          <t>86 - BLOQUEIO DEFEITO DISJUNTOR</t>
        </is>
      </c>
      <c r="C247" s="2" t="inlineStr">
        <is>
          <t>Custom</t>
        </is>
      </c>
      <c r="D247" s="2" t="inlineStr">
        <is>
          <t>PROT</t>
        </is>
      </c>
      <c r="E247" s="2" t="inlineStr">
        <is>
          <t>Read</t>
        </is>
      </c>
      <c r="F247" s="2" t="inlineStr">
        <is>
          <t>null@REARMAR___NORMAL@ATUADO___Custom_S_TS_SA</t>
        </is>
      </c>
      <c r="G247" s="2">
        <f>VLOOKUP(F247,'Message Mapping'!A:L,3,FALSE)</f>
        <v/>
      </c>
      <c r="H247" s="2">
        <f>VLOOKUP(F247,'Message Mapping'!A:L,4,FALSE)</f>
        <v/>
      </c>
      <c r="I247" s="2" t="n"/>
      <c r="J247" s="3">
        <f>VLOOKUP(F247,'Message Mapping'!A:L,12,FALSE)</f>
        <v/>
      </c>
      <c r="K247" s="3" t="inlineStr">
        <is>
          <t>Utilizado em LTs, Barras e DJs, indica defeito no disjuntor</t>
        </is>
      </c>
      <c r="L247" s="3" t="n"/>
      <c r="M247" s="3" t="n"/>
      <c r="N247" s="3" t="n"/>
      <c r="O247" s="3" t="n"/>
      <c r="P247" s="3" t="n"/>
    </row>
    <row r="248">
      <c r="A248" s="94" t="inlineStr">
        <is>
          <t>86BF</t>
        </is>
      </c>
      <c r="B248" s="2" t="inlineStr">
        <is>
          <t>86 - BLOQUEIO DEFEITO DISJUNTOR</t>
        </is>
      </c>
      <c r="C248" s="2" t="inlineStr">
        <is>
          <t>Custom</t>
        </is>
      </c>
      <c r="D248" s="2" t="inlineStr">
        <is>
          <t>PROT</t>
        </is>
      </c>
      <c r="E248" s="2" t="inlineStr">
        <is>
          <t>ReadWrite</t>
        </is>
      </c>
      <c r="F248" s="2" t="inlineStr">
        <is>
          <t>REARMAR@null___NORMAL@ATUADO___Custom_S_TC_SA</t>
        </is>
      </c>
      <c r="G248" s="2">
        <f>VLOOKUP(F248,'Message Mapping'!A:L,3,FALSE)</f>
        <v/>
      </c>
      <c r="H248" s="2">
        <f>VLOOKUP(F248,'Message Mapping'!A:L,4,FALSE)</f>
        <v/>
      </c>
      <c r="I248" s="2" t="n"/>
      <c r="J248" s="3">
        <f>VLOOKUP(F248,'Message Mapping'!A:L,12,FALSE)</f>
        <v/>
      </c>
      <c r="K248" s="3" t="inlineStr">
        <is>
          <t>Utilizado em LTs, Barras e DJs, indica defeito no disjuntor</t>
        </is>
      </c>
      <c r="L248" s="3" t="n"/>
      <c r="M248" s="3" t="n"/>
      <c r="N248" s="3" t="n"/>
      <c r="O248" s="3" t="n"/>
      <c r="P248" s="3" t="n"/>
    </row>
    <row r="249">
      <c r="A249" s="94" t="inlineStr">
        <is>
          <t>86C</t>
        </is>
      </c>
      <c r="B249" s="2" t="inlineStr">
        <is>
          <t>86 - BLOQUEIO CDC</t>
        </is>
      </c>
      <c r="C249" s="2" t="inlineStr">
        <is>
          <t>Custom</t>
        </is>
      </c>
      <c r="D249" s="2" t="inlineStr">
        <is>
          <t>PROT</t>
        </is>
      </c>
      <c r="E249" s="2" t="inlineStr">
        <is>
          <t>Read</t>
        </is>
      </c>
      <c r="F249" s="2" t="inlineStr">
        <is>
          <t>null@null___NORMAL@ATUADO___Custom_S_TS_SA</t>
        </is>
      </c>
      <c r="G249" s="2">
        <f>VLOOKUP(F249,'Message Mapping'!A:L,3,FALSE)</f>
        <v/>
      </c>
      <c r="H249" s="2">
        <f>VLOOKUP(F249,'Message Mapping'!A:L,4,FALSE)</f>
        <v/>
      </c>
      <c r="I249" s="2" t="n"/>
      <c r="J249" s="3">
        <f>VLOOKUP(F249,'Message Mapping'!A:L,12,FALSE)</f>
        <v/>
      </c>
      <c r="K249" s="3" t="n"/>
      <c r="L249" s="3" t="n"/>
      <c r="M249" s="3" t="n"/>
      <c r="N249" s="3" t="n"/>
      <c r="O249" s="3" t="n"/>
      <c r="P249" s="3" t="n"/>
    </row>
    <row r="250">
      <c r="A250" s="94" t="inlineStr">
        <is>
          <t>86FL</t>
        </is>
      </c>
      <c r="B250" s="2" t="inlineStr">
        <is>
          <t>86 - FALHA CIRCUITO RELE</t>
        </is>
      </c>
      <c r="C250" s="2" t="inlineStr">
        <is>
          <t>Custom</t>
        </is>
      </c>
      <c r="D250" s="2" t="inlineStr">
        <is>
          <t>FALHAS FCOM/VCA/VCC</t>
        </is>
      </c>
      <c r="E250" s="2" t="inlineStr">
        <is>
          <t>Read</t>
        </is>
      </c>
      <c r="F250" s="2" t="inlineStr">
        <is>
          <t>null@null___NORMAL@FALHA___Custom_S_TS_SB</t>
        </is>
      </c>
      <c r="G250" s="2">
        <f>VLOOKUP(F250,'Message Mapping'!A:L,3,FALSE)</f>
        <v/>
      </c>
      <c r="H250" s="2">
        <f>VLOOKUP(F250,'Message Mapping'!A:L,4,FALSE)</f>
        <v/>
      </c>
      <c r="I250" s="2" t="n"/>
      <c r="J250" s="3">
        <f>VLOOKUP(F250,'Message Mapping'!A:L,12,FALSE)</f>
        <v/>
      </c>
      <c r="K250" s="3" t="n"/>
      <c r="L250" s="3" t="n"/>
      <c r="M250" s="3" t="n"/>
      <c r="N250" s="3" t="n"/>
      <c r="O250" s="3" t="n"/>
      <c r="P250" s="3" t="n"/>
    </row>
    <row r="251">
      <c r="A251" s="94" t="inlineStr">
        <is>
          <t>87BL</t>
        </is>
      </c>
      <c r="B251" s="2" t="inlineStr">
        <is>
          <t>87 - DIFERENCIAL BLOQUEIO</t>
        </is>
      </c>
      <c r="C251" s="2" t="inlineStr">
        <is>
          <t>RelayTrip</t>
        </is>
      </c>
      <c r="D251" s="2" t="inlineStr">
        <is>
          <t>PROT</t>
        </is>
      </c>
      <c r="E251" s="2" t="inlineStr">
        <is>
          <t>Read</t>
        </is>
      </c>
      <c r="F251" s="2" t="inlineStr">
        <is>
          <t>null@null___NORMAL@ATUADO___RelayTrip_S_TS_SA</t>
        </is>
      </c>
      <c r="G251" s="2">
        <f>VLOOKUP(F251,'Message Mapping'!A:L,3,FALSE)</f>
        <v/>
      </c>
      <c r="H251" s="2">
        <f>VLOOKUP(F251,'Message Mapping'!A:L,4,FALSE)</f>
        <v/>
      </c>
      <c r="I251" s="2" t="n"/>
      <c r="J251" s="3">
        <f>VLOOKUP(F251,'Message Mapping'!A:L,12,FALSE)</f>
        <v/>
      </c>
      <c r="K251" s="3" t="n"/>
      <c r="L251" s="3" t="n"/>
      <c r="M251" s="3" t="n"/>
      <c r="N251" s="3" t="n"/>
      <c r="O251" s="3" t="n"/>
      <c r="P251" s="3" t="n"/>
    </row>
    <row r="252">
      <c r="A252" s="94" t="inlineStr">
        <is>
          <t>87A</t>
        </is>
      </c>
      <c r="B252" s="2" t="inlineStr">
        <is>
          <t>87 - DIFERENCIAL FASE A</t>
        </is>
      </c>
      <c r="C252" s="2" t="inlineStr">
        <is>
          <t>RelayTrip</t>
        </is>
      </c>
      <c r="D252" s="2" t="inlineStr">
        <is>
          <t>PROT</t>
        </is>
      </c>
      <c r="E252" s="2" t="inlineStr">
        <is>
          <t>Read</t>
        </is>
      </c>
      <c r="F252" s="2" t="inlineStr">
        <is>
          <t>null@null___NORMAL@ATUADO___RelayTrip_S_TS_SA</t>
        </is>
      </c>
      <c r="G252" s="2">
        <f>VLOOKUP(F252,'Message Mapping'!A:L,3,FALSE)</f>
        <v/>
      </c>
      <c r="H252" s="2">
        <f>VLOOKUP(F252,'Message Mapping'!A:L,4,FALSE)</f>
        <v/>
      </c>
      <c r="I252" s="2" t="n"/>
      <c r="J252" s="3">
        <f>VLOOKUP(F252,'Message Mapping'!A:L,12,FALSE)</f>
        <v/>
      </c>
      <c r="K252" s="3" t="n"/>
      <c r="L252" s="3" t="n"/>
      <c r="M252" s="3" t="n"/>
      <c r="N252" s="3" t="n"/>
      <c r="O252" s="3" t="n"/>
      <c r="P252" s="3" t="n"/>
    </row>
    <row r="253">
      <c r="A253" s="94" t="inlineStr">
        <is>
          <t>87B</t>
        </is>
      </c>
      <c r="B253" s="2" t="inlineStr">
        <is>
          <t>87 - DIFERENCIAL FASE B</t>
        </is>
      </c>
      <c r="C253" s="2" t="inlineStr">
        <is>
          <t>RelayTrip</t>
        </is>
      </c>
      <c r="D253" s="2" t="inlineStr">
        <is>
          <t>PROT</t>
        </is>
      </c>
      <c r="E253" s="2" t="inlineStr">
        <is>
          <t>Read</t>
        </is>
      </c>
      <c r="F253" s="2" t="inlineStr">
        <is>
          <t>null@null___NORMAL@ATUADO___RelayTrip_S_TS_SA</t>
        </is>
      </c>
      <c r="G253" s="2">
        <f>VLOOKUP(F253,'Message Mapping'!A:L,3,FALSE)</f>
        <v/>
      </c>
      <c r="H253" s="2">
        <f>VLOOKUP(F253,'Message Mapping'!A:L,4,FALSE)</f>
        <v/>
      </c>
      <c r="I253" s="2" t="n"/>
      <c r="J253" s="3">
        <f>VLOOKUP(F253,'Message Mapping'!A:L,12,FALSE)</f>
        <v/>
      </c>
      <c r="K253" s="3" t="n"/>
      <c r="L253" s="3" t="n"/>
      <c r="M253" s="3" t="n"/>
      <c r="N253" s="3" t="n"/>
      <c r="O253" s="3" t="n"/>
      <c r="P253" s="3" t="n"/>
    </row>
    <row r="254">
      <c r="A254" s="94" t="inlineStr">
        <is>
          <t>87C</t>
        </is>
      </c>
      <c r="B254" s="2" t="inlineStr">
        <is>
          <t>87 - DIFERENCIAL FASE C</t>
        </is>
      </c>
      <c r="C254" s="2" t="inlineStr">
        <is>
          <t>RelayTrip</t>
        </is>
      </c>
      <c r="D254" s="2" t="inlineStr">
        <is>
          <t>PROT</t>
        </is>
      </c>
      <c r="E254" s="2" t="inlineStr">
        <is>
          <t>Read</t>
        </is>
      </c>
      <c r="F254" s="2" t="inlineStr">
        <is>
          <t>null@null___NORMAL@ATUADO___RelayTrip_S_TS_SA</t>
        </is>
      </c>
      <c r="G254" s="2">
        <f>VLOOKUP(F254,'Message Mapping'!A:L,3,FALSE)</f>
        <v/>
      </c>
      <c r="H254" s="2">
        <f>VLOOKUP(F254,'Message Mapping'!A:L,4,FALSE)</f>
        <v/>
      </c>
      <c r="I254" s="2" t="n"/>
      <c r="J254" s="3">
        <f>VLOOKUP(F254,'Message Mapping'!A:L,12,FALSE)</f>
        <v/>
      </c>
      <c r="K254" s="3" t="n"/>
      <c r="L254" s="3" t="n"/>
      <c r="M254" s="3" t="n"/>
      <c r="N254" s="3" t="n"/>
      <c r="O254" s="3" t="n"/>
      <c r="P254" s="3" t="n"/>
    </row>
    <row r="255">
      <c r="A255" s="94" t="inlineStr">
        <is>
          <t>87_I</t>
        </is>
      </c>
      <c r="B255" s="2" t="inlineStr">
        <is>
          <t>87 - DIFERENCIAL INSTANTANEO</t>
        </is>
      </c>
      <c r="C255" s="2" t="inlineStr">
        <is>
          <t>RelayTrip</t>
        </is>
      </c>
      <c r="D255" s="2" t="inlineStr">
        <is>
          <t>PROT</t>
        </is>
      </c>
      <c r="E255" s="2" t="inlineStr">
        <is>
          <t>Read</t>
        </is>
      </c>
      <c r="F255" s="2" t="inlineStr">
        <is>
          <t>null@null___NORMAL@ATUADO___RelayTrip_S_TS_SA</t>
        </is>
      </c>
      <c r="G255" s="2">
        <f>VLOOKUP(F255,'Message Mapping'!A:L,3,FALSE)</f>
        <v/>
      </c>
      <c r="H255" s="2">
        <f>VLOOKUP(F255,'Message Mapping'!A:L,4,FALSE)</f>
        <v/>
      </c>
      <c r="I255" s="2" t="n"/>
      <c r="J255" s="3">
        <f>VLOOKUP(F255,'Message Mapping'!A:L,12,FALSE)</f>
        <v/>
      </c>
      <c r="K255" s="3" t="n"/>
      <c r="L255" s="3" t="n"/>
      <c r="M255" s="3" t="n"/>
      <c r="N255" s="3" t="n"/>
      <c r="O255" s="3" t="n"/>
      <c r="P255" s="3" t="n"/>
    </row>
    <row r="256">
      <c r="A256" s="94" t="inlineStr">
        <is>
          <t>87U</t>
        </is>
      </c>
      <c r="B256" s="2" t="inlineStr">
        <is>
          <t>87 - DIFERENCIAL NAO RESTRITO</t>
        </is>
      </c>
      <c r="C256" s="2" t="inlineStr">
        <is>
          <t>RelayTrip</t>
        </is>
      </c>
      <c r="D256" s="2" t="inlineStr">
        <is>
          <t>PROT</t>
        </is>
      </c>
      <c r="E256" s="2" t="inlineStr">
        <is>
          <t>Read</t>
        </is>
      </c>
      <c r="F256" s="2" t="inlineStr">
        <is>
          <t>null@null___NORMAL@ATUADO___RelayTrip_S_TS_SA</t>
        </is>
      </c>
      <c r="G256" s="2">
        <f>VLOOKUP(F256,'Message Mapping'!A:L,3,FALSE)</f>
        <v/>
      </c>
      <c r="H256" s="2">
        <f>VLOOKUP(F256,'Message Mapping'!A:L,4,FALSE)</f>
        <v/>
      </c>
      <c r="I256" s="2" t="n"/>
      <c r="J256" s="3">
        <f>VLOOKUP(F256,'Message Mapping'!A:L,12,FALSE)</f>
        <v/>
      </c>
      <c r="K256" s="3" t="n"/>
      <c r="L256" s="3" t="n"/>
      <c r="M256" s="3" t="n"/>
      <c r="N256" s="3" t="n"/>
      <c r="O256" s="3" t="n"/>
      <c r="P256" s="3" t="n"/>
    </row>
    <row r="257">
      <c r="A257" s="94" t="inlineStr">
        <is>
          <t>87U1</t>
        </is>
      </c>
      <c r="B257" s="2" t="inlineStr">
        <is>
          <t>87 - DIFERENCIAL NAO RESTRITO E1</t>
        </is>
      </c>
      <c r="C257" s="2" t="inlineStr">
        <is>
          <t>RelayTrip</t>
        </is>
      </c>
      <c r="D257" s="2" t="inlineStr">
        <is>
          <t>PROT</t>
        </is>
      </c>
      <c r="E257" s="2" t="inlineStr">
        <is>
          <t>Read</t>
        </is>
      </c>
      <c r="F257" s="2" t="inlineStr">
        <is>
          <t>null@null___NORMAL@ATUADO___RelayTrip_S_TS_SA</t>
        </is>
      </c>
      <c r="G257" s="2">
        <f>VLOOKUP(F257,'Message Mapping'!A:L,3,FALSE)</f>
        <v/>
      </c>
      <c r="H257" s="2">
        <f>VLOOKUP(F257,'Message Mapping'!A:L,4,FALSE)</f>
        <v/>
      </c>
      <c r="I257" s="2" t="n"/>
      <c r="J257" s="3">
        <f>VLOOKUP(F257,'Message Mapping'!A:L,12,FALSE)</f>
        <v/>
      </c>
      <c r="K257" s="3" t="n"/>
      <c r="L257" s="3" t="n"/>
      <c r="M257" s="3" t="n"/>
      <c r="N257" s="3" t="n"/>
      <c r="O257" s="3" t="n"/>
      <c r="P257" s="3" t="n"/>
    </row>
    <row r="258">
      <c r="A258" s="94" t="inlineStr">
        <is>
          <t>87U2</t>
        </is>
      </c>
      <c r="B258" s="2" t="inlineStr">
        <is>
          <t>87 - DIFERENCIAL NAO RESTRITO E2</t>
        </is>
      </c>
      <c r="C258" s="2" t="inlineStr">
        <is>
          <t>RelayTrip</t>
        </is>
      </c>
      <c r="D258" s="2" t="inlineStr">
        <is>
          <t>PROT</t>
        </is>
      </c>
      <c r="E258" s="2" t="inlineStr">
        <is>
          <t>Read</t>
        </is>
      </c>
      <c r="F258" s="2" t="inlineStr">
        <is>
          <t>null@null___NORMAL@ATUADO___RelayTrip_S_TS_SA</t>
        </is>
      </c>
      <c r="G258" s="2">
        <f>VLOOKUP(F258,'Message Mapping'!A:L,3,FALSE)</f>
        <v/>
      </c>
      <c r="H258" s="2">
        <f>VLOOKUP(F258,'Message Mapping'!A:L,4,FALSE)</f>
        <v/>
      </c>
      <c r="I258" s="2" t="n"/>
      <c r="J258" s="3">
        <f>VLOOKUP(F258,'Message Mapping'!A:L,12,FALSE)</f>
        <v/>
      </c>
      <c r="K258" s="3" t="n"/>
      <c r="L258" s="3" t="n"/>
      <c r="M258" s="3" t="n"/>
      <c r="N258" s="3" t="n"/>
      <c r="O258" s="3" t="n"/>
      <c r="P258" s="3" t="n"/>
    </row>
    <row r="259">
      <c r="A259" s="94" t="inlineStr">
        <is>
          <t>87R</t>
        </is>
      </c>
      <c r="B259" s="2" t="inlineStr">
        <is>
          <t>87 - DIFERENCIAL RESTRITO</t>
        </is>
      </c>
      <c r="C259" s="2" t="inlineStr">
        <is>
          <t>RelayTrip</t>
        </is>
      </c>
      <c r="D259" s="2" t="inlineStr">
        <is>
          <t>PROT</t>
        </is>
      </c>
      <c r="E259" s="2" t="inlineStr">
        <is>
          <t>Read</t>
        </is>
      </c>
      <c r="F259" s="2" t="inlineStr">
        <is>
          <t>null@null___NORMAL@ATUADO___RelayTrip_S_TS_SA</t>
        </is>
      </c>
      <c r="G259" s="2">
        <f>VLOOKUP(F259,'Message Mapping'!A:L,3,FALSE)</f>
        <v/>
      </c>
      <c r="H259" s="2">
        <f>VLOOKUP(F259,'Message Mapping'!A:L,4,FALSE)</f>
        <v/>
      </c>
      <c r="I259" s="2" t="n"/>
      <c r="J259" s="3">
        <f>VLOOKUP(F259,'Message Mapping'!A:L,12,FALSE)</f>
        <v/>
      </c>
      <c r="K259" s="3" t="n"/>
      <c r="L259" s="3" t="n"/>
      <c r="M259" s="3" t="n"/>
      <c r="N259" s="3" t="n"/>
      <c r="O259" s="3" t="n"/>
      <c r="P259" s="3" t="n"/>
    </row>
    <row r="260">
      <c r="A260" s="94" t="inlineStr">
        <is>
          <t>87R1</t>
        </is>
      </c>
      <c r="B260" s="2" t="inlineStr">
        <is>
          <t>87 - DIFERENCIAL RESTRITO E1</t>
        </is>
      </c>
      <c r="C260" s="2" t="inlineStr">
        <is>
          <t>RelayTrip</t>
        </is>
      </c>
      <c r="D260" s="2" t="inlineStr">
        <is>
          <t>PROT</t>
        </is>
      </c>
      <c r="E260" s="2" t="inlineStr">
        <is>
          <t>Read</t>
        </is>
      </c>
      <c r="F260" s="2" t="inlineStr">
        <is>
          <t>null@null___NORMAL@ATUADO___RelayTrip_S_TS_SA</t>
        </is>
      </c>
      <c r="G260" s="2">
        <f>VLOOKUP(F260,'Message Mapping'!A:L,3,FALSE)</f>
        <v/>
      </c>
      <c r="H260" s="2">
        <f>VLOOKUP(F260,'Message Mapping'!A:L,4,FALSE)</f>
        <v/>
      </c>
      <c r="I260" s="2" t="n"/>
      <c r="J260" s="3">
        <f>VLOOKUP(F260,'Message Mapping'!A:L,12,FALSE)</f>
        <v/>
      </c>
      <c r="K260" s="3" t="n"/>
      <c r="L260" s="3" t="n"/>
      <c r="M260" s="3" t="n"/>
      <c r="N260" s="3" t="n"/>
      <c r="O260" s="3" t="n"/>
      <c r="P260" s="3" t="n"/>
    </row>
    <row r="261">
      <c r="A261" s="94" t="inlineStr">
        <is>
          <t>87R2</t>
        </is>
      </c>
      <c r="B261" s="2" t="inlineStr">
        <is>
          <t>87 - DIFERENCIAL RESTRITO E2</t>
        </is>
      </c>
      <c r="C261" s="2" t="inlineStr">
        <is>
          <t>RelayTrip</t>
        </is>
      </c>
      <c r="D261" s="2" t="inlineStr">
        <is>
          <t>PROT</t>
        </is>
      </c>
      <c r="E261" s="2" t="inlineStr">
        <is>
          <t>Read</t>
        </is>
      </c>
      <c r="F261" s="2" t="inlineStr">
        <is>
          <t>null@null___NORMAL@ATUADO___RelayTrip_S_TS_SA</t>
        </is>
      </c>
      <c r="G261" s="2">
        <f>VLOOKUP(F261,'Message Mapping'!A:L,3,FALSE)</f>
        <v/>
      </c>
      <c r="H261" s="2">
        <f>VLOOKUP(F261,'Message Mapping'!A:L,4,FALSE)</f>
        <v/>
      </c>
      <c r="I261" s="2" t="n"/>
      <c r="J261" s="3">
        <f>VLOOKUP(F261,'Message Mapping'!A:L,12,FALSE)</f>
        <v/>
      </c>
      <c r="K261" s="3" t="n"/>
      <c r="L261" s="3" t="n"/>
      <c r="M261" s="3" t="n"/>
      <c r="N261" s="3" t="n"/>
      <c r="O261" s="3" t="n"/>
      <c r="P261" s="3" t="n"/>
    </row>
    <row r="262">
      <c r="A262" s="94" t="inlineStr">
        <is>
          <t>87EF</t>
        </is>
      </c>
      <c r="B262" s="2" t="inlineStr">
        <is>
          <t>87 - DIFERENCIAL RESTRITO FALTA A TERRA</t>
        </is>
      </c>
      <c r="C262" s="2" t="inlineStr">
        <is>
          <t>RelayTrip</t>
        </is>
      </c>
      <c r="D262" s="2" t="inlineStr">
        <is>
          <t>PROT</t>
        </is>
      </c>
      <c r="E262" s="2" t="inlineStr">
        <is>
          <t>Read</t>
        </is>
      </c>
      <c r="F262" s="2" t="inlineStr">
        <is>
          <t>null@null___NORMAL@ATUADO___RelayTrip_S_TS_SA</t>
        </is>
      </c>
      <c r="G262" s="2">
        <f>VLOOKUP(F262,'Message Mapping'!A:L,3,FALSE)</f>
        <v/>
      </c>
      <c r="H262" s="2">
        <f>VLOOKUP(F262,'Message Mapping'!A:L,4,FALSE)</f>
        <v/>
      </c>
      <c r="I262" s="2" t="n"/>
      <c r="J262" s="3">
        <f>VLOOKUP(F262,'Message Mapping'!A:L,12,FALSE)</f>
        <v/>
      </c>
      <c r="K262" s="3" t="inlineStr">
        <is>
          <t>REF - Restricted Earth Fault</t>
        </is>
      </c>
      <c r="L262" s="3" t="n"/>
      <c r="M262" s="3" t="n"/>
      <c r="N262" s="3" t="n"/>
      <c r="O262" s="3" t="n"/>
      <c r="P262" s="3" t="n"/>
    </row>
    <row r="263">
      <c r="A263" s="94" t="inlineStr">
        <is>
          <t>87RA</t>
        </is>
      </c>
      <c r="B263" s="2" t="inlineStr">
        <is>
          <t>87 - DIFERENCIAL RESTRITO FASE A</t>
        </is>
      </c>
      <c r="C263" s="2" t="inlineStr">
        <is>
          <t>RelayTrip</t>
        </is>
      </c>
      <c r="D263" s="2" t="inlineStr">
        <is>
          <t>PROT</t>
        </is>
      </c>
      <c r="E263" s="2" t="inlineStr">
        <is>
          <t>Read</t>
        </is>
      </c>
      <c r="F263" s="2" t="inlineStr">
        <is>
          <t>null@null___NORMAL@ATUADO___RelayTrip_S_TS_SA</t>
        </is>
      </c>
      <c r="G263" s="2">
        <f>VLOOKUP(F263,'Message Mapping'!A:L,3,FALSE)</f>
        <v/>
      </c>
      <c r="H263" s="2">
        <f>VLOOKUP(F263,'Message Mapping'!A:L,4,FALSE)</f>
        <v/>
      </c>
      <c r="I263" s="2" t="n"/>
      <c r="J263" s="3">
        <f>VLOOKUP(F263,'Message Mapping'!A:L,12,FALSE)</f>
        <v/>
      </c>
      <c r="K263" s="3" t="n"/>
      <c r="L263" s="3" t="n"/>
      <c r="M263" s="3" t="n"/>
      <c r="N263" s="3" t="n"/>
      <c r="O263" s="3" t="n"/>
      <c r="P263" s="3" t="n"/>
    </row>
    <row r="264">
      <c r="A264" s="94" t="inlineStr">
        <is>
          <t>87RB</t>
        </is>
      </c>
      <c r="B264" s="2" t="inlineStr">
        <is>
          <t>87 - DIFERENCIAL RESTRITO FASE B</t>
        </is>
      </c>
      <c r="C264" s="2" t="inlineStr">
        <is>
          <t>RelayTrip</t>
        </is>
      </c>
      <c r="D264" s="2" t="inlineStr">
        <is>
          <t>PROT</t>
        </is>
      </c>
      <c r="E264" s="2" t="inlineStr">
        <is>
          <t>Read</t>
        </is>
      </c>
      <c r="F264" s="2" t="inlineStr">
        <is>
          <t>null@null___NORMAL@ATUADO___RelayTrip_S_TS_SA</t>
        </is>
      </c>
      <c r="G264" s="2">
        <f>VLOOKUP(F264,'Message Mapping'!A:L,3,FALSE)</f>
        <v/>
      </c>
      <c r="H264" s="2">
        <f>VLOOKUP(F264,'Message Mapping'!A:L,4,FALSE)</f>
        <v/>
      </c>
      <c r="I264" s="2" t="n"/>
      <c r="J264" s="3">
        <f>VLOOKUP(F264,'Message Mapping'!A:L,12,FALSE)</f>
        <v/>
      </c>
      <c r="K264" s="3" t="n"/>
      <c r="L264" s="3" t="n"/>
      <c r="M264" s="3" t="n"/>
      <c r="N264" s="3" t="n"/>
      <c r="O264" s="3" t="n"/>
      <c r="P264" s="3" t="n"/>
    </row>
    <row r="265">
      <c r="A265" s="94" t="inlineStr">
        <is>
          <t>87RC</t>
        </is>
      </c>
      <c r="B265" s="2" t="inlineStr">
        <is>
          <t>87 - DIFERENCIAL RESTRITO FASE C</t>
        </is>
      </c>
      <c r="C265" s="2" t="inlineStr">
        <is>
          <t>RelayTrip</t>
        </is>
      </c>
      <c r="D265" s="2" t="inlineStr">
        <is>
          <t>PROT</t>
        </is>
      </c>
      <c r="E265" s="2" t="inlineStr">
        <is>
          <t>Read</t>
        </is>
      </c>
      <c r="F265" s="2" t="inlineStr">
        <is>
          <t>null@null___NORMAL@ATUADO___RelayTrip_S_TS_SA</t>
        </is>
      </c>
      <c r="G265" s="2">
        <f>VLOOKUP(F265,'Message Mapping'!A:L,3,FALSE)</f>
        <v/>
      </c>
      <c r="H265" s="2">
        <f>VLOOKUP(F265,'Message Mapping'!A:L,4,FALSE)</f>
        <v/>
      </c>
      <c r="I265" s="2" t="n"/>
      <c r="J265" s="3">
        <f>VLOOKUP(F265,'Message Mapping'!A:L,12,FALSE)</f>
        <v/>
      </c>
      <c r="K265" s="3" t="n"/>
      <c r="L265" s="3" t="n"/>
      <c r="M265" s="3" t="n"/>
      <c r="N265" s="3" t="n"/>
      <c r="O265" s="3" t="n"/>
      <c r="P265" s="3" t="n"/>
    </row>
    <row r="266">
      <c r="A266" s="94" t="inlineStr">
        <is>
          <t>87Q</t>
        </is>
      </c>
      <c r="B266" s="2" t="inlineStr">
        <is>
          <t>87 - DIFERENCIAL SEQUENCIA NEGATIVA</t>
        </is>
      </c>
      <c r="C266" s="2" t="inlineStr">
        <is>
          <t>RelayTrip</t>
        </is>
      </c>
      <c r="D266" s="2" t="inlineStr">
        <is>
          <t>PROT</t>
        </is>
      </c>
      <c r="E266" s="2" t="inlineStr">
        <is>
          <t>Read</t>
        </is>
      </c>
      <c r="F266" s="2" t="inlineStr">
        <is>
          <t>null@null___NORMAL@ATUADO___RelayTrip_S_TS_SA</t>
        </is>
      </c>
      <c r="G266" s="2">
        <f>VLOOKUP(F266,'Message Mapping'!A:L,3,FALSE)</f>
        <v/>
      </c>
      <c r="H266" s="2">
        <f>VLOOKUP(F266,'Message Mapping'!A:L,4,FALSE)</f>
        <v/>
      </c>
      <c r="I266" s="2" t="n"/>
      <c r="J266" s="3">
        <f>VLOOKUP(F266,'Message Mapping'!A:L,12,FALSE)</f>
        <v/>
      </c>
      <c r="K266" s="3" t="n"/>
      <c r="L266" s="3" t="n"/>
      <c r="M266" s="3" t="n"/>
      <c r="N266" s="3" t="n"/>
      <c r="O266" s="3" t="n"/>
      <c r="P266" s="3" t="n"/>
    </row>
    <row r="267">
      <c r="A267" s="94" t="inlineStr">
        <is>
          <t>87Q1</t>
        </is>
      </c>
      <c r="B267" s="2" t="inlineStr">
        <is>
          <t>87 - DIFERENCIAL SEQUENCIA NEGATIVA E1</t>
        </is>
      </c>
      <c r="C267" s="2" t="inlineStr">
        <is>
          <t>RelayTrip</t>
        </is>
      </c>
      <c r="D267" s="2" t="inlineStr">
        <is>
          <t>PROT</t>
        </is>
      </c>
      <c r="E267" s="2" t="inlineStr">
        <is>
          <t>Read</t>
        </is>
      </c>
      <c r="F267" s="2" t="inlineStr">
        <is>
          <t>null@null___NORMAL@ATUADO___RelayTrip_S_TS_SA</t>
        </is>
      </c>
      <c r="G267" s="2">
        <f>VLOOKUP(F267,'Message Mapping'!A:L,3,FALSE)</f>
        <v/>
      </c>
      <c r="H267" s="2">
        <f>VLOOKUP(F267,'Message Mapping'!A:L,4,FALSE)</f>
        <v/>
      </c>
      <c r="I267" s="2" t="n"/>
      <c r="J267" s="3">
        <f>VLOOKUP(F267,'Message Mapping'!A:L,12,FALSE)</f>
        <v/>
      </c>
      <c r="K267" s="3" t="n"/>
      <c r="L267" s="3" t="n"/>
      <c r="M267" s="3" t="n"/>
      <c r="N267" s="3" t="n"/>
      <c r="O267" s="3" t="n"/>
      <c r="P267" s="3" t="n"/>
    </row>
    <row r="268">
      <c r="A268" s="94" t="inlineStr">
        <is>
          <t>87Q2</t>
        </is>
      </c>
      <c r="B268" s="2" t="inlineStr">
        <is>
          <t>87 - DIFERENCIAL SEQUENCIA NEGATIVA E2</t>
        </is>
      </c>
      <c r="C268" s="2" t="inlineStr">
        <is>
          <t>RelayTrip</t>
        </is>
      </c>
      <c r="D268" s="2" t="inlineStr">
        <is>
          <t>PROT</t>
        </is>
      </c>
      <c r="E268" s="2" t="inlineStr">
        <is>
          <t>Read</t>
        </is>
      </c>
      <c r="F268" s="2" t="inlineStr">
        <is>
          <t>null@null___NORMAL@ATUADO___RelayTrip_S_TS_SA</t>
        </is>
      </c>
      <c r="G268" s="2">
        <f>VLOOKUP(F268,'Message Mapping'!A:L,3,FALSE)</f>
        <v/>
      </c>
      <c r="H268" s="2">
        <f>VLOOKUP(F268,'Message Mapping'!A:L,4,FALSE)</f>
        <v/>
      </c>
      <c r="I268" s="2" t="n"/>
      <c r="J268" s="3">
        <f>VLOOKUP(F268,'Message Mapping'!A:L,12,FALSE)</f>
        <v/>
      </c>
      <c r="K268" s="3" t="n"/>
      <c r="L268" s="3" t="n"/>
      <c r="M268" s="3" t="n"/>
      <c r="N268" s="3" t="n"/>
      <c r="O268" s="3" t="n"/>
      <c r="P268" s="3" t="n"/>
    </row>
    <row r="269">
      <c r="A269" s="94" t="inlineStr">
        <is>
          <t>8751</t>
        </is>
      </c>
      <c r="B269" s="2" t="inlineStr">
        <is>
          <t>87 - DIFERENCIAL TEMPORIZADO</t>
        </is>
      </c>
      <c r="C269" s="2" t="inlineStr">
        <is>
          <t>RelayTrip</t>
        </is>
      </c>
      <c r="D269" s="2" t="inlineStr">
        <is>
          <t>PROT</t>
        </is>
      </c>
      <c r="E269" s="2" t="inlineStr">
        <is>
          <t>Read</t>
        </is>
      </c>
      <c r="F269" s="2" t="inlineStr">
        <is>
          <t>null@null___NORMAL@ATUADO___RelayTrip_S_TS_SA</t>
        </is>
      </c>
      <c r="G269" s="2">
        <f>VLOOKUP(F269,'Message Mapping'!A:L,3,FALSE)</f>
        <v/>
      </c>
      <c r="H269" s="2">
        <f>VLOOKUP(F269,'Message Mapping'!A:L,4,FALSE)</f>
        <v/>
      </c>
      <c r="I269" s="2" t="n"/>
      <c r="J269" s="3">
        <f>VLOOKUP(F269,'Message Mapping'!A:L,12,FALSE)</f>
        <v/>
      </c>
      <c r="K269" s="3" t="n"/>
      <c r="L269" s="3" t="n"/>
      <c r="M269" s="3" t="n"/>
      <c r="N269" s="3" t="n"/>
      <c r="O269" s="3" t="n"/>
      <c r="P269" s="3" t="n"/>
    </row>
    <row r="270">
      <c r="A270" s="94" t="inlineStr">
        <is>
          <t>87TA</t>
        </is>
      </c>
      <c r="B270" s="2" t="inlineStr">
        <is>
          <t>87 - DIFERENCIAL TEMPORIZADO FASE A</t>
        </is>
      </c>
      <c r="C270" s="2" t="inlineStr">
        <is>
          <t>RelayTrip</t>
        </is>
      </c>
      <c r="D270" s="2" t="inlineStr">
        <is>
          <t>PROT</t>
        </is>
      </c>
      <c r="E270" s="2" t="inlineStr">
        <is>
          <t>Read</t>
        </is>
      </c>
      <c r="F270" s="2" t="inlineStr">
        <is>
          <t>null@null___NORMAL@ATUADO___RelayTrip_S_TS_SA</t>
        </is>
      </c>
      <c r="G270" s="2">
        <f>VLOOKUP(F270,'Message Mapping'!A:L,3,FALSE)</f>
        <v/>
      </c>
      <c r="H270" s="2">
        <f>VLOOKUP(F270,'Message Mapping'!A:L,4,FALSE)</f>
        <v/>
      </c>
      <c r="I270" s="2" t="n"/>
      <c r="J270" s="3">
        <f>VLOOKUP(F270,'Message Mapping'!A:L,12,FALSE)</f>
        <v/>
      </c>
      <c r="K270" s="3" t="n"/>
      <c r="L270" s="3" t="n"/>
      <c r="M270" s="3" t="n"/>
      <c r="N270" s="3" t="n"/>
      <c r="O270" s="3" t="n"/>
      <c r="P270" s="3" t="n"/>
    </row>
    <row r="271">
      <c r="A271" s="94" t="inlineStr">
        <is>
          <t>87TB</t>
        </is>
      </c>
      <c r="B271" s="2" t="inlineStr">
        <is>
          <t>87 - DIFERENCIAL TEMPORIZADO FASE B</t>
        </is>
      </c>
      <c r="C271" s="2" t="inlineStr">
        <is>
          <t>RelayTrip</t>
        </is>
      </c>
      <c r="D271" s="2" t="inlineStr">
        <is>
          <t>PROT</t>
        </is>
      </c>
      <c r="E271" s="2" t="inlineStr">
        <is>
          <t>Read</t>
        </is>
      </c>
      <c r="F271" s="2" t="inlineStr">
        <is>
          <t>null@null___NORMAL@ATUADO___RelayTrip_S_TS_SA</t>
        </is>
      </c>
      <c r="G271" s="2">
        <f>VLOOKUP(F271,'Message Mapping'!A:L,3,FALSE)</f>
        <v/>
      </c>
      <c r="H271" s="2">
        <f>VLOOKUP(F271,'Message Mapping'!A:L,4,FALSE)</f>
        <v/>
      </c>
      <c r="I271" s="2" t="n"/>
      <c r="J271" s="3">
        <f>VLOOKUP(F271,'Message Mapping'!A:L,12,FALSE)</f>
        <v/>
      </c>
      <c r="K271" s="3" t="n"/>
      <c r="L271" s="3" t="n"/>
      <c r="M271" s="3" t="n"/>
      <c r="N271" s="3" t="n"/>
      <c r="O271" s="3" t="n"/>
      <c r="P271" s="3" t="n"/>
    </row>
    <row r="272">
      <c r="A272" s="94" t="inlineStr">
        <is>
          <t>87TC</t>
        </is>
      </c>
      <c r="B272" s="2" t="inlineStr">
        <is>
          <t>87 - DIFERENCIAL TEMPORIZADO FASE C</t>
        </is>
      </c>
      <c r="C272" s="2" t="inlineStr">
        <is>
          <t>RelayTrip</t>
        </is>
      </c>
      <c r="D272" s="2" t="inlineStr">
        <is>
          <t>PROT</t>
        </is>
      </c>
      <c r="E272" s="2" t="inlineStr">
        <is>
          <t>Read</t>
        </is>
      </c>
      <c r="F272" s="2" t="inlineStr">
        <is>
          <t>null@null___NORMAL@ATUADO___RelayTrip_S_TS_SA</t>
        </is>
      </c>
      <c r="G272" s="2">
        <f>VLOOKUP(F272,'Message Mapping'!A:L,3,FALSE)</f>
        <v/>
      </c>
      <c r="H272" s="2">
        <f>VLOOKUP(F272,'Message Mapping'!A:L,4,FALSE)</f>
        <v/>
      </c>
      <c r="I272" s="2" t="n"/>
      <c r="J272" s="3">
        <f>VLOOKUP(F272,'Message Mapping'!A:L,12,FALSE)</f>
        <v/>
      </c>
      <c r="K272" s="3" t="n"/>
      <c r="L272" s="3" t="n"/>
      <c r="M272" s="3" t="n"/>
      <c r="N272" s="3" t="n"/>
      <c r="O272" s="3" t="n"/>
      <c r="P272" s="3" t="n"/>
    </row>
    <row r="273">
      <c r="A273" s="94" t="inlineStr">
        <is>
          <t>87G</t>
        </is>
      </c>
      <c r="B273" s="2" t="inlineStr">
        <is>
          <t>87 - DIFERENCIAL TERRA</t>
        </is>
      </c>
      <c r="C273" s="2" t="inlineStr">
        <is>
          <t>RelayTrip</t>
        </is>
      </c>
      <c r="D273" s="2" t="inlineStr">
        <is>
          <t>PROT</t>
        </is>
      </c>
      <c r="E273" s="2" t="inlineStr">
        <is>
          <t>Read</t>
        </is>
      </c>
      <c r="F273" s="2" t="inlineStr">
        <is>
          <t>null@null___NORMAL@ATUADO___RelayTrip_S_TS_SA</t>
        </is>
      </c>
      <c r="G273" s="2">
        <f>VLOOKUP(F273,'Message Mapping'!A:L,3,FALSE)</f>
        <v/>
      </c>
      <c r="H273" s="2">
        <f>VLOOKUP(F273,'Message Mapping'!A:L,4,FALSE)</f>
        <v/>
      </c>
      <c r="I273" s="2" t="n"/>
      <c r="J273" s="3">
        <f>VLOOKUP(F273,'Message Mapping'!A:L,12,FALSE)</f>
        <v/>
      </c>
      <c r="K273" s="3" t="n"/>
      <c r="L273" s="3" t="n"/>
      <c r="M273" s="3" t="n"/>
      <c r="N273" s="3" t="n"/>
      <c r="O273" s="3" t="n"/>
      <c r="P273" s="3" t="n"/>
    </row>
    <row r="274">
      <c r="A274" s="94" t="inlineStr">
        <is>
          <t>87</t>
        </is>
      </c>
      <c r="B274" s="2" t="inlineStr">
        <is>
          <t>87 - FUNCAO DIFERENCIAL</t>
        </is>
      </c>
      <c r="C274" s="2" t="inlineStr">
        <is>
          <t>Enabled</t>
        </is>
      </c>
      <c r="D274" s="2" t="inlineStr">
        <is>
          <t>FUNCÕES/43/PARALELISMO</t>
        </is>
      </c>
      <c r="E274" s="2" t="inlineStr">
        <is>
          <t>ReadWrite</t>
        </is>
      </c>
      <c r="F274" s="2" t="inlineStr">
        <is>
          <t>INCLUIR@EXCLUIR___INCLUIDO@EXCLUIDO___Enabled_S_TC_SS</t>
        </is>
      </c>
      <c r="G274" s="2">
        <f>VLOOKUP(F274,'Message Mapping'!A:L,3,FALSE)</f>
        <v/>
      </c>
      <c r="H274" s="2">
        <f>VLOOKUP(F274,'Message Mapping'!A:L,4,FALSE)</f>
        <v/>
      </c>
      <c r="I274" s="2" t="n"/>
      <c r="J274" s="3">
        <f>VLOOKUP(F274,'Message Mapping'!A:L,12,FALSE)</f>
        <v/>
      </c>
      <c r="K274" s="3" t="n"/>
      <c r="L274" s="3" t="n"/>
      <c r="M274" s="3" t="n"/>
      <c r="N274" s="3" t="n"/>
      <c r="O274" s="3" t="n"/>
      <c r="P274" s="3" t="n"/>
    </row>
    <row r="275">
      <c r="A275" s="94" t="inlineStr">
        <is>
          <t>87</t>
        </is>
      </c>
      <c r="B275" s="2" t="inlineStr">
        <is>
          <t>87 - FUNCAO DIFERENCIAL</t>
        </is>
      </c>
      <c r="C275" s="2" t="inlineStr">
        <is>
          <t>Enabled</t>
        </is>
      </c>
      <c r="D275" s="2" t="inlineStr">
        <is>
          <t>FUNCÕES/43/PARALELISMO</t>
        </is>
      </c>
      <c r="E275" s="2" t="inlineStr">
        <is>
          <t>Read</t>
        </is>
      </c>
      <c r="F275" s="2" t="inlineStr">
        <is>
          <t>null@null___INCLUIDO@EXCLUIDO___Enabled_S_TS_SS</t>
        </is>
      </c>
      <c r="G275" s="2">
        <f>VLOOKUP(F275,'Message Mapping'!A:L,3,FALSE)</f>
        <v/>
      </c>
      <c r="H275" s="2">
        <f>VLOOKUP(F275,'Message Mapping'!A:L,4,FALSE)</f>
        <v/>
      </c>
      <c r="I275" s="2" t="n"/>
      <c r="J275" s="3">
        <f>VLOOKUP(F275,'Message Mapping'!A:L,12,FALSE)</f>
        <v/>
      </c>
      <c r="K275" s="3" t="n"/>
      <c r="L275" s="3" t="n"/>
      <c r="M275" s="3" t="n"/>
      <c r="N275" s="3" t="n"/>
      <c r="O275" s="3" t="n"/>
      <c r="P275" s="3" t="n"/>
    </row>
    <row r="276">
      <c r="A276" s="94" t="inlineStr">
        <is>
          <t>87_T</t>
        </is>
      </c>
      <c r="B276" s="2" t="inlineStr">
        <is>
          <t>87 - TRIP DIFERENCIAL</t>
        </is>
      </c>
      <c r="C276" s="2" t="inlineStr">
        <is>
          <t>RelayTrip</t>
        </is>
      </c>
      <c r="D276" s="2" t="inlineStr">
        <is>
          <t>PROT</t>
        </is>
      </c>
      <c r="E276" s="2" t="inlineStr">
        <is>
          <t>Read</t>
        </is>
      </c>
      <c r="F276" s="2" t="inlineStr">
        <is>
          <t>null@null___NORMAL@ATUADO___RelayTrip_S_TS_SA</t>
        </is>
      </c>
      <c r="G276" s="2">
        <f>VLOOKUP(F276,'Message Mapping'!A:L,3,FALSE)</f>
        <v/>
      </c>
      <c r="H276" s="2">
        <f>VLOOKUP(F276,'Message Mapping'!A:L,4,FALSE)</f>
        <v/>
      </c>
      <c r="I276" s="2" t="n"/>
      <c r="J276" s="3">
        <f>VLOOKUP(F276,'Message Mapping'!A:L,12,FALSE)</f>
        <v/>
      </c>
      <c r="K276" s="3" t="n"/>
      <c r="L276" s="3" t="n"/>
      <c r="M276" s="3" t="n"/>
      <c r="N276" s="3" t="n"/>
      <c r="O276" s="3" t="n"/>
      <c r="P276" s="3" t="n"/>
    </row>
    <row r="277">
      <c r="A277" s="94" t="inlineStr">
        <is>
          <t>87TT</t>
        </is>
      </c>
      <c r="B277" s="2" t="inlineStr">
        <is>
          <t>87 - TRIP DIFERENCIAL TRIFASICO</t>
        </is>
      </c>
      <c r="C277" s="2" t="inlineStr">
        <is>
          <t>RelayTrip</t>
        </is>
      </c>
      <c r="D277" s="2" t="inlineStr">
        <is>
          <t>PROT</t>
        </is>
      </c>
      <c r="E277" s="2" t="inlineStr">
        <is>
          <t>Read</t>
        </is>
      </c>
      <c r="F277" s="2" t="inlineStr">
        <is>
          <t>null@null___NORMAL@ATUADO___RelayTrip_S_TS_SA</t>
        </is>
      </c>
      <c r="G277" s="2">
        <f>VLOOKUP(F277,'Message Mapping'!A:L,3,FALSE)</f>
        <v/>
      </c>
      <c r="H277" s="2">
        <f>VLOOKUP(F277,'Message Mapping'!A:L,4,FALSE)</f>
        <v/>
      </c>
      <c r="I277" s="2" t="n"/>
      <c r="J277" s="3">
        <f>VLOOKUP(F277,'Message Mapping'!A:L,12,FALSE)</f>
        <v/>
      </c>
      <c r="K277" s="3" t="n"/>
      <c r="L277" s="3" t="n"/>
      <c r="M277" s="3" t="n"/>
      <c r="N277" s="3" t="n"/>
      <c r="O277" s="3" t="n"/>
      <c r="P277" s="3" t="n"/>
    </row>
    <row r="278">
      <c r="A278" s="94" t="inlineStr">
        <is>
          <t>87LT</t>
        </is>
      </c>
      <c r="B278" s="2" t="inlineStr">
        <is>
          <t>87 - TRIP DIFERENCIAL LINHA</t>
        </is>
      </c>
      <c r="C278" s="2" t="inlineStr">
        <is>
          <t>RelayTrip</t>
        </is>
      </c>
      <c r="D278" s="2" t="inlineStr">
        <is>
          <t>PROT</t>
        </is>
      </c>
      <c r="E278" s="2" t="inlineStr">
        <is>
          <t>Read</t>
        </is>
      </c>
      <c r="F278" s="2" t="inlineStr">
        <is>
          <t>null@null___NORMAL@ATUADO___RelayTrip_S_TS_SA</t>
        </is>
      </c>
      <c r="G278" s="2">
        <f>VLOOKUP(F278,'Message Mapping'!A:L,3,FALSE)</f>
        <v/>
      </c>
      <c r="H278" s="2">
        <f>VLOOKUP(F278,'Message Mapping'!A:L,4,FALSE)</f>
        <v/>
      </c>
      <c r="I278" s="2" t="n"/>
      <c r="J278" s="3">
        <f>VLOOKUP(F278,'Message Mapping'!A:L,12,FALSE)</f>
        <v/>
      </c>
      <c r="K278" s="3" t="n"/>
      <c r="L278" s="3" t="n"/>
      <c r="M278" s="3" t="n"/>
      <c r="N278" s="3" t="n"/>
      <c r="O278" s="3" t="n"/>
      <c r="P278" s="3" t="n"/>
    </row>
    <row r="279">
      <c r="A279" s="94" t="inlineStr">
        <is>
          <t>8750</t>
        </is>
      </c>
      <c r="B279" s="2" t="inlineStr">
        <is>
          <t>87 50 - FASE NEUTRO</t>
        </is>
      </c>
      <c r="C279" s="2" t="inlineStr">
        <is>
          <t>RelayTrip</t>
        </is>
      </c>
      <c r="D279" s="2" t="inlineStr">
        <is>
          <t>PROT</t>
        </is>
      </c>
      <c r="E279" s="2" t="inlineStr">
        <is>
          <t>Read</t>
        </is>
      </c>
      <c r="F279" s="2" t="inlineStr">
        <is>
          <t>null@null___NORMAL@ATUADO___RelayTrip_S_TS_SA</t>
        </is>
      </c>
      <c r="G279" s="2">
        <f>VLOOKUP(F279,'Message Mapping'!A:L,3,FALSE)</f>
        <v/>
      </c>
      <c r="H279" s="2">
        <f>VLOOKUP(F279,'Message Mapping'!A:L,4,FALSE)</f>
        <v/>
      </c>
      <c r="I279" s="2" t="n"/>
      <c r="J279" s="3">
        <f>VLOOKUP(F279,'Message Mapping'!A:L,12,FALSE)</f>
        <v/>
      </c>
      <c r="K279" s="3" t="n"/>
      <c r="L279" s="3" t="n"/>
      <c r="M279" s="3" t="n"/>
      <c r="N279" s="3" t="n"/>
      <c r="O279" s="3" t="n"/>
      <c r="P279" s="3" t="n"/>
    </row>
    <row r="280">
      <c r="A280" s="94" t="inlineStr">
        <is>
          <t>90I</t>
        </is>
      </c>
      <c r="B280" s="2" t="inlineStr">
        <is>
          <t xml:space="preserve">90 - BLOQUEIO SOBRECORRENTE RELE 90 </t>
        </is>
      </c>
      <c r="C280" s="2" t="inlineStr">
        <is>
          <t>Custom</t>
        </is>
      </c>
      <c r="D280" s="2" t="inlineStr">
        <is>
          <t>PROT</t>
        </is>
      </c>
      <c r="E280" s="2" t="inlineStr">
        <is>
          <t>Read</t>
        </is>
      </c>
      <c r="F280" s="2" t="inlineStr">
        <is>
          <t>null@null___NORMAL@ATUADO___Custom_S_TS_SA</t>
        </is>
      </c>
      <c r="G280" s="2">
        <f>VLOOKUP(F280,'Message Mapping'!A:L,3,FALSE)</f>
        <v/>
      </c>
      <c r="H280" s="2">
        <f>VLOOKUP(F280,'Message Mapping'!A:L,4,FALSE)</f>
        <v/>
      </c>
      <c r="I280" s="2" t="n"/>
      <c r="J280" s="3">
        <f>VLOOKUP(F280,'Message Mapping'!A:L,12,FALSE)</f>
        <v/>
      </c>
      <c r="K280" s="3" t="n"/>
      <c r="L280" s="3" t="n"/>
      <c r="M280" s="3" t="n"/>
      <c r="N280" s="3" t="n"/>
      <c r="O280" s="3" t="n"/>
      <c r="P280" s="3" t="n"/>
    </row>
    <row r="281">
      <c r="A281" s="94" t="inlineStr">
        <is>
          <t>90V</t>
        </is>
      </c>
      <c r="B281" s="2" t="inlineStr">
        <is>
          <t>90 - BLOQUEIO TENSAO RELE 90</t>
        </is>
      </c>
      <c r="C281" s="2" t="inlineStr">
        <is>
          <t>Custom</t>
        </is>
      </c>
      <c r="D281" s="2" t="inlineStr">
        <is>
          <t>PROT</t>
        </is>
      </c>
      <c r="E281" s="2" t="inlineStr">
        <is>
          <t>Read</t>
        </is>
      </c>
      <c r="F281" s="2" t="inlineStr">
        <is>
          <t>null@null___NORMAL@ATUADO___Custom_S_TS_SA</t>
        </is>
      </c>
      <c r="G281" s="2">
        <f>VLOOKUP(F281,'Message Mapping'!A:L,3,FALSE)</f>
        <v/>
      </c>
      <c r="H281" s="2">
        <f>VLOOKUP(F281,'Message Mapping'!A:L,4,FALSE)</f>
        <v/>
      </c>
      <c r="I281" s="2" t="n"/>
      <c r="J281" s="3">
        <f>VLOOKUP(F281,'Message Mapping'!A:L,12,FALSE)</f>
        <v/>
      </c>
      <c r="K281" s="3" t="n"/>
      <c r="L281" s="3" t="n"/>
      <c r="M281" s="3" t="n"/>
      <c r="N281" s="3" t="n"/>
      <c r="O281" s="3" t="n"/>
      <c r="P281" s="3" t="n"/>
    </row>
    <row r="282">
      <c r="A282" s="94" t="inlineStr">
        <is>
          <t>COMA</t>
        </is>
      </c>
      <c r="B282" s="2" t="inlineStr">
        <is>
          <t>90 - POSICAO COMANDADO</t>
        </is>
      </c>
      <c r="C282" s="2" t="inlineStr">
        <is>
          <t>Parallel</t>
        </is>
      </c>
      <c r="D282" s="2" t="inlineStr">
        <is>
          <t>FUNCÕES/43/PARALELISMO</t>
        </is>
      </c>
      <c r="E282" s="2" t="inlineStr">
        <is>
          <t>ReadWrite</t>
        </is>
      </c>
      <c r="F282" s="2" t="inlineStr">
        <is>
          <t>null@COMANDADO___DESATIVADO@ATIVADO___Custom_S_TC_SS</t>
        </is>
      </c>
      <c r="G282" s="2">
        <f>VLOOKUP(F282,'Message Mapping'!A:L,3,FALSE)</f>
        <v/>
      </c>
      <c r="H282" s="2">
        <f>VLOOKUP(F282,'Message Mapping'!A:L,4,FALSE)</f>
        <v/>
      </c>
      <c r="I282" s="2" t="n"/>
      <c r="J282" s="3">
        <f>VLOOKUP(F282,'Message Mapping'!A:L,12,FALSE)</f>
        <v/>
      </c>
      <c r="K282" s="3" t="n"/>
      <c r="L282" s="3" t="n"/>
      <c r="M282" s="3" t="n"/>
      <c r="N282" s="3" t="n"/>
      <c r="O282" s="3" t="n"/>
      <c r="P282" s="3" t="n"/>
    </row>
    <row r="283">
      <c r="A283" s="94" t="inlineStr">
        <is>
          <t>COMA</t>
        </is>
      </c>
      <c r="B283" s="2" t="inlineStr">
        <is>
          <t>90 - POSICAO COMANDADO</t>
        </is>
      </c>
      <c r="C283" s="2" t="inlineStr">
        <is>
          <t>Parallel</t>
        </is>
      </c>
      <c r="D283" s="2" t="inlineStr">
        <is>
          <t>FUNCÕES/43/PARALELISMO</t>
        </is>
      </c>
      <c r="E283" s="2" t="inlineStr">
        <is>
          <t>Read</t>
        </is>
      </c>
      <c r="F283" s="2" t="inlineStr">
        <is>
          <t>null@null___DESATIVADO@ATIVADO___Custom_S_TS_SS</t>
        </is>
      </c>
      <c r="G283" s="2">
        <f>VLOOKUP(F283,'Message Mapping'!A:L,3,FALSE)</f>
        <v/>
      </c>
      <c r="H283" s="2">
        <f>VLOOKUP(F283,'Message Mapping'!A:L,4,FALSE)</f>
        <v/>
      </c>
      <c r="I283" s="2" t="n"/>
      <c r="J283" s="3">
        <f>VLOOKUP(F283,'Message Mapping'!A:L,12,FALSE)</f>
        <v/>
      </c>
      <c r="K283" s="3" t="n"/>
      <c r="L283" s="3" t="n"/>
      <c r="M283" s="3" t="n"/>
      <c r="N283" s="3" t="n"/>
      <c r="O283" s="3" t="n"/>
      <c r="P283" s="3" t="n"/>
    </row>
    <row r="284">
      <c r="A284" s="94" t="inlineStr">
        <is>
          <t>90DP</t>
        </is>
      </c>
      <c r="B284" s="2" t="inlineStr">
        <is>
          <t>90 - DISCREPANCIA DE TAP</t>
        </is>
      </c>
      <c r="C284" s="2" t="inlineStr">
        <is>
          <t>Custom</t>
        </is>
      </c>
      <c r="D284" s="2" t="inlineStr">
        <is>
          <t>PROT</t>
        </is>
      </c>
      <c r="E284" s="2" t="inlineStr">
        <is>
          <t>Read</t>
        </is>
      </c>
      <c r="F284" s="2" t="inlineStr">
        <is>
          <t>null@null___NORMAL@DISCREPANCIA___Custom_S_TS_SA</t>
        </is>
      </c>
      <c r="G284" s="2">
        <f>VLOOKUP(F284,'Message Mapping'!A:L,3,FALSE)</f>
        <v/>
      </c>
      <c r="H284" s="2">
        <f>VLOOKUP(F284,'Message Mapping'!A:L,4,FALSE)</f>
        <v/>
      </c>
      <c r="I284" s="2" t="n"/>
      <c r="J284" s="3">
        <f>VLOOKUP(F284,'Message Mapping'!A:L,12,FALSE)</f>
        <v/>
      </c>
      <c r="K284" s="3" t="n"/>
      <c r="L284" s="3" t="n"/>
      <c r="M284" s="3" t="n"/>
      <c r="N284" s="3" t="n"/>
      <c r="O284" s="3" t="n"/>
      <c r="P284" s="3" t="n"/>
    </row>
    <row r="285">
      <c r="A285" s="94" t="inlineStr">
        <is>
          <t>90FU</t>
        </is>
      </c>
      <c r="B285" s="2" t="inlineStr">
        <is>
          <t>90 - FALHA FUSIVEL</t>
        </is>
      </c>
      <c r="C285" s="2" t="inlineStr">
        <is>
          <t>Custom</t>
        </is>
      </c>
      <c r="D285" s="2" t="inlineStr">
        <is>
          <t>FALHAS FCOM/VCA/VCC</t>
        </is>
      </c>
      <c r="E285" s="2" t="inlineStr">
        <is>
          <t>Read</t>
        </is>
      </c>
      <c r="F285" s="2" t="inlineStr">
        <is>
          <t>null@null___NORMAL@FALHA___Custom_S_TS_SB</t>
        </is>
      </c>
      <c r="G285" s="2">
        <f>VLOOKUP(F285,'Message Mapping'!A:L,3,FALSE)</f>
        <v/>
      </c>
      <c r="H285" s="2">
        <f>VLOOKUP(F285,'Message Mapping'!A:L,4,FALSE)</f>
        <v/>
      </c>
      <c r="I285" s="2" t="n"/>
      <c r="J285" s="3">
        <f>VLOOKUP(F285,'Message Mapping'!A:L,12,FALSE)</f>
        <v/>
      </c>
      <c r="K285" s="3" t="n"/>
      <c r="L285" s="3" t="n"/>
      <c r="M285" s="3" t="n"/>
      <c r="N285" s="3" t="n"/>
      <c r="O285" s="3" t="n"/>
      <c r="P285" s="3" t="n"/>
    </row>
    <row r="286">
      <c r="A286" s="94" t="inlineStr">
        <is>
          <t>R90</t>
        </is>
      </c>
      <c r="B286" s="5" t="inlineStr">
        <is>
          <t>90 - FUNCAO REGULADOR</t>
        </is>
      </c>
      <c r="C286" s="2" t="inlineStr">
        <is>
          <t>Enabled</t>
        </is>
      </c>
      <c r="D286" s="2" t="inlineStr">
        <is>
          <t>FUNCÕES/43/PARALELISMO</t>
        </is>
      </c>
      <c r="E286" s="2" t="inlineStr">
        <is>
          <t>ReadWrite</t>
        </is>
      </c>
      <c r="F286" s="2" t="inlineStr">
        <is>
          <t>INCLUIR@EXCLUIR___INCLUIDO@EXCLUIDO___Enabled_S_TC_SS</t>
        </is>
      </c>
      <c r="G286" s="2">
        <f>VLOOKUP(F286,'Message Mapping'!A:L,3,FALSE)</f>
        <v/>
      </c>
      <c r="H286" s="2">
        <f>VLOOKUP(F286,'Message Mapping'!A:L,4,FALSE)</f>
        <v/>
      </c>
      <c r="I286" s="2" t="n"/>
      <c r="J286" s="3">
        <f>VLOOKUP(F286,'Message Mapping'!A:L,12,FALSE)</f>
        <v/>
      </c>
      <c r="K286" s="3" t="n"/>
      <c r="L286" s="3" t="n"/>
      <c r="M286" s="3" t="n"/>
      <c r="N286" s="3" t="n"/>
      <c r="O286" s="3" t="n"/>
      <c r="P286" s="3" t="n"/>
    </row>
    <row r="287">
      <c r="A287" s="94" t="inlineStr">
        <is>
          <t>TAL</t>
        </is>
      </c>
      <c r="B287" s="2" t="inlineStr">
        <is>
          <t>TAL - FUNCAO TRANSFERENCIA AUTOMATICA DE LINHA</t>
        </is>
      </c>
      <c r="C287" s="2" t="inlineStr">
        <is>
          <t>Custom</t>
        </is>
      </c>
      <c r="D287" s="2" t="inlineStr">
        <is>
          <t>FUNCÕES/43/PARALELISMO</t>
        </is>
      </c>
      <c r="E287" s="2" t="inlineStr">
        <is>
          <t>Read</t>
        </is>
      </c>
      <c r="F287" s="2" t="inlineStr">
        <is>
          <t>null@null___INCLUIDO@EXCLUIDO___Custom_S_TS_SS</t>
        </is>
      </c>
      <c r="G287" s="2">
        <f>VLOOKUP(F287,'Message Mapping'!A:L,3,FALSE)</f>
        <v/>
      </c>
      <c r="H287" s="2">
        <f>VLOOKUP(F287,'Message Mapping'!A:L,4,FALSE)</f>
        <v/>
      </c>
      <c r="I287" s="2" t="n"/>
      <c r="J287" s="3" t="n"/>
      <c r="K287" s="3" t="n"/>
      <c r="L287" s="3" t="n"/>
      <c r="M287" s="3" t="n"/>
      <c r="N287" s="3" t="n"/>
      <c r="O287" s="3" t="n"/>
      <c r="P287" s="3" t="n"/>
    </row>
    <row r="288">
      <c r="A288" s="94" t="inlineStr">
        <is>
          <t>TPPM</t>
        </is>
      </c>
      <c r="B288" s="2" t="inlineStr">
        <is>
          <t>TPPM - FUNCAO TRANSFERENCIA COM PARALELISMO MOMENTANEO</t>
        </is>
      </c>
      <c r="C288" s="2" t="inlineStr">
        <is>
          <t>Custom</t>
        </is>
      </c>
      <c r="D288" s="2" t="inlineStr">
        <is>
          <t>FUNCÕES/43/PARALELISMO</t>
        </is>
      </c>
      <c r="E288" s="2" t="inlineStr">
        <is>
          <t>Read</t>
        </is>
      </c>
      <c r="F288" s="2" t="inlineStr">
        <is>
          <t>null@null___INCLUIDO@EXCLUIDO___Custom_S_TS_SS</t>
        </is>
      </c>
      <c r="G288" s="2">
        <f>VLOOKUP(F288,'Message Mapping'!A:L,3,FALSE)</f>
        <v/>
      </c>
      <c r="H288" s="2">
        <f>VLOOKUP(F288,'Message Mapping'!A:L,4,FALSE)</f>
        <v/>
      </c>
      <c r="I288" s="2" t="n"/>
      <c r="J288" s="3" t="n"/>
      <c r="K288" s="3" t="n"/>
      <c r="L288" s="3" t="n"/>
      <c r="M288" s="3" t="n"/>
      <c r="N288" s="3" t="n"/>
      <c r="O288" s="3" t="n"/>
      <c r="P288" s="3" t="n"/>
    </row>
    <row r="289">
      <c r="A289" s="94" t="inlineStr">
        <is>
          <t>R90</t>
        </is>
      </c>
      <c r="B289" s="5" t="inlineStr">
        <is>
          <t>90 - FUNCAO REGULADOR</t>
        </is>
      </c>
      <c r="C289" s="2" t="inlineStr">
        <is>
          <t>Enabled</t>
        </is>
      </c>
      <c r="D289" s="2" t="inlineStr">
        <is>
          <t>FUNCÕES/43/PARALELISMO</t>
        </is>
      </c>
      <c r="E289" s="2" t="inlineStr">
        <is>
          <t>Read</t>
        </is>
      </c>
      <c r="F289" s="2" t="inlineStr">
        <is>
          <t>INCLUIR@EXCLUIR___INCLUIDO@EXCLUIDO___Enabled_S_TS_SS</t>
        </is>
      </c>
      <c r="G289" s="2">
        <f>VLOOKUP(F289,'Message Mapping'!A:L,3,FALSE)</f>
        <v/>
      </c>
      <c r="H289" s="2">
        <f>VLOOKUP(F289,'Message Mapping'!A:L,4,FALSE)</f>
        <v/>
      </c>
      <c r="I289" s="2" t="n"/>
      <c r="J289" s="3">
        <f>VLOOKUP(F289,'Message Mapping'!A:L,12,FALSE)</f>
        <v/>
      </c>
      <c r="K289" s="3" t="n"/>
      <c r="L289" s="3" t="n"/>
      <c r="M289" s="3" t="n"/>
      <c r="N289" s="3" t="n"/>
      <c r="O289" s="3" t="n"/>
      <c r="P289" s="3" t="n"/>
    </row>
    <row r="290">
      <c r="A290" s="94" t="inlineStr">
        <is>
          <t>INDI</t>
        </is>
      </c>
      <c r="B290" s="2" t="inlineStr">
        <is>
          <t>90 - POSICAO INDIVIDUAL</t>
        </is>
      </c>
      <c r="C290" s="2" t="inlineStr">
        <is>
          <t>Custom</t>
        </is>
      </c>
      <c r="D290" s="2" t="inlineStr">
        <is>
          <t>FUNCÕES/43/PARALELISMO</t>
        </is>
      </c>
      <c r="E290" s="2" t="inlineStr">
        <is>
          <t>ReadWrite</t>
        </is>
      </c>
      <c r="F290" s="2" t="inlineStr">
        <is>
          <t>null@MESTRE___DESATIVADO@ATIVADO___Custom_S_TC_SS</t>
        </is>
      </c>
      <c r="G290" s="2">
        <f>VLOOKUP(F290,'Message Mapping'!A:L,3,FALSE)</f>
        <v/>
      </c>
      <c r="H290" s="2">
        <f>VLOOKUP(F290,'Message Mapping'!A:L,4,FALSE)</f>
        <v/>
      </c>
      <c r="I290" s="2" t="n"/>
      <c r="J290" s="3">
        <f>VLOOKUP(F290,'Message Mapping'!A:L,12,FALSE)</f>
        <v/>
      </c>
      <c r="K290" s="3" t="n"/>
      <c r="L290" s="3" t="n"/>
      <c r="M290" s="3" t="n"/>
      <c r="N290" s="3" t="n"/>
      <c r="O290" s="3" t="n"/>
      <c r="P290" s="3" t="n"/>
    </row>
    <row r="291">
      <c r="A291" s="94" t="inlineStr">
        <is>
          <t>INDI</t>
        </is>
      </c>
      <c r="B291" s="2" t="inlineStr">
        <is>
          <t>90 - POSICAO INDIVIDUAL</t>
        </is>
      </c>
      <c r="C291" s="2" t="inlineStr">
        <is>
          <t>Custom</t>
        </is>
      </c>
      <c r="D291" s="2" t="inlineStr">
        <is>
          <t>FUNCÕES/43/PARALELISMO</t>
        </is>
      </c>
      <c r="E291" s="2" t="inlineStr">
        <is>
          <t>Read</t>
        </is>
      </c>
      <c r="F291" s="2" t="inlineStr">
        <is>
          <t>null@null___DESATIVADO@ATIVADO___Custom_S_TS_SS</t>
        </is>
      </c>
      <c r="G291" s="2">
        <f>VLOOKUP(F291,'Message Mapping'!A:L,3,FALSE)</f>
        <v/>
      </c>
      <c r="H291" s="2">
        <f>VLOOKUP(F291,'Message Mapping'!A:L,4,FALSE)</f>
        <v/>
      </c>
      <c r="I291" s="2" t="n"/>
      <c r="J291" s="3">
        <f>VLOOKUP(F291,'Message Mapping'!A:L,12,FALSE)</f>
        <v/>
      </c>
      <c r="K291" s="3" t="n"/>
      <c r="L291" s="3" t="n"/>
      <c r="M291" s="3" t="n"/>
      <c r="N291" s="3" t="n"/>
      <c r="O291" s="3" t="n"/>
      <c r="P291" s="3" t="n"/>
    </row>
    <row r="292">
      <c r="A292" s="94" t="inlineStr">
        <is>
          <t>MEST</t>
        </is>
      </c>
      <c r="B292" s="2" t="inlineStr">
        <is>
          <t>90 - POSICAO MESTRE</t>
        </is>
      </c>
      <c r="C292" s="2" t="inlineStr">
        <is>
          <t>Custom</t>
        </is>
      </c>
      <c r="D292" s="2" t="inlineStr">
        <is>
          <t>FUNCÕES/43/PARALELISMO</t>
        </is>
      </c>
      <c r="E292" s="2" t="inlineStr">
        <is>
          <t>ReadWrite</t>
        </is>
      </c>
      <c r="F292" s="2" t="inlineStr">
        <is>
          <t>null@INDIVIDUAL___DESATIVADO@ATIVADO___Custom_S_TC_SS</t>
        </is>
      </c>
      <c r="G292" s="2">
        <f>VLOOKUP(F292,'Message Mapping'!A:L,3,FALSE)</f>
        <v/>
      </c>
      <c r="H292" s="2">
        <f>VLOOKUP(F292,'Message Mapping'!A:L,4,FALSE)</f>
        <v/>
      </c>
      <c r="I292" s="2" t="n"/>
      <c r="J292" s="3">
        <f>VLOOKUP(F292,'Message Mapping'!A:L,12,FALSE)</f>
        <v/>
      </c>
      <c r="K292" s="3" t="n"/>
      <c r="L292" s="3" t="n"/>
      <c r="M292" s="3" t="n"/>
      <c r="N292" s="3" t="n"/>
      <c r="O292" s="3" t="n"/>
      <c r="P292" s="3" t="n"/>
    </row>
    <row r="293">
      <c r="A293" s="94" t="inlineStr">
        <is>
          <t>MEST</t>
        </is>
      </c>
      <c r="B293" s="2" t="inlineStr">
        <is>
          <t>90 - POSICAO MESTRE</t>
        </is>
      </c>
      <c r="C293" s="2" t="inlineStr">
        <is>
          <t>Custom</t>
        </is>
      </c>
      <c r="D293" s="2" t="inlineStr">
        <is>
          <t>FUNCÕES/43/PARALELISMO</t>
        </is>
      </c>
      <c r="E293" s="2" t="inlineStr">
        <is>
          <t>Read</t>
        </is>
      </c>
      <c r="F293" s="2" t="inlineStr">
        <is>
          <t>null@null___DESATIVADO@ATIVADO___Custom_S_TS_SS</t>
        </is>
      </c>
      <c r="G293" s="2">
        <f>VLOOKUP(F293,'Message Mapping'!A:L,3,FALSE)</f>
        <v/>
      </c>
      <c r="H293" s="2">
        <f>VLOOKUP(F293,'Message Mapping'!A:L,4,FALSE)</f>
        <v/>
      </c>
      <c r="I293" s="2" t="n"/>
      <c r="J293" s="3">
        <f>VLOOKUP(F293,'Message Mapping'!A:L,12,FALSE)</f>
        <v/>
      </c>
      <c r="K293" s="3" t="n"/>
      <c r="L293" s="3" t="n"/>
      <c r="M293" s="3" t="n"/>
      <c r="N293" s="3" t="n"/>
      <c r="O293" s="3" t="n"/>
      <c r="P293" s="3" t="n"/>
    </row>
    <row r="294" ht="51" customHeight="1">
      <c r="A294" s="94" t="inlineStr">
        <is>
          <t>94</t>
        </is>
      </c>
      <c r="B294" s="2" t="inlineStr">
        <is>
          <t>94 - RETRIP</t>
        </is>
      </c>
      <c r="C294" s="2" t="inlineStr">
        <is>
          <t>RelayTrip</t>
        </is>
      </c>
      <c r="D294" s="2" t="inlineStr">
        <is>
          <t>PROT</t>
        </is>
      </c>
      <c r="E294" s="2" t="inlineStr">
        <is>
          <t>Read</t>
        </is>
      </c>
      <c r="F294" s="2" t="inlineStr">
        <is>
          <t>null@null___NORMAL@ATUADO___RelayTrip_S_TS_SA</t>
        </is>
      </c>
      <c r="G294" s="2">
        <f>VLOOKUP(F294,'Message Mapping'!A:L,3,FALSE)</f>
        <v/>
      </c>
      <c r="H294" s="2">
        <f>VLOOKUP(F294,'Message Mapping'!A:L,4,FALSE)</f>
        <v/>
      </c>
      <c r="I294" s="2" t="n"/>
      <c r="J294" s="3">
        <f>VLOOKUP(F294,'Message Mapping'!A:L,12,FALSE)</f>
        <v/>
      </c>
      <c r="K294" s="3" t="inlineStr">
        <is>
          <t>Os relés de disparo (ANSI-94) também conhecidos como relés de disparo livre foram especialmente concebidos para superar os requisitos de todo tipo de circuitos de proteção e controle, como os que operam disjuntores de alta tensão, contatores e outros equipamentos de interrupção primária em usinas de geração de energia, subestações de transmissão e distribuição ou indústria pesada.</t>
        </is>
      </c>
      <c r="L294" s="3" t="n"/>
      <c r="M294" s="3" t="n"/>
      <c r="N294" s="3" t="n"/>
      <c r="O294" s="3" t="n"/>
      <c r="P294" s="3" t="n"/>
    </row>
    <row r="295">
      <c r="A295" s="94" t="inlineStr">
        <is>
          <t>ABBN</t>
        </is>
      </c>
      <c r="B295" s="2" t="inlineStr">
        <is>
          <t>ABERTURA PELA BOBINA DE NEUTRO</t>
        </is>
      </c>
      <c r="C295" s="2" t="inlineStr">
        <is>
          <t>Custom</t>
        </is>
      </c>
      <c r="D295" s="2" t="inlineStr">
        <is>
          <t>PROT</t>
        </is>
      </c>
      <c r="E295" s="2" t="inlineStr">
        <is>
          <t>Read</t>
        </is>
      </c>
      <c r="F295" s="2" t="inlineStr">
        <is>
          <t>null@null___NORMAL@ATUADO___Custom_S_TS_SA</t>
        </is>
      </c>
      <c r="G295" s="2">
        <f>VLOOKUP(F295,'Message Mapping'!A:L,3,FALSE)</f>
        <v/>
      </c>
      <c r="H295" s="2">
        <f>VLOOKUP(F295,'Message Mapping'!A:L,4,FALSE)</f>
        <v/>
      </c>
      <c r="I295" s="2" t="n"/>
      <c r="J295" s="3">
        <f>VLOOKUP(F295,'Message Mapping'!A:L,12,FALSE)</f>
        <v/>
      </c>
      <c r="K295" s="3" t="n"/>
      <c r="L295" s="3" t="n"/>
      <c r="M295" s="3" t="n"/>
      <c r="N295" s="3" t="n"/>
      <c r="O295" s="3" t="n"/>
      <c r="P295" s="3" t="n"/>
    </row>
    <row r="296">
      <c r="A296" s="94" t="inlineStr">
        <is>
          <t>81U1</t>
        </is>
      </c>
      <c r="B296" s="2" t="inlineStr">
        <is>
          <t>AJUSTE PARA 81 E1</t>
        </is>
      </c>
      <c r="C296" s="2" t="inlineStr">
        <is>
          <t>Custom</t>
        </is>
      </c>
      <c r="D296" s="2" t="inlineStr">
        <is>
          <t>ALARMES PREDIAIS/VF/GRUPO</t>
        </is>
      </c>
      <c r="E296" s="2" t="inlineStr">
        <is>
          <t>Read</t>
        </is>
      </c>
      <c r="F296" s="2" t="inlineStr">
        <is>
          <t>null@ATIVAR___DESATIVADO@ATIVADO___Custom_S_TC_SS</t>
        </is>
      </c>
      <c r="G296" s="2">
        <f>VLOOKUP(F296,'Message Mapping'!A:L,3,FALSE)</f>
        <v/>
      </c>
      <c r="H296" s="2">
        <f>VLOOKUP(F296,'Message Mapping'!A:L,4,FALSE)</f>
        <v/>
      </c>
      <c r="I296" s="2" t="n"/>
      <c r="J296" s="3">
        <f>VLOOKUP(F296,'Message Mapping'!A:L,12,FALSE)</f>
        <v/>
      </c>
      <c r="K296" s="3" t="n"/>
      <c r="L296" s="3" t="n"/>
      <c r="M296" s="3" t="n"/>
      <c r="N296" s="3" t="n"/>
      <c r="O296" s="3" t="n"/>
      <c r="P296" s="3" t="n"/>
    </row>
    <row r="297">
      <c r="A297" s="94" t="inlineStr">
        <is>
          <t>81U2</t>
        </is>
      </c>
      <c r="B297" s="2" t="inlineStr">
        <is>
          <t>AJUSTE PARA 81 E2</t>
        </is>
      </c>
      <c r="C297" s="2" t="inlineStr">
        <is>
          <t>Custom</t>
        </is>
      </c>
      <c r="D297" s="2" t="inlineStr">
        <is>
          <t>ALARMES PREDIAIS/VF/GRUPO</t>
        </is>
      </c>
      <c r="E297" s="2" t="inlineStr">
        <is>
          <t>Read</t>
        </is>
      </c>
      <c r="F297" s="2" t="inlineStr">
        <is>
          <t>null@ATIVAR___DESATIVADO@ATIVADO___Custom_S_TC_SS</t>
        </is>
      </c>
      <c r="G297" s="2">
        <f>VLOOKUP(F297,'Message Mapping'!A:L,3,FALSE)</f>
        <v/>
      </c>
      <c r="H297" s="2">
        <f>VLOOKUP(F297,'Message Mapping'!A:L,4,FALSE)</f>
        <v/>
      </c>
      <c r="I297" s="2" t="n"/>
      <c r="J297" s="3">
        <f>VLOOKUP(F297,'Message Mapping'!A:L,12,FALSE)</f>
        <v/>
      </c>
      <c r="K297" s="3" t="n"/>
      <c r="L297" s="3" t="n"/>
      <c r="M297" s="3" t="n"/>
      <c r="N297" s="3" t="n"/>
      <c r="O297" s="3" t="n"/>
      <c r="P297" s="3" t="n"/>
    </row>
    <row r="298">
      <c r="A298" s="94" t="inlineStr">
        <is>
          <t>81U3</t>
        </is>
      </c>
      <c r="B298" s="2" t="inlineStr">
        <is>
          <t>AJUSTE PARA 81 E3</t>
        </is>
      </c>
      <c r="C298" s="2" t="inlineStr">
        <is>
          <t>Custom</t>
        </is>
      </c>
      <c r="D298" s="2" t="inlineStr">
        <is>
          <t>ALARMES PREDIAIS/VF/GRUPO</t>
        </is>
      </c>
      <c r="E298" s="2" t="inlineStr">
        <is>
          <t>Read</t>
        </is>
      </c>
      <c r="F298" s="2" t="inlineStr">
        <is>
          <t>null@ATIVAR___DESATIVADO@ATIVADO___Custom_S_TC_SS</t>
        </is>
      </c>
      <c r="G298" s="2">
        <f>VLOOKUP(F298,'Message Mapping'!A:L,3,FALSE)</f>
        <v/>
      </c>
      <c r="H298" s="2">
        <f>VLOOKUP(F298,'Message Mapping'!A:L,4,FALSE)</f>
        <v/>
      </c>
      <c r="I298" s="2" t="n"/>
      <c r="J298" s="3">
        <f>VLOOKUP(F298,'Message Mapping'!A:L,12,FALSE)</f>
        <v/>
      </c>
      <c r="K298" s="3" t="n"/>
      <c r="L298" s="3" t="n"/>
      <c r="M298" s="3" t="n"/>
      <c r="N298" s="3" t="n"/>
      <c r="O298" s="3" t="n"/>
      <c r="P298" s="3" t="n"/>
    </row>
    <row r="299">
      <c r="A299" s="94" t="inlineStr">
        <is>
          <t>81U4</t>
        </is>
      </c>
      <c r="B299" s="2" t="inlineStr">
        <is>
          <t>AJUSTE PARA 81 E4</t>
        </is>
      </c>
      <c r="C299" s="2" t="inlineStr">
        <is>
          <t>Custom</t>
        </is>
      </c>
      <c r="D299" s="2" t="inlineStr">
        <is>
          <t>ALARMES PREDIAIS/VF/GRUPO</t>
        </is>
      </c>
      <c r="E299" s="2" t="inlineStr">
        <is>
          <t>Read</t>
        </is>
      </c>
      <c r="F299" s="2" t="inlineStr">
        <is>
          <t>null@ATIVAR___DESATIVADO@ATIVADO___Custom_S_TC_SS</t>
        </is>
      </c>
      <c r="G299" s="2">
        <f>VLOOKUP(F299,'Message Mapping'!A:L,3,FALSE)</f>
        <v/>
      </c>
      <c r="H299" s="2">
        <f>VLOOKUP(F299,'Message Mapping'!A:L,4,FALSE)</f>
        <v/>
      </c>
      <c r="I299" s="2" t="n"/>
      <c r="J299" s="3">
        <f>VLOOKUP(F299,'Message Mapping'!A:L,12,FALSE)</f>
        <v/>
      </c>
      <c r="K299" s="3" t="n"/>
      <c r="L299" s="3" t="n"/>
      <c r="M299" s="3" t="n"/>
      <c r="N299" s="3" t="n"/>
      <c r="O299" s="3" t="n"/>
      <c r="P299" s="3" t="n"/>
    </row>
    <row r="300">
      <c r="A300" s="94" t="inlineStr">
        <is>
          <t>81U5</t>
        </is>
      </c>
      <c r="B300" s="2" t="inlineStr">
        <is>
          <t>AJUSTE PARA 81 E5</t>
        </is>
      </c>
      <c r="C300" s="2" t="inlineStr">
        <is>
          <t>Custom</t>
        </is>
      </c>
      <c r="D300" s="2" t="inlineStr">
        <is>
          <t>ALARMES PREDIAIS/VF/GRUPO</t>
        </is>
      </c>
      <c r="E300" s="2" t="inlineStr">
        <is>
          <t>Read</t>
        </is>
      </c>
      <c r="F300" s="2" t="inlineStr">
        <is>
          <t>null@ATIVAR___DESATIVADO@ATIVADO___Custom_S_TC_SS</t>
        </is>
      </c>
      <c r="G300" s="2">
        <f>VLOOKUP(F300,'Message Mapping'!A:L,3,FALSE)</f>
        <v/>
      </c>
      <c r="H300" s="2">
        <f>VLOOKUP(F300,'Message Mapping'!A:L,4,FALSE)</f>
        <v/>
      </c>
      <c r="I300" s="2" t="n"/>
      <c r="J300" s="3">
        <f>VLOOKUP(F300,'Message Mapping'!A:L,12,FALSE)</f>
        <v/>
      </c>
      <c r="K300" s="3" t="n"/>
      <c r="L300" s="3" t="n"/>
      <c r="M300" s="3" t="n"/>
      <c r="N300" s="3" t="n"/>
      <c r="O300" s="3" t="n"/>
      <c r="P300" s="3" t="n"/>
    </row>
    <row r="301">
      <c r="A301" s="94" t="inlineStr">
        <is>
          <t>AJ1</t>
        </is>
      </c>
      <c r="B301" s="2" t="inlineStr">
        <is>
          <t>AJUSTE PARA AL1</t>
        </is>
      </c>
      <c r="C301" s="2" t="inlineStr">
        <is>
          <t>Custom</t>
        </is>
      </c>
      <c r="D301" s="2" t="inlineStr">
        <is>
          <t>ALARMES PREDIAIS/VF/GRUPO</t>
        </is>
      </c>
      <c r="E301" s="2" t="inlineStr">
        <is>
          <t>Read</t>
        </is>
      </c>
      <c r="F301" s="2" t="inlineStr">
        <is>
          <t>null@null___DESABILITADO@HABILITADO___Custom_S_TS_SV</t>
        </is>
      </c>
      <c r="G301" s="2">
        <f>VLOOKUP(F301,'Message Mapping'!A:L,3,FALSE)</f>
        <v/>
      </c>
      <c r="H301" s="2">
        <f>VLOOKUP(F301,'Message Mapping'!A:L,4,FALSE)</f>
        <v/>
      </c>
      <c r="I301" s="2" t="n"/>
      <c r="J301" s="3">
        <f>VLOOKUP(F301,'Message Mapping'!A:L,12,FALSE)</f>
        <v/>
      </c>
      <c r="K301" s="3" t="n"/>
      <c r="L301" s="3" t="n"/>
      <c r="M301" s="3" t="n"/>
      <c r="N301" s="3" t="n"/>
      <c r="O301" s="3" t="n"/>
      <c r="P301" s="3" t="n"/>
    </row>
    <row r="302">
      <c r="A302" s="94" t="inlineStr">
        <is>
          <t>AJ12</t>
        </is>
      </c>
      <c r="B302" s="2" t="inlineStr">
        <is>
          <t>AJUSTE PARA AL12</t>
        </is>
      </c>
      <c r="C302" s="2" t="inlineStr">
        <is>
          <t>Custom</t>
        </is>
      </c>
      <c r="D302" s="2" t="inlineStr">
        <is>
          <t>ALARMES PREDIAIS/VF/GRUPO</t>
        </is>
      </c>
      <c r="E302" s="2" t="inlineStr">
        <is>
          <t>Read</t>
        </is>
      </c>
      <c r="F302" s="2" t="inlineStr">
        <is>
          <t>null@null___DESABILITADO@HABILITADO___Custom_S_TS_SV</t>
        </is>
      </c>
      <c r="G302" s="2">
        <f>VLOOKUP(F302,'Message Mapping'!A:L,3,FALSE)</f>
        <v/>
      </c>
      <c r="H302" s="2">
        <f>VLOOKUP(F302,'Message Mapping'!A:L,4,FALSE)</f>
        <v/>
      </c>
      <c r="I302" s="2" t="n"/>
      <c r="J302" s="3">
        <f>VLOOKUP(F302,'Message Mapping'!A:L,12,FALSE)</f>
        <v/>
      </c>
      <c r="K302" s="3" t="n"/>
      <c r="L302" s="3" t="n"/>
      <c r="M302" s="3" t="n"/>
      <c r="N302" s="3" t="n"/>
      <c r="O302" s="3" t="n"/>
      <c r="P302" s="3" t="n"/>
    </row>
    <row r="303">
      <c r="A303" s="94" t="inlineStr">
        <is>
          <t>AJ13</t>
        </is>
      </c>
      <c r="B303" s="2" t="inlineStr">
        <is>
          <t>AJUSTE PARA AL13</t>
        </is>
      </c>
      <c r="C303" s="2" t="inlineStr">
        <is>
          <t>Custom</t>
        </is>
      </c>
      <c r="D303" s="2" t="inlineStr">
        <is>
          <t>ALARMES PREDIAIS/VF/GRUPO</t>
        </is>
      </c>
      <c r="E303" s="2" t="inlineStr">
        <is>
          <t>Read</t>
        </is>
      </c>
      <c r="F303" s="2" t="inlineStr">
        <is>
          <t>null@null___DESABILITADO@HABILITADO___Custom_S_TS_SV</t>
        </is>
      </c>
      <c r="G303" s="2">
        <f>VLOOKUP(F303,'Message Mapping'!A:L,3,FALSE)</f>
        <v/>
      </c>
      <c r="H303" s="2">
        <f>VLOOKUP(F303,'Message Mapping'!A:L,4,FALSE)</f>
        <v/>
      </c>
      <c r="I303" s="2" t="n"/>
      <c r="J303" s="3">
        <f>VLOOKUP(F303,'Message Mapping'!A:L,12,FALSE)</f>
        <v/>
      </c>
      <c r="K303" s="3" t="n"/>
      <c r="L303" s="3" t="n"/>
      <c r="M303" s="3" t="n"/>
      <c r="N303" s="3" t="n"/>
      <c r="O303" s="3" t="n"/>
      <c r="P303" s="3" t="n"/>
    </row>
    <row r="304">
      <c r="A304" s="94" t="inlineStr">
        <is>
          <t>AJ14</t>
        </is>
      </c>
      <c r="B304" s="2" t="inlineStr">
        <is>
          <t>AJUSTE PARA AL14</t>
        </is>
      </c>
      <c r="C304" s="2" t="inlineStr">
        <is>
          <t>Custom</t>
        </is>
      </c>
      <c r="D304" s="2" t="inlineStr">
        <is>
          <t>ALARMES PREDIAIS/VF/GRUPO</t>
        </is>
      </c>
      <c r="E304" s="2" t="inlineStr">
        <is>
          <t>Read</t>
        </is>
      </c>
      <c r="F304" s="2" t="inlineStr">
        <is>
          <t>null@null___DESABILITADO@HABILITADO___Custom_S_TS_SV</t>
        </is>
      </c>
      <c r="G304" s="2">
        <f>VLOOKUP(F304,'Message Mapping'!A:L,3,FALSE)</f>
        <v/>
      </c>
      <c r="H304" s="2">
        <f>VLOOKUP(F304,'Message Mapping'!A:L,4,FALSE)</f>
        <v/>
      </c>
      <c r="I304" s="2" t="n"/>
      <c r="J304" s="3">
        <f>VLOOKUP(F304,'Message Mapping'!A:L,12,FALSE)</f>
        <v/>
      </c>
      <c r="K304" s="3" t="n"/>
      <c r="L304" s="3" t="n"/>
      <c r="M304" s="3" t="n"/>
      <c r="N304" s="3" t="n"/>
      <c r="O304" s="3" t="n"/>
      <c r="P304" s="3" t="n"/>
    </row>
    <row r="305">
      <c r="A305" s="94" t="inlineStr">
        <is>
          <t>AJ15</t>
        </is>
      </c>
      <c r="B305" s="2" t="inlineStr">
        <is>
          <t>AJUSTE PARA AL15</t>
        </is>
      </c>
      <c r="C305" s="2" t="inlineStr">
        <is>
          <t>Custom</t>
        </is>
      </c>
      <c r="D305" s="2" t="inlineStr">
        <is>
          <t>ALARMES PREDIAIS/VF/GRUPO</t>
        </is>
      </c>
      <c r="E305" s="2" t="inlineStr">
        <is>
          <t>Read</t>
        </is>
      </c>
      <c r="F305" s="2" t="inlineStr">
        <is>
          <t>null@null___DESABILITADO@HABILITADO___Custom_S_TS_SV</t>
        </is>
      </c>
      <c r="G305" s="2">
        <f>VLOOKUP(F305,'Message Mapping'!A:L,3,FALSE)</f>
        <v/>
      </c>
      <c r="H305" s="2">
        <f>VLOOKUP(F305,'Message Mapping'!A:L,4,FALSE)</f>
        <v/>
      </c>
      <c r="I305" s="2" t="n"/>
      <c r="J305" s="3">
        <f>VLOOKUP(F305,'Message Mapping'!A:L,12,FALSE)</f>
        <v/>
      </c>
      <c r="K305" s="3" t="n"/>
      <c r="L305" s="3" t="n"/>
      <c r="M305" s="3" t="n"/>
      <c r="N305" s="3" t="n"/>
      <c r="O305" s="3" t="n"/>
      <c r="P305" s="3" t="n"/>
    </row>
    <row r="306">
      <c r="A306" s="94" t="inlineStr">
        <is>
          <t>AJ16</t>
        </is>
      </c>
      <c r="B306" s="2" t="inlineStr">
        <is>
          <t>AJUSTE PARA AL16</t>
        </is>
      </c>
      <c r="C306" s="2" t="inlineStr">
        <is>
          <t>Custom</t>
        </is>
      </c>
      <c r="D306" s="2" t="inlineStr">
        <is>
          <t>ALARMES PREDIAIS/VF/GRUPO</t>
        </is>
      </c>
      <c r="E306" s="2" t="inlineStr">
        <is>
          <t>Read</t>
        </is>
      </c>
      <c r="F306" s="2" t="inlineStr">
        <is>
          <t>null@null___DESABILITADO@HABILITADO___Custom_S_TS_SV</t>
        </is>
      </c>
      <c r="G306" s="2">
        <f>VLOOKUP(F306,'Message Mapping'!A:L,3,FALSE)</f>
        <v/>
      </c>
      <c r="H306" s="2">
        <f>VLOOKUP(F306,'Message Mapping'!A:L,4,FALSE)</f>
        <v/>
      </c>
      <c r="I306" s="2" t="n"/>
      <c r="J306" s="3">
        <f>VLOOKUP(F306,'Message Mapping'!A:L,12,FALSE)</f>
        <v/>
      </c>
      <c r="K306" s="3" t="n"/>
      <c r="L306" s="3" t="n"/>
      <c r="M306" s="3" t="n"/>
      <c r="N306" s="3" t="n"/>
      <c r="O306" s="3" t="n"/>
      <c r="P306" s="3" t="n"/>
    </row>
    <row r="307">
      <c r="A307" s="94" t="inlineStr">
        <is>
          <t>AJ17</t>
        </is>
      </c>
      <c r="B307" s="2" t="inlineStr">
        <is>
          <t>AJUSTE PARA AL17</t>
        </is>
      </c>
      <c r="C307" s="2" t="inlineStr">
        <is>
          <t>Custom</t>
        </is>
      </c>
      <c r="D307" s="2" t="inlineStr">
        <is>
          <t>ALARMES PREDIAIS/VF/GRUPO</t>
        </is>
      </c>
      <c r="E307" s="2" t="inlineStr">
        <is>
          <t>Read</t>
        </is>
      </c>
      <c r="F307" s="2" t="inlineStr">
        <is>
          <t>null@null___DESABILITADO@HABILITADO___Custom_S_TS_SV</t>
        </is>
      </c>
      <c r="G307" s="2">
        <f>VLOOKUP(F307,'Message Mapping'!A:L,3,FALSE)</f>
        <v/>
      </c>
      <c r="H307" s="2">
        <f>VLOOKUP(F307,'Message Mapping'!A:L,4,FALSE)</f>
        <v/>
      </c>
      <c r="I307" s="2" t="n"/>
      <c r="J307" s="3">
        <f>VLOOKUP(F307,'Message Mapping'!A:L,12,FALSE)</f>
        <v/>
      </c>
      <c r="K307" s="3" t="n"/>
      <c r="L307" s="3" t="n"/>
      <c r="M307" s="3" t="n"/>
      <c r="N307" s="3" t="n"/>
      <c r="O307" s="3" t="n"/>
      <c r="P307" s="3" t="n"/>
    </row>
    <row r="308">
      <c r="A308" s="94" t="inlineStr">
        <is>
          <t>AJ18</t>
        </is>
      </c>
      <c r="B308" s="2" t="inlineStr">
        <is>
          <t>AJUSTE PARA AL18</t>
        </is>
      </c>
      <c r="C308" s="2" t="inlineStr">
        <is>
          <t>Custom</t>
        </is>
      </c>
      <c r="D308" s="2" t="inlineStr">
        <is>
          <t>ALARMES PREDIAIS/VF/GRUPO</t>
        </is>
      </c>
      <c r="E308" s="2" t="inlineStr">
        <is>
          <t>Read</t>
        </is>
      </c>
      <c r="F308" s="2" t="inlineStr">
        <is>
          <t>null@null___DESABILITADO@HABILITADO___Custom_S_TS_SV</t>
        </is>
      </c>
      <c r="G308" s="2">
        <f>VLOOKUP(F308,'Message Mapping'!A:L,3,FALSE)</f>
        <v/>
      </c>
      <c r="H308" s="2">
        <f>VLOOKUP(F308,'Message Mapping'!A:L,4,FALSE)</f>
        <v/>
      </c>
      <c r="I308" s="2" t="n"/>
      <c r="J308" s="3">
        <f>VLOOKUP(F308,'Message Mapping'!A:L,12,FALSE)</f>
        <v/>
      </c>
      <c r="K308" s="3" t="n"/>
      <c r="L308" s="3" t="n"/>
      <c r="M308" s="3" t="n"/>
      <c r="N308" s="3" t="n"/>
      <c r="O308" s="3" t="n"/>
      <c r="P308" s="3" t="n"/>
    </row>
    <row r="309">
      <c r="A309" s="94" t="inlineStr">
        <is>
          <t>AJ2</t>
        </is>
      </c>
      <c r="B309" s="2" t="inlineStr">
        <is>
          <t>AJUSTE PARA AL2</t>
        </is>
      </c>
      <c r="C309" s="2" t="inlineStr">
        <is>
          <t>Custom</t>
        </is>
      </c>
      <c r="D309" s="2" t="inlineStr">
        <is>
          <t>ALARMES PREDIAIS/VF/GRUPO</t>
        </is>
      </c>
      <c r="E309" s="2" t="inlineStr">
        <is>
          <t>Read</t>
        </is>
      </c>
      <c r="F309" s="2" t="inlineStr">
        <is>
          <t>null@null___DESABILITADO@HABILITADO___Custom_S_TS_SV</t>
        </is>
      </c>
      <c r="G309" s="2">
        <f>VLOOKUP(F309,'Message Mapping'!A:L,3,FALSE)</f>
        <v/>
      </c>
      <c r="H309" s="2">
        <f>VLOOKUP(F309,'Message Mapping'!A:L,4,FALSE)</f>
        <v/>
      </c>
      <c r="I309" s="2" t="n"/>
      <c r="J309" s="3">
        <f>VLOOKUP(F309,'Message Mapping'!A:L,12,FALSE)</f>
        <v/>
      </c>
      <c r="K309" s="3" t="n"/>
      <c r="L309" s="3" t="n"/>
      <c r="M309" s="3" t="n"/>
      <c r="N309" s="3" t="n"/>
      <c r="O309" s="3" t="n"/>
      <c r="P309" s="3" t="n"/>
    </row>
    <row r="310">
      <c r="A310" s="94" t="inlineStr">
        <is>
          <t>AJ21</t>
        </is>
      </c>
      <c r="B310" s="2" t="inlineStr">
        <is>
          <t>AJUSTE PARA AL21</t>
        </is>
      </c>
      <c r="C310" s="2" t="inlineStr">
        <is>
          <t>Custom</t>
        </is>
      </c>
      <c r="D310" s="2" t="inlineStr">
        <is>
          <t>ALARMES PREDIAIS/VF/GRUPO</t>
        </is>
      </c>
      <c r="E310" s="2" t="inlineStr">
        <is>
          <t>Read</t>
        </is>
      </c>
      <c r="F310" s="2" t="inlineStr">
        <is>
          <t>null@null___DESABILITADO@HABILITADO___Custom_S_TS_SV</t>
        </is>
      </c>
      <c r="G310" s="2">
        <f>VLOOKUP(F310,'Message Mapping'!A:L,3,FALSE)</f>
        <v/>
      </c>
      <c r="H310" s="2">
        <f>VLOOKUP(F310,'Message Mapping'!A:L,4,FALSE)</f>
        <v/>
      </c>
      <c r="I310" s="2" t="n"/>
      <c r="J310" s="3">
        <f>VLOOKUP(F310,'Message Mapping'!A:L,12,FALSE)</f>
        <v/>
      </c>
      <c r="K310" s="3" t="n"/>
      <c r="L310" s="3" t="n"/>
      <c r="M310" s="3" t="n"/>
      <c r="N310" s="3" t="n"/>
      <c r="O310" s="3" t="n"/>
      <c r="P310" s="3" t="n"/>
    </row>
    <row r="311">
      <c r="A311" s="94" t="inlineStr">
        <is>
          <t>AJ25</t>
        </is>
      </c>
      <c r="B311" s="2" t="inlineStr">
        <is>
          <t>AJUSTE PARA AL25</t>
        </is>
      </c>
      <c r="C311" s="2" t="inlineStr">
        <is>
          <t>Custom</t>
        </is>
      </c>
      <c r="D311" s="2" t="inlineStr">
        <is>
          <t>ALARMES PREDIAIS/VF/GRUPO</t>
        </is>
      </c>
      <c r="E311" s="2" t="inlineStr">
        <is>
          <t>ReadWrite</t>
        </is>
      </c>
      <c r="F311" s="2" t="inlineStr">
        <is>
          <t>DESATIVAR@ATIVAR___DESATIVADO@ATIVADO___Custom_S_TC_SV</t>
        </is>
      </c>
      <c r="G311" s="2">
        <f>VLOOKUP(F311,'Message Mapping'!A:L,3,FALSE)</f>
        <v/>
      </c>
      <c r="H311" s="2">
        <f>VLOOKUP(F311,'Message Mapping'!A:L,4,FALSE)</f>
        <v/>
      </c>
      <c r="I311" s="2" t="n"/>
      <c r="J311" s="3">
        <f>VLOOKUP(F311,'Message Mapping'!A:L,12,FALSE)</f>
        <v/>
      </c>
      <c r="K311" s="3" t="n"/>
      <c r="L311" s="3" t="n"/>
      <c r="M311" s="3" t="n"/>
      <c r="N311" s="3" t="n"/>
      <c r="O311" s="3" t="n"/>
      <c r="P311" s="3" t="n"/>
    </row>
    <row r="312">
      <c r="A312" s="94" t="inlineStr">
        <is>
          <t>AJ26</t>
        </is>
      </c>
      <c r="B312" s="2" t="inlineStr">
        <is>
          <t>AJUSTE PARA AL26</t>
        </is>
      </c>
      <c r="C312" s="2" t="inlineStr">
        <is>
          <t>Custom</t>
        </is>
      </c>
      <c r="D312" s="2" t="inlineStr">
        <is>
          <t>ALARMES PREDIAIS/VF/GRUPO</t>
        </is>
      </c>
      <c r="E312" s="2" t="inlineStr">
        <is>
          <t>Read</t>
        </is>
      </c>
      <c r="F312" s="2" t="inlineStr">
        <is>
          <t>null@null___DESABILITADO@HABILITADO___Custom_S_TS_SV</t>
        </is>
      </c>
      <c r="G312" s="2">
        <f>VLOOKUP(F312,'Message Mapping'!A:L,3,FALSE)</f>
        <v/>
      </c>
      <c r="H312" s="2">
        <f>VLOOKUP(F312,'Message Mapping'!A:L,4,FALSE)</f>
        <v/>
      </c>
      <c r="I312" s="2" t="n"/>
      <c r="J312" s="3">
        <f>VLOOKUP(F312,'Message Mapping'!A:L,12,FALSE)</f>
        <v/>
      </c>
      <c r="K312" s="3" t="n"/>
      <c r="L312" s="3" t="n"/>
      <c r="M312" s="3" t="n"/>
      <c r="N312" s="3" t="n"/>
      <c r="O312" s="3" t="n"/>
      <c r="P312" s="3" t="n"/>
    </row>
    <row r="313">
      <c r="A313" s="94" t="inlineStr">
        <is>
          <t>AJ27</t>
        </is>
      </c>
      <c r="B313" s="2" t="inlineStr">
        <is>
          <t>AJUSTE PARA AL27</t>
        </is>
      </c>
      <c r="C313" s="2" t="inlineStr">
        <is>
          <t>Custom</t>
        </is>
      </c>
      <c r="D313" s="2" t="inlineStr">
        <is>
          <t>ALARMES PREDIAIS/VF/GRUPO</t>
        </is>
      </c>
      <c r="E313" s="2" t="inlineStr">
        <is>
          <t>Read</t>
        </is>
      </c>
      <c r="F313" s="2" t="inlineStr">
        <is>
          <t>null@null___DESABILITADO@HABILITADO___Custom_S_TS_SV</t>
        </is>
      </c>
      <c r="G313" s="2">
        <f>VLOOKUP(F313,'Message Mapping'!A:L,3,FALSE)</f>
        <v/>
      </c>
      <c r="H313" s="2">
        <f>VLOOKUP(F313,'Message Mapping'!A:L,4,FALSE)</f>
        <v/>
      </c>
      <c r="I313" s="2" t="n"/>
      <c r="J313" s="3">
        <f>VLOOKUP(F313,'Message Mapping'!A:L,12,FALSE)</f>
        <v/>
      </c>
      <c r="K313" s="3" t="n"/>
      <c r="L313" s="3" t="n"/>
      <c r="M313" s="3" t="n"/>
      <c r="N313" s="3" t="n"/>
      <c r="O313" s="3" t="n"/>
      <c r="P313" s="3" t="n"/>
    </row>
    <row r="314">
      <c r="A314" s="94" t="inlineStr">
        <is>
          <t>AJ28</t>
        </is>
      </c>
      <c r="B314" s="2" t="inlineStr">
        <is>
          <t>AJUSTE PARA AL28</t>
        </is>
      </c>
      <c r="C314" s="2" t="inlineStr">
        <is>
          <t>Custom</t>
        </is>
      </c>
      <c r="D314" s="2" t="inlineStr">
        <is>
          <t>ALARMES PREDIAIS/VF/GRUPO</t>
        </is>
      </c>
      <c r="E314" s="2" t="inlineStr">
        <is>
          <t>Read</t>
        </is>
      </c>
      <c r="F314" s="2" t="inlineStr">
        <is>
          <t>null@null___DESABILITADO@HABILITADO___Custom_S_TS_SV</t>
        </is>
      </c>
      <c r="G314" s="2">
        <f>VLOOKUP(F314,'Message Mapping'!A:L,3,FALSE)</f>
        <v/>
      </c>
      <c r="H314" s="2">
        <f>VLOOKUP(F314,'Message Mapping'!A:L,4,FALSE)</f>
        <v/>
      </c>
      <c r="I314" s="2" t="n"/>
      <c r="J314" s="3">
        <f>VLOOKUP(F314,'Message Mapping'!A:L,12,FALSE)</f>
        <v/>
      </c>
      <c r="K314" s="3" t="n"/>
      <c r="L314" s="3" t="n"/>
      <c r="M314" s="3" t="n"/>
      <c r="N314" s="3" t="n"/>
      <c r="O314" s="3" t="n"/>
      <c r="P314" s="3" t="n"/>
    </row>
    <row r="315">
      <c r="A315" s="94" t="inlineStr">
        <is>
          <t>AJ3</t>
        </is>
      </c>
      <c r="B315" s="2" t="inlineStr">
        <is>
          <t>AJUSTE PARA AL3</t>
        </is>
      </c>
      <c r="C315" s="2" t="inlineStr">
        <is>
          <t>Custom</t>
        </is>
      </c>
      <c r="D315" s="2" t="inlineStr">
        <is>
          <t>ALARMES PREDIAIS/VF/GRUPO</t>
        </is>
      </c>
      <c r="E315" s="2" t="inlineStr">
        <is>
          <t>Read</t>
        </is>
      </c>
      <c r="F315" s="2" t="inlineStr">
        <is>
          <t>null@null___DESABILITADO@HABILITADO___Custom_S_TS_SV</t>
        </is>
      </c>
      <c r="G315" s="2">
        <f>VLOOKUP(F315,'Message Mapping'!A:L,3,FALSE)</f>
        <v/>
      </c>
      <c r="H315" s="2">
        <f>VLOOKUP(F315,'Message Mapping'!A:L,4,FALSE)</f>
        <v/>
      </c>
      <c r="I315" s="2" t="n"/>
      <c r="J315" s="3">
        <f>VLOOKUP(F315,'Message Mapping'!A:L,12,FALSE)</f>
        <v/>
      </c>
      <c r="K315" s="3" t="n"/>
      <c r="L315" s="3" t="n"/>
      <c r="M315" s="3" t="n"/>
      <c r="N315" s="3" t="n"/>
      <c r="O315" s="3" t="n"/>
      <c r="P315" s="3" t="n"/>
    </row>
    <row r="316">
      <c r="A316" s="94" t="inlineStr">
        <is>
          <t>AJ31</t>
        </is>
      </c>
      <c r="B316" s="2" t="inlineStr">
        <is>
          <t>AJUSTE PARA AL31</t>
        </is>
      </c>
      <c r="C316" s="2" t="inlineStr">
        <is>
          <t>Custom</t>
        </is>
      </c>
      <c r="D316" s="2" t="inlineStr">
        <is>
          <t>ALARMES PREDIAIS/VF/GRUPO</t>
        </is>
      </c>
      <c r="E316" s="2" t="inlineStr">
        <is>
          <t>Read</t>
        </is>
      </c>
      <c r="F316" s="2" t="inlineStr">
        <is>
          <t>null@null___DESABILITADO@HABILITADO___Custom_S_TS_SV</t>
        </is>
      </c>
      <c r="G316" s="2">
        <f>VLOOKUP(F316,'Message Mapping'!A:L,3,FALSE)</f>
        <v/>
      </c>
      <c r="H316" s="2">
        <f>VLOOKUP(F316,'Message Mapping'!A:L,4,FALSE)</f>
        <v/>
      </c>
      <c r="I316" s="2" t="n"/>
      <c r="J316" s="3">
        <f>VLOOKUP(F316,'Message Mapping'!A:L,12,FALSE)</f>
        <v/>
      </c>
      <c r="K316" s="3" t="n"/>
      <c r="L316" s="3" t="n"/>
      <c r="M316" s="3" t="n"/>
      <c r="N316" s="3" t="n"/>
      <c r="O316" s="3" t="n"/>
      <c r="P316" s="3" t="n"/>
    </row>
    <row r="317">
      <c r="A317" s="94" t="inlineStr">
        <is>
          <t>AJ32</t>
        </is>
      </c>
      <c r="B317" s="2" t="inlineStr">
        <is>
          <t>AJUSTE PARA AL32</t>
        </is>
      </c>
      <c r="C317" s="2" t="inlineStr">
        <is>
          <t>Custom</t>
        </is>
      </c>
      <c r="D317" s="2" t="inlineStr">
        <is>
          <t>ALARMES PREDIAIS/VF/GRUPO</t>
        </is>
      </c>
      <c r="E317" s="2" t="inlineStr">
        <is>
          <t>Read</t>
        </is>
      </c>
      <c r="F317" s="2" t="inlineStr">
        <is>
          <t>null@null___DESABILITADO@HABILITADO___Custom_S_TS_SV</t>
        </is>
      </c>
      <c r="G317" s="2">
        <f>VLOOKUP(F317,'Message Mapping'!A:L,3,FALSE)</f>
        <v/>
      </c>
      <c r="H317" s="2">
        <f>VLOOKUP(F317,'Message Mapping'!A:L,4,FALSE)</f>
        <v/>
      </c>
      <c r="I317" s="2" t="n"/>
      <c r="J317" s="3">
        <f>VLOOKUP(F317,'Message Mapping'!A:L,12,FALSE)</f>
        <v/>
      </c>
      <c r="K317" s="3" t="n"/>
      <c r="L317" s="3" t="n"/>
      <c r="M317" s="3" t="n"/>
      <c r="N317" s="3" t="n"/>
      <c r="O317" s="3" t="n"/>
      <c r="P317" s="3" t="n"/>
    </row>
    <row r="318">
      <c r="A318" s="94" t="inlineStr">
        <is>
          <t>AJ33</t>
        </is>
      </c>
      <c r="B318" s="2" t="inlineStr">
        <is>
          <t>AJUSTE PARA AL33</t>
        </is>
      </c>
      <c r="C318" s="2" t="inlineStr">
        <is>
          <t>Custom</t>
        </is>
      </c>
      <c r="D318" s="2" t="inlineStr">
        <is>
          <t>ALARMES PREDIAIS/VF/GRUPO</t>
        </is>
      </c>
      <c r="E318" s="2" t="inlineStr">
        <is>
          <t>Read</t>
        </is>
      </c>
      <c r="F318" s="2" t="inlineStr">
        <is>
          <t>null@null___DESABILITADO@HABILITADO___Custom_S_TS_SV</t>
        </is>
      </c>
      <c r="G318" s="2">
        <f>VLOOKUP(F318,'Message Mapping'!A:L,3,FALSE)</f>
        <v/>
      </c>
      <c r="H318" s="2">
        <f>VLOOKUP(F318,'Message Mapping'!A:L,4,FALSE)</f>
        <v/>
      </c>
      <c r="I318" s="2" t="n"/>
      <c r="J318" s="3">
        <f>VLOOKUP(F318,'Message Mapping'!A:L,12,FALSE)</f>
        <v/>
      </c>
      <c r="K318" s="3" t="n"/>
      <c r="L318" s="3" t="n"/>
      <c r="M318" s="3" t="n"/>
      <c r="N318" s="3" t="n"/>
      <c r="O318" s="3" t="n"/>
      <c r="P318" s="3" t="n"/>
    </row>
    <row r="319">
      <c r="A319" s="94" t="inlineStr">
        <is>
          <t>AJ34</t>
        </is>
      </c>
      <c r="B319" s="2" t="inlineStr">
        <is>
          <t>AJUSTE PARA AL34</t>
        </is>
      </c>
      <c r="C319" s="2" t="inlineStr">
        <is>
          <t>Custom</t>
        </is>
      </c>
      <c r="D319" s="2" t="inlineStr">
        <is>
          <t>ALARMES PREDIAIS/VF/GRUPO</t>
        </is>
      </c>
      <c r="E319" s="2" t="inlineStr">
        <is>
          <t>Read</t>
        </is>
      </c>
      <c r="F319" s="2" t="inlineStr">
        <is>
          <t>null@null___DESABILITADO@HABILITADO___Custom_S_TS_SV</t>
        </is>
      </c>
      <c r="G319" s="2">
        <f>VLOOKUP(F319,'Message Mapping'!A:L,3,FALSE)</f>
        <v/>
      </c>
      <c r="H319" s="2">
        <f>VLOOKUP(F319,'Message Mapping'!A:L,4,FALSE)</f>
        <v/>
      </c>
      <c r="I319" s="2" t="n"/>
      <c r="J319" s="3">
        <f>VLOOKUP(F319,'Message Mapping'!A:L,12,FALSE)</f>
        <v/>
      </c>
      <c r="K319" s="3" t="n"/>
      <c r="L319" s="3" t="n"/>
      <c r="M319" s="3" t="n"/>
      <c r="N319" s="3" t="n"/>
      <c r="O319" s="3" t="n"/>
      <c r="P319" s="3" t="n"/>
    </row>
    <row r="320">
      <c r="A320" s="94" t="inlineStr">
        <is>
          <t>AJ4</t>
        </is>
      </c>
      <c r="B320" s="2" t="inlineStr">
        <is>
          <t>AJUSTE PARA AL4</t>
        </is>
      </c>
      <c r="C320" s="2" t="inlineStr">
        <is>
          <t>Custom</t>
        </is>
      </c>
      <c r="D320" s="2" t="inlineStr">
        <is>
          <t>ALARMES PREDIAIS/VF/GRUPO</t>
        </is>
      </c>
      <c r="E320" s="2" t="inlineStr">
        <is>
          <t>Read</t>
        </is>
      </c>
      <c r="F320" s="2" t="inlineStr">
        <is>
          <t>null@null___DESABILITADO@HABILITADO___Custom_S_TS_SV</t>
        </is>
      </c>
      <c r="G320" s="2">
        <f>VLOOKUP(F320,'Message Mapping'!A:L,3,FALSE)</f>
        <v/>
      </c>
      <c r="H320" s="2">
        <f>VLOOKUP(F320,'Message Mapping'!A:L,4,FALSE)</f>
        <v/>
      </c>
      <c r="I320" s="2" t="n"/>
      <c r="J320" s="3">
        <f>VLOOKUP(F320,'Message Mapping'!A:L,12,FALSE)</f>
        <v/>
      </c>
      <c r="K320" s="3" t="n"/>
      <c r="L320" s="3" t="n"/>
      <c r="M320" s="3" t="n"/>
      <c r="N320" s="3" t="n"/>
      <c r="O320" s="3" t="n"/>
      <c r="P320" s="3" t="n"/>
    </row>
    <row r="321">
      <c r="A321" s="94" t="inlineStr">
        <is>
          <t>AJ5</t>
        </is>
      </c>
      <c r="B321" s="2" t="inlineStr">
        <is>
          <t>AJUSTE PARA AL5</t>
        </is>
      </c>
      <c r="C321" s="2" t="inlineStr">
        <is>
          <t>Custom</t>
        </is>
      </c>
      <c r="D321" s="2" t="inlineStr">
        <is>
          <t>ALARMES PREDIAIS/VF/GRUPO</t>
        </is>
      </c>
      <c r="E321" s="2" t="inlineStr">
        <is>
          <t>Read</t>
        </is>
      </c>
      <c r="F321" s="2" t="inlineStr">
        <is>
          <t>null@null___DESABILITADO@HABILITADO___Custom_S_TS_SV</t>
        </is>
      </c>
      <c r="G321" s="2">
        <f>VLOOKUP(F321,'Message Mapping'!A:L,3,FALSE)</f>
        <v/>
      </c>
      <c r="H321" s="2">
        <f>VLOOKUP(F321,'Message Mapping'!A:L,4,FALSE)</f>
        <v/>
      </c>
      <c r="I321" s="2" t="n"/>
      <c r="J321" s="3">
        <f>VLOOKUP(F321,'Message Mapping'!A:L,12,FALSE)</f>
        <v/>
      </c>
      <c r="K321" s="3" t="n"/>
      <c r="L321" s="3" t="n"/>
      <c r="M321" s="3" t="n"/>
      <c r="N321" s="3" t="n"/>
      <c r="O321" s="3" t="n"/>
      <c r="P321" s="3" t="n"/>
    </row>
    <row r="322">
      <c r="A322" s="94" t="inlineStr">
        <is>
          <t>AJ6</t>
        </is>
      </c>
      <c r="B322" s="2" t="inlineStr">
        <is>
          <t>AJUSTE PARA AL6</t>
        </is>
      </c>
      <c r="C322" s="2" t="inlineStr">
        <is>
          <t>Custom</t>
        </is>
      </c>
      <c r="D322" s="2" t="inlineStr">
        <is>
          <t>ALARMES PREDIAIS/VF/GRUPO</t>
        </is>
      </c>
      <c r="E322" s="2" t="inlineStr">
        <is>
          <t>Read</t>
        </is>
      </c>
      <c r="F322" s="2" t="inlineStr">
        <is>
          <t>null@null___DESABILITADO@HABILITADO___Custom_S_TS_SV</t>
        </is>
      </c>
      <c r="G322" s="2">
        <f>VLOOKUP(F322,'Message Mapping'!A:L,3,FALSE)</f>
        <v/>
      </c>
      <c r="H322" s="2">
        <f>VLOOKUP(F322,'Message Mapping'!A:L,4,FALSE)</f>
        <v/>
      </c>
      <c r="I322" s="2" t="n"/>
      <c r="J322" s="3">
        <f>VLOOKUP(F322,'Message Mapping'!A:L,12,FALSE)</f>
        <v/>
      </c>
      <c r="K322" s="3" t="n"/>
      <c r="L322" s="3" t="n"/>
      <c r="M322" s="3" t="n"/>
      <c r="N322" s="3" t="n"/>
      <c r="O322" s="3" t="n"/>
      <c r="P322" s="3" t="n"/>
    </row>
    <row r="323">
      <c r="A323" s="94" t="inlineStr">
        <is>
          <t>AJ7</t>
        </is>
      </c>
      <c r="B323" s="2" t="inlineStr">
        <is>
          <t>AJUSTE PARA AL7</t>
        </is>
      </c>
      <c r="C323" s="2" t="inlineStr">
        <is>
          <t>Custom</t>
        </is>
      </c>
      <c r="D323" s="2" t="inlineStr">
        <is>
          <t>ALARMES PREDIAIS/VF/GRUPO</t>
        </is>
      </c>
      <c r="E323" s="2" t="inlineStr">
        <is>
          <t>Read</t>
        </is>
      </c>
      <c r="F323" s="2" t="inlineStr">
        <is>
          <t>null@null___DESABILITADO@HABILITADO___Custom_S_TS_SV</t>
        </is>
      </c>
      <c r="G323" s="2">
        <f>VLOOKUP(F323,'Message Mapping'!A:L,3,FALSE)</f>
        <v/>
      </c>
      <c r="H323" s="2">
        <f>VLOOKUP(F323,'Message Mapping'!A:L,4,FALSE)</f>
        <v/>
      </c>
      <c r="I323" s="2" t="n"/>
      <c r="J323" s="3">
        <f>VLOOKUP(F323,'Message Mapping'!A:L,12,FALSE)</f>
        <v/>
      </c>
      <c r="K323" s="3" t="n"/>
      <c r="L323" s="3" t="n"/>
      <c r="M323" s="3" t="n"/>
      <c r="N323" s="3" t="n"/>
      <c r="O323" s="3" t="n"/>
      <c r="P323" s="3" t="n"/>
    </row>
    <row r="324">
      <c r="A324" s="94" t="inlineStr">
        <is>
          <t>AJ8</t>
        </is>
      </c>
      <c r="B324" s="2" t="inlineStr">
        <is>
          <t>AJUSTE PARA AL8</t>
        </is>
      </c>
      <c r="C324" s="2" t="inlineStr">
        <is>
          <t>Custom</t>
        </is>
      </c>
      <c r="D324" s="2" t="inlineStr">
        <is>
          <t>ALARMES PREDIAIS/VF/GRUPO</t>
        </is>
      </c>
      <c r="E324" s="2" t="inlineStr">
        <is>
          <t>Read</t>
        </is>
      </c>
      <c r="F324" s="2" t="inlineStr">
        <is>
          <t>null@null___DESABILITADO@HABILITADO___Custom_S_TS_SV</t>
        </is>
      </c>
      <c r="G324" s="2">
        <f>VLOOKUP(F324,'Message Mapping'!A:L,3,FALSE)</f>
        <v/>
      </c>
      <c r="H324" s="2">
        <f>VLOOKUP(F324,'Message Mapping'!A:L,4,FALSE)</f>
        <v/>
      </c>
      <c r="I324" s="2" t="n"/>
      <c r="J324" s="3">
        <f>VLOOKUP(F324,'Message Mapping'!A:L,12,FALSE)</f>
        <v/>
      </c>
      <c r="K324" s="3" t="n"/>
      <c r="L324" s="3" t="n"/>
      <c r="M324" s="3" t="n"/>
      <c r="N324" s="3" t="n"/>
      <c r="O324" s="3" t="n"/>
      <c r="P324" s="3" t="n"/>
    </row>
    <row r="325">
      <c r="A325" s="94" t="inlineStr">
        <is>
          <t>AJG1</t>
        </is>
      </c>
      <c r="B325" s="2" t="inlineStr">
        <is>
          <t>AJUSTE PARA GRUPO 1</t>
        </is>
      </c>
      <c r="C325" s="2" t="inlineStr">
        <is>
          <t>Custom</t>
        </is>
      </c>
      <c r="D325" s="2" t="inlineStr">
        <is>
          <t>ALARMES PREDIAIS/VF/GRUPO</t>
        </is>
      </c>
      <c r="E325" s="2" t="inlineStr">
        <is>
          <t>Read</t>
        </is>
      </c>
      <c r="F325" s="2" t="inlineStr">
        <is>
          <t>null@null___DESATIVADO@ATIVADO___Custom_S_TS_SV</t>
        </is>
      </c>
      <c r="G325" s="2">
        <f>VLOOKUP(F325,'Message Mapping'!A:L,3,FALSE)</f>
        <v/>
      </c>
      <c r="H325" s="2">
        <f>VLOOKUP(F325,'Message Mapping'!A:L,4,FALSE)</f>
        <v/>
      </c>
      <c r="I325" s="2" t="n"/>
      <c r="J325" s="3">
        <f>VLOOKUP(F325,'Message Mapping'!A:L,12,FALSE)</f>
        <v/>
      </c>
      <c r="K325" s="3" t="n"/>
      <c r="L325" s="3" t="n"/>
      <c r="M325" s="3" t="n"/>
      <c r="N325" s="3" t="n"/>
      <c r="O325" s="3" t="n"/>
      <c r="P325" s="3" t="n"/>
    </row>
    <row r="326">
      <c r="A326" s="94" t="inlineStr">
        <is>
          <t>AJG1</t>
        </is>
      </c>
      <c r="B326" s="2" t="inlineStr">
        <is>
          <t>AJUSTE PARA GRUPO 1</t>
        </is>
      </c>
      <c r="C326" s="2" t="inlineStr">
        <is>
          <t>Custom</t>
        </is>
      </c>
      <c r="D326" s="2" t="inlineStr">
        <is>
          <t>ALARMES PREDIAIS/VF/GRUPO</t>
        </is>
      </c>
      <c r="E326" s="2" t="inlineStr">
        <is>
          <t>ReadWrite</t>
        </is>
      </c>
      <c r="F326" s="2" t="inlineStr">
        <is>
          <t>DESATIVAR@ATIVAR___DESATIVADO@ATIVADO___Custom_S_TS_SV</t>
        </is>
      </c>
      <c r="G326" s="2">
        <f>VLOOKUP(F326,'Message Mapping'!A:L,3,FALSE)</f>
        <v/>
      </c>
      <c r="H326" s="2">
        <f>VLOOKUP(F326,'Message Mapping'!A:L,4,FALSE)</f>
        <v/>
      </c>
      <c r="I326" s="2" t="n"/>
      <c r="J326" s="3">
        <f>VLOOKUP(F326,'Message Mapping'!A:L,12,FALSE)</f>
        <v/>
      </c>
      <c r="K326" s="3" t="n"/>
      <c r="L326" s="3" t="n"/>
      <c r="M326" s="3" t="n"/>
      <c r="N326" s="3" t="n"/>
      <c r="O326" s="3" t="n"/>
      <c r="P326" s="3" t="n"/>
    </row>
    <row r="327">
      <c r="A327" s="94" t="inlineStr">
        <is>
          <t>AJG2</t>
        </is>
      </c>
      <c r="B327" s="2" t="inlineStr">
        <is>
          <t>AJUSTE PARA GRUPO 2</t>
        </is>
      </c>
      <c r="C327" s="2" t="inlineStr">
        <is>
          <t>Custom</t>
        </is>
      </c>
      <c r="D327" s="2" t="inlineStr">
        <is>
          <t>ALARMES PREDIAIS/VF/GRUPO</t>
        </is>
      </c>
      <c r="E327" s="2" t="inlineStr">
        <is>
          <t>Read</t>
        </is>
      </c>
      <c r="F327" s="2" t="inlineStr">
        <is>
          <t>null@null___DESATIVADO@ATIVADO___Custom_S_TS_SV</t>
        </is>
      </c>
      <c r="G327" s="2">
        <f>VLOOKUP(F327,'Message Mapping'!A:L,3,FALSE)</f>
        <v/>
      </c>
      <c r="H327" s="2">
        <f>VLOOKUP(F327,'Message Mapping'!A:L,4,FALSE)</f>
        <v/>
      </c>
      <c r="I327" s="2" t="n"/>
      <c r="J327" s="3">
        <f>VLOOKUP(F327,'Message Mapping'!A:L,12,FALSE)</f>
        <v/>
      </c>
      <c r="K327" s="3" t="n"/>
      <c r="L327" s="3" t="n"/>
      <c r="M327" s="3" t="n"/>
      <c r="N327" s="3" t="n"/>
      <c r="O327" s="3" t="n"/>
      <c r="P327" s="3" t="n"/>
    </row>
    <row r="328">
      <c r="A328" s="94" t="inlineStr">
        <is>
          <t>AJG2</t>
        </is>
      </c>
      <c r="B328" s="2" t="inlineStr">
        <is>
          <t>AJUSTE PARA GRUPO 2</t>
        </is>
      </c>
      <c r="C328" s="2" t="inlineStr">
        <is>
          <t>Custom</t>
        </is>
      </c>
      <c r="D328" s="2" t="inlineStr">
        <is>
          <t>ALARMES PREDIAIS/VF/GRUPO</t>
        </is>
      </c>
      <c r="E328" s="2" t="inlineStr">
        <is>
          <t>ReadWrite</t>
        </is>
      </c>
      <c r="F328" s="2" t="inlineStr">
        <is>
          <t>DESATIVAR@ATIVAR___DESATIVADO@ATIVADO___Custom_S_TS_SV</t>
        </is>
      </c>
      <c r="G328" s="2">
        <f>VLOOKUP(F328,'Message Mapping'!A:L,3,FALSE)</f>
        <v/>
      </c>
      <c r="H328" s="2">
        <f>VLOOKUP(F328,'Message Mapping'!A:L,4,FALSE)</f>
        <v/>
      </c>
      <c r="I328" s="2" t="n"/>
      <c r="J328" s="3">
        <f>VLOOKUP(F328,'Message Mapping'!A:L,12,FALSE)</f>
        <v/>
      </c>
      <c r="K328" s="3" t="n"/>
      <c r="L328" s="3" t="n"/>
      <c r="M328" s="3" t="n"/>
      <c r="N328" s="3" t="n"/>
      <c r="O328" s="3" t="n"/>
      <c r="P328" s="3" t="n"/>
    </row>
    <row r="329">
      <c r="A329" s="94" t="inlineStr">
        <is>
          <t>AJG3</t>
        </is>
      </c>
      <c r="B329" s="2" t="inlineStr">
        <is>
          <t>AJUSTE PARA GRUPO 3</t>
        </is>
      </c>
      <c r="C329" s="2" t="inlineStr">
        <is>
          <t>Custom</t>
        </is>
      </c>
      <c r="D329" s="2" t="inlineStr">
        <is>
          <t>ALARMES PREDIAIS/VF/GRUPO</t>
        </is>
      </c>
      <c r="E329" s="2" t="inlineStr">
        <is>
          <t>Read</t>
        </is>
      </c>
      <c r="F329" s="2" t="inlineStr">
        <is>
          <t>null@null___DESATIVADO@ATIVADO___Custom_S_TS_SV</t>
        </is>
      </c>
      <c r="G329" s="2">
        <f>VLOOKUP(F329,'Message Mapping'!A:L,3,FALSE)</f>
        <v/>
      </c>
      <c r="H329" s="2">
        <f>VLOOKUP(F329,'Message Mapping'!A:L,4,FALSE)</f>
        <v/>
      </c>
      <c r="I329" s="2" t="n"/>
      <c r="J329" s="3">
        <f>VLOOKUP(F329,'Message Mapping'!A:L,12,FALSE)</f>
        <v/>
      </c>
      <c r="K329" s="3" t="n"/>
      <c r="L329" s="3" t="n"/>
      <c r="M329" s="3" t="n"/>
      <c r="N329" s="3" t="n"/>
      <c r="O329" s="3" t="n"/>
      <c r="P329" s="3" t="n"/>
    </row>
    <row r="330">
      <c r="A330" s="94" t="inlineStr">
        <is>
          <t>AJG3</t>
        </is>
      </c>
      <c r="B330" s="2" t="inlineStr">
        <is>
          <t>AJUSTE PARA GRUPO 3</t>
        </is>
      </c>
      <c r="C330" s="2" t="inlineStr">
        <is>
          <t>Custom</t>
        </is>
      </c>
      <c r="D330" s="2" t="inlineStr">
        <is>
          <t>ALARMES PREDIAIS/VF/GRUPO</t>
        </is>
      </c>
      <c r="E330" s="2" t="inlineStr">
        <is>
          <t>ReadWrite</t>
        </is>
      </c>
      <c r="F330" s="2" t="inlineStr">
        <is>
          <t>DESATIVAR@ATIVAR___DESATIVADO@ATIVADO___Custom_S_TS_SV</t>
        </is>
      </c>
      <c r="G330" s="2">
        <f>VLOOKUP(F330,'Message Mapping'!A:L,3,FALSE)</f>
        <v/>
      </c>
      <c r="H330" s="2">
        <f>VLOOKUP(F330,'Message Mapping'!A:L,4,FALSE)</f>
        <v/>
      </c>
      <c r="I330" s="2" t="n"/>
      <c r="J330" s="3">
        <f>VLOOKUP(F330,'Message Mapping'!A:L,12,FALSE)</f>
        <v/>
      </c>
      <c r="K330" s="3" t="n"/>
      <c r="L330" s="3" t="n"/>
      <c r="M330" s="3" t="n"/>
      <c r="N330" s="3" t="n"/>
      <c r="O330" s="3" t="n"/>
      <c r="P330" s="3" t="n"/>
    </row>
    <row r="331">
      <c r="A331" s="94" t="inlineStr">
        <is>
          <t>AJG4</t>
        </is>
      </c>
      <c r="B331" s="2" t="inlineStr">
        <is>
          <t>AJUSTE PARA GRUPO 4</t>
        </is>
      </c>
      <c r="C331" s="2" t="inlineStr">
        <is>
          <t>Custom</t>
        </is>
      </c>
      <c r="D331" s="2" t="inlineStr">
        <is>
          <t>ALARMES PREDIAIS/VF/GRUPO</t>
        </is>
      </c>
      <c r="E331" s="2" t="inlineStr">
        <is>
          <t>Read</t>
        </is>
      </c>
      <c r="F331" s="2" t="inlineStr">
        <is>
          <t>null@null___DESATIVADO@ATIVADO___Custom_S_TS_SV</t>
        </is>
      </c>
      <c r="G331" s="2">
        <f>VLOOKUP(F331,'Message Mapping'!A:L,3,FALSE)</f>
        <v/>
      </c>
      <c r="H331" s="2">
        <f>VLOOKUP(F331,'Message Mapping'!A:L,4,FALSE)</f>
        <v/>
      </c>
      <c r="I331" s="2" t="n"/>
      <c r="J331" s="3">
        <f>VLOOKUP(F331,'Message Mapping'!A:L,12,FALSE)</f>
        <v/>
      </c>
      <c r="K331" s="3" t="n"/>
      <c r="L331" s="3" t="n"/>
      <c r="M331" s="3" t="n"/>
      <c r="N331" s="3" t="n"/>
      <c r="O331" s="3" t="n"/>
      <c r="P331" s="3" t="n"/>
    </row>
    <row r="332">
      <c r="A332" s="94" t="inlineStr">
        <is>
          <t>AJG4</t>
        </is>
      </c>
      <c r="B332" s="2" t="inlineStr">
        <is>
          <t>AJUSTE PARA GRUPO 4</t>
        </is>
      </c>
      <c r="C332" s="2" t="inlineStr">
        <is>
          <t>Custom</t>
        </is>
      </c>
      <c r="D332" s="2" t="inlineStr">
        <is>
          <t>ALARMES PREDIAIS/VF/GRUPO</t>
        </is>
      </c>
      <c r="E332" s="2" t="inlineStr">
        <is>
          <t>ReadWrite</t>
        </is>
      </c>
      <c r="F332" s="2" t="inlineStr">
        <is>
          <t>DESATIVAR@ATIVAR___DESATIVADO@ATIVADO___Custom_S_TS_SV</t>
        </is>
      </c>
      <c r="G332" s="2">
        <f>VLOOKUP(F332,'Message Mapping'!A:L,3,FALSE)</f>
        <v/>
      </c>
      <c r="H332" s="2">
        <f>VLOOKUP(F332,'Message Mapping'!A:L,4,FALSE)</f>
        <v/>
      </c>
      <c r="I332" s="2" t="n"/>
      <c r="J332" s="3">
        <f>VLOOKUP(F332,'Message Mapping'!A:L,12,FALSE)</f>
        <v/>
      </c>
      <c r="K332" s="3" t="n"/>
      <c r="L332" s="3" t="n"/>
      <c r="M332" s="3" t="n"/>
      <c r="N332" s="3" t="n"/>
      <c r="O332" s="3" t="n"/>
      <c r="P332" s="3" t="n"/>
    </row>
    <row r="333">
      <c r="A333" s="94" t="inlineStr">
        <is>
          <t>AJG5</t>
        </is>
      </c>
      <c r="B333" s="2" t="inlineStr">
        <is>
          <t>AJUSTE PARA GRUPO 5</t>
        </is>
      </c>
      <c r="C333" s="2" t="inlineStr">
        <is>
          <t>Custom</t>
        </is>
      </c>
      <c r="D333" s="2" t="inlineStr">
        <is>
          <t>ALARMES PREDIAIS/VF/GRUPO</t>
        </is>
      </c>
      <c r="E333" s="2" t="inlineStr">
        <is>
          <t>Read</t>
        </is>
      </c>
      <c r="F333" s="2" t="inlineStr">
        <is>
          <t>null@null___DESATIVADO@ATIVADO___Custom_S_TS_SV</t>
        </is>
      </c>
      <c r="G333" s="2">
        <f>VLOOKUP(F333,'Message Mapping'!A:L,3,FALSE)</f>
        <v/>
      </c>
      <c r="H333" s="2">
        <f>VLOOKUP(F333,'Message Mapping'!A:L,4,FALSE)</f>
        <v/>
      </c>
      <c r="I333" s="2" t="n"/>
      <c r="J333" s="3">
        <f>VLOOKUP(F333,'Message Mapping'!A:L,12,FALSE)</f>
        <v/>
      </c>
      <c r="K333" s="3" t="n"/>
      <c r="L333" s="3" t="n"/>
      <c r="M333" s="3" t="n"/>
      <c r="N333" s="3" t="n"/>
      <c r="O333" s="3" t="n"/>
      <c r="P333" s="3" t="n"/>
    </row>
    <row r="334">
      <c r="A334" s="94" t="inlineStr">
        <is>
          <t>AJG5</t>
        </is>
      </c>
      <c r="B334" s="2" t="inlineStr">
        <is>
          <t>AJUSTE PARA GRUPO 5</t>
        </is>
      </c>
      <c r="C334" s="2" t="inlineStr">
        <is>
          <t>Custom</t>
        </is>
      </c>
      <c r="D334" s="2" t="inlineStr">
        <is>
          <t>ALARMES PREDIAIS/VF/GRUPO</t>
        </is>
      </c>
      <c r="E334" s="2" t="inlineStr">
        <is>
          <t>ReadWrite</t>
        </is>
      </c>
      <c r="F334" s="2" t="inlineStr">
        <is>
          <t>DESATIVAR@ATIVAR___DESATIVADO@ATIVADO___Custom_S_TS_SV</t>
        </is>
      </c>
      <c r="G334" s="2">
        <f>VLOOKUP(F334,'Message Mapping'!A:L,3,FALSE)</f>
        <v/>
      </c>
      <c r="H334" s="2">
        <f>VLOOKUP(F334,'Message Mapping'!A:L,4,FALSE)</f>
        <v/>
      </c>
      <c r="I334" s="2" t="n"/>
      <c r="J334" s="3">
        <f>VLOOKUP(F334,'Message Mapping'!A:L,12,FALSE)</f>
        <v/>
      </c>
      <c r="K334" s="3" t="n"/>
      <c r="L334" s="3" t="n"/>
      <c r="M334" s="3" t="n"/>
      <c r="N334" s="3" t="n"/>
      <c r="O334" s="3" t="n"/>
      <c r="P334" s="3" t="n"/>
    </row>
    <row r="335">
      <c r="A335" s="94" t="inlineStr">
        <is>
          <t>AJG6</t>
        </is>
      </c>
      <c r="B335" s="2" t="inlineStr">
        <is>
          <t>AJUSTE PARA GRUPO 6</t>
        </is>
      </c>
      <c r="C335" s="2" t="inlineStr">
        <is>
          <t>Custom</t>
        </is>
      </c>
      <c r="D335" s="2" t="inlineStr">
        <is>
          <t>ALARMES PREDIAIS/VF/GRUPO</t>
        </is>
      </c>
      <c r="E335" s="2" t="inlineStr">
        <is>
          <t>Read</t>
        </is>
      </c>
      <c r="F335" s="2" t="inlineStr">
        <is>
          <t>null@null___DESATIVADO@ATIVADO___Custom_S_TS_SV</t>
        </is>
      </c>
      <c r="G335" s="2">
        <f>VLOOKUP(F335,'Message Mapping'!A:L,3,FALSE)</f>
        <v/>
      </c>
      <c r="H335" s="2">
        <f>VLOOKUP(F335,'Message Mapping'!A:L,4,FALSE)</f>
        <v/>
      </c>
      <c r="I335" s="2" t="n"/>
      <c r="J335" s="3">
        <f>VLOOKUP(F335,'Message Mapping'!A:L,12,FALSE)</f>
        <v/>
      </c>
      <c r="K335" s="3" t="n"/>
      <c r="L335" s="3" t="n"/>
      <c r="M335" s="3" t="n"/>
      <c r="N335" s="3" t="n"/>
      <c r="O335" s="3" t="n"/>
      <c r="P335" s="3" t="n"/>
    </row>
    <row r="336">
      <c r="A336" s="94" t="inlineStr">
        <is>
          <t>AJG6</t>
        </is>
      </c>
      <c r="B336" s="2" t="inlineStr">
        <is>
          <t>AJUSTE PARA GRUPO 6</t>
        </is>
      </c>
      <c r="C336" s="2" t="inlineStr">
        <is>
          <t>Custom</t>
        </is>
      </c>
      <c r="D336" s="2" t="inlineStr">
        <is>
          <t>ALARMES PREDIAIS/VF/GRUPO</t>
        </is>
      </c>
      <c r="E336" s="2" t="inlineStr">
        <is>
          <t>ReadWrite</t>
        </is>
      </c>
      <c r="F336" s="2" t="inlineStr">
        <is>
          <t>DESATIVAR@ATIVAR___DESATIVADO@ATIVADO___Custom_S_TS_SV</t>
        </is>
      </c>
      <c r="G336" s="2">
        <f>VLOOKUP(F336,'Message Mapping'!A:L,3,FALSE)</f>
        <v/>
      </c>
      <c r="H336" s="2">
        <f>VLOOKUP(F336,'Message Mapping'!A:L,4,FALSE)</f>
        <v/>
      </c>
      <c r="I336" s="2" t="n"/>
      <c r="J336" s="3">
        <f>VLOOKUP(F336,'Message Mapping'!A:L,12,FALSE)</f>
        <v/>
      </c>
      <c r="K336" s="3" t="n"/>
      <c r="L336" s="3" t="n"/>
      <c r="M336" s="3" t="n"/>
      <c r="N336" s="3" t="n"/>
      <c r="O336" s="3" t="n"/>
      <c r="P336" s="3" t="n"/>
    </row>
    <row r="337">
      <c r="A337" s="94" t="inlineStr">
        <is>
          <t>AJNM</t>
        </is>
      </c>
      <c r="B337" s="2" t="inlineStr">
        <is>
          <t>AJUSTE PARA GRUPO NORMAL</t>
        </is>
      </c>
      <c r="C337" s="2" t="inlineStr">
        <is>
          <t>Custom</t>
        </is>
      </c>
      <c r="D337" s="2" t="inlineStr">
        <is>
          <t>ALARMES PREDIAIS/VF/GRUPO</t>
        </is>
      </c>
      <c r="E337" s="2" t="inlineStr">
        <is>
          <t>Read</t>
        </is>
      </c>
      <c r="F337" s="2" t="inlineStr">
        <is>
          <t>null@null___DESATIVADO@ATIVADO___Custom_S_TS_SV</t>
        </is>
      </c>
      <c r="G337" s="2">
        <f>VLOOKUP(F337,'Message Mapping'!A:L,3,FALSE)</f>
        <v/>
      </c>
      <c r="H337" s="2">
        <f>VLOOKUP(F337,'Message Mapping'!A:L,4,FALSE)</f>
        <v/>
      </c>
      <c r="I337" s="2" t="n"/>
      <c r="J337" s="3">
        <f>VLOOKUP(F337,'Message Mapping'!A:L,12,FALSE)</f>
        <v/>
      </c>
      <c r="K337" s="3" t="n"/>
      <c r="L337" s="3" t="n"/>
      <c r="M337" s="3" t="n"/>
      <c r="N337" s="3" t="n"/>
      <c r="O337" s="3" t="n"/>
      <c r="P337" s="3" t="n"/>
    </row>
    <row r="338">
      <c r="A338" s="94" t="inlineStr">
        <is>
          <t>BATA</t>
        </is>
      </c>
      <c r="B338" s="2" t="inlineStr">
        <is>
          <t>ALARME BATERIA</t>
        </is>
      </c>
      <c r="C338" s="2" t="inlineStr">
        <is>
          <t>Custom</t>
        </is>
      </c>
      <c r="D338" s="2" t="inlineStr">
        <is>
          <t>DEFEITOS</t>
        </is>
      </c>
      <c r="E338" s="2" t="inlineStr">
        <is>
          <t>Read</t>
        </is>
      </c>
      <c r="F338" s="2" t="inlineStr">
        <is>
          <t>null@null___NORMAL@ATUADO___Custom_S_TS_SI</t>
        </is>
      </c>
      <c r="G338" s="2">
        <f>VLOOKUP(F338,'Message Mapping'!A:L,3,FALSE)</f>
        <v/>
      </c>
      <c r="H338" s="2">
        <f>VLOOKUP(F338,'Message Mapping'!A:L,4,FALSE)</f>
        <v/>
      </c>
      <c r="I338" s="2" t="n"/>
      <c r="J338" s="3">
        <f>VLOOKUP(F338,'Message Mapping'!A:L,12,FALSE)</f>
        <v/>
      </c>
      <c r="K338" s="3" t="n"/>
      <c r="L338" s="3" t="n"/>
      <c r="M338" s="3" t="n"/>
      <c r="N338" s="3" t="n"/>
      <c r="O338" s="3" t="n"/>
      <c r="P338" s="3" t="n"/>
    </row>
    <row r="339">
      <c r="A339" s="94" t="inlineStr">
        <is>
          <t>ALM</t>
        </is>
      </c>
      <c r="B339" s="2" t="inlineStr">
        <is>
          <t>ALARME GERAL</t>
        </is>
      </c>
      <c r="C339" s="2" t="inlineStr">
        <is>
          <t>Custom</t>
        </is>
      </c>
      <c r="D339" s="2" t="inlineStr">
        <is>
          <t>DEFEITOS</t>
        </is>
      </c>
      <c r="E339" s="2" t="inlineStr">
        <is>
          <t>Read</t>
        </is>
      </c>
      <c r="F339" s="2" t="inlineStr">
        <is>
          <t>null@null___NORMAL@ATUADO___Custom_S_TS_SI</t>
        </is>
      </c>
      <c r="G339" s="2">
        <f>VLOOKUP(F339,'Message Mapping'!A:L,3,FALSE)</f>
        <v/>
      </c>
      <c r="H339" s="2">
        <f>VLOOKUP(F339,'Message Mapping'!A:L,4,FALSE)</f>
        <v/>
      </c>
      <c r="I339" s="2" t="n"/>
      <c r="J339" s="3">
        <f>VLOOKUP(F339,'Message Mapping'!A:L,12,FALSE)</f>
        <v/>
      </c>
      <c r="K339" s="3" t="n"/>
      <c r="L339" s="3" t="n"/>
      <c r="M339" s="3" t="n"/>
      <c r="N339" s="3" t="n"/>
      <c r="O339" s="3" t="n"/>
      <c r="P339" s="3" t="n"/>
    </row>
    <row r="340">
      <c r="A340" s="94" t="inlineStr">
        <is>
          <t>PRES</t>
        </is>
      </c>
      <c r="B340" s="2" t="inlineStr">
        <is>
          <t>ALARME PREDIAL</t>
        </is>
      </c>
      <c r="C340" s="2" t="inlineStr">
        <is>
          <t>Custom</t>
        </is>
      </c>
      <c r="D340" s="2" t="inlineStr">
        <is>
          <t>ALARMES PREDIAIS/VF/GRUPO</t>
        </is>
      </c>
      <c r="E340" s="2" t="inlineStr">
        <is>
          <t>ReadWrite</t>
        </is>
      </c>
      <c r="F340" s="2" t="inlineStr">
        <is>
          <t>DESATIVAR@ATIVAR___DESATIVADO@ATIVADO___Custom_S_TS_SV</t>
        </is>
      </c>
      <c r="G340" s="2">
        <f>VLOOKUP(F340,'Message Mapping'!A:L,3,FALSE)</f>
        <v/>
      </c>
      <c r="H340" s="2">
        <f>VLOOKUP(F340,'Message Mapping'!A:L,4,FALSE)</f>
        <v/>
      </c>
      <c r="I340" s="2" t="n"/>
      <c r="J340" s="3">
        <f>VLOOKUP(F340,'Message Mapping'!A:L,12,FALSE)</f>
        <v/>
      </c>
      <c r="K340" s="3" t="n"/>
      <c r="L340" s="3" t="n"/>
      <c r="M340" s="3" t="n"/>
      <c r="N340" s="3" t="n"/>
      <c r="O340" s="3" t="n"/>
      <c r="P340" s="3" t="n"/>
    </row>
    <row r="341">
      <c r="A341" s="94" t="inlineStr">
        <is>
          <t>PRES</t>
        </is>
      </c>
      <c r="B341" s="2" t="inlineStr">
        <is>
          <t>ALARME PREDIAL</t>
        </is>
      </c>
      <c r="C341" s="2" t="inlineStr">
        <is>
          <t>Custom</t>
        </is>
      </c>
      <c r="D341" s="2" t="inlineStr">
        <is>
          <t>ALARMES PREDIAIS/VF/GRUPO</t>
        </is>
      </c>
      <c r="E341" s="2" t="inlineStr">
        <is>
          <t>Read</t>
        </is>
      </c>
      <c r="F341" s="2" t="inlineStr">
        <is>
          <t>null@null___DESATIVADO@ATIVADO___Custom_S_TS_SV</t>
        </is>
      </c>
      <c r="G341" s="2">
        <f>VLOOKUP(F341,'Message Mapping'!A:L,3,FALSE)</f>
        <v/>
      </c>
      <c r="H341" s="2">
        <f>VLOOKUP(F341,'Message Mapping'!A:L,4,FALSE)</f>
        <v/>
      </c>
      <c r="I341" s="2" t="n"/>
      <c r="J341" s="3">
        <f>VLOOKUP(F341,'Message Mapping'!A:L,12,FALSE)</f>
        <v/>
      </c>
      <c r="K341" s="3" t="n"/>
      <c r="L341" s="3" t="n"/>
      <c r="M341" s="3" t="n"/>
      <c r="N341" s="3" t="n"/>
      <c r="O341" s="3" t="n"/>
      <c r="P341" s="3" t="n"/>
    </row>
    <row r="342">
      <c r="A342" s="94" t="inlineStr">
        <is>
          <t>PREX</t>
        </is>
      </c>
      <c r="B342" s="2" t="inlineStr">
        <is>
          <t>ALARME PREDIAL PRESENCA EXTERNA</t>
        </is>
      </c>
      <c r="C342" s="2" t="inlineStr">
        <is>
          <t>Custom</t>
        </is>
      </c>
      <c r="D342" s="2" t="inlineStr">
        <is>
          <t>ALARMES PREDIAIS/VF/GRUPO</t>
        </is>
      </c>
      <c r="E342" s="2" t="inlineStr">
        <is>
          <t>Read</t>
        </is>
      </c>
      <c r="F342" s="2" t="inlineStr">
        <is>
          <t>null@null___NORMAL@ATUADO___Custom_S_TS_SV</t>
        </is>
      </c>
      <c r="G342" s="2">
        <f>VLOOKUP(F342,'Message Mapping'!A:L,3,FALSE)</f>
        <v/>
      </c>
      <c r="H342" s="2">
        <f>VLOOKUP(F342,'Message Mapping'!A:L,4,FALSE)</f>
        <v/>
      </c>
      <c r="I342" s="2" t="n"/>
      <c r="J342" s="3">
        <f>VLOOKUP(F342,'Message Mapping'!A:L,12,FALSE)</f>
        <v/>
      </c>
      <c r="K342" s="3" t="n"/>
      <c r="L342" s="3" t="n"/>
      <c r="M342" s="3" t="n"/>
      <c r="N342" s="3" t="n"/>
      <c r="O342" s="3" t="n"/>
      <c r="P342" s="3" t="n"/>
    </row>
    <row r="343">
      <c r="A343" s="94" t="inlineStr">
        <is>
          <t>PRIN</t>
        </is>
      </c>
      <c r="B343" s="2" t="inlineStr">
        <is>
          <t>ALARME PREDIAL PRESENCA INTERNA</t>
        </is>
      </c>
      <c r="C343" s="2" t="inlineStr">
        <is>
          <t>Custom</t>
        </is>
      </c>
      <c r="D343" s="2" t="inlineStr">
        <is>
          <t>ALARMES PREDIAIS/VF/GRUPO</t>
        </is>
      </c>
      <c r="E343" s="2" t="inlineStr">
        <is>
          <t>Read</t>
        </is>
      </c>
      <c r="F343" s="2" t="inlineStr">
        <is>
          <t>null@null___NORMAL@ATUADO___Custom_S_TS_SV</t>
        </is>
      </c>
      <c r="G343" s="2">
        <f>VLOOKUP(F343,'Message Mapping'!A:L,3,FALSE)</f>
        <v/>
      </c>
      <c r="H343" s="2">
        <f>VLOOKUP(F343,'Message Mapping'!A:L,4,FALSE)</f>
        <v/>
      </c>
      <c r="I343" s="2" t="n"/>
      <c r="J343" s="3">
        <f>VLOOKUP(F343,'Message Mapping'!A:L,12,FALSE)</f>
        <v/>
      </c>
      <c r="K343" s="3" t="n"/>
      <c r="L343" s="3" t="n"/>
      <c r="M343" s="3" t="n"/>
      <c r="N343" s="3" t="n"/>
      <c r="O343" s="3" t="n"/>
      <c r="P343" s="3" t="n"/>
    </row>
    <row r="344">
      <c r="A344" s="94" t="inlineStr">
        <is>
          <t>PROL</t>
        </is>
      </c>
      <c r="B344" s="2" t="inlineStr">
        <is>
          <t>ALARME PRESSAO DE OLEO</t>
        </is>
      </c>
      <c r="C344" s="2" t="inlineStr">
        <is>
          <t>Custom</t>
        </is>
      </c>
      <c r="D344" s="2" t="inlineStr">
        <is>
          <t>DEFEITOS</t>
        </is>
      </c>
      <c r="E344" s="2" t="inlineStr">
        <is>
          <t>Read</t>
        </is>
      </c>
      <c r="F344" s="2" t="inlineStr">
        <is>
          <t>null@null___NORMAL@ATUADO___Custom_S_TS_SI</t>
        </is>
      </c>
      <c r="G344" s="2">
        <f>VLOOKUP(F344,'Message Mapping'!A:L,3,FALSE)</f>
        <v/>
      </c>
      <c r="H344" s="2">
        <f>VLOOKUP(F344,'Message Mapping'!A:L,4,FALSE)</f>
        <v/>
      </c>
      <c r="I344" s="2" t="n"/>
      <c r="J344" s="3">
        <f>VLOOKUP(F344,'Message Mapping'!A:L,12,FALSE)</f>
        <v/>
      </c>
      <c r="K344" s="3" t="n"/>
      <c r="L344" s="3" t="n"/>
      <c r="M344" s="3" t="n"/>
      <c r="N344" s="3" t="n"/>
      <c r="O344" s="3" t="n"/>
      <c r="P344" s="3" t="n"/>
    </row>
    <row r="345">
      <c r="A345" s="94" t="inlineStr">
        <is>
          <t>RETA</t>
        </is>
      </c>
      <c r="B345" s="2" t="inlineStr">
        <is>
          <t>ALARME RETIFICADOR</t>
        </is>
      </c>
      <c r="C345" s="2" t="inlineStr">
        <is>
          <t>Custom</t>
        </is>
      </c>
      <c r="D345" s="2" t="inlineStr">
        <is>
          <t>DEFEITOS</t>
        </is>
      </c>
      <c r="E345" s="2" t="inlineStr">
        <is>
          <t>Read</t>
        </is>
      </c>
      <c r="F345" s="2" t="inlineStr">
        <is>
          <t>null@null___NORMAL@ATUADO___Custom_S_TS_SI</t>
        </is>
      </c>
      <c r="G345" s="2">
        <f>VLOOKUP(F345,'Message Mapping'!A:L,3,FALSE)</f>
        <v/>
      </c>
      <c r="H345" s="2">
        <f>VLOOKUP(F345,'Message Mapping'!A:L,4,FALSE)</f>
        <v/>
      </c>
      <c r="I345" s="2" t="n"/>
      <c r="J345" s="3">
        <f>VLOOKUP(F345,'Message Mapping'!A:L,12,FALSE)</f>
        <v/>
      </c>
      <c r="K345" s="3" t="n"/>
      <c r="L345" s="3" t="n"/>
      <c r="M345" s="3" t="n"/>
      <c r="N345" s="3" t="n"/>
      <c r="O345" s="3" t="n"/>
      <c r="P345" s="3" t="n"/>
    </row>
    <row r="346">
      <c r="A346" s="94" t="inlineStr">
        <is>
          <t>SIRE</t>
        </is>
      </c>
      <c r="B346" s="2" t="inlineStr">
        <is>
          <t>ALARME SONORO</t>
        </is>
      </c>
      <c r="C346" s="2" t="inlineStr">
        <is>
          <t>Custom</t>
        </is>
      </c>
      <c r="D346" s="2" t="inlineStr">
        <is>
          <t>ALARMES PREDIAIS/VF/GRUPO</t>
        </is>
      </c>
      <c r="E346" s="2" t="inlineStr">
        <is>
          <t>Read</t>
        </is>
      </c>
      <c r="F346" s="2" t="inlineStr">
        <is>
          <t>null@null___NORMAL@DISPARADA___Custom_S_TS_SV</t>
        </is>
      </c>
      <c r="G346" s="2">
        <f>VLOOKUP(F346,'Message Mapping'!A:L,3,FALSE)</f>
        <v/>
      </c>
      <c r="H346" s="2">
        <f>VLOOKUP(F346,'Message Mapping'!A:L,4,FALSE)</f>
        <v/>
      </c>
      <c r="I346" s="2" t="n"/>
      <c r="J346" s="3">
        <f>VLOOKUP(F346,'Message Mapping'!A:L,12,FALSE)</f>
        <v/>
      </c>
      <c r="K346" s="3" t="n"/>
      <c r="L346" s="3" t="n"/>
      <c r="M346" s="3" t="n"/>
      <c r="N346" s="3" t="n"/>
      <c r="O346" s="3" t="n"/>
      <c r="P346" s="3" t="n"/>
    </row>
    <row r="347">
      <c r="A347" s="98" t="inlineStr">
        <is>
          <t>DSAB</t>
        </is>
      </c>
      <c r="B347" s="2" t="inlineStr">
        <is>
          <t>ALARMES DESABILITADOS</t>
        </is>
      </c>
      <c r="C347" s="2" t="inlineStr">
        <is>
          <t>Custom</t>
        </is>
      </c>
      <c r="D347" s="2" t="inlineStr">
        <is>
          <t>ALARMES PREDIAIS/VF/GRUPO</t>
        </is>
      </c>
      <c r="E347" s="2" t="inlineStr">
        <is>
          <t>Read</t>
        </is>
      </c>
      <c r="F347" s="2" t="inlineStr">
        <is>
          <t>null@null___DESABILITADO@HABILITADO___Custom_S_TS_SV</t>
        </is>
      </c>
      <c r="G347" s="2">
        <f>VLOOKUP(F347,'Message Mapping'!A:L,3,FALSE)</f>
        <v/>
      </c>
      <c r="H347" s="2">
        <f>VLOOKUP(F347,'Message Mapping'!A:L,4,FALSE)</f>
        <v/>
      </c>
      <c r="I347" s="2" t="n"/>
      <c r="J347" s="3">
        <f>VLOOKUP(F347,'Message Mapping'!A:L,12,FALSE)</f>
        <v/>
      </c>
      <c r="K347" s="3" t="n"/>
      <c r="L347" s="3" t="n"/>
      <c r="M347" s="3" t="n"/>
      <c r="N347" s="3" t="n"/>
      <c r="O347" s="3" t="n"/>
      <c r="P347" s="3" t="n"/>
    </row>
    <row r="348">
      <c r="A348" s="94" t="inlineStr">
        <is>
          <t>85</t>
        </is>
      </c>
      <c r="B348" s="2" t="inlineStr">
        <is>
          <t>85 - TRIP TELEPROTECAO</t>
        </is>
      </c>
      <c r="C348" s="2" t="inlineStr">
        <is>
          <t>RelayTrip</t>
        </is>
      </c>
      <c r="D348" s="2" t="inlineStr">
        <is>
          <t>PROT</t>
        </is>
      </c>
      <c r="E348" s="2" t="inlineStr">
        <is>
          <t>Read</t>
        </is>
      </c>
      <c r="F348" s="2" t="inlineStr">
        <is>
          <t>null@null___NORMAL@ATUADO___Custom_S_TS_SA</t>
        </is>
      </c>
      <c r="G348" s="2">
        <f>VLOOKUP(F348,'Message Mapping'!A:L,3,FALSE)</f>
        <v/>
      </c>
      <c r="H348" s="2">
        <f>VLOOKUP(F348,'Message Mapping'!A:L,4,FALSE)</f>
        <v/>
      </c>
      <c r="I348" s="2" t="n"/>
      <c r="J348" s="3">
        <f>VLOOKUP(F348,'Message Mapping'!A:L,12,FALSE)</f>
        <v/>
      </c>
      <c r="K348" s="3" t="n"/>
      <c r="L348" s="3" t="n"/>
      <c r="M348" s="3" t="n"/>
      <c r="N348" s="3" t="n"/>
      <c r="O348" s="3" t="n"/>
      <c r="P348" s="3" t="n"/>
    </row>
    <row r="349">
      <c r="A349" s="94" t="inlineStr">
        <is>
          <t>ANR</t>
        </is>
      </c>
      <c r="B349" s="2" t="inlineStr">
        <is>
          <t>ANOMALIA REDE</t>
        </is>
      </c>
      <c r="C349" s="2" t="inlineStr">
        <is>
          <t>Custom</t>
        </is>
      </c>
      <c r="D349" s="2" t="inlineStr">
        <is>
          <t>PROT</t>
        </is>
      </c>
      <c r="E349" s="2" t="inlineStr">
        <is>
          <t>Read</t>
        </is>
      </c>
      <c r="F349" s="2" t="inlineStr">
        <is>
          <t>null@null___NORMAL@ATUADO___Custom_S_TS_SA</t>
        </is>
      </c>
      <c r="G349" s="2">
        <f>VLOOKUP(F349,'Message Mapping'!A:L,3,FALSE)</f>
        <v/>
      </c>
      <c r="H349" s="2">
        <f>VLOOKUP(F349,'Message Mapping'!A:L,4,FALSE)</f>
        <v/>
      </c>
      <c r="I349" s="2" t="n"/>
      <c r="J349" s="3">
        <f>VLOOKUP(F349,'Message Mapping'!A:L,12,FALSE)</f>
        <v/>
      </c>
      <c r="K349" s="3" t="n"/>
      <c r="L349" s="3" t="n"/>
      <c r="M349" s="3" t="n"/>
      <c r="N349" s="3" t="n"/>
      <c r="O349" s="3" t="n"/>
      <c r="P349" s="3" t="n"/>
    </row>
    <row r="350">
      <c r="A350" s="94" t="inlineStr">
        <is>
          <t>ZERO</t>
        </is>
      </c>
      <c r="B350" s="2" t="inlineStr">
        <is>
          <t>AUTO ZERO</t>
        </is>
      </c>
      <c r="C350" s="2" t="inlineStr">
        <is>
          <t>Custom</t>
        </is>
      </c>
      <c r="D350" s="2" t="inlineStr">
        <is>
          <t>FUNCÕES/43/PARALELISMO</t>
        </is>
      </c>
      <c r="E350" s="2" t="inlineStr">
        <is>
          <t>Write</t>
        </is>
      </c>
      <c r="F350" s="2" t="inlineStr">
        <is>
          <t>ZERAR@null___null@null___Custom_S_TC_SS</t>
        </is>
      </c>
      <c r="G350" s="2">
        <f>VLOOKUP(F350,'Message Mapping'!A:L,3,FALSE)</f>
        <v/>
      </c>
      <c r="H350" s="2">
        <f>VLOOKUP(F350,'Message Mapping'!A:L,4,FALSE)</f>
        <v/>
      </c>
      <c r="I350" s="2" t="n"/>
      <c r="J350" s="3">
        <f>VLOOKUP(F350,'Message Mapping'!A:L,12,FALSE)</f>
        <v/>
      </c>
      <c r="K350" s="3" t="n"/>
      <c r="L350" s="3" t="n"/>
      <c r="M350" s="3" t="n"/>
      <c r="N350" s="3" t="n"/>
      <c r="O350" s="3" t="n"/>
      <c r="P350" s="3" t="n"/>
    </row>
    <row r="351">
      <c r="A351" s="94" t="inlineStr">
        <is>
          <t>AUTO</t>
        </is>
      </c>
      <c r="B351" s="2" t="inlineStr">
        <is>
          <t>FUNCAO AUTOMATISMO</t>
        </is>
      </c>
      <c r="C351" s="2" t="inlineStr">
        <is>
          <t>Custom</t>
        </is>
      </c>
      <c r="D351" s="2" t="inlineStr">
        <is>
          <t>FUNCÕES/43/PARALELISMO</t>
        </is>
      </c>
      <c r="E351" s="2" t="inlineStr">
        <is>
          <t>ReadWrite</t>
        </is>
      </c>
      <c r="F351" s="2" t="inlineStr">
        <is>
          <t>INCLUIR@EXCLUIR___INCLUIDO@EXCLUIDO___Custom_S_TC_SS</t>
        </is>
      </c>
      <c r="G351" s="2">
        <f>VLOOKUP(F351,'Message Mapping'!A:L,3,FALSE)</f>
        <v/>
      </c>
      <c r="H351" s="2">
        <f>VLOOKUP(F351,'Message Mapping'!A:L,4,FALSE)</f>
        <v/>
      </c>
      <c r="I351" s="2" t="n"/>
      <c r="J351" s="3">
        <f>VLOOKUP(F351,'Message Mapping'!A:L,12,FALSE)</f>
        <v/>
      </c>
      <c r="K351" s="3" t="n"/>
      <c r="L351" s="3" t="n"/>
      <c r="M351" s="3" t="n"/>
      <c r="N351" s="3" t="n"/>
      <c r="O351" s="3" t="n"/>
      <c r="P351" s="3" t="n"/>
    </row>
    <row r="352">
      <c r="A352" s="94" t="inlineStr">
        <is>
          <t>AUTO</t>
        </is>
      </c>
      <c r="B352" s="2" t="inlineStr">
        <is>
          <t>FUNCAO AUTOMATISMO</t>
        </is>
      </c>
      <c r="C352" s="2" t="inlineStr">
        <is>
          <t>Custom</t>
        </is>
      </c>
      <c r="D352" s="2" t="inlineStr">
        <is>
          <t>FUNCÕES/43/PARALELISMO</t>
        </is>
      </c>
      <c r="E352" s="2" t="inlineStr">
        <is>
          <t>Read</t>
        </is>
      </c>
      <c r="F352" s="2" t="inlineStr">
        <is>
          <t>null@null___INCLUIDO@EXCLUIDO___Custom_S_TS_SS</t>
        </is>
      </c>
      <c r="G352" s="2">
        <f>VLOOKUP(F352,'Message Mapping'!A:L,3,FALSE)</f>
        <v/>
      </c>
      <c r="H352" s="2">
        <f>VLOOKUP(F352,'Message Mapping'!A:L,4,FALSE)</f>
        <v/>
      </c>
      <c r="I352" s="2" t="n"/>
      <c r="J352" s="3">
        <f>VLOOKUP(F352,'Message Mapping'!A:L,12,FALSE)</f>
        <v/>
      </c>
      <c r="K352" s="3" t="n"/>
      <c r="L352" s="3" t="n"/>
      <c r="M352" s="3" t="n"/>
      <c r="N352" s="3" t="n"/>
      <c r="O352" s="3" t="n"/>
      <c r="P352" s="3" t="n"/>
    </row>
    <row r="353">
      <c r="A353" s="94" t="inlineStr">
        <is>
          <t>AUTC</t>
        </is>
      </c>
      <c r="B353" s="2" t="inlineStr">
        <is>
          <t>AUTOMATISMO</t>
        </is>
      </c>
      <c r="C353" s="2" t="inlineStr">
        <is>
          <t>Custom</t>
        </is>
      </c>
      <c r="D353" s="2" t="inlineStr">
        <is>
          <t>PROT</t>
        </is>
      </c>
      <c r="E353" s="2" t="inlineStr">
        <is>
          <t>Read</t>
        </is>
      </c>
      <c r="F353" s="2" t="inlineStr">
        <is>
          <t>null@null___NORMAL@ATUADO___Custom_S_TS_SA</t>
        </is>
      </c>
      <c r="G353" s="2">
        <f>VLOOKUP(F353,'Message Mapping'!A:L,3,FALSE)</f>
        <v/>
      </c>
      <c r="H353" s="2">
        <f>VLOOKUP(F353,'Message Mapping'!A:L,4,FALSE)</f>
        <v/>
      </c>
      <c r="I353" s="2" t="n"/>
      <c r="J353" s="3">
        <f>VLOOKUP(F353,'Message Mapping'!A:L,12,FALSE)</f>
        <v/>
      </c>
      <c r="K353" s="3" t="n"/>
      <c r="L353" s="3" t="n"/>
      <c r="M353" s="3" t="n"/>
      <c r="N353" s="3" t="n"/>
      <c r="O353" s="3" t="n"/>
      <c r="P353" s="3" t="n"/>
    </row>
    <row r="354">
      <c r="A354" s="94" t="inlineStr">
        <is>
          <t>AUTD</t>
        </is>
      </c>
      <c r="B354" s="2" t="inlineStr">
        <is>
          <t>AUTOMATISMO DESLIGA</t>
        </is>
      </c>
      <c r="C354" s="2" t="inlineStr">
        <is>
          <t>Custom</t>
        </is>
      </c>
      <c r="D354" s="2" t="inlineStr">
        <is>
          <t>FUNCÕES/43/PARALELISMO</t>
        </is>
      </c>
      <c r="E354" s="2" t="inlineStr">
        <is>
          <t>Read</t>
        </is>
      </c>
      <c r="F354" s="2" t="inlineStr">
        <is>
          <t>null@null___NORMAL@ATUADO___Custom_S_TS_SS</t>
        </is>
      </c>
      <c r="G354" s="2">
        <f>VLOOKUP(F354,'Message Mapping'!A:L,3,FALSE)</f>
        <v/>
      </c>
      <c r="H354" s="2">
        <f>VLOOKUP(F354,'Message Mapping'!A:L,4,FALSE)</f>
        <v/>
      </c>
      <c r="I354" s="2" t="n"/>
      <c r="J354" s="3">
        <f>VLOOKUP(F354,'Message Mapping'!A:L,12,FALSE)</f>
        <v/>
      </c>
      <c r="K354" s="3" t="n"/>
      <c r="L354" s="3" t="n"/>
      <c r="M354" s="3" t="n"/>
      <c r="N354" s="3" t="n"/>
      <c r="O354" s="3" t="n"/>
      <c r="P354" s="3" t="n"/>
    </row>
    <row r="355">
      <c r="A355" s="94" t="inlineStr">
        <is>
          <t>AUTL</t>
        </is>
      </c>
      <c r="B355" s="2" t="inlineStr">
        <is>
          <t>AUTOMATISMO LIGA</t>
        </is>
      </c>
      <c r="C355" s="2" t="inlineStr">
        <is>
          <t>Custom</t>
        </is>
      </c>
      <c r="D355" s="2" t="inlineStr">
        <is>
          <t>FUNCÕES/43/PARALELISMO</t>
        </is>
      </c>
      <c r="E355" s="2" t="inlineStr">
        <is>
          <t>Read</t>
        </is>
      </c>
      <c r="F355" s="2" t="inlineStr">
        <is>
          <t>null@null___NORMAL@ATUADO___Custom_S_TS_SS</t>
        </is>
      </c>
      <c r="G355" s="2">
        <f>VLOOKUP(F355,'Message Mapping'!A:L,3,FALSE)</f>
        <v/>
      </c>
      <c r="H355" s="2">
        <f>VLOOKUP(F355,'Message Mapping'!A:L,4,FALSE)</f>
        <v/>
      </c>
      <c r="I355" s="2" t="n"/>
      <c r="J355" s="3">
        <f>VLOOKUP(F355,'Message Mapping'!A:L,12,FALSE)</f>
        <v/>
      </c>
      <c r="K355" s="3" t="n"/>
      <c r="L355" s="3" t="n"/>
      <c r="M355" s="3" t="n"/>
      <c r="N355" s="3" t="n"/>
      <c r="O355" s="3" t="n"/>
      <c r="P355" s="3" t="n"/>
    </row>
    <row r="356">
      <c r="A356" s="94" t="inlineStr">
        <is>
          <t>90VF</t>
        </is>
      </c>
      <c r="B356" s="2" t="inlineStr">
        <is>
          <t>AUTOMATISMO RELE 90 E VENTILACAO FORCADA</t>
        </is>
      </c>
      <c r="C356" s="2" t="inlineStr">
        <is>
          <t>Enabled</t>
        </is>
      </c>
      <c r="D356" s="2" t="inlineStr">
        <is>
          <t>FUNCÕES/43/PARALELISMO</t>
        </is>
      </c>
      <c r="E356" s="2" t="inlineStr">
        <is>
          <t>ReadWrite</t>
        </is>
      </c>
      <c r="F356" s="2" t="inlineStr">
        <is>
          <t>INCLUIR@EXCLUIR___INCLUIDO@EXCLUIDO___Enabled_S_TC_SS</t>
        </is>
      </c>
      <c r="G356" s="2">
        <f>VLOOKUP(F356,'Message Mapping'!A:L,3,FALSE)</f>
        <v/>
      </c>
      <c r="H356" s="2">
        <f>VLOOKUP(F356,'Message Mapping'!A:L,4,FALSE)</f>
        <v/>
      </c>
      <c r="I356" s="2" t="n"/>
      <c r="J356" s="3">
        <f>VLOOKUP(F356,'Message Mapping'!A:L,12,FALSE)</f>
        <v/>
      </c>
      <c r="K356" s="3" t="n"/>
      <c r="L356" s="3" t="n"/>
      <c r="M356" s="3" t="n"/>
      <c r="N356" s="3" t="n"/>
      <c r="O356" s="3" t="n"/>
      <c r="P356" s="3" t="n"/>
    </row>
    <row r="357">
      <c r="A357" s="94" t="inlineStr">
        <is>
          <t>90VF</t>
        </is>
      </c>
      <c r="B357" s="2" t="inlineStr">
        <is>
          <t>AUTOMATISMO RELE 90 E VENTILACAO FORCADA</t>
        </is>
      </c>
      <c r="C357" s="2" t="inlineStr">
        <is>
          <t>Enabled</t>
        </is>
      </c>
      <c r="D357" s="2" t="inlineStr">
        <is>
          <t>FUNCÕES/43/PARALELISMO</t>
        </is>
      </c>
      <c r="E357" s="2" t="inlineStr">
        <is>
          <t>Read</t>
        </is>
      </c>
      <c r="F357" s="2" t="inlineStr">
        <is>
          <t>null@null___INCLUIDO@EXCLUIDO___Enabled_S_TS_SS</t>
        </is>
      </c>
      <c r="G357" s="2">
        <f>VLOOKUP(F357,'Message Mapping'!A:L,3,FALSE)</f>
        <v/>
      </c>
      <c r="H357" s="2">
        <f>VLOOKUP(F357,'Message Mapping'!A:L,4,FALSE)</f>
        <v/>
      </c>
      <c r="I357" s="2" t="n"/>
      <c r="J357" s="3">
        <f>VLOOKUP(F357,'Message Mapping'!A:L,12,FALSE)</f>
        <v/>
      </c>
      <c r="K357" s="3" t="n"/>
      <c r="L357" s="3" t="n"/>
      <c r="M357" s="3" t="n"/>
      <c r="N357" s="3" t="n"/>
      <c r="O357" s="3" t="n"/>
      <c r="P357" s="3" t="n"/>
    </row>
    <row r="358">
      <c r="A358" s="94" t="inlineStr">
        <is>
          <t>BXAR</t>
        </is>
      </c>
      <c r="B358" s="2" t="inlineStr">
        <is>
          <t>BAIXA PRESSAO AR COMPRIMIDO</t>
        </is>
      </c>
      <c r="C358" s="2" t="inlineStr">
        <is>
          <t>Custom</t>
        </is>
      </c>
      <c r="D358" s="2" t="inlineStr">
        <is>
          <t>DEFEITOS</t>
        </is>
      </c>
      <c r="E358" s="2" t="inlineStr">
        <is>
          <t>Read</t>
        </is>
      </c>
      <c r="F358" s="2" t="inlineStr">
        <is>
          <t>null@null___NORMAL@ATUADO___Custom_S_TS_SI</t>
        </is>
      </c>
      <c r="G358" s="2">
        <f>VLOOKUP(F358,'Message Mapping'!A:L,3,FALSE)</f>
        <v/>
      </c>
      <c r="H358" s="2">
        <f>VLOOKUP(F358,'Message Mapping'!A:L,4,FALSE)</f>
        <v/>
      </c>
      <c r="I358" s="2" t="n"/>
      <c r="J358" s="3">
        <f>VLOOKUP(F358,'Message Mapping'!A:L,12,FALSE)</f>
        <v/>
      </c>
      <c r="K358" s="3" t="n"/>
      <c r="L358" s="3" t="n"/>
      <c r="M358" s="3" t="n"/>
      <c r="N358" s="3" t="n"/>
      <c r="O358" s="3" t="n"/>
      <c r="P358" s="3" t="n"/>
    </row>
    <row r="359">
      <c r="A359" s="94" t="inlineStr">
        <is>
          <t>SF6</t>
        </is>
      </c>
      <c r="B359" s="2" t="inlineStr">
        <is>
          <t>BAIXA PRESSAO SF6</t>
        </is>
      </c>
      <c r="C359" s="2" t="inlineStr">
        <is>
          <t>Custom</t>
        </is>
      </c>
      <c r="D359" s="2" t="inlineStr">
        <is>
          <t>DEFEITOS</t>
        </is>
      </c>
      <c r="E359" s="2" t="inlineStr">
        <is>
          <t>Read</t>
        </is>
      </c>
      <c r="F359" s="2" t="inlineStr">
        <is>
          <t>null@null___NORMAL@ATUADO___Custom_S_TS_SI</t>
        </is>
      </c>
      <c r="G359" s="2">
        <f>VLOOKUP(F359,'Message Mapping'!A:L,3,FALSE)</f>
        <v/>
      </c>
      <c r="H359" s="2">
        <f>VLOOKUP(F359,'Message Mapping'!A:L,4,FALSE)</f>
        <v/>
      </c>
      <c r="I359" s="2" t="n"/>
      <c r="J359" s="3">
        <f>VLOOKUP(F359,'Message Mapping'!A:L,12,FALSE)</f>
        <v/>
      </c>
      <c r="K359" s="3" t="n"/>
      <c r="L359" s="3" t="n"/>
      <c r="M359" s="3" t="n"/>
      <c r="N359" s="3" t="n"/>
      <c r="O359" s="3" t="n"/>
      <c r="P359" s="3" t="n"/>
    </row>
    <row r="360">
      <c r="A360" s="94" t="inlineStr">
        <is>
          <t>SF6A</t>
        </is>
      </c>
      <c r="B360" s="2" t="inlineStr">
        <is>
          <t>ALARME BAIXA PRESSAO SF6</t>
        </is>
      </c>
      <c r="C360" s="2" t="inlineStr">
        <is>
          <t>Custom</t>
        </is>
      </c>
      <c r="D360" s="2" t="inlineStr">
        <is>
          <t>DEFEITOS</t>
        </is>
      </c>
      <c r="E360" s="2" t="inlineStr">
        <is>
          <t>Read</t>
        </is>
      </c>
      <c r="F360" s="2" t="inlineStr">
        <is>
          <t>null@null___NORMAL@ATUADO___Custom_S_TS_SI</t>
        </is>
      </c>
      <c r="G360" s="2">
        <f>VLOOKUP(F360,'Message Mapping'!A:L,3,FALSE)</f>
        <v/>
      </c>
      <c r="H360" s="2">
        <f>VLOOKUP(F360,'Message Mapping'!A:L,4,FALSE)</f>
        <v/>
      </c>
      <c r="I360" s="2" t="n"/>
      <c r="J360" s="3">
        <f>VLOOKUP(F360,'Message Mapping'!A:L,12,FALSE)</f>
        <v/>
      </c>
      <c r="K360" s="3" t="n"/>
      <c r="L360" s="3" t="n"/>
      <c r="M360" s="3" t="n"/>
      <c r="N360" s="3" t="n"/>
      <c r="O360" s="3" t="n"/>
      <c r="P360" s="3" t="n"/>
    </row>
    <row r="361">
      <c r="A361" s="94" t="inlineStr">
        <is>
          <t>SF6B</t>
        </is>
      </c>
      <c r="B361" s="2" t="inlineStr">
        <is>
          <t>BLOQUEIO BAIXA PRESSAO SF6</t>
        </is>
      </c>
      <c r="C361" s="2" t="inlineStr">
        <is>
          <t>Custom</t>
        </is>
      </c>
      <c r="D361" s="2" t="inlineStr">
        <is>
          <t>DEFEITOS</t>
        </is>
      </c>
      <c r="E361" s="2" t="inlineStr">
        <is>
          <t>Read</t>
        </is>
      </c>
      <c r="F361" s="2" t="inlineStr">
        <is>
          <t>null@null___NORMAL@ATUADO___Custom_S_TS_SI</t>
        </is>
      </c>
      <c r="G361" s="2">
        <f>VLOOKUP(F361,'Message Mapping'!A:L,3,FALSE)</f>
        <v/>
      </c>
      <c r="H361" s="2">
        <f>VLOOKUP(F361,'Message Mapping'!A:L,4,FALSE)</f>
        <v/>
      </c>
      <c r="I361" s="2" t="n"/>
      <c r="J361" s="3">
        <f>VLOOKUP(F361,'Message Mapping'!A:L,12,FALSE)</f>
        <v/>
      </c>
      <c r="K361" s="3" t="n"/>
      <c r="L361" s="3" t="n"/>
      <c r="M361" s="3" t="n"/>
      <c r="N361" s="3" t="n"/>
      <c r="O361" s="3" t="n"/>
      <c r="P361" s="3" t="n"/>
    </row>
    <row r="362">
      <c r="A362" s="94" t="inlineStr">
        <is>
          <t>BADC</t>
        </is>
      </c>
      <c r="B362" s="2" t="inlineStr">
        <is>
          <t>BATERIA EM DESCARGA</t>
        </is>
      </c>
      <c r="C362" s="2" t="inlineStr">
        <is>
          <t>Custom</t>
        </is>
      </c>
      <c r="D362" s="2" t="inlineStr">
        <is>
          <t>FALHAS FCOM/VCA/VCC</t>
        </is>
      </c>
      <c r="E362" s="2" t="inlineStr">
        <is>
          <t>Read</t>
        </is>
      </c>
      <c r="F362" s="2" t="inlineStr">
        <is>
          <t>null@null___CARGA@DESCARGA___Custom_S_TS_SB</t>
        </is>
      </c>
      <c r="G362" s="2">
        <f>VLOOKUP(F362,'Message Mapping'!A:L,3,FALSE)</f>
        <v/>
      </c>
      <c r="H362" s="2">
        <f>VLOOKUP(F362,'Message Mapping'!A:L,4,FALSE)</f>
        <v/>
      </c>
      <c r="I362" s="2" t="n"/>
      <c r="J362" s="3">
        <f>VLOOKUP(F362,'Message Mapping'!A:L,12,FALSE)</f>
        <v/>
      </c>
      <c r="K362" s="3" t="n"/>
      <c r="L362" s="3" t="n"/>
      <c r="M362" s="3" t="n"/>
      <c r="N362" s="3" t="n"/>
      <c r="O362" s="3" t="n"/>
      <c r="P362" s="3" t="n"/>
    </row>
    <row r="363">
      <c r="A363" s="94" t="inlineStr">
        <is>
          <t>B5M</t>
        </is>
      </c>
      <c r="B363" s="2" t="inlineStr">
        <is>
          <t>BLOQUEIO 5 MINUTOS</t>
        </is>
      </c>
      <c r="C363" s="2" t="inlineStr">
        <is>
          <t>Custom</t>
        </is>
      </c>
      <c r="D363" s="2" t="inlineStr">
        <is>
          <t>PROT</t>
        </is>
      </c>
      <c r="E363" s="2" t="inlineStr">
        <is>
          <t>Read</t>
        </is>
      </c>
      <c r="F363" s="2" t="inlineStr">
        <is>
          <t>null@null___NORMAL@ATUADO___Custom_S_TS_SA</t>
        </is>
      </c>
      <c r="G363" s="2">
        <f>VLOOKUP(F363,'Message Mapping'!A:L,3,FALSE)</f>
        <v/>
      </c>
      <c r="H363" s="2">
        <f>VLOOKUP(F363,'Message Mapping'!A:L,4,FALSE)</f>
        <v/>
      </c>
      <c r="I363" s="2" t="n"/>
      <c r="J363" s="3">
        <f>VLOOKUP(F363,'Message Mapping'!A:L,12,FALSE)</f>
        <v/>
      </c>
      <c r="K363" s="3" t="n"/>
      <c r="L363" s="3" t="n"/>
      <c r="M363" s="3" t="n"/>
      <c r="N363" s="3" t="n"/>
      <c r="O363" s="3" t="n"/>
      <c r="P363" s="3" t="n"/>
    </row>
    <row r="364">
      <c r="A364" s="94" t="inlineStr">
        <is>
          <t>BAB</t>
        </is>
      </c>
      <c r="B364" s="2" t="inlineStr">
        <is>
          <t>BLOQUEIO ABERTURA BAIXO AR COMPRIMIDO</t>
        </is>
      </c>
      <c r="C364" s="2" t="inlineStr">
        <is>
          <t>Custom</t>
        </is>
      </c>
      <c r="D364" s="2" t="inlineStr">
        <is>
          <t>PROT</t>
        </is>
      </c>
      <c r="E364" s="2" t="inlineStr">
        <is>
          <t>Read</t>
        </is>
      </c>
      <c r="F364" s="2" t="inlineStr">
        <is>
          <t>null@null___NORMAL@ATUADO___Custom_S_TS_SA</t>
        </is>
      </c>
      <c r="G364" s="2">
        <f>VLOOKUP(F364,'Message Mapping'!A:L,3,FALSE)</f>
        <v/>
      </c>
      <c r="H364" s="2">
        <f>VLOOKUP(F364,'Message Mapping'!A:L,4,FALSE)</f>
        <v/>
      </c>
      <c r="I364" s="2" t="n"/>
      <c r="J364" s="3">
        <f>VLOOKUP(F364,'Message Mapping'!A:L,12,FALSE)</f>
        <v/>
      </c>
      <c r="K364" s="3" t="n"/>
      <c r="L364" s="3" t="n"/>
      <c r="M364" s="3" t="n"/>
      <c r="N364" s="3" t="n"/>
      <c r="O364" s="3" t="n"/>
      <c r="P364" s="3" t="n"/>
    </row>
    <row r="365">
      <c r="A365" s="94" t="inlineStr">
        <is>
          <t>BCDC</t>
        </is>
      </c>
      <c r="B365" s="2" t="inlineStr">
        <is>
          <t>BLOQUEIO CDC</t>
        </is>
      </c>
      <c r="C365" s="2" t="inlineStr">
        <is>
          <t>Custom</t>
        </is>
      </c>
      <c r="D365" s="2" t="inlineStr">
        <is>
          <t>PROT</t>
        </is>
      </c>
      <c r="E365" s="2" t="inlineStr">
        <is>
          <t>Read</t>
        </is>
      </c>
      <c r="F365" s="2" t="inlineStr">
        <is>
          <t>null@null___NORMAL@ATUADO___Custom_S_TS_SA</t>
        </is>
      </c>
      <c r="G365" s="2">
        <f>VLOOKUP(F365,'Message Mapping'!A:L,3,FALSE)</f>
        <v/>
      </c>
      <c r="H365" s="2">
        <f>VLOOKUP(F365,'Message Mapping'!A:L,4,FALSE)</f>
        <v/>
      </c>
      <c r="I365" s="2" t="n"/>
      <c r="J365" s="3">
        <f>VLOOKUP(F365,'Message Mapping'!A:L,12,FALSE)</f>
        <v/>
      </c>
      <c r="K365" s="3" t="n"/>
      <c r="L365" s="3" t="n"/>
      <c r="M365" s="3" t="n"/>
      <c r="N365" s="3" t="n"/>
      <c r="O365" s="3" t="n"/>
      <c r="P365" s="3" t="n"/>
    </row>
    <row r="366">
      <c r="A366" s="94" t="inlineStr">
        <is>
          <t>BLA</t>
        </is>
      </c>
      <c r="B366" s="2" t="inlineStr">
        <is>
          <t>BLOQUEIO COMANDO ABERTURA</t>
        </is>
      </c>
      <c r="C366" s="2" t="inlineStr">
        <is>
          <t>Custom</t>
        </is>
      </c>
      <c r="D366" s="2" t="inlineStr">
        <is>
          <t>PROT</t>
        </is>
      </c>
      <c r="E366" s="2" t="inlineStr">
        <is>
          <t>Read</t>
        </is>
      </c>
      <c r="F366" s="2" t="inlineStr">
        <is>
          <t>null@null___NORMAL@ATUADO___Custom_S_TS_SA</t>
        </is>
      </c>
      <c r="G366" s="2">
        <f>VLOOKUP(F366,'Message Mapping'!A:L,3,FALSE)</f>
        <v/>
      </c>
      <c r="H366" s="2">
        <f>VLOOKUP(F366,'Message Mapping'!A:L,4,FALSE)</f>
        <v/>
      </c>
      <c r="I366" s="2" t="n"/>
      <c r="J366" s="3">
        <f>VLOOKUP(F366,'Message Mapping'!A:L,12,FALSE)</f>
        <v/>
      </c>
      <c r="K366" s="3" t="n"/>
      <c r="L366" s="3" t="n"/>
      <c r="M366" s="3" t="n"/>
      <c r="N366" s="3" t="n"/>
      <c r="O366" s="3" t="n"/>
      <c r="P366" s="3" t="n"/>
    </row>
    <row r="367">
      <c r="A367" s="94" t="inlineStr">
        <is>
          <t>BFC</t>
        </is>
      </c>
      <c r="B367" s="2" t="inlineStr">
        <is>
          <t>BLOQUEIO COMANDO FECHAMENTO</t>
        </is>
      </c>
      <c r="C367" s="2" t="inlineStr">
        <is>
          <t>Custom</t>
        </is>
      </c>
      <c r="D367" s="2" t="inlineStr">
        <is>
          <t>PROT</t>
        </is>
      </c>
      <c r="E367" s="2" t="inlineStr">
        <is>
          <t>Read</t>
        </is>
      </c>
      <c r="F367" s="2" t="inlineStr">
        <is>
          <t>null@null___NORMAL@ATUADO___Custom_S_TS_SA</t>
        </is>
      </c>
      <c r="G367" s="2">
        <f>VLOOKUP(F367,'Message Mapping'!A:L,3,FALSE)</f>
        <v/>
      </c>
      <c r="H367" s="2">
        <f>VLOOKUP(F367,'Message Mapping'!A:L,4,FALSE)</f>
        <v/>
      </c>
      <c r="I367" s="2" t="n"/>
      <c r="J367" s="3">
        <f>VLOOKUP(F367,'Message Mapping'!A:L,12,FALSE)</f>
        <v/>
      </c>
      <c r="K367" s="3" t="n"/>
      <c r="L367" s="3" t="n"/>
      <c r="M367" s="3" t="n"/>
      <c r="N367" s="3" t="n"/>
      <c r="O367" s="3" t="n"/>
      <c r="P367" s="3" t="n"/>
    </row>
    <row r="368">
      <c r="A368" s="94" t="inlineStr">
        <is>
          <t>BLDJ</t>
        </is>
      </c>
      <c r="B368" s="2" t="inlineStr">
        <is>
          <t>BLOQUEIO DISJUNTOR</t>
        </is>
      </c>
      <c r="C368" s="2" t="inlineStr">
        <is>
          <t>Custom</t>
        </is>
      </c>
      <c r="D368" s="2" t="inlineStr">
        <is>
          <t>PROT</t>
        </is>
      </c>
      <c r="E368" s="2" t="inlineStr">
        <is>
          <t>Read</t>
        </is>
      </c>
      <c r="F368" s="2" t="inlineStr">
        <is>
          <t>null@null___NORMAL@ATUADO___Custom_S_TS_SA</t>
        </is>
      </c>
      <c r="G368" s="2">
        <f>VLOOKUP(F368,'Message Mapping'!A:L,3,FALSE)</f>
        <v/>
      </c>
      <c r="H368" s="2">
        <f>VLOOKUP(F368,'Message Mapping'!A:L,4,FALSE)</f>
        <v/>
      </c>
      <c r="I368" s="2" t="n"/>
      <c r="J368" s="3">
        <f>VLOOKUP(F368,'Message Mapping'!A:L,12,FALSE)</f>
        <v/>
      </c>
      <c r="K368" s="3" t="n"/>
      <c r="L368" s="3" t="n"/>
      <c r="M368" s="3" t="n"/>
      <c r="N368" s="3" t="n"/>
      <c r="O368" s="3" t="n"/>
      <c r="P368" s="3" t="n"/>
    </row>
    <row r="369">
      <c r="A369" s="94" t="inlineStr">
        <is>
          <t>BSEC</t>
        </is>
      </c>
      <c r="B369" s="2" t="inlineStr">
        <is>
          <t>BLOQUEIO MANOBRA SECCIONADORA</t>
        </is>
      </c>
      <c r="C369" s="2" t="inlineStr">
        <is>
          <t>Custom</t>
        </is>
      </c>
      <c r="D369" s="2" t="inlineStr">
        <is>
          <t>PROT</t>
        </is>
      </c>
      <c r="E369" s="2" t="inlineStr">
        <is>
          <t>Read</t>
        </is>
      </c>
      <c r="F369" s="2" t="inlineStr">
        <is>
          <t>null@null___NORMAL@ATUADO___Custom_S_TS_SA</t>
        </is>
      </c>
      <c r="G369" s="2">
        <f>VLOOKUP(F369,'Message Mapping'!A:L,3,FALSE)</f>
        <v/>
      </c>
      <c r="H369" s="2">
        <f>VLOOKUP(F369,'Message Mapping'!A:L,4,FALSE)</f>
        <v/>
      </c>
      <c r="I369" s="2" t="n"/>
      <c r="J369" s="3">
        <f>VLOOKUP(F369,'Message Mapping'!A:L,12,FALSE)</f>
        <v/>
      </c>
      <c r="K369" s="3" t="n"/>
      <c r="L369" s="3" t="n"/>
      <c r="M369" s="3" t="n"/>
      <c r="N369" s="3" t="n"/>
      <c r="O369" s="3" t="n"/>
      <c r="P369" s="3" t="n"/>
    </row>
    <row r="370">
      <c r="A370" s="94" t="inlineStr">
        <is>
          <t>BLV</t>
        </is>
      </c>
      <c r="B370" s="2" t="inlineStr">
        <is>
          <t>BLOQUEIO POR TENSAO DE RETORNO</t>
        </is>
      </c>
      <c r="C370" s="2" t="inlineStr">
        <is>
          <t>Custom</t>
        </is>
      </c>
      <c r="D370" s="2" t="inlineStr">
        <is>
          <t>PROT</t>
        </is>
      </c>
      <c r="E370" s="2" t="inlineStr">
        <is>
          <t>Read</t>
        </is>
      </c>
      <c r="F370" s="2" t="inlineStr">
        <is>
          <t>null@null___NORMAL@ATUADO___Custom_S_TS_SA</t>
        </is>
      </c>
      <c r="G370" s="2">
        <f>VLOOKUP(F370,'Message Mapping'!A:L,3,FALSE)</f>
        <v/>
      </c>
      <c r="H370" s="2">
        <f>VLOOKUP(F370,'Message Mapping'!A:L,4,FALSE)</f>
        <v/>
      </c>
      <c r="I370" s="2" t="n"/>
      <c r="J370" s="3">
        <f>VLOOKUP(F370,'Message Mapping'!A:L,12,FALSE)</f>
        <v/>
      </c>
      <c r="K370" s="3" t="n"/>
      <c r="L370" s="3" t="n"/>
      <c r="M370" s="3" t="n"/>
      <c r="N370" s="3" t="n"/>
      <c r="O370" s="3" t="n"/>
      <c r="P370" s="3" t="n"/>
    </row>
    <row r="371">
      <c r="A371" s="94" t="inlineStr">
        <is>
          <t>ANP</t>
        </is>
      </c>
      <c r="B371" s="2" t="inlineStr">
        <is>
          <t>ANOMALIA PROTECAO</t>
        </is>
      </c>
      <c r="C371" s="2" t="inlineStr">
        <is>
          <t>Custom</t>
        </is>
      </c>
      <c r="D371" s="2" t="inlineStr">
        <is>
          <t>PROT</t>
        </is>
      </c>
      <c r="E371" s="2" t="inlineStr">
        <is>
          <t>Read</t>
        </is>
      </c>
      <c r="F371" s="2" t="inlineStr">
        <is>
          <t>null@null___NORMAL@ATUADO___Custom_S_TS_SA</t>
        </is>
      </c>
      <c r="G371" s="2">
        <f>VLOOKUP(F371,'Message Mapping'!A:L,3,FALSE)</f>
        <v/>
      </c>
      <c r="H371" s="2">
        <f>VLOOKUP(F371,'Message Mapping'!A:L,4,FALSE)</f>
        <v/>
      </c>
      <c r="I371" s="2" t="n"/>
      <c r="J371" s="3">
        <f>VLOOKUP(F371,'Message Mapping'!A:L,12,FALSE)</f>
        <v/>
      </c>
      <c r="K371" s="3" t="n"/>
      <c r="L371" s="3" t="n"/>
      <c r="M371" s="3" t="n"/>
      <c r="N371" s="3" t="n"/>
      <c r="O371" s="3" t="n"/>
      <c r="P371" s="3" t="n"/>
    </row>
    <row r="372">
      <c r="A372" s="94" t="inlineStr">
        <is>
          <t>BBAB</t>
        </is>
      </c>
      <c r="B372" s="2" t="inlineStr">
        <is>
          <t>BOBINA ABERTURA</t>
        </is>
      </c>
      <c r="C372" s="2" t="inlineStr">
        <is>
          <t>Custom</t>
        </is>
      </c>
      <c r="D372" s="2" t="inlineStr">
        <is>
          <t>DEFEITOS</t>
        </is>
      </c>
      <c r="E372" s="2" t="inlineStr">
        <is>
          <t>Read</t>
        </is>
      </c>
      <c r="F372" s="2" t="inlineStr">
        <is>
          <t>null@null___NORMAL@ATUADO___Custom_S_TS_SI</t>
        </is>
      </c>
      <c r="G372" s="2">
        <f>VLOOKUP(F372,'Message Mapping'!A:L,3,FALSE)</f>
        <v/>
      </c>
      <c r="H372" s="2">
        <f>VLOOKUP(F372,'Message Mapping'!A:L,4,FALSE)</f>
        <v/>
      </c>
      <c r="I372" s="2" t="n"/>
      <c r="J372" s="3">
        <f>VLOOKUP(F372,'Message Mapping'!A:L,12,FALSE)</f>
        <v/>
      </c>
      <c r="K372" s="3" t="n"/>
      <c r="L372" s="3" t="n"/>
      <c r="M372" s="3" t="n"/>
      <c r="N372" s="3" t="n"/>
      <c r="O372" s="3" t="n"/>
      <c r="P372" s="3" t="n"/>
    </row>
    <row r="373">
      <c r="A373" s="94" t="inlineStr">
        <is>
          <t>BBA1</t>
        </is>
      </c>
      <c r="B373" s="2" t="inlineStr">
        <is>
          <t>BOBINA ABERTURA 1</t>
        </is>
      </c>
      <c r="C373" s="2" t="inlineStr">
        <is>
          <t>Custom</t>
        </is>
      </c>
      <c r="D373" s="2" t="inlineStr">
        <is>
          <t>DEFEITOS</t>
        </is>
      </c>
      <c r="E373" s="2" t="inlineStr">
        <is>
          <t>Read</t>
        </is>
      </c>
      <c r="F373" s="2" t="inlineStr">
        <is>
          <t>null@null___NORMAL@ATUADO___Custom_S_TS_SI</t>
        </is>
      </c>
      <c r="G373" s="2">
        <f>VLOOKUP(F373,'Message Mapping'!A:L,3,FALSE)</f>
        <v/>
      </c>
      <c r="H373" s="2">
        <f>VLOOKUP(F373,'Message Mapping'!A:L,4,FALSE)</f>
        <v/>
      </c>
      <c r="I373" s="2" t="n"/>
      <c r="J373" s="3">
        <f>VLOOKUP(F373,'Message Mapping'!A:L,12,FALSE)</f>
        <v/>
      </c>
      <c r="K373" s="3" t="n"/>
      <c r="L373" s="3" t="n"/>
      <c r="M373" s="3" t="n"/>
      <c r="N373" s="3" t="n"/>
      <c r="O373" s="3" t="n"/>
      <c r="P373" s="3" t="n"/>
    </row>
    <row r="374">
      <c r="A374" s="94" t="inlineStr">
        <is>
          <t>BBA2</t>
        </is>
      </c>
      <c r="B374" s="2" t="inlineStr">
        <is>
          <t>BOBINA ABERTURA 2</t>
        </is>
      </c>
      <c r="C374" s="2" t="inlineStr">
        <is>
          <t>Custom</t>
        </is>
      </c>
      <c r="D374" s="2" t="inlineStr">
        <is>
          <t>DEFEITOS</t>
        </is>
      </c>
      <c r="E374" s="2" t="inlineStr">
        <is>
          <t>Read</t>
        </is>
      </c>
      <c r="F374" s="2" t="inlineStr">
        <is>
          <t>null@null___NORMAL@ATUADO___Custom_S_TS_SI</t>
        </is>
      </c>
      <c r="G374" s="2">
        <f>VLOOKUP(F374,'Message Mapping'!A:L,3,FALSE)</f>
        <v/>
      </c>
      <c r="H374" s="2">
        <f>VLOOKUP(F374,'Message Mapping'!A:L,4,FALSE)</f>
        <v/>
      </c>
      <c r="I374" s="2" t="n"/>
      <c r="J374" s="3">
        <f>VLOOKUP(F374,'Message Mapping'!A:L,12,FALSE)</f>
        <v/>
      </c>
      <c r="K374" s="3" t="n"/>
      <c r="L374" s="3" t="n"/>
      <c r="M374" s="3" t="n"/>
      <c r="N374" s="3" t="n"/>
      <c r="O374" s="3" t="n"/>
      <c r="P374" s="3" t="n"/>
    </row>
    <row r="375">
      <c r="A375" s="94" t="inlineStr">
        <is>
          <t>BAF1</t>
        </is>
      </c>
      <c r="B375" s="2" t="inlineStr">
        <is>
          <t>BOBINA ABERTURA FECHAMENTO 1</t>
        </is>
      </c>
      <c r="C375" s="2" t="inlineStr">
        <is>
          <t>Custom</t>
        </is>
      </c>
      <c r="D375" s="2" t="inlineStr">
        <is>
          <t>DEFEITOS</t>
        </is>
      </c>
      <c r="E375" s="2" t="inlineStr">
        <is>
          <t>Read</t>
        </is>
      </c>
      <c r="F375" s="2" t="inlineStr">
        <is>
          <t>null@null___NORMAL@ATUADO___Custom_S_TS_SI</t>
        </is>
      </c>
      <c r="G375" s="2">
        <f>VLOOKUP(F375,'Message Mapping'!A:L,3,FALSE)</f>
        <v/>
      </c>
      <c r="H375" s="2">
        <f>VLOOKUP(F375,'Message Mapping'!A:L,4,FALSE)</f>
        <v/>
      </c>
      <c r="I375" s="2" t="n"/>
      <c r="J375" s="3">
        <f>VLOOKUP(F375,'Message Mapping'!A:L,12,FALSE)</f>
        <v/>
      </c>
      <c r="K375" s="3" t="n"/>
      <c r="L375" s="3" t="n"/>
      <c r="M375" s="3" t="n"/>
      <c r="N375" s="3" t="n"/>
      <c r="O375" s="3" t="n"/>
      <c r="P375" s="3" t="n"/>
    </row>
    <row r="376">
      <c r="A376" s="94" t="inlineStr">
        <is>
          <t>BAF2</t>
        </is>
      </c>
      <c r="B376" s="2" t="inlineStr">
        <is>
          <t>BOBINA ABERTURA FECHAMENTO 2</t>
        </is>
      </c>
      <c r="C376" s="2" t="inlineStr">
        <is>
          <t>Custom</t>
        </is>
      </c>
      <c r="D376" s="2" t="inlineStr">
        <is>
          <t>DEFEITOS</t>
        </is>
      </c>
      <c r="E376" s="2" t="inlineStr">
        <is>
          <t>Read</t>
        </is>
      </c>
      <c r="F376" s="2" t="inlineStr">
        <is>
          <t>null@null___NORMAL@ATUADO___Custom_S_TS_SI</t>
        </is>
      </c>
      <c r="G376" s="2">
        <f>VLOOKUP(F376,'Message Mapping'!A:L,3,FALSE)</f>
        <v/>
      </c>
      <c r="H376" s="2">
        <f>VLOOKUP(F376,'Message Mapping'!A:L,4,FALSE)</f>
        <v/>
      </c>
      <c r="I376" s="2" t="n"/>
      <c r="J376" s="3">
        <f>VLOOKUP(F376,'Message Mapping'!A:L,12,FALSE)</f>
        <v/>
      </c>
      <c r="K376" s="3" t="n"/>
      <c r="L376" s="3" t="n"/>
      <c r="M376" s="3" t="n"/>
      <c r="N376" s="3" t="n"/>
      <c r="O376" s="3" t="n"/>
      <c r="P376" s="3" t="n"/>
    </row>
    <row r="377">
      <c r="A377" s="94" t="inlineStr">
        <is>
          <t>BBAF</t>
        </is>
      </c>
      <c r="B377" s="2" t="inlineStr">
        <is>
          <t>BOBINA ABERTURA OU FECHAMENTO</t>
        </is>
      </c>
      <c r="C377" s="2" t="inlineStr">
        <is>
          <t>Custom</t>
        </is>
      </c>
      <c r="D377" s="2" t="inlineStr">
        <is>
          <t>DEFEITOS</t>
        </is>
      </c>
      <c r="E377" s="2" t="inlineStr">
        <is>
          <t>Read</t>
        </is>
      </c>
      <c r="F377" s="2" t="inlineStr">
        <is>
          <t>null@null___NORMAL@ATUADO___Custom_S_TS_SI</t>
        </is>
      </c>
      <c r="G377" s="2">
        <f>VLOOKUP(F377,'Message Mapping'!A:L,3,FALSE)</f>
        <v/>
      </c>
      <c r="H377" s="2">
        <f>VLOOKUP(F377,'Message Mapping'!A:L,4,FALSE)</f>
        <v/>
      </c>
      <c r="I377" s="2" t="n"/>
      <c r="J377" s="3">
        <f>VLOOKUP(F377,'Message Mapping'!A:L,12,FALSE)</f>
        <v/>
      </c>
      <c r="K377" s="3" t="n"/>
      <c r="L377" s="3" t="n"/>
      <c r="M377" s="3" t="n"/>
      <c r="N377" s="3" t="n"/>
      <c r="O377" s="3" t="n"/>
      <c r="P377" s="3" t="n"/>
    </row>
    <row r="378">
      <c r="A378" s="94" t="inlineStr">
        <is>
          <t>BBFC</t>
        </is>
      </c>
      <c r="B378" s="2" t="inlineStr">
        <is>
          <t>BOBINA FECHAMENTO</t>
        </is>
      </c>
      <c r="C378" s="2" t="inlineStr">
        <is>
          <t>Custom</t>
        </is>
      </c>
      <c r="D378" s="2" t="inlineStr">
        <is>
          <t>DEFEITOS</t>
        </is>
      </c>
      <c r="E378" s="2" t="inlineStr">
        <is>
          <t>Read</t>
        </is>
      </c>
      <c r="F378" s="2" t="inlineStr">
        <is>
          <t>null@null___NORMAL@ATUADO___Custom_S_TS_SI</t>
        </is>
      </c>
      <c r="G378" s="2">
        <f>VLOOKUP(F378,'Message Mapping'!A:L,3,FALSE)</f>
        <v/>
      </c>
      <c r="H378" s="2">
        <f>VLOOKUP(F378,'Message Mapping'!A:L,4,FALSE)</f>
        <v/>
      </c>
      <c r="I378" s="2" t="n"/>
      <c r="J378" s="3">
        <f>VLOOKUP(F378,'Message Mapping'!A:L,12,FALSE)</f>
        <v/>
      </c>
      <c r="K378" s="3" t="n"/>
      <c r="L378" s="3" t="n"/>
      <c r="M378" s="3" t="n"/>
      <c r="N378" s="3" t="n"/>
      <c r="O378" s="3" t="n"/>
      <c r="P378" s="3" t="n"/>
    </row>
    <row r="379">
      <c r="A379" s="94" t="inlineStr">
        <is>
          <t>BAVL</t>
        </is>
      </c>
      <c r="B379" s="2" t="inlineStr">
        <is>
          <t>CARREGAMENTO DA BATERIA</t>
        </is>
      </c>
      <c r="C379" s="2" t="inlineStr">
        <is>
          <t>Custom</t>
        </is>
      </c>
      <c r="D379" s="2" t="inlineStr">
        <is>
          <t>FALHAS FCOM/VCA/VCC</t>
        </is>
      </c>
      <c r="E379" s="2" t="inlineStr">
        <is>
          <t>Read</t>
        </is>
      </c>
      <c r="F379" s="2" t="inlineStr">
        <is>
          <t>null@null___FALHA@OPERANDO___Custom_S_TS_SB</t>
        </is>
      </c>
      <c r="G379" s="2">
        <f>VLOOKUP(F379,'Message Mapping'!A:L,3,FALSE)</f>
        <v/>
      </c>
      <c r="H379" s="2">
        <f>VLOOKUP(F379,'Message Mapping'!A:L,4,FALSE)</f>
        <v/>
      </c>
      <c r="I379" s="2" t="n"/>
      <c r="J379" s="3">
        <f>VLOOKUP(F379,'Message Mapping'!A:L,12,FALSE)</f>
        <v/>
      </c>
      <c r="K379" s="3" t="n"/>
      <c r="L379" s="3" t="n"/>
      <c r="M379" s="3" t="n"/>
      <c r="N379" s="3" t="n"/>
      <c r="O379" s="3" t="n"/>
      <c r="P379" s="3" t="n"/>
    </row>
    <row r="380">
      <c r="A380" s="94" t="inlineStr">
        <is>
          <t>CDAM</t>
        </is>
      </c>
      <c r="B380" s="2" t="inlineStr">
        <is>
          <t>CDC AUTOMATICO MANUAL</t>
        </is>
      </c>
      <c r="C380" s="2" t="inlineStr">
        <is>
          <t>Custom</t>
        </is>
      </c>
      <c r="D380" s="2" t="inlineStr">
        <is>
          <t>FUNCÕES/43/PARALELISMO</t>
        </is>
      </c>
      <c r="E380" s="2" t="inlineStr">
        <is>
          <t>Read</t>
        </is>
      </c>
      <c r="F380" s="2" t="inlineStr">
        <is>
          <t>null@null___AUTOMATICO@MANUAL___Custom_S_TS_SS</t>
        </is>
      </c>
      <c r="G380" s="2">
        <f>VLOOKUP(F380,'Message Mapping'!A:L,3,FALSE)</f>
        <v/>
      </c>
      <c r="H380" s="2">
        <f>VLOOKUP(F380,'Message Mapping'!A:L,4,FALSE)</f>
        <v/>
      </c>
      <c r="I380" s="2" t="n"/>
      <c r="J380" s="3">
        <f>VLOOKUP(F380,'Message Mapping'!A:L,12,FALSE)</f>
        <v/>
      </c>
      <c r="K380" s="3" t="n"/>
      <c r="L380" s="3" t="n"/>
      <c r="M380" s="3" t="n"/>
      <c r="N380" s="3" t="n"/>
      <c r="O380" s="3" t="n"/>
      <c r="P380" s="3" t="n"/>
    </row>
    <row r="381">
      <c r="A381" s="94" t="inlineStr">
        <is>
          <t>CDLA</t>
        </is>
      </c>
      <c r="B381" s="2" t="inlineStr">
        <is>
          <t>CDC LOCAL AUTOMATICO</t>
        </is>
      </c>
      <c r="C381" s="2" t="inlineStr">
        <is>
          <t>Custom</t>
        </is>
      </c>
      <c r="D381" s="2" t="inlineStr">
        <is>
          <t>FUNCÕES/43/PARALELISMO</t>
        </is>
      </c>
      <c r="E381" s="2" t="inlineStr">
        <is>
          <t>Read</t>
        </is>
      </c>
      <c r="F381" s="2" t="inlineStr">
        <is>
          <t>null@null___DESATIVADO@ATIVADO___Custom_S_TS_SS</t>
        </is>
      </c>
      <c r="G381" s="2">
        <f>VLOOKUP(F381,'Message Mapping'!A:L,3,FALSE)</f>
        <v/>
      </c>
      <c r="H381" s="2">
        <f>VLOOKUP(F381,'Message Mapping'!A:L,4,FALSE)</f>
        <v/>
      </c>
      <c r="I381" s="2" t="n"/>
      <c r="J381" s="3">
        <f>VLOOKUP(F381,'Message Mapping'!A:L,12,FALSE)</f>
        <v/>
      </c>
      <c r="K381" s="3" t="n"/>
      <c r="L381" s="3" t="n"/>
      <c r="M381" s="3" t="n"/>
      <c r="N381" s="3" t="n"/>
      <c r="O381" s="3" t="n"/>
      <c r="P381" s="3" t="n"/>
    </row>
    <row r="382">
      <c r="A382" s="94" t="inlineStr">
        <is>
          <t>CDLM</t>
        </is>
      </c>
      <c r="B382" s="2" t="inlineStr">
        <is>
          <t>CDC LOCAL MANUAL</t>
        </is>
      </c>
      <c r="C382" s="2" t="inlineStr">
        <is>
          <t>Custom</t>
        </is>
      </c>
      <c r="D382" s="2" t="inlineStr">
        <is>
          <t>FUNCÕES/43/PARALELISMO</t>
        </is>
      </c>
      <c r="E382" s="2" t="inlineStr">
        <is>
          <t>Read</t>
        </is>
      </c>
      <c r="F382" s="2" t="inlineStr">
        <is>
          <t>null@null___DESATIVADO@ATIVADO___Custom_S_TS_SS</t>
        </is>
      </c>
      <c r="G382" s="2">
        <f>VLOOKUP(F382,'Message Mapping'!A:L,3,FALSE)</f>
        <v/>
      </c>
      <c r="H382" s="2">
        <f>VLOOKUP(F382,'Message Mapping'!A:L,4,FALSE)</f>
        <v/>
      </c>
      <c r="I382" s="2" t="n"/>
      <c r="J382" s="3">
        <f>VLOOKUP(F382,'Message Mapping'!A:L,12,FALSE)</f>
        <v/>
      </c>
      <c r="K382" s="3" t="n"/>
      <c r="L382" s="3" t="n"/>
      <c r="M382" s="3" t="n"/>
      <c r="N382" s="3" t="n"/>
      <c r="O382" s="3" t="n"/>
      <c r="P382" s="3" t="n"/>
    </row>
    <row r="383" ht="25.5" customHeight="1">
      <c r="A383" s="94" t="inlineStr">
        <is>
          <t>CDCO</t>
        </is>
      </c>
      <c r="B383" s="2" t="inlineStr">
        <is>
          <t>CDC MODO DE OPERACAO</t>
        </is>
      </c>
      <c r="C383" s="2" t="inlineStr">
        <is>
          <t>Parallel</t>
        </is>
      </c>
      <c r="D383" s="2" t="inlineStr">
        <is>
          <t>FUNCÕES/43/PARALELISMO</t>
        </is>
      </c>
      <c r="E383" s="2" t="inlineStr">
        <is>
          <t>ReadWrite</t>
        </is>
      </c>
      <c r="F383" s="2" t="inlineStr">
        <is>
          <t>MESTRE@INDIVIDUAL@COMANDO___MESTRE@INDIVIDUAL@COMANDO___Parallel___admsINV_D_TC</t>
        </is>
      </c>
      <c r="G383" s="2">
        <f>VLOOKUP(F383,'Message Mapping'!A:L,3,FALSE)</f>
        <v/>
      </c>
      <c r="H383" s="2">
        <f>VLOOKUP(F383,'Message Mapping'!A:L,4,FALSE)</f>
        <v/>
      </c>
      <c r="I383" s="2" t="n"/>
      <c r="J383" s="3">
        <f>VLOOKUP(F383,'Message Mapping'!A:L,12,FALSE)</f>
        <v/>
      </c>
      <c r="K383" s="3" t="n"/>
      <c r="L383" s="3" t="n"/>
      <c r="M383" s="3" t="n"/>
      <c r="N383" s="3" t="n"/>
      <c r="O383" s="3" t="n"/>
      <c r="P383" s="3" t="n"/>
    </row>
    <row r="384">
      <c r="A384" s="94" t="inlineStr">
        <is>
          <t>CDRA</t>
        </is>
      </c>
      <c r="B384" s="2" t="inlineStr">
        <is>
          <t>CDC REMOTO AUTOMATICO</t>
        </is>
      </c>
      <c r="C384" s="2" t="inlineStr">
        <is>
          <t>Custom</t>
        </is>
      </c>
      <c r="D384" s="2" t="inlineStr">
        <is>
          <t>FUNCÕES/43/PARALELISMO</t>
        </is>
      </c>
      <c r="E384" s="2" t="inlineStr">
        <is>
          <t>Read</t>
        </is>
      </c>
      <c r="F384" s="2" t="inlineStr">
        <is>
          <t>null@null___DESATIVADO@ATIVADO___Custom_S_TS_SS</t>
        </is>
      </c>
      <c r="G384" s="2">
        <f>VLOOKUP(F384,'Message Mapping'!A:L,3,FALSE)</f>
        <v/>
      </c>
      <c r="H384" s="2">
        <f>VLOOKUP(F384,'Message Mapping'!A:L,4,FALSE)</f>
        <v/>
      </c>
      <c r="I384" s="2" t="n"/>
      <c r="J384" s="3">
        <f>VLOOKUP(F384,'Message Mapping'!A:L,12,FALSE)</f>
        <v/>
      </c>
      <c r="K384" s="3" t="n"/>
      <c r="L384" s="3" t="n"/>
      <c r="M384" s="3" t="n"/>
      <c r="N384" s="3" t="n"/>
      <c r="O384" s="3" t="n"/>
      <c r="P384" s="3" t="n"/>
    </row>
    <row r="385">
      <c r="A385" s="94" t="inlineStr">
        <is>
          <t>CDRM</t>
        </is>
      </c>
      <c r="B385" s="2" t="inlineStr">
        <is>
          <t>CDC REMOTO MANUAL</t>
        </is>
      </c>
      <c r="C385" s="2" t="inlineStr">
        <is>
          <t>Custom</t>
        </is>
      </c>
      <c r="D385" s="2" t="inlineStr">
        <is>
          <t>FUNCÕES/43/PARALELISMO</t>
        </is>
      </c>
      <c r="E385" s="2" t="inlineStr">
        <is>
          <t>Read</t>
        </is>
      </c>
      <c r="F385" s="2" t="inlineStr">
        <is>
          <t>null@null___DESATIVADO@ATIVADO___Custom_S_TS_SS</t>
        </is>
      </c>
      <c r="G385" s="2">
        <f>VLOOKUP(F385,'Message Mapping'!A:L,3,FALSE)</f>
        <v/>
      </c>
      <c r="H385" s="2">
        <f>VLOOKUP(F385,'Message Mapping'!A:L,4,FALSE)</f>
        <v/>
      </c>
      <c r="I385" s="2" t="n"/>
      <c r="J385" s="3">
        <f>VLOOKUP(F385,'Message Mapping'!A:L,12,FALSE)</f>
        <v/>
      </c>
      <c r="K385" s="3" t="n"/>
      <c r="L385" s="3" t="n"/>
      <c r="M385" s="3" t="n"/>
      <c r="N385" s="3" t="n"/>
      <c r="O385" s="3" t="n"/>
      <c r="P385" s="3" t="n"/>
    </row>
    <row r="386">
      <c r="A386" s="94" t="inlineStr">
        <is>
          <t>DEFC</t>
        </is>
      </c>
      <c r="B386" s="2" t="inlineStr">
        <is>
          <t>CENTRAL DE ALARME DEFEITO</t>
        </is>
      </c>
      <c r="C386" s="2" t="inlineStr">
        <is>
          <t>Custom</t>
        </is>
      </c>
      <c r="D386" s="2" t="inlineStr">
        <is>
          <t>ALARMES PREDIAIS/VF/GRUPO</t>
        </is>
      </c>
      <c r="E386" s="2" t="inlineStr">
        <is>
          <t>Read</t>
        </is>
      </c>
      <c r="F386" s="2" t="inlineStr">
        <is>
          <t>null@null___NORMAL@DEFEITO___Custom_S_TS_SP</t>
        </is>
      </c>
      <c r="G386" s="2">
        <f>VLOOKUP(F386,'Message Mapping'!A:L,3,FALSE)</f>
        <v/>
      </c>
      <c r="H386" s="2">
        <f>VLOOKUP(F386,'Message Mapping'!A:L,4,FALSE)</f>
        <v/>
      </c>
      <c r="I386" s="2" t="n"/>
      <c r="J386" s="3">
        <f>VLOOKUP(F386,'Message Mapping'!A:L,12,FALSE)</f>
        <v/>
      </c>
      <c r="K386" s="3" t="n"/>
      <c r="L386" s="3" t="n"/>
      <c r="M386" s="3" t="n"/>
      <c r="N386" s="3" t="n"/>
      <c r="O386" s="3" t="n"/>
      <c r="P386" s="3" t="n"/>
    </row>
    <row r="387">
      <c r="A387" s="94" t="inlineStr">
        <is>
          <t>VFCH</t>
        </is>
      </c>
      <c r="B387" s="2" t="inlineStr">
        <is>
          <t>CHAVE GERAL VENTILACAO FORCADA</t>
        </is>
      </c>
      <c r="C387" s="2" t="inlineStr">
        <is>
          <t>Custom</t>
        </is>
      </c>
      <c r="D387" s="2" t="inlineStr">
        <is>
          <t>FUNCÕES/43/PARALELISMO</t>
        </is>
      </c>
      <c r="E387" s="2" t="inlineStr">
        <is>
          <t>Read</t>
        </is>
      </c>
      <c r="F387" s="2" t="inlineStr">
        <is>
          <t>null@null___LIGADO@DESLIGADO___Custom_S_TS_SS</t>
        </is>
      </c>
      <c r="G387" s="2">
        <f>VLOOKUP(F387,'Message Mapping'!A:L,3,FALSE)</f>
        <v/>
      </c>
      <c r="H387" s="2">
        <f>VLOOKUP(F387,'Message Mapping'!A:L,4,FALSE)</f>
        <v/>
      </c>
      <c r="I387" s="2" t="n"/>
      <c r="J387" s="3">
        <f>VLOOKUP(F387,'Message Mapping'!A:L,12,FALSE)</f>
        <v/>
      </c>
      <c r="K387" s="3" t="n"/>
      <c r="L387" s="3" t="n"/>
      <c r="M387" s="3" t="n"/>
      <c r="N387" s="3" t="n"/>
      <c r="O387" s="3" t="n"/>
      <c r="P387" s="3" t="n"/>
    </row>
    <row r="388">
      <c r="A388" s="94" t="inlineStr">
        <is>
          <t>VFDE</t>
        </is>
      </c>
      <c r="B388" s="2" t="inlineStr">
        <is>
          <t>CHAVE VENTILACAO FORCADA DESLIGADA</t>
        </is>
      </c>
      <c r="C388" s="2" t="inlineStr">
        <is>
          <t>Custom</t>
        </is>
      </c>
      <c r="D388" s="2" t="inlineStr">
        <is>
          <t>FUNCÕES/43/PARALELISMO</t>
        </is>
      </c>
      <c r="E388" s="2" t="inlineStr">
        <is>
          <t>Read</t>
        </is>
      </c>
      <c r="F388" s="2" t="inlineStr">
        <is>
          <t>null@null___DESABILITOU@HABILITOU___Custom_S_TS_SS</t>
        </is>
      </c>
      <c r="G388" s="2">
        <f>VLOOKUP(F388,'Message Mapping'!A:L,3,FALSE)</f>
        <v/>
      </c>
      <c r="H388" s="2">
        <f>VLOOKUP(F388,'Message Mapping'!A:L,4,FALSE)</f>
        <v/>
      </c>
      <c r="I388" s="2" t="n"/>
      <c r="J388" s="3">
        <f>VLOOKUP(F388,'Message Mapping'!A:L,12,FALSE)</f>
        <v/>
      </c>
      <c r="K388" s="3" t="n"/>
      <c r="L388" s="3" t="n"/>
      <c r="M388" s="3" t="n"/>
      <c r="N388" s="3" t="n"/>
      <c r="O388" s="3" t="n"/>
      <c r="P388" s="3" t="n"/>
    </row>
    <row r="389">
      <c r="A389" s="94" t="inlineStr">
        <is>
          <t>VFMA</t>
        </is>
      </c>
      <c r="B389" s="2" t="inlineStr">
        <is>
          <t>CHAVE VENTILACAO FORCADA MANUAL</t>
        </is>
      </c>
      <c r="C389" s="2" t="inlineStr">
        <is>
          <t>Custom</t>
        </is>
      </c>
      <c r="D389" s="2" t="inlineStr">
        <is>
          <t>FUNCÕES/43/PARALELISMO</t>
        </is>
      </c>
      <c r="E389" s="2" t="inlineStr">
        <is>
          <t>Read</t>
        </is>
      </c>
      <c r="F389" s="2" t="inlineStr">
        <is>
          <t>null@null___DESABILITOU@HABILITOU___Custom_S_TS_SS</t>
        </is>
      </c>
      <c r="G389" s="2">
        <f>VLOOKUP(F389,'Message Mapping'!A:L,3,FALSE)</f>
        <v/>
      </c>
      <c r="H389" s="2">
        <f>VLOOKUP(F389,'Message Mapping'!A:L,4,FALSE)</f>
        <v/>
      </c>
      <c r="I389" s="2" t="n"/>
      <c r="J389" s="3">
        <f>VLOOKUP(F389,'Message Mapping'!A:L,12,FALSE)</f>
        <v/>
      </c>
      <c r="K389" s="3" t="n"/>
      <c r="L389" s="3" t="n"/>
      <c r="M389" s="3" t="n"/>
      <c r="N389" s="3" t="n"/>
      <c r="O389" s="3" t="n"/>
      <c r="P389" s="3" t="n"/>
    </row>
    <row r="390">
      <c r="A390" s="94" t="inlineStr">
        <is>
          <t>VFRE</t>
        </is>
      </c>
      <c r="B390" s="2" t="inlineStr">
        <is>
          <t>CHAVE VENTILACAO FORCADA REMOTO</t>
        </is>
      </c>
      <c r="C390" s="2" t="inlineStr">
        <is>
          <t>Custom</t>
        </is>
      </c>
      <c r="D390" s="2" t="inlineStr">
        <is>
          <t>FUNCÕES/43/PARALELISMO</t>
        </is>
      </c>
      <c r="E390" s="2" t="inlineStr">
        <is>
          <t>Read</t>
        </is>
      </c>
      <c r="F390" s="2" t="inlineStr">
        <is>
          <t>null@null___DESABILITOU@HABILITOU___Custom_S_TS_SS</t>
        </is>
      </c>
      <c r="G390" s="2">
        <f>VLOOKUP(F390,'Message Mapping'!A:L,3,FALSE)</f>
        <v/>
      </c>
      <c r="H390" s="2">
        <f>VLOOKUP(F390,'Message Mapping'!A:L,4,FALSE)</f>
        <v/>
      </c>
      <c r="I390" s="2" t="n"/>
      <c r="J390" s="3">
        <f>VLOOKUP(F390,'Message Mapping'!A:L,12,FALSE)</f>
        <v/>
      </c>
      <c r="K390" s="3" t="n"/>
      <c r="L390" s="3" t="n"/>
      <c r="M390" s="3" t="n"/>
      <c r="N390" s="3" t="n"/>
      <c r="O390" s="3" t="n"/>
      <c r="P390" s="3" t="n"/>
    </row>
    <row r="391">
      <c r="A391" s="94" t="inlineStr">
        <is>
          <t>CAB</t>
        </is>
      </c>
      <c r="B391" s="2" t="inlineStr">
        <is>
          <t>CIRCUITO ABERTURA</t>
        </is>
      </c>
      <c r="C391" s="2" t="inlineStr">
        <is>
          <t>Custom</t>
        </is>
      </c>
      <c r="D391" s="2" t="inlineStr">
        <is>
          <t>DEFEITOS</t>
        </is>
      </c>
      <c r="E391" s="2" t="inlineStr">
        <is>
          <t>Read</t>
        </is>
      </c>
      <c r="F391" s="2" t="inlineStr">
        <is>
          <t>null@null___NORMAL@ATUADO___Custom_S_TS_SI</t>
        </is>
      </c>
      <c r="G391" s="2">
        <f>VLOOKUP(F391,'Message Mapping'!A:L,3,FALSE)</f>
        <v/>
      </c>
      <c r="H391" s="2">
        <f>VLOOKUP(F391,'Message Mapping'!A:L,4,FALSE)</f>
        <v/>
      </c>
      <c r="I391" s="2" t="n"/>
      <c r="J391" s="3">
        <f>VLOOKUP(F391,'Message Mapping'!A:L,12,FALSE)</f>
        <v/>
      </c>
      <c r="K391" s="3" t="n"/>
      <c r="L391" s="3" t="n"/>
      <c r="M391" s="3" t="n"/>
      <c r="N391" s="3" t="n"/>
      <c r="O391" s="3" t="n"/>
      <c r="P391" s="3" t="n"/>
    </row>
    <row r="392">
      <c r="A392" s="94" t="inlineStr">
        <is>
          <t>CAB1</t>
        </is>
      </c>
      <c r="B392" s="2" t="inlineStr">
        <is>
          <t>CIRCUITO ABERTURA 1</t>
        </is>
      </c>
      <c r="C392" s="2" t="inlineStr">
        <is>
          <t>Custom</t>
        </is>
      </c>
      <c r="D392" s="2" t="inlineStr">
        <is>
          <t>DEFEITOS</t>
        </is>
      </c>
      <c r="E392" s="2" t="inlineStr">
        <is>
          <t>Read</t>
        </is>
      </c>
      <c r="F392" s="2" t="inlineStr">
        <is>
          <t>null@null___NORMAL@ATUADO___Custom_S_TS_SI</t>
        </is>
      </c>
      <c r="G392" s="2">
        <f>VLOOKUP(F392,'Message Mapping'!A:L,3,FALSE)</f>
        <v/>
      </c>
      <c r="H392" s="2">
        <f>VLOOKUP(F392,'Message Mapping'!A:L,4,FALSE)</f>
        <v/>
      </c>
      <c r="I392" s="2" t="n"/>
      <c r="J392" s="3">
        <f>VLOOKUP(F392,'Message Mapping'!A:L,12,FALSE)</f>
        <v/>
      </c>
      <c r="K392" s="3" t="n"/>
      <c r="L392" s="3" t="n"/>
      <c r="M392" s="3" t="n"/>
      <c r="N392" s="3" t="n"/>
      <c r="O392" s="3" t="n"/>
      <c r="P392" s="3" t="n"/>
    </row>
    <row r="393">
      <c r="A393" s="94" t="inlineStr">
        <is>
          <t>CAB2</t>
        </is>
      </c>
      <c r="B393" s="2" t="inlineStr">
        <is>
          <t>CIRCUITO ABERTURA 2</t>
        </is>
      </c>
      <c r="C393" s="2" t="inlineStr">
        <is>
          <t>Custom</t>
        </is>
      </c>
      <c r="D393" s="2" t="inlineStr">
        <is>
          <t>DEFEITOS</t>
        </is>
      </c>
      <c r="E393" s="2" t="inlineStr">
        <is>
          <t>Read</t>
        </is>
      </c>
      <c r="F393" s="2" t="inlineStr">
        <is>
          <t>null@null___NORMAL@ATUADO___Custom_S_TS_SI</t>
        </is>
      </c>
      <c r="G393" s="2">
        <f>VLOOKUP(F393,'Message Mapping'!A:L,3,FALSE)</f>
        <v/>
      </c>
      <c r="H393" s="2">
        <f>VLOOKUP(F393,'Message Mapping'!A:L,4,FALSE)</f>
        <v/>
      </c>
      <c r="I393" s="2" t="n"/>
      <c r="J393" s="3">
        <f>VLOOKUP(F393,'Message Mapping'!A:L,12,FALSE)</f>
        <v/>
      </c>
      <c r="K393" s="3" t="n"/>
      <c r="L393" s="3" t="n"/>
      <c r="M393" s="3" t="n"/>
      <c r="N393" s="3" t="n"/>
      <c r="O393" s="3" t="n"/>
      <c r="P393" s="3" t="n"/>
    </row>
    <row r="394">
      <c r="A394" s="94" t="inlineStr">
        <is>
          <t>CFC</t>
        </is>
      </c>
      <c r="B394" s="2" t="inlineStr">
        <is>
          <t>CIRCUITO FECHAMENTO</t>
        </is>
      </c>
      <c r="C394" s="2" t="inlineStr">
        <is>
          <t>Custom</t>
        </is>
      </c>
      <c r="D394" s="2" t="inlineStr">
        <is>
          <t>DEFEITOS</t>
        </is>
      </c>
      <c r="E394" s="2" t="inlineStr">
        <is>
          <t>Read</t>
        </is>
      </c>
      <c r="F394" s="2" t="inlineStr">
        <is>
          <t>null@null___NORMAL@ATUADO___Custom_S_TS_SI</t>
        </is>
      </c>
      <c r="G394" s="2">
        <f>VLOOKUP(F394,'Message Mapping'!A:L,3,FALSE)</f>
        <v/>
      </c>
      <c r="H394" s="2">
        <f>VLOOKUP(F394,'Message Mapping'!A:L,4,FALSE)</f>
        <v/>
      </c>
      <c r="I394" s="2" t="n"/>
      <c r="J394" s="3">
        <f>VLOOKUP(F394,'Message Mapping'!A:L,12,FALSE)</f>
        <v/>
      </c>
      <c r="K394" s="3" t="n"/>
      <c r="L394" s="3" t="n"/>
      <c r="M394" s="3" t="n"/>
      <c r="N394" s="3" t="n"/>
      <c r="O394" s="3" t="n"/>
      <c r="P394" s="3" t="n"/>
    </row>
    <row r="395">
      <c r="A395" s="94" t="inlineStr">
        <is>
          <t>CMD</t>
        </is>
      </c>
      <c r="B395" s="5" t="inlineStr">
        <is>
          <t>COMANDO</t>
        </is>
      </c>
      <c r="C395" s="2" t="inlineStr">
        <is>
          <t>Custom</t>
        </is>
      </c>
      <c r="D395" s="2" t="inlineStr">
        <is>
          <t>FUNCÕES/43/PARALELISMO</t>
        </is>
      </c>
      <c r="E395" s="2" t="inlineStr">
        <is>
          <t>Read</t>
        </is>
      </c>
      <c r="F395" s="2" t="inlineStr">
        <is>
          <t>null@null___REMOTO@LOCAL___Custom_S_TS_SS</t>
        </is>
      </c>
      <c r="G395" s="2">
        <f>VLOOKUP(F395,'Message Mapping'!A:L,3,FALSE)</f>
        <v/>
      </c>
      <c r="H395" s="2">
        <f>VLOOKUP(F395,'Message Mapping'!A:L,4,FALSE)</f>
        <v/>
      </c>
      <c r="I395" s="2" t="n"/>
      <c r="J395" s="3">
        <f>VLOOKUP(F395,'Message Mapping'!A:L,12,FALSE)</f>
        <v/>
      </c>
      <c r="K395" s="3" t="n"/>
      <c r="L395" s="3" t="n"/>
      <c r="M395" s="3" t="n"/>
      <c r="N395" s="3" t="n"/>
      <c r="O395" s="3" t="n"/>
      <c r="P395" s="3" t="n"/>
    </row>
    <row r="396">
      <c r="A396" s="94" t="inlineStr">
        <is>
          <t>CMD</t>
        </is>
      </c>
      <c r="B396" s="5" t="inlineStr">
        <is>
          <t>COMANDO</t>
        </is>
      </c>
      <c r="C396" s="2" t="inlineStr">
        <is>
          <t>Custom</t>
        </is>
      </c>
      <c r="D396" s="2" t="inlineStr">
        <is>
          <t>FUNCÕES/43/PARALELISMO</t>
        </is>
      </c>
      <c r="E396" s="2" t="inlineStr">
        <is>
          <t>ReadWrite</t>
        </is>
      </c>
      <c r="F396" s="2" t="inlineStr">
        <is>
          <t>CMD_COS@null___REMOTO@LOCAL___Custom_S_TC_SS</t>
        </is>
      </c>
      <c r="G396" s="2">
        <f>VLOOKUP(F396,'Message Mapping'!A:L,3,FALSE)</f>
        <v/>
      </c>
      <c r="H396" s="2">
        <f>VLOOKUP(F396,'Message Mapping'!A:L,4,FALSE)</f>
        <v/>
      </c>
      <c r="I396" s="2" t="n"/>
      <c r="J396" s="3">
        <f>VLOOKUP(F396,'Message Mapping'!A:L,12,FALSE)</f>
        <v/>
      </c>
      <c r="K396" s="3" t="n"/>
      <c r="L396" s="3" t="n"/>
      <c r="M396" s="3" t="n"/>
      <c r="N396" s="3" t="n"/>
      <c r="O396" s="3" t="n"/>
      <c r="P396" s="3" t="n"/>
    </row>
    <row r="397">
      <c r="A397" s="94" t="inlineStr">
        <is>
          <t>FCRE</t>
        </is>
      </c>
      <c r="B397" s="2" t="inlineStr">
        <is>
          <t>COMANDO FECHAMENTO REMOTO</t>
        </is>
      </c>
      <c r="C397" s="2" t="inlineStr">
        <is>
          <t>Custom</t>
        </is>
      </c>
      <c r="D397" s="2" t="inlineStr">
        <is>
          <t>PROT</t>
        </is>
      </c>
      <c r="E397" s="2" t="inlineStr">
        <is>
          <t>Read</t>
        </is>
      </c>
      <c r="F397" s="2" t="inlineStr">
        <is>
          <t>null@null___NORMAL@ATUADO___Custom_S_TS_SA</t>
        </is>
      </c>
      <c r="G397" s="2">
        <f>VLOOKUP(F397,'Message Mapping'!A:L,3,FALSE)</f>
        <v/>
      </c>
      <c r="H397" s="2">
        <f>VLOOKUP(F397,'Message Mapping'!A:L,4,FALSE)</f>
        <v/>
      </c>
      <c r="I397" s="2" t="n"/>
      <c r="J397" s="3">
        <f>VLOOKUP(F397,'Message Mapping'!A:L,12,FALSE)</f>
        <v/>
      </c>
      <c r="K397" s="3" t="n"/>
      <c r="L397" s="3" t="n"/>
      <c r="M397" s="3" t="n"/>
      <c r="N397" s="3" t="n"/>
      <c r="O397" s="3" t="n"/>
      <c r="P397" s="3" t="n"/>
    </row>
    <row r="398">
      <c r="A398" s="94" t="inlineStr">
        <is>
          <t>CDC</t>
        </is>
      </c>
      <c r="B398" s="2" t="inlineStr">
        <is>
          <t>COMUTADOR</t>
        </is>
      </c>
      <c r="C398" s="2" t="inlineStr">
        <is>
          <t>TapIncrement</t>
        </is>
      </c>
      <c r="D398" s="2" t="inlineStr">
        <is>
          <t>FUNCÕES/43/PARALELISMO</t>
        </is>
      </c>
      <c r="E398" s="2" t="inlineStr">
        <is>
          <t>Write</t>
        </is>
      </c>
      <c r="F398" s="2" t="inlineStr">
        <is>
          <t>AUMENTAR@DIMINUIR___null@null___TapIncrement_S_TC_SS</t>
        </is>
      </c>
      <c r="G398" s="2">
        <f>VLOOKUP(F398,'Message Mapping'!A:L,3,FALSE)</f>
        <v/>
      </c>
      <c r="H398" s="2">
        <f>VLOOKUP(F398,'Message Mapping'!A:L,4,FALSE)</f>
        <v/>
      </c>
      <c r="I398" s="2" t="n"/>
      <c r="J398" s="3">
        <f>VLOOKUP(F398,'Message Mapping'!A:L,12,FALSE)</f>
        <v/>
      </c>
      <c r="K398" s="3" t="n"/>
      <c r="L398" s="3" t="n"/>
      <c r="M398" s="3" t="n"/>
      <c r="N398" s="3" t="n"/>
      <c r="O398" s="3" t="n"/>
      <c r="P398" s="3" t="n"/>
    </row>
    <row r="399">
      <c r="A399" s="94" t="inlineStr">
        <is>
          <t>DCDC</t>
        </is>
      </c>
      <c r="B399" s="2" t="inlineStr">
        <is>
          <t>DEFEITO CDC</t>
        </is>
      </c>
      <c r="C399" s="2" t="inlineStr">
        <is>
          <t>Custom</t>
        </is>
      </c>
      <c r="D399" s="2" t="inlineStr">
        <is>
          <t>FALHAS FCOM/VCA/VCC</t>
        </is>
      </c>
      <c r="E399" s="2" t="inlineStr">
        <is>
          <t>Read</t>
        </is>
      </c>
      <c r="F399" s="2" t="inlineStr">
        <is>
          <t>null@null___NORMAL@DEFEITO___Custom_S_TS_SB</t>
        </is>
      </c>
      <c r="G399" s="2">
        <f>VLOOKUP(F399,'Message Mapping'!A:L,3,FALSE)</f>
        <v/>
      </c>
      <c r="H399" s="2">
        <f>VLOOKUP(F399,'Message Mapping'!A:L,4,FALSE)</f>
        <v/>
      </c>
      <c r="I399" s="2" t="n"/>
      <c r="J399" s="3">
        <f>VLOOKUP(F399,'Message Mapping'!A:L,12,FALSE)</f>
        <v/>
      </c>
      <c r="K399" s="3" t="n"/>
      <c r="L399" s="3" t="n"/>
      <c r="M399" s="3" t="n"/>
      <c r="N399" s="3" t="n"/>
      <c r="O399" s="3" t="n"/>
      <c r="P399" s="3" t="n"/>
    </row>
    <row r="400">
      <c r="A400" s="94" t="inlineStr">
        <is>
          <t>DCMD</t>
        </is>
      </c>
      <c r="B400" s="2" t="inlineStr">
        <is>
          <t>DEFEITO COMANDO</t>
        </is>
      </c>
      <c r="C400" s="2" t="inlineStr">
        <is>
          <t>Custom</t>
        </is>
      </c>
      <c r="D400" s="2" t="inlineStr">
        <is>
          <t>FALHAS FCOM/VCA/VCC</t>
        </is>
      </c>
      <c r="E400" s="2" t="inlineStr">
        <is>
          <t>Read</t>
        </is>
      </c>
      <c r="F400" s="2" t="inlineStr">
        <is>
          <t>null@null___NORMAL@DEFEITO___Custom_S_TS_SB</t>
        </is>
      </c>
      <c r="G400" s="2">
        <f>VLOOKUP(F400,'Message Mapping'!A:L,3,FALSE)</f>
        <v/>
      </c>
      <c r="H400" s="2">
        <f>VLOOKUP(F400,'Message Mapping'!A:L,4,FALSE)</f>
        <v/>
      </c>
      <c r="I400" s="2" t="n"/>
      <c r="J400" s="3">
        <f>VLOOKUP(F400,'Message Mapping'!A:L,12,FALSE)</f>
        <v/>
      </c>
      <c r="K400" s="3" t="n"/>
      <c r="L400" s="3" t="n"/>
      <c r="M400" s="3" t="n"/>
      <c r="N400" s="3" t="n"/>
      <c r="O400" s="3" t="n"/>
      <c r="P400" s="3" t="n"/>
    </row>
    <row r="401">
      <c r="A401" s="94" t="inlineStr">
        <is>
          <t>DFDJ</t>
        </is>
      </c>
      <c r="B401" s="2" t="inlineStr">
        <is>
          <t>DEFEITO DISJUNTOR</t>
        </is>
      </c>
      <c r="C401" s="2" t="inlineStr">
        <is>
          <t>Custom</t>
        </is>
      </c>
      <c r="D401" s="2" t="inlineStr">
        <is>
          <t>FALHAS FCOM/VCA/VCC</t>
        </is>
      </c>
      <c r="E401" s="2" t="inlineStr">
        <is>
          <t>Read</t>
        </is>
      </c>
      <c r="F401" s="2" t="inlineStr">
        <is>
          <t>null@null___NORMAL@DEFEITO___Custom_S_TS_SB</t>
        </is>
      </c>
      <c r="G401" s="2">
        <f>VLOOKUP(F401,'Message Mapping'!A:L,3,FALSE)</f>
        <v/>
      </c>
      <c r="H401" s="2">
        <f>VLOOKUP(F401,'Message Mapping'!A:L,4,FALSE)</f>
        <v/>
      </c>
      <c r="I401" s="2" t="n"/>
      <c r="J401" s="3">
        <f>VLOOKUP(F401,'Message Mapping'!A:L,12,FALSE)</f>
        <v/>
      </c>
      <c r="K401" s="3" t="inlineStr">
        <is>
          <t>Agrupamento de falhas: vcc comando, motor, vca e 43LR</t>
        </is>
      </c>
      <c r="L401" s="3" t="n"/>
      <c r="M401" s="3" t="n"/>
      <c r="N401" s="3" t="n"/>
      <c r="O401" s="3" t="n"/>
      <c r="P401" s="3" t="n"/>
    </row>
    <row r="402">
      <c r="A402" s="94" t="inlineStr">
        <is>
          <t>DMOT</t>
        </is>
      </c>
      <c r="B402" s="2" t="inlineStr">
        <is>
          <t>DEFEITO MOTOR</t>
        </is>
      </c>
      <c r="C402" s="2" t="inlineStr">
        <is>
          <t>Custom</t>
        </is>
      </c>
      <c r="D402" s="2" t="inlineStr">
        <is>
          <t>FALHAS FCOM/VCA/VCC</t>
        </is>
      </c>
      <c r="E402" s="2" t="inlineStr">
        <is>
          <t>Read</t>
        </is>
      </c>
      <c r="F402" s="2" t="inlineStr">
        <is>
          <t>null@null___NORMAL@DEFEITO___Custom_S_TS_SB</t>
        </is>
      </c>
      <c r="G402" s="2">
        <f>VLOOKUP(F402,'Message Mapping'!A:L,3,FALSE)</f>
        <v/>
      </c>
      <c r="H402" s="2">
        <f>VLOOKUP(F402,'Message Mapping'!A:L,4,FALSE)</f>
        <v/>
      </c>
      <c r="I402" s="2" t="n"/>
      <c r="J402" s="3">
        <f>VLOOKUP(F402,'Message Mapping'!A:L,12,FALSE)</f>
        <v/>
      </c>
      <c r="K402" s="3" t="n"/>
      <c r="L402" s="3" t="n"/>
      <c r="M402" s="3" t="n"/>
      <c r="N402" s="3" t="n"/>
      <c r="O402" s="3" t="n"/>
      <c r="P402" s="3" t="n"/>
    </row>
    <row r="403">
      <c r="A403" s="94" t="inlineStr">
        <is>
          <t>CDMT</t>
        </is>
      </c>
      <c r="B403" s="2" t="inlineStr">
        <is>
          <t>DEFEITO MOTOR CDC</t>
        </is>
      </c>
      <c r="C403" s="2" t="inlineStr">
        <is>
          <t>Custom</t>
        </is>
      </c>
      <c r="D403" s="2" t="inlineStr">
        <is>
          <t>FALHAS FCOM/VCA/VCC</t>
        </is>
      </c>
      <c r="E403" s="2" t="inlineStr">
        <is>
          <t>Read</t>
        </is>
      </c>
      <c r="F403" s="2" t="inlineStr">
        <is>
          <t>null@null___NORMAL@DEFEITO___Custom_S_TS_SB</t>
        </is>
      </c>
      <c r="G403" s="2">
        <f>VLOOKUP(F403,'Message Mapping'!A:L,3,FALSE)</f>
        <v/>
      </c>
      <c r="H403" s="2">
        <f>VLOOKUP(F403,'Message Mapping'!A:L,4,FALSE)</f>
        <v/>
      </c>
      <c r="I403" s="2" t="n"/>
      <c r="J403" s="3">
        <f>VLOOKUP(F403,'Message Mapping'!A:L,12,FALSE)</f>
        <v/>
      </c>
      <c r="K403" s="3" t="n"/>
      <c r="L403" s="3" t="n"/>
      <c r="M403" s="3" t="n"/>
      <c r="N403" s="3" t="n"/>
      <c r="O403" s="3" t="n"/>
      <c r="P403" s="3" t="n"/>
    </row>
    <row r="404">
      <c r="A404" s="94" t="inlineStr">
        <is>
          <t>DPT1</t>
        </is>
      </c>
      <c r="B404" s="2" t="inlineStr">
        <is>
          <t>DEFEITO PT100</t>
        </is>
      </c>
      <c r="C404" s="2" t="inlineStr">
        <is>
          <t>Custom</t>
        </is>
      </c>
      <c r="D404" s="2" t="inlineStr">
        <is>
          <t>FALHAS FCOM/VCA/VCC</t>
        </is>
      </c>
      <c r="E404" s="2" t="inlineStr">
        <is>
          <t>Read</t>
        </is>
      </c>
      <c r="F404" s="2" t="inlineStr">
        <is>
          <t>null@null___NORMAL@DEFEITO___Custom_S_TS_SB</t>
        </is>
      </c>
      <c r="G404" s="2">
        <f>VLOOKUP(F404,'Message Mapping'!A:L,3,FALSE)</f>
        <v/>
      </c>
      <c r="H404" s="2">
        <f>VLOOKUP(F404,'Message Mapping'!A:L,4,FALSE)</f>
        <v/>
      </c>
      <c r="I404" s="2" t="n"/>
      <c r="J404" s="3">
        <f>VLOOKUP(F404,'Message Mapping'!A:L,12,FALSE)</f>
        <v/>
      </c>
      <c r="K404" s="3" t="n"/>
      <c r="L404" s="3" t="n"/>
      <c r="M404" s="3" t="n"/>
      <c r="N404" s="3" t="n"/>
      <c r="O404" s="3" t="n"/>
      <c r="P404" s="3" t="n"/>
    </row>
    <row r="405">
      <c r="A405" s="94" t="inlineStr">
        <is>
          <t>DR</t>
        </is>
      </c>
      <c r="B405" s="2" t="inlineStr">
        <is>
          <t>DEFEITO RELE</t>
        </is>
      </c>
      <c r="C405" s="2" t="inlineStr">
        <is>
          <t>Custom</t>
        </is>
      </c>
      <c r="D405" s="2" t="inlineStr">
        <is>
          <t>FALHAS FCOM/VCA/VCC</t>
        </is>
      </c>
      <c r="E405" s="2" t="inlineStr">
        <is>
          <t>Read</t>
        </is>
      </c>
      <c r="F405" s="2" t="inlineStr">
        <is>
          <t>null@null___NORMAL@DEFEITO___Custom_S_TS_SB</t>
        </is>
      </c>
      <c r="G405" s="2">
        <f>VLOOKUP(F405,'Message Mapping'!A:L,3,FALSE)</f>
        <v/>
      </c>
      <c r="H405" s="2">
        <f>VLOOKUP(F405,'Message Mapping'!A:L,4,FALSE)</f>
        <v/>
      </c>
      <c r="I405" s="2" t="n"/>
      <c r="J405" s="3">
        <f>VLOOKUP(F405,'Message Mapping'!A:L,12,FALSE)</f>
        <v/>
      </c>
      <c r="K405" s="3" t="n"/>
      <c r="L405" s="3" t="n"/>
      <c r="M405" s="3" t="n"/>
      <c r="N405" s="3" t="n"/>
      <c r="O405" s="3" t="n"/>
      <c r="P405" s="3" t="n"/>
    </row>
    <row r="406">
      <c r="A406" s="94" t="inlineStr">
        <is>
          <t>DR21</t>
        </is>
      </c>
      <c r="B406" s="2" t="inlineStr">
        <is>
          <t>DEFEITO RELE 21</t>
        </is>
      </c>
      <c r="C406" s="2" t="inlineStr">
        <is>
          <t>Custom</t>
        </is>
      </c>
      <c r="D406" s="2" t="inlineStr">
        <is>
          <t>FALHAS FCOM/VCA/VCC</t>
        </is>
      </c>
      <c r="E406" s="2" t="inlineStr">
        <is>
          <t>Read</t>
        </is>
      </c>
      <c r="F406" s="2" t="inlineStr">
        <is>
          <t>null@null___NORMAL@DEFEITO___Custom_S_TS_SB</t>
        </is>
      </c>
      <c r="G406" s="2">
        <f>VLOOKUP(F406,'Message Mapping'!A:L,3,FALSE)</f>
        <v/>
      </c>
      <c r="H406" s="2">
        <f>VLOOKUP(F406,'Message Mapping'!A:L,4,FALSE)</f>
        <v/>
      </c>
      <c r="I406" s="2" t="n"/>
      <c r="J406" s="3">
        <f>VLOOKUP(F406,'Message Mapping'!A:L,12,FALSE)</f>
        <v/>
      </c>
      <c r="K406" s="3" t="n"/>
      <c r="L406" s="3" t="n"/>
      <c r="M406" s="3" t="n"/>
      <c r="N406" s="3" t="n"/>
      <c r="O406" s="3" t="n"/>
      <c r="P406" s="3" t="n"/>
    </row>
    <row r="407">
      <c r="A407" s="94" t="inlineStr">
        <is>
          <t>DR14</t>
        </is>
      </c>
      <c r="B407" s="2" t="inlineStr">
        <is>
          <t>DEFEITO RELE 2414</t>
        </is>
      </c>
      <c r="C407" s="2" t="inlineStr">
        <is>
          <t>Custom</t>
        </is>
      </c>
      <c r="D407" s="2" t="inlineStr">
        <is>
          <t>FALHAS FCOM/VCA/VCC</t>
        </is>
      </c>
      <c r="E407" s="2" t="inlineStr">
        <is>
          <t>Read</t>
        </is>
      </c>
      <c r="F407" s="2" t="inlineStr">
        <is>
          <t>null@null___NORMAL@DEFEITO___Custom_S_TS_SB</t>
        </is>
      </c>
      <c r="G407" s="2">
        <f>VLOOKUP(F407,'Message Mapping'!A:L,3,FALSE)</f>
        <v/>
      </c>
      <c r="H407" s="2">
        <f>VLOOKUP(F407,'Message Mapping'!A:L,4,FALSE)</f>
        <v/>
      </c>
      <c r="I407" s="2" t="n"/>
      <c r="J407" s="3">
        <f>VLOOKUP(F407,'Message Mapping'!A:L,12,FALSE)</f>
        <v/>
      </c>
      <c r="K407" s="3" t="n"/>
      <c r="L407" s="3" t="n"/>
      <c r="M407" s="3" t="n"/>
      <c r="N407" s="3" t="n"/>
      <c r="O407" s="3" t="n"/>
      <c r="P407" s="3" t="n"/>
    </row>
    <row r="408">
      <c r="A408" s="94" t="inlineStr">
        <is>
          <t>DR25</t>
        </is>
      </c>
      <c r="B408" s="2" t="inlineStr">
        <is>
          <t>DEFEITO RELE 25</t>
        </is>
      </c>
      <c r="C408" s="2" t="inlineStr">
        <is>
          <t>Custom</t>
        </is>
      </c>
      <c r="D408" s="2" t="inlineStr">
        <is>
          <t>FALHAS FCOM/VCA/VCC</t>
        </is>
      </c>
      <c r="E408" s="2" t="inlineStr">
        <is>
          <t>Read</t>
        </is>
      </c>
      <c r="F408" s="2" t="inlineStr">
        <is>
          <t>null@null___NORMAL@DEFEITO___Custom_S_TS_SB</t>
        </is>
      </c>
      <c r="G408" s="2">
        <f>VLOOKUP(F408,'Message Mapping'!A:L,3,FALSE)</f>
        <v/>
      </c>
      <c r="H408" s="2">
        <f>VLOOKUP(F408,'Message Mapping'!A:L,4,FALSE)</f>
        <v/>
      </c>
      <c r="I408" s="2" t="n"/>
      <c r="J408" s="3">
        <f>VLOOKUP(F408,'Message Mapping'!A:L,12,FALSE)</f>
        <v/>
      </c>
      <c r="K408" s="3" t="n"/>
      <c r="L408" s="3" t="n"/>
      <c r="M408" s="3" t="n"/>
      <c r="N408" s="3" t="n"/>
      <c r="O408" s="3" t="n"/>
      <c r="P408" s="3" t="n"/>
    </row>
    <row r="409">
      <c r="A409" s="94" t="inlineStr">
        <is>
          <t>DR67</t>
        </is>
      </c>
      <c r="B409" s="2" t="inlineStr">
        <is>
          <t>DEFEITO RELE 67</t>
        </is>
      </c>
      <c r="C409" s="2" t="inlineStr">
        <is>
          <t>Custom</t>
        </is>
      </c>
      <c r="D409" s="2" t="inlineStr">
        <is>
          <t>FALHAS FCOM/VCA/VCC</t>
        </is>
      </c>
      <c r="E409" s="2" t="inlineStr">
        <is>
          <t>Read</t>
        </is>
      </c>
      <c r="F409" s="2" t="inlineStr">
        <is>
          <t>null@null___NORMAL@DEFEITO___Custom_S_TS_SB</t>
        </is>
      </c>
      <c r="G409" s="2">
        <f>VLOOKUP(F409,'Message Mapping'!A:L,3,FALSE)</f>
        <v/>
      </c>
      <c r="H409" s="2">
        <f>VLOOKUP(F409,'Message Mapping'!A:L,4,FALSE)</f>
        <v/>
      </c>
      <c r="I409" s="2" t="n"/>
      <c r="J409" s="3">
        <f>VLOOKUP(F409,'Message Mapping'!A:L,12,FALSE)</f>
        <v/>
      </c>
      <c r="K409" s="3" t="n"/>
      <c r="L409" s="3" t="n"/>
      <c r="M409" s="3" t="n"/>
      <c r="N409" s="3" t="n"/>
      <c r="O409" s="3" t="n"/>
      <c r="P409" s="3" t="n"/>
    </row>
    <row r="410">
      <c r="A410" s="94" t="inlineStr">
        <is>
          <t>DR81</t>
        </is>
      </c>
      <c r="B410" s="2" t="inlineStr">
        <is>
          <t>DEFEITO RELE 81</t>
        </is>
      </c>
      <c r="C410" s="2" t="inlineStr">
        <is>
          <t>Custom</t>
        </is>
      </c>
      <c r="D410" s="2" t="inlineStr">
        <is>
          <t>FALHAS FCOM/VCA/VCC</t>
        </is>
      </c>
      <c r="E410" s="2" t="inlineStr">
        <is>
          <t>Read</t>
        </is>
      </c>
      <c r="F410" s="2" t="inlineStr">
        <is>
          <t>null@null___NORMAL@DEFEITO___Custom_S_TS_SB</t>
        </is>
      </c>
      <c r="G410" s="2">
        <f>VLOOKUP(F410,'Message Mapping'!A:L,3,FALSE)</f>
        <v/>
      </c>
      <c r="H410" s="2">
        <f>VLOOKUP(F410,'Message Mapping'!A:L,4,FALSE)</f>
        <v/>
      </c>
      <c r="I410" s="2" t="n"/>
      <c r="J410" s="3">
        <f>VLOOKUP(F410,'Message Mapping'!A:L,12,FALSE)</f>
        <v/>
      </c>
      <c r="K410" s="3" t="n"/>
      <c r="L410" s="3" t="n"/>
      <c r="M410" s="3" t="n"/>
      <c r="N410" s="3" t="n"/>
      <c r="O410" s="3" t="n"/>
      <c r="P410" s="3" t="n"/>
    </row>
    <row r="411">
      <c r="A411" s="94" t="inlineStr">
        <is>
          <t>DR87</t>
        </is>
      </c>
      <c r="B411" s="2" t="inlineStr">
        <is>
          <t>DEFEITO RELE 87</t>
        </is>
      </c>
      <c r="C411" s="2" t="inlineStr">
        <is>
          <t>Custom</t>
        </is>
      </c>
      <c r="D411" s="2" t="inlineStr">
        <is>
          <t>FALHAS FCOM/VCA/VCC</t>
        </is>
      </c>
      <c r="E411" s="2" t="inlineStr">
        <is>
          <t>Read</t>
        </is>
      </c>
      <c r="F411" s="2" t="inlineStr">
        <is>
          <t>null@null___NORMAL@DEFEITO___Custom_S_TS_SB</t>
        </is>
      </c>
      <c r="G411" s="2">
        <f>VLOOKUP(F411,'Message Mapping'!A:L,3,FALSE)</f>
        <v/>
      </c>
      <c r="H411" s="2">
        <f>VLOOKUP(F411,'Message Mapping'!A:L,4,FALSE)</f>
        <v/>
      </c>
      <c r="I411" s="2" t="n"/>
      <c r="J411" s="3">
        <f>VLOOKUP(F411,'Message Mapping'!A:L,12,FALSE)</f>
        <v/>
      </c>
      <c r="K411" s="3" t="n"/>
      <c r="L411" s="3" t="n"/>
      <c r="M411" s="3" t="n"/>
      <c r="N411" s="3" t="n"/>
      <c r="O411" s="3" t="n"/>
      <c r="P411" s="3" t="n"/>
    </row>
    <row r="412">
      <c r="A412" s="94" t="inlineStr">
        <is>
          <t>DR90</t>
        </is>
      </c>
      <c r="B412" s="2" t="inlineStr">
        <is>
          <t>DEFEITO RELE 90</t>
        </is>
      </c>
      <c r="C412" s="2" t="inlineStr">
        <is>
          <t>Custom</t>
        </is>
      </c>
      <c r="D412" s="2" t="inlineStr">
        <is>
          <t>FALHAS FCOM/VCA/VCC</t>
        </is>
      </c>
      <c r="E412" s="2" t="inlineStr">
        <is>
          <t>Read</t>
        </is>
      </c>
      <c r="F412" s="2" t="inlineStr">
        <is>
          <t>null@null___NORMAL@DEFEITO___Custom_S_TS_SB</t>
        </is>
      </c>
      <c r="G412" s="2">
        <f>VLOOKUP(F412,'Message Mapping'!A:L,3,FALSE)</f>
        <v/>
      </c>
      <c r="H412" s="2">
        <f>VLOOKUP(F412,'Message Mapping'!A:L,4,FALSE)</f>
        <v/>
      </c>
      <c r="I412" s="2" t="n"/>
      <c r="J412" s="3">
        <f>VLOOKUP(F412,'Message Mapping'!A:L,12,FALSE)</f>
        <v/>
      </c>
      <c r="K412" s="3" t="n"/>
      <c r="L412" s="3" t="n"/>
      <c r="M412" s="3" t="n"/>
      <c r="N412" s="3" t="n"/>
      <c r="O412" s="3" t="n"/>
      <c r="P412" s="3" t="n"/>
    </row>
    <row r="413">
      <c r="A413" s="94" t="inlineStr">
        <is>
          <t>DRRT</t>
        </is>
      </c>
      <c r="B413" s="2" t="inlineStr">
        <is>
          <t>DEFEITO RELE ALTERNADO</t>
        </is>
      </c>
      <c r="C413" s="2" t="inlineStr">
        <is>
          <t>Custom</t>
        </is>
      </c>
      <c r="D413" s="2" t="inlineStr">
        <is>
          <t>FALHAS FCOM/VCA/VCC</t>
        </is>
      </c>
      <c r="E413" s="2" t="inlineStr">
        <is>
          <t>Read</t>
        </is>
      </c>
      <c r="F413" s="2" t="inlineStr">
        <is>
          <t>null@null___NORMAL@DEFEITO___Custom_S_TS_SB</t>
        </is>
      </c>
      <c r="G413" s="2">
        <f>VLOOKUP(F413,'Message Mapping'!A:L,3,FALSE)</f>
        <v/>
      </c>
      <c r="H413" s="2">
        <f>VLOOKUP(F413,'Message Mapping'!A:L,4,FALSE)</f>
        <v/>
      </c>
      <c r="I413" s="2" t="n"/>
      <c r="J413" s="3">
        <f>VLOOKUP(F413,'Message Mapping'!A:L,12,FALSE)</f>
        <v/>
      </c>
      <c r="K413" s="3" t="n"/>
      <c r="L413" s="3" t="n"/>
      <c r="M413" s="3" t="n"/>
      <c r="N413" s="3" t="n"/>
      <c r="O413" s="3" t="n"/>
      <c r="P413" s="3" t="n"/>
    </row>
    <row r="414">
      <c r="A414" s="94" t="inlineStr">
        <is>
          <t>DRPL</t>
        </is>
      </c>
      <c r="B414" s="2" t="inlineStr">
        <is>
          <t>DEFEITO RELE MONITOR DE PARALELISMO</t>
        </is>
      </c>
      <c r="C414" s="2" t="inlineStr">
        <is>
          <t>Custom</t>
        </is>
      </c>
      <c r="D414" s="2" t="inlineStr">
        <is>
          <t>FALHAS FCOM/VCA/VCC</t>
        </is>
      </c>
      <c r="E414" s="2" t="inlineStr">
        <is>
          <t>Read</t>
        </is>
      </c>
      <c r="F414" s="2" t="inlineStr">
        <is>
          <t>null@null___NORMAL@DEFEITO___Custom_S_TS_SB</t>
        </is>
      </c>
      <c r="G414" s="2">
        <f>VLOOKUP(F414,'Message Mapping'!A:L,3,FALSE)</f>
        <v/>
      </c>
      <c r="H414" s="2">
        <f>VLOOKUP(F414,'Message Mapping'!A:L,4,FALSE)</f>
        <v/>
      </c>
      <c r="I414" s="2" t="n"/>
      <c r="J414" s="3">
        <f>VLOOKUP(F414,'Message Mapping'!A:L,12,FALSE)</f>
        <v/>
      </c>
      <c r="K414" s="3" t="n"/>
      <c r="L414" s="3" t="n"/>
      <c r="M414" s="3" t="n"/>
      <c r="N414" s="3" t="n"/>
      <c r="O414" s="3" t="n"/>
      <c r="P414" s="3" t="n"/>
    </row>
    <row r="415">
      <c r="A415" s="94" t="inlineStr">
        <is>
          <t>DRTM</t>
        </is>
      </c>
      <c r="B415" s="2" t="inlineStr">
        <is>
          <t>DEFEITO RELE MONITORAMENTO DE TEMPERATURA</t>
        </is>
      </c>
      <c r="C415" s="2" t="inlineStr">
        <is>
          <t>Custom</t>
        </is>
      </c>
      <c r="D415" s="2" t="inlineStr">
        <is>
          <t>FALHAS FCOM/VCA/VCC</t>
        </is>
      </c>
      <c r="E415" s="2" t="inlineStr">
        <is>
          <t>Read</t>
        </is>
      </c>
      <c r="F415" s="2" t="inlineStr">
        <is>
          <t>null@null___NORMAL@DEFEITO___Custom_S_TS_SB</t>
        </is>
      </c>
      <c r="G415" s="2">
        <f>VLOOKUP(F415,'Message Mapping'!A:L,3,FALSE)</f>
        <v/>
      </c>
      <c r="H415" s="2">
        <f>VLOOKUP(F415,'Message Mapping'!A:L,4,FALSE)</f>
        <v/>
      </c>
      <c r="I415" s="2" t="n"/>
      <c r="J415" s="3">
        <f>VLOOKUP(F415,'Message Mapping'!A:L,12,FALSE)</f>
        <v/>
      </c>
      <c r="K415" s="3" t="n"/>
      <c r="L415" s="3" t="n"/>
      <c r="M415" s="3" t="n"/>
      <c r="N415" s="3" t="n"/>
      <c r="O415" s="3" t="n"/>
      <c r="P415" s="3" t="n"/>
    </row>
    <row r="416">
      <c r="A416" s="94" t="inlineStr">
        <is>
          <t>DRT1</t>
        </is>
      </c>
      <c r="B416" s="2" t="inlineStr">
        <is>
          <t>DEFEITO RELE MONITORAMENTO DE TEMPERATURA 1</t>
        </is>
      </c>
      <c r="C416" s="2" t="inlineStr">
        <is>
          <t>Custom</t>
        </is>
      </c>
      <c r="D416" s="2" t="inlineStr">
        <is>
          <t>FALHAS FCOM/VCA/VCC</t>
        </is>
      </c>
      <c r="E416" s="2" t="inlineStr">
        <is>
          <t>Read</t>
        </is>
      </c>
      <c r="F416" s="2" t="inlineStr">
        <is>
          <t>null@null___NORMAL@DEFEITO___Custom_S_TS_SB</t>
        </is>
      </c>
      <c r="G416" s="2">
        <f>VLOOKUP(F416,'Message Mapping'!A:L,3,FALSE)</f>
        <v/>
      </c>
      <c r="H416" s="2">
        <f>VLOOKUP(F416,'Message Mapping'!A:L,4,FALSE)</f>
        <v/>
      </c>
      <c r="I416" s="2" t="n"/>
      <c r="J416" s="3">
        <f>VLOOKUP(F416,'Message Mapping'!A:L,12,FALSE)</f>
        <v/>
      </c>
      <c r="K416" s="3" t="n"/>
      <c r="L416" s="3" t="n"/>
      <c r="M416" s="3" t="n"/>
      <c r="N416" s="3" t="n"/>
      <c r="O416" s="3" t="n"/>
      <c r="P416" s="3" t="n"/>
    </row>
    <row r="417">
      <c r="A417" s="94" t="inlineStr">
        <is>
          <t>DRT2</t>
        </is>
      </c>
      <c r="B417" s="2" t="inlineStr">
        <is>
          <t>DEFEITO RELE MONITORAMENTO DE TEMPERATURA 2</t>
        </is>
      </c>
      <c r="C417" s="2" t="inlineStr">
        <is>
          <t>Custom</t>
        </is>
      </c>
      <c r="D417" s="2" t="inlineStr">
        <is>
          <t>FALHAS FCOM/VCA/VCC</t>
        </is>
      </c>
      <c r="E417" s="2" t="inlineStr">
        <is>
          <t>Read</t>
        </is>
      </c>
      <c r="F417" s="2" t="inlineStr">
        <is>
          <t>null@null___NORMAL@DEFEITO___Custom_S_TS_SB</t>
        </is>
      </c>
      <c r="G417" s="2">
        <f>VLOOKUP(F417,'Message Mapping'!A:L,3,FALSE)</f>
        <v/>
      </c>
      <c r="H417" s="2">
        <f>VLOOKUP(F417,'Message Mapping'!A:L,4,FALSE)</f>
        <v/>
      </c>
      <c r="I417" s="2" t="n"/>
      <c r="J417" s="3">
        <f>VLOOKUP(F417,'Message Mapping'!A:L,12,FALSE)</f>
        <v/>
      </c>
      <c r="K417" s="3" t="n"/>
      <c r="L417" s="3" t="n"/>
      <c r="M417" s="3" t="n"/>
      <c r="N417" s="3" t="n"/>
      <c r="O417" s="3" t="n"/>
      <c r="P417" s="3" t="n"/>
    </row>
    <row r="418">
      <c r="A418" s="94" t="inlineStr">
        <is>
          <t>DRT3</t>
        </is>
      </c>
      <c r="B418" s="2" t="inlineStr">
        <is>
          <t>DEFEITO RELE MONITORAMENTO DE TEMPERATURA 3</t>
        </is>
      </c>
      <c r="C418" s="2" t="inlineStr">
        <is>
          <t>Custom</t>
        </is>
      </c>
      <c r="D418" s="2" t="inlineStr">
        <is>
          <t>FALHAS FCOM/VCA/VCC</t>
        </is>
      </c>
      <c r="E418" s="2" t="inlineStr">
        <is>
          <t>Read</t>
        </is>
      </c>
      <c r="F418" s="2" t="inlineStr">
        <is>
          <t>null@null___NORMAL@DEFEITO___Custom_S_TS_SB</t>
        </is>
      </c>
      <c r="G418" s="2">
        <f>VLOOKUP(F418,'Message Mapping'!A:L,3,FALSE)</f>
        <v/>
      </c>
      <c r="H418" s="2">
        <f>VLOOKUP(F418,'Message Mapping'!A:L,4,FALSE)</f>
        <v/>
      </c>
      <c r="I418" s="2" t="n"/>
      <c r="J418" s="3">
        <f>VLOOKUP(F418,'Message Mapping'!A:L,12,FALSE)</f>
        <v/>
      </c>
      <c r="K418" s="3" t="n"/>
      <c r="L418" s="3" t="n"/>
      <c r="M418" s="3" t="n"/>
      <c r="N418" s="3" t="n"/>
      <c r="O418" s="3" t="n"/>
      <c r="P418" s="3" t="n"/>
    </row>
    <row r="419">
      <c r="A419" s="94" t="inlineStr">
        <is>
          <t>DRTMAVR</t>
        </is>
      </c>
      <c r="B419" s="2" t="inlineStr">
        <is>
          <t>DEFEITO RELE MONITORAMENTO DE TEMPERATURA E AVR</t>
        </is>
      </c>
      <c r="C419" s="2" t="inlineStr">
        <is>
          <t>Custom</t>
        </is>
      </c>
      <c r="D419" s="2" t="inlineStr">
        <is>
          <t>FALHAS FCOM/VCA/VCC</t>
        </is>
      </c>
      <c r="E419" s="2" t="inlineStr">
        <is>
          <t>Read</t>
        </is>
      </c>
      <c r="F419" s="2" t="inlineStr">
        <is>
          <t>null@null___NORMAL@DEFEITO___Custom_S_TS_SB</t>
        </is>
      </c>
      <c r="G419" s="2">
        <f>VLOOKUP(F419,'Message Mapping'!A:L,3,FALSE)</f>
        <v/>
      </c>
      <c r="H419" s="2">
        <f>VLOOKUP(F419,'Message Mapping'!A:L,4,FALSE)</f>
        <v/>
      </c>
      <c r="I419" s="2" t="n"/>
      <c r="J419" s="3">
        <f>VLOOKUP(F419,'Message Mapping'!A:L,12,FALSE)</f>
        <v/>
      </c>
      <c r="K419" s="3" t="n"/>
      <c r="L419" s="3" t="n"/>
      <c r="M419" s="3" t="n"/>
      <c r="N419" s="3" t="n"/>
      <c r="O419" s="3" t="n"/>
      <c r="P419" s="3" t="n"/>
    </row>
    <row r="420">
      <c r="A420" s="94" t="inlineStr">
        <is>
          <t>DRPR</t>
        </is>
      </c>
      <c r="B420" s="2" t="inlineStr">
        <is>
          <t>DEFEITO RELE PRINCIPAL</t>
        </is>
      </c>
      <c r="C420" s="2" t="inlineStr">
        <is>
          <t>Custom</t>
        </is>
      </c>
      <c r="D420" s="2" t="inlineStr">
        <is>
          <t>FALHAS FCOM/VCA/VCC</t>
        </is>
      </c>
      <c r="E420" s="2" t="inlineStr">
        <is>
          <t>Read</t>
        </is>
      </c>
      <c r="F420" s="2" t="inlineStr">
        <is>
          <t>null@null___NORMAL@DEFEITO___Custom_S_TS_SB</t>
        </is>
      </c>
      <c r="G420" s="2">
        <f>VLOOKUP(F420,'Message Mapping'!A:L,3,FALSE)</f>
        <v/>
      </c>
      <c r="H420" s="2">
        <f>VLOOKUP(F420,'Message Mapping'!A:L,4,FALSE)</f>
        <v/>
      </c>
      <c r="I420" s="2" t="n"/>
      <c r="J420" s="3">
        <f>VLOOKUP(F420,'Message Mapping'!A:L,12,FALSE)</f>
        <v/>
      </c>
      <c r="K420" s="3" t="n"/>
      <c r="L420" s="3" t="n"/>
      <c r="M420" s="3" t="n"/>
      <c r="N420" s="3" t="n"/>
      <c r="O420" s="3" t="n"/>
      <c r="P420" s="3" t="n"/>
    </row>
    <row r="421">
      <c r="A421" s="94" t="inlineStr">
        <is>
          <t>DREL</t>
        </is>
      </c>
      <c r="B421" s="2" t="inlineStr">
        <is>
          <t>DEFEITO RELIGADOR</t>
        </is>
      </c>
      <c r="C421" s="2" t="inlineStr">
        <is>
          <t>Custom</t>
        </is>
      </c>
      <c r="D421" s="2" t="inlineStr">
        <is>
          <t>FALHAS FCOM/VCA/VCC</t>
        </is>
      </c>
      <c r="E421" s="2" t="inlineStr">
        <is>
          <t>Read</t>
        </is>
      </c>
      <c r="F421" s="2" t="inlineStr">
        <is>
          <t>null@null___NORMAL@DEFEITO___Custom_S_TS_SB</t>
        </is>
      </c>
      <c r="G421" s="2">
        <f>VLOOKUP(F421,'Message Mapping'!A:L,3,FALSE)</f>
        <v/>
      </c>
      <c r="H421" s="2">
        <f>VLOOKUP(F421,'Message Mapping'!A:L,4,FALSE)</f>
        <v/>
      </c>
      <c r="I421" s="2" t="n"/>
      <c r="J421" s="3">
        <f>VLOOKUP(F421,'Message Mapping'!A:L,12,FALSE)</f>
        <v/>
      </c>
      <c r="K421" s="3" t="n"/>
      <c r="L421" s="3" t="n"/>
      <c r="M421" s="3" t="n"/>
      <c r="N421" s="3" t="n"/>
      <c r="O421" s="3" t="n"/>
      <c r="P421" s="3" t="n"/>
    </row>
    <row r="422">
      <c r="A422" s="94" t="inlineStr">
        <is>
          <t>DRET</t>
        </is>
      </c>
      <c r="B422" s="2" t="inlineStr">
        <is>
          <t>DEFEITO RETIFICADOR</t>
        </is>
      </c>
      <c r="C422" s="2" t="inlineStr">
        <is>
          <t>Custom</t>
        </is>
      </c>
      <c r="D422" s="2" t="inlineStr">
        <is>
          <t>FALHAS FCOM/VCA/VCC</t>
        </is>
      </c>
      <c r="E422" s="2" t="inlineStr">
        <is>
          <t>Read</t>
        </is>
      </c>
      <c r="F422" s="2" t="inlineStr">
        <is>
          <t>null@null___NORMAL@DEFEITO___Custom_S_TS_SB</t>
        </is>
      </c>
      <c r="G422" s="2">
        <f>VLOOKUP(F422,'Message Mapping'!A:L,3,FALSE)</f>
        <v/>
      </c>
      <c r="H422" s="2">
        <f>VLOOKUP(F422,'Message Mapping'!A:L,4,FALSE)</f>
        <v/>
      </c>
      <c r="I422" s="2" t="n"/>
      <c r="J422" s="3">
        <f>VLOOKUP(F422,'Message Mapping'!A:L,12,FALSE)</f>
        <v/>
      </c>
      <c r="K422" s="3" t="n"/>
      <c r="L422" s="3" t="n"/>
      <c r="M422" s="3" t="n"/>
      <c r="N422" s="3" t="n"/>
      <c r="O422" s="3" t="n"/>
      <c r="P422" s="3" t="n"/>
    </row>
    <row r="423">
      <c r="A423" s="94" t="inlineStr">
        <is>
          <t>DSEC</t>
        </is>
      </c>
      <c r="B423" s="2" t="inlineStr">
        <is>
          <t>DEFEITO SECCIONADORA</t>
        </is>
      </c>
      <c r="C423" s="2" t="inlineStr">
        <is>
          <t>Custom</t>
        </is>
      </c>
      <c r="D423" s="2" t="inlineStr">
        <is>
          <t>FALHAS FCOM/VCA/VCC</t>
        </is>
      </c>
      <c r="E423" s="2" t="inlineStr">
        <is>
          <t>Read</t>
        </is>
      </c>
      <c r="F423" s="2" t="inlineStr">
        <is>
          <t>null@null___NORMAL@DEFEITO___Custom_S_TS_SB</t>
        </is>
      </c>
      <c r="G423" s="2">
        <f>VLOOKUP(F423,'Message Mapping'!A:L,3,FALSE)</f>
        <v/>
      </c>
      <c r="H423" s="2">
        <f>VLOOKUP(F423,'Message Mapping'!A:L,4,FALSE)</f>
        <v/>
      </c>
      <c r="I423" s="2" t="n"/>
      <c r="J423" s="3">
        <f>VLOOKUP(F423,'Message Mapping'!A:L,12,FALSE)</f>
        <v/>
      </c>
      <c r="K423" s="3" t="n"/>
      <c r="L423" s="3" t="n"/>
      <c r="M423" s="3" t="n"/>
      <c r="N423" s="3" t="n"/>
      <c r="O423" s="3" t="n"/>
      <c r="P423" s="3" t="n"/>
    </row>
    <row r="424" customFormat="1" s="103">
      <c r="A424" s="102" t="inlineStr">
        <is>
          <t>DSEX</t>
        </is>
      </c>
      <c r="B424" s="5" t="inlineStr">
        <is>
          <t>DEFEITO SENSOR EXTERNO</t>
        </is>
      </c>
      <c r="C424" s="5" t="inlineStr">
        <is>
          <t>Custom</t>
        </is>
      </c>
      <c r="D424" s="5" t="inlineStr">
        <is>
          <t>FALHAS FCOM/VCA/VCC</t>
        </is>
      </c>
      <c r="E424" s="5" t="inlineStr">
        <is>
          <t>Read</t>
        </is>
      </c>
      <c r="F424" s="5" t="inlineStr">
        <is>
          <t>null@null___NORMAL@DEFEITO___Custom_S_TS_SB</t>
        </is>
      </c>
      <c r="G424" s="5">
        <f>VLOOKUP(F424,'Message Mapping'!A:L,3,FALSE)</f>
        <v/>
      </c>
      <c r="H424" s="5">
        <f>VLOOKUP(F424,'Message Mapping'!A:L,4,FALSE)</f>
        <v/>
      </c>
      <c r="I424" s="5" t="n"/>
      <c r="J424" s="8">
        <f>VLOOKUP(F424,'Message Mapping'!A:L,12,FALSE)</f>
        <v/>
      </c>
      <c r="K424" s="8" t="n"/>
      <c r="L424" s="8" t="n"/>
      <c r="M424" s="8" t="n"/>
      <c r="N424" s="8" t="n"/>
      <c r="O424" s="8" t="n"/>
      <c r="P424" s="8" t="n"/>
    </row>
    <row r="425">
      <c r="A425" s="94" t="inlineStr">
        <is>
          <t>DSIM</t>
        </is>
      </c>
      <c r="B425" s="2" t="inlineStr">
        <is>
          <t>DEFEITO SIMULTANEO</t>
        </is>
      </c>
      <c r="C425" s="2" t="inlineStr">
        <is>
          <t>Custom</t>
        </is>
      </c>
      <c r="D425" s="2" t="inlineStr">
        <is>
          <t>FALHAS FCOM/VCA/VCC</t>
        </is>
      </c>
      <c r="E425" s="2" t="inlineStr">
        <is>
          <t>Read</t>
        </is>
      </c>
      <c r="F425" s="2" t="inlineStr">
        <is>
          <t>null@null___NORMAL@DEFEITO___Custom_S_TS_SB</t>
        </is>
      </c>
      <c r="G425" s="2">
        <f>VLOOKUP(F425,'Message Mapping'!A:L,3,FALSE)</f>
        <v/>
      </c>
      <c r="H425" s="2">
        <f>VLOOKUP(F425,'Message Mapping'!A:L,4,FALSE)</f>
        <v/>
      </c>
      <c r="I425" s="2" t="n"/>
      <c r="J425" s="3">
        <f>VLOOKUP(F425,'Message Mapping'!A:L,12,FALSE)</f>
        <v/>
      </c>
      <c r="K425" s="3" t="n"/>
      <c r="L425" s="3" t="n"/>
      <c r="M425" s="3" t="n"/>
      <c r="N425" s="3" t="n"/>
      <c r="O425" s="3" t="n"/>
      <c r="P425" s="3" t="n"/>
    </row>
    <row r="426">
      <c r="A426" s="94" t="inlineStr">
        <is>
          <t>DHT</t>
        </is>
      </c>
      <c r="B426" s="2" t="inlineStr">
        <is>
          <t>DHT - SECADOR DE SILICA</t>
        </is>
      </c>
      <c r="C426" s="2" t="inlineStr">
        <is>
          <t>Custom</t>
        </is>
      </c>
      <c r="D426" s="2" t="inlineStr">
        <is>
          <t>DEFEITOS</t>
        </is>
      </c>
      <c r="E426" s="2" t="inlineStr">
        <is>
          <t>Read</t>
        </is>
      </c>
      <c r="F426" s="2" t="inlineStr">
        <is>
          <t>null@null___NORMAL@ATUADO___Custom_S_TS_SI</t>
        </is>
      </c>
      <c r="G426" s="2">
        <f>VLOOKUP(F426,'Message Mapping'!A:L,3,FALSE)</f>
        <v/>
      </c>
      <c r="H426" s="2">
        <f>VLOOKUP(F426,'Message Mapping'!A:L,4,FALSE)</f>
        <v/>
      </c>
      <c r="I426" s="2" t="n"/>
      <c r="J426" s="3">
        <f>VLOOKUP(F426,'Message Mapping'!A:L,12,FALSE)</f>
        <v/>
      </c>
      <c r="K426" s="3" t="n"/>
      <c r="L426" s="3" t="n"/>
      <c r="M426" s="3" t="n"/>
      <c r="N426" s="3" t="n"/>
      <c r="O426" s="3" t="n"/>
      <c r="P426" s="3" t="n"/>
    </row>
    <row r="427">
      <c r="A427" s="94" t="inlineStr">
        <is>
          <t>DIAF</t>
        </is>
      </c>
      <c r="B427" s="2" t="inlineStr">
        <is>
          <t>DIAFRAGMA TRANSFORMADOR</t>
        </is>
      </c>
      <c r="C427" s="2" t="inlineStr">
        <is>
          <t>Custom</t>
        </is>
      </c>
      <c r="D427" s="2" t="inlineStr">
        <is>
          <t>DEFEITOS</t>
        </is>
      </c>
      <c r="E427" s="2" t="inlineStr">
        <is>
          <t>Read</t>
        </is>
      </c>
      <c r="F427" s="2" t="inlineStr">
        <is>
          <t>null@null___NORMAL@ATUADO___Custom_S_TS_SI</t>
        </is>
      </c>
      <c r="G427" s="2">
        <f>VLOOKUP(F427,'Message Mapping'!A:L,3,FALSE)</f>
        <v/>
      </c>
      <c r="H427" s="2">
        <f>VLOOKUP(F427,'Message Mapping'!A:L,4,FALSE)</f>
        <v/>
      </c>
      <c r="I427" s="2" t="n"/>
      <c r="J427" s="3">
        <f>VLOOKUP(F427,'Message Mapping'!A:L,12,FALSE)</f>
        <v/>
      </c>
      <c r="K427" s="3" t="n"/>
      <c r="L427" s="3" t="n"/>
      <c r="M427" s="3" t="n"/>
      <c r="N427" s="3" t="n"/>
      <c r="O427" s="3" t="n"/>
      <c r="P427" s="3" t="n"/>
    </row>
    <row r="428">
      <c r="A428" s="94" t="inlineStr">
        <is>
          <t>DJA1</t>
        </is>
      </c>
      <c r="B428" s="2" t="inlineStr">
        <is>
          <t>DISJUNTOR NA</t>
        </is>
      </c>
      <c r="C428" s="2" t="inlineStr">
        <is>
          <t>SwitchStatus</t>
        </is>
      </c>
      <c r="D428" s="2" t="inlineStr">
        <is>
          <t>DJ</t>
        </is>
      </c>
      <c r="E428" s="2" t="inlineStr">
        <is>
          <t>Read</t>
        </is>
      </c>
      <c r="F428" s="2" t="inlineStr">
        <is>
          <t>DESLIGAR@LIGAR___DESLIGADO@LIGADO___SwitchStatus_D_TS_SE</t>
        </is>
      </c>
      <c r="G428" s="2">
        <f>VLOOKUP(F428,'Message Mapping'!A:L,3,FALSE)</f>
        <v/>
      </c>
      <c r="H428" s="2">
        <f>VLOOKUP(F428,'Message Mapping'!A:L,4,FALSE)</f>
        <v/>
      </c>
      <c r="I428" s="2" t="n"/>
      <c r="J428" s="3">
        <f>VLOOKUP(F428,'Message Mapping'!A:L,12,FALSE)</f>
        <v/>
      </c>
      <c r="K428" s="3" t="inlineStr">
        <is>
          <t>Usado para indicar o estado do retificador.</t>
        </is>
      </c>
      <c r="L428" s="3" t="n"/>
      <c r="M428" s="3" t="n"/>
      <c r="N428" s="3" t="n"/>
      <c r="O428" s="3" t="n"/>
      <c r="P428" s="3" t="n"/>
    </row>
    <row r="429">
      <c r="A429" s="94" t="inlineStr">
        <is>
          <t>DJA1</t>
        </is>
      </c>
      <c r="B429" s="2" t="inlineStr">
        <is>
          <t>DISJUNTOR NA</t>
        </is>
      </c>
      <c r="C429" s="2" t="inlineStr">
        <is>
          <t>SwitchStatus</t>
        </is>
      </c>
      <c r="D429" s="2" t="inlineStr">
        <is>
          <t>DJ</t>
        </is>
      </c>
      <c r="E429" s="2" t="inlineStr">
        <is>
          <t>ReadWrite</t>
        </is>
      </c>
      <c r="F429" s="2" t="inlineStr">
        <is>
          <t>DESLIGAR@LIGAR___DESLIGADO@LIGADO___SwitchStatus_D_TC_SE</t>
        </is>
      </c>
      <c r="G429" s="2">
        <f>VLOOKUP(F429,'Message Mapping'!A:L,3,FALSE)</f>
        <v/>
      </c>
      <c r="H429" s="2">
        <f>VLOOKUP(F429,'Message Mapping'!A:L,4,FALSE)</f>
        <v/>
      </c>
      <c r="I429" s="2" t="n"/>
      <c r="J429" s="3">
        <f>VLOOKUP(F429,'Message Mapping'!A:L,12,FALSE)</f>
        <v/>
      </c>
      <c r="K429" s="3" t="n"/>
      <c r="L429" s="3" t="n"/>
      <c r="M429" s="3" t="n"/>
      <c r="N429" s="3" t="n"/>
      <c r="O429" s="3" t="n"/>
      <c r="P429" s="3" t="n"/>
    </row>
    <row r="430">
      <c r="A430" s="94" t="inlineStr">
        <is>
          <t>DJF1</t>
        </is>
      </c>
      <c r="B430" s="2" t="inlineStr">
        <is>
          <t>DISJUNTOR NF (LIGADO/DESLIGADO/ABERTO/FECHADO)</t>
        </is>
      </c>
      <c r="C430" s="2" t="inlineStr">
        <is>
          <t>SwitchStatus</t>
        </is>
      </c>
      <c r="D430" s="2" t="inlineStr">
        <is>
          <t>DJ</t>
        </is>
      </c>
      <c r="E430" s="2" t="inlineStr">
        <is>
          <t>Read</t>
        </is>
      </c>
      <c r="F430" s="2" t="inlineStr">
        <is>
          <t>DESLIGAR@LIGAR___DESLIGADO@LIGADO___SwitchStatus_D_TS_SE</t>
        </is>
      </c>
      <c r="G430" s="2">
        <f>VLOOKUP(F430,'Message Mapping'!A:L,3,FALSE)</f>
        <v/>
      </c>
      <c r="H430" s="2">
        <f>VLOOKUP(F430,'Message Mapping'!A:L,4,FALSE)</f>
        <v/>
      </c>
      <c r="I430" s="2" t="n"/>
      <c r="J430" s="3">
        <f>VLOOKUP(F430,'Message Mapping'!A:L,12,FALSE)</f>
        <v/>
      </c>
      <c r="K430" s="3" t="n"/>
      <c r="L430" s="3" t="n"/>
      <c r="M430" s="3" t="n"/>
      <c r="N430" s="3" t="n"/>
      <c r="O430" s="3" t="n"/>
      <c r="P430" s="3" t="n"/>
    </row>
    <row r="431">
      <c r="A431" s="94" t="inlineStr">
        <is>
          <t>DJF1</t>
        </is>
      </c>
      <c r="B431" s="2" t="inlineStr">
        <is>
          <t>DISJUNTOR NF</t>
        </is>
      </c>
      <c r="C431" s="2" t="inlineStr">
        <is>
          <t>SwitchStatus</t>
        </is>
      </c>
      <c r="D431" s="2" t="inlineStr">
        <is>
          <t>DJ</t>
        </is>
      </c>
      <c r="E431" s="2" t="inlineStr">
        <is>
          <t>ReadWrite</t>
        </is>
      </c>
      <c r="F431" s="2" t="inlineStr">
        <is>
          <t>DESLIGAR@LIGAR___DESLIGADO@LIGADO___SwitchStatus_D_TC_SE</t>
        </is>
      </c>
      <c r="G431" s="2">
        <f>VLOOKUP(F431,'Message Mapping'!A:L,3,FALSE)</f>
        <v/>
      </c>
      <c r="H431" s="2">
        <f>VLOOKUP(F431,'Message Mapping'!A:L,4,FALSE)</f>
        <v/>
      </c>
      <c r="I431" s="2" t="n"/>
      <c r="J431" s="3">
        <f>VLOOKUP(F431,'Message Mapping'!A:L,12,FALSE)</f>
        <v/>
      </c>
      <c r="K431" s="3" t="n"/>
      <c r="L431" s="3" t="n"/>
      <c r="M431" s="3" t="n"/>
      <c r="N431" s="3" t="n"/>
      <c r="O431" s="3" t="n"/>
      <c r="P431" s="3" t="n"/>
    </row>
    <row r="432">
      <c r="A432" s="94" t="inlineStr">
        <is>
          <t>EST</t>
        </is>
      </c>
      <c r="B432" s="2" t="inlineStr">
        <is>
          <t>ESTADO EQUIPAMENTO</t>
        </is>
      </c>
      <c r="C432" s="2" t="inlineStr">
        <is>
          <t>Custom</t>
        </is>
      </c>
      <c r="D432" s="2" t="inlineStr">
        <is>
          <t>FALHAS FCOM/VCA/VCC</t>
        </is>
      </c>
      <c r="E432" s="2" t="inlineStr">
        <is>
          <t>Read</t>
        </is>
      </c>
      <c r="F432" s="2" t="inlineStr">
        <is>
          <t>DESLIGAR@LIGAR___DESLIGADO@LIGADO___Custom_S_TS_SB</t>
        </is>
      </c>
      <c r="G432" s="2">
        <f>VLOOKUP(F432,'Message Mapping'!A:L,3,FALSE)</f>
        <v/>
      </c>
      <c r="H432" s="2">
        <f>VLOOKUP(F432,'Message Mapping'!A:L,4,FALSE)</f>
        <v/>
      </c>
      <c r="I432" s="2" t="n"/>
      <c r="J432" s="3">
        <f>VLOOKUP(F432,'Message Mapping'!A:L,12,FALSE)</f>
        <v/>
      </c>
      <c r="K432" s="3" t="n"/>
      <c r="L432" s="3" t="n"/>
      <c r="M432" s="3" t="n"/>
      <c r="N432" s="3" t="n"/>
      <c r="O432" s="3" t="n"/>
      <c r="P432" s="3" t="n"/>
    </row>
    <row r="433">
      <c r="A433" s="94" t="inlineStr">
        <is>
          <t>FLAF</t>
        </is>
      </c>
      <c r="B433" s="2" t="inlineStr">
        <is>
          <t>FALHA ABERTURA OU FECHAMENTO</t>
        </is>
      </c>
      <c r="C433" s="2" t="inlineStr">
        <is>
          <t>Custom</t>
        </is>
      </c>
      <c r="D433" s="2" t="inlineStr">
        <is>
          <t>DEFEITOS</t>
        </is>
      </c>
      <c r="E433" s="2" t="inlineStr">
        <is>
          <t>Read</t>
        </is>
      </c>
      <c r="F433" s="2" t="inlineStr">
        <is>
          <t>null@null___NORMAL@FALHA___Custom_S_TS_SI</t>
        </is>
      </c>
      <c r="G433" s="2">
        <f>VLOOKUP(F433,'Message Mapping'!A:L,3,FALSE)</f>
        <v/>
      </c>
      <c r="H433" s="2">
        <f>VLOOKUP(F433,'Message Mapping'!A:L,4,FALSE)</f>
        <v/>
      </c>
      <c r="I433" s="2" t="n"/>
      <c r="J433" s="3">
        <f>VLOOKUP(F433,'Message Mapping'!A:L,12,FALSE)</f>
        <v/>
      </c>
      <c r="K433" s="3" t="n"/>
      <c r="L433" s="3" t="n"/>
      <c r="M433" s="3" t="n"/>
      <c r="N433" s="3" t="n"/>
      <c r="O433" s="3" t="n"/>
      <c r="P433" s="3" t="n"/>
    </row>
    <row r="434">
      <c r="A434" s="99" t="inlineStr">
        <is>
          <t>OLFL</t>
        </is>
      </c>
      <c r="B434" s="2" t="inlineStr">
        <is>
          <t>FALHA FLUXO DE OLEO BOMBA</t>
        </is>
      </c>
      <c r="C434" s="2" t="inlineStr">
        <is>
          <t>Custom</t>
        </is>
      </c>
      <c r="D434" s="2" t="inlineStr">
        <is>
          <t>DEFEITOS</t>
        </is>
      </c>
      <c r="E434" s="2" t="inlineStr">
        <is>
          <t>Read</t>
        </is>
      </c>
      <c r="F434" s="2" t="inlineStr">
        <is>
          <t>null@null___NORMAL@FALHA___Custom_S_TS_SI</t>
        </is>
      </c>
      <c r="G434" s="2">
        <f>VLOOKUP(F434,'Message Mapping'!A:L,3,FALSE)</f>
        <v/>
      </c>
      <c r="H434" s="2">
        <f>VLOOKUP(F434,'Message Mapping'!A:L,4,FALSE)</f>
        <v/>
      </c>
      <c r="I434" s="2" t="n"/>
      <c r="J434" s="3">
        <f>VLOOKUP(F434,'Message Mapping'!A:L,12,FALSE)</f>
        <v/>
      </c>
      <c r="K434" s="3" t="n"/>
      <c r="L434" s="3" t="n"/>
      <c r="M434" s="3" t="n"/>
      <c r="N434" s="3" t="n"/>
      <c r="O434" s="3" t="n"/>
      <c r="P434" s="3" t="n"/>
    </row>
    <row r="435">
      <c r="A435" s="99" t="inlineStr">
        <is>
          <t>BBFL</t>
        </is>
      </c>
      <c r="B435" s="2" t="inlineStr">
        <is>
          <t>FALHA BOMBAS OLEO</t>
        </is>
      </c>
      <c r="C435" s="2" t="inlineStr">
        <is>
          <t>Custom</t>
        </is>
      </c>
      <c r="D435" s="2" t="inlineStr">
        <is>
          <t>DEFEITOS</t>
        </is>
      </c>
      <c r="E435" s="2" t="inlineStr">
        <is>
          <t>Read</t>
        </is>
      </c>
      <c r="F435" s="2" t="inlineStr">
        <is>
          <t>null@null___NORMAL@FALHA___Custom_S_TS_SI</t>
        </is>
      </c>
      <c r="G435" s="2">
        <f>VLOOKUP(F435,'Message Mapping'!A:L,3,FALSE)</f>
        <v/>
      </c>
      <c r="H435" s="2">
        <f>VLOOKUP(F435,'Message Mapping'!A:L,4,FALSE)</f>
        <v/>
      </c>
      <c r="I435" s="2" t="n"/>
      <c r="J435" s="3">
        <f>VLOOKUP(F435,'Message Mapping'!A:L,12,FALSE)</f>
        <v/>
      </c>
      <c r="K435" s="3" t="n"/>
      <c r="L435" s="3" t="n"/>
      <c r="M435" s="3" t="n"/>
      <c r="N435" s="3" t="n"/>
      <c r="O435" s="3" t="n"/>
      <c r="P435" s="3" t="n"/>
    </row>
    <row r="436">
      <c r="A436" s="94" t="inlineStr">
        <is>
          <t>BPBR</t>
        </is>
      </c>
      <c r="B436" s="2" t="inlineStr">
        <is>
          <t>BLOQUEIO PROTECAO DE BARRA</t>
        </is>
      </c>
      <c r="C436" s="2" t="inlineStr">
        <is>
          <t>Custom</t>
        </is>
      </c>
      <c r="D436" s="2" t="inlineStr">
        <is>
          <t>PROT</t>
        </is>
      </c>
      <c r="E436" s="2" t="inlineStr">
        <is>
          <t>Read</t>
        </is>
      </c>
      <c r="F436" s="2" t="inlineStr">
        <is>
          <t>null@null___NORMAL@ATUADO___Custom_S_TS_SA</t>
        </is>
      </c>
      <c r="G436" s="2">
        <f>VLOOKUP(F436,'Message Mapping'!A:L,3,FALSE)</f>
        <v/>
      </c>
      <c r="H436" s="2">
        <f>VLOOKUP(F436,'Message Mapping'!A:L,4,FALSE)</f>
        <v/>
      </c>
      <c r="I436" s="2" t="n"/>
      <c r="J436" s="3">
        <f>VLOOKUP(F436,'Message Mapping'!A:L,12,FALSE)</f>
        <v/>
      </c>
      <c r="K436" s="3" t="n"/>
      <c r="L436" s="3" t="n"/>
      <c r="M436" s="3" t="n"/>
      <c r="N436" s="3" t="n"/>
      <c r="O436" s="3" t="n"/>
      <c r="P436" s="3" t="n"/>
    </row>
    <row r="437">
      <c r="A437" s="94" t="inlineStr">
        <is>
          <t>CDFL</t>
        </is>
      </c>
      <c r="B437" s="2" t="inlineStr">
        <is>
          <t>FALHA CDC</t>
        </is>
      </c>
      <c r="C437" s="2" t="inlineStr">
        <is>
          <t>Custom</t>
        </is>
      </c>
      <c r="D437" s="2" t="inlineStr">
        <is>
          <t>DEFEITOS</t>
        </is>
      </c>
      <c r="E437" s="2" t="inlineStr">
        <is>
          <t>Read</t>
        </is>
      </c>
      <c r="F437" s="2" t="inlineStr">
        <is>
          <t>null@null___NORMAL@FALHA___Custom_S_TS_SI</t>
        </is>
      </c>
      <c r="G437" s="2">
        <f>VLOOKUP(F437,'Message Mapping'!A:L,3,FALSE)</f>
        <v/>
      </c>
      <c r="H437" s="2">
        <f>VLOOKUP(F437,'Message Mapping'!A:L,4,FALSE)</f>
        <v/>
      </c>
      <c r="I437" s="2" t="n"/>
      <c r="J437" s="3">
        <f>VLOOKUP(F437,'Message Mapping'!A:L,12,FALSE)</f>
        <v/>
      </c>
      <c r="K437" s="3" t="n"/>
      <c r="L437" s="3" t="n"/>
      <c r="M437" s="3" t="n"/>
      <c r="N437" s="3" t="n"/>
      <c r="O437" s="3" t="n"/>
      <c r="P437" s="3" t="n"/>
    </row>
    <row r="438">
      <c r="A438" s="94" t="inlineStr">
        <is>
          <t>FCOM</t>
        </is>
      </c>
      <c r="B438" s="2" t="inlineStr">
        <is>
          <t>FALHA COMUNICACAO</t>
        </is>
      </c>
      <c r="C438" s="2" t="inlineStr">
        <is>
          <t>Custom</t>
        </is>
      </c>
      <c r="D438" s="2" t="inlineStr">
        <is>
          <t>FALHAS FCOM/VCA/VCC</t>
        </is>
      </c>
      <c r="E438" s="2" t="inlineStr">
        <is>
          <t>Read</t>
        </is>
      </c>
      <c r="F438" s="2" t="inlineStr">
        <is>
          <t>null@null___NORMAL@FALHA___Custom_S_TS_SB</t>
        </is>
      </c>
      <c r="G438" s="2">
        <f>VLOOKUP(F438,'Message Mapping'!A:L,3,FALSE)</f>
        <v/>
      </c>
      <c r="H438" s="2">
        <f>VLOOKUP(F438,'Message Mapping'!A:L,4,FALSE)</f>
        <v/>
      </c>
      <c r="I438" s="2" t="n"/>
      <c r="J438" s="3">
        <f>VLOOKUP(F438,'Message Mapping'!A:L,12,FALSE)</f>
        <v/>
      </c>
      <c r="K438" s="3" t="n"/>
      <c r="L438" s="3" t="n"/>
      <c r="M438" s="3" t="n"/>
      <c r="N438" s="3" t="n"/>
      <c r="O438" s="3" t="n"/>
      <c r="P438" s="3" t="n"/>
    </row>
    <row r="439">
      <c r="A439" s="94" t="inlineStr">
        <is>
          <t>FCAV</t>
        </is>
      </c>
      <c r="B439" s="2" t="inlineStr">
        <is>
          <t>FALHA COMUNICACAO AVR RELE 90</t>
        </is>
      </c>
      <c r="C439" s="2" t="inlineStr">
        <is>
          <t>Custom</t>
        </is>
      </c>
      <c r="D439" s="2" t="inlineStr">
        <is>
          <t>FALHAS FCOM/VCA/VCC</t>
        </is>
      </c>
      <c r="E439" s="2" t="inlineStr">
        <is>
          <t>Read</t>
        </is>
      </c>
      <c r="F439" s="2" t="inlineStr">
        <is>
          <t>null@null___NORMAL@FALHA___Custom_S_TS_SB</t>
        </is>
      </c>
      <c r="G439" s="2">
        <f>VLOOKUP(F439,'Message Mapping'!A:L,3,FALSE)</f>
        <v/>
      </c>
      <c r="H439" s="2">
        <f>VLOOKUP(F439,'Message Mapping'!A:L,4,FALSE)</f>
        <v/>
      </c>
      <c r="I439" s="2" t="n"/>
      <c r="J439" s="3">
        <f>VLOOKUP(F439,'Message Mapping'!A:L,12,FALSE)</f>
        <v/>
      </c>
      <c r="K439" s="3" t="n"/>
      <c r="L439" s="3" t="n"/>
      <c r="M439" s="3" t="n"/>
      <c r="N439" s="3" t="n"/>
      <c r="O439" s="3" t="n"/>
      <c r="P439" s="3" t="n"/>
    </row>
    <row r="440">
      <c r="A440" s="94" t="inlineStr">
        <is>
          <t>FCPR</t>
        </is>
      </c>
      <c r="B440" s="2" t="inlineStr">
        <is>
          <t>FALHA COMUNICACAO PARALELISMO INTERNO</t>
        </is>
      </c>
      <c r="C440" s="2" t="inlineStr">
        <is>
          <t>Custom</t>
        </is>
      </c>
      <c r="D440" s="2" t="inlineStr">
        <is>
          <t>FALHAS FCOM/VCA/VCC</t>
        </is>
      </c>
      <c r="E440" s="2" t="inlineStr">
        <is>
          <t>Read</t>
        </is>
      </c>
      <c r="F440" s="2" t="inlineStr">
        <is>
          <t>null@null___NORMAL@FALHA___Custom_S_TS_SB</t>
        </is>
      </c>
      <c r="G440" s="2">
        <f>VLOOKUP(F440,'Message Mapping'!A:L,3,FALSE)</f>
        <v/>
      </c>
      <c r="H440" s="2">
        <f>VLOOKUP(F440,'Message Mapping'!A:L,4,FALSE)</f>
        <v/>
      </c>
      <c r="I440" s="2" t="n"/>
      <c r="J440" s="3">
        <f>VLOOKUP(F440,'Message Mapping'!A:L,12,FALSE)</f>
        <v/>
      </c>
      <c r="K440" s="3" t="n"/>
      <c r="L440" s="3" t="n"/>
      <c r="M440" s="3" t="n"/>
      <c r="N440" s="3" t="n"/>
      <c r="O440" s="3" t="n"/>
      <c r="P440" s="3" t="n"/>
    </row>
    <row r="441">
      <c r="A441" s="94" t="inlineStr">
        <is>
          <t>FC21</t>
        </is>
      </c>
      <c r="B441" s="2" t="inlineStr">
        <is>
          <t>FALHA COMUNICACAO RELE 21</t>
        </is>
      </c>
      <c r="C441" s="2" t="inlineStr">
        <is>
          <t>Custom</t>
        </is>
      </c>
      <c r="D441" s="2" t="inlineStr">
        <is>
          <t>FALHAS FCOM/VCA/VCC</t>
        </is>
      </c>
      <c r="E441" s="2" t="inlineStr">
        <is>
          <t>Read</t>
        </is>
      </c>
      <c r="F441" s="2" t="inlineStr">
        <is>
          <t>null@null___NORMAL@FALHA___Custom_S_TS_SB</t>
        </is>
      </c>
      <c r="G441" s="2">
        <f>VLOOKUP(F441,'Message Mapping'!A:L,3,FALSE)</f>
        <v/>
      </c>
      <c r="H441" s="2">
        <f>VLOOKUP(F441,'Message Mapping'!A:L,4,FALSE)</f>
        <v/>
      </c>
      <c r="I441" s="2" t="n"/>
      <c r="J441" s="3">
        <f>VLOOKUP(F441,'Message Mapping'!A:L,12,FALSE)</f>
        <v/>
      </c>
      <c r="K441" s="3" t="n"/>
      <c r="L441" s="3" t="n"/>
      <c r="M441" s="3" t="n"/>
      <c r="N441" s="3" t="n"/>
      <c r="O441" s="3" t="n"/>
      <c r="P441" s="3" t="n"/>
    </row>
    <row r="442">
      <c r="A442" s="94" t="inlineStr">
        <is>
          <t>FC14</t>
        </is>
      </c>
      <c r="B442" s="2" t="inlineStr">
        <is>
          <t>FALHA COMUNICACAO RELE 2414</t>
        </is>
      </c>
      <c r="C442" s="2" t="inlineStr">
        <is>
          <t>Custom</t>
        </is>
      </c>
      <c r="D442" s="2" t="inlineStr">
        <is>
          <t>FALHAS FCOM/VCA/VCC</t>
        </is>
      </c>
      <c r="E442" s="2" t="inlineStr">
        <is>
          <t>Read</t>
        </is>
      </c>
      <c r="F442" s="2" t="inlineStr">
        <is>
          <t>null@null___NORMAL@FALHA___Custom_S_TS_SB</t>
        </is>
      </c>
      <c r="G442" s="2">
        <f>VLOOKUP(F442,'Message Mapping'!A:L,3,FALSE)</f>
        <v/>
      </c>
      <c r="H442" s="2">
        <f>VLOOKUP(F442,'Message Mapping'!A:L,4,FALSE)</f>
        <v/>
      </c>
      <c r="I442" s="2" t="n"/>
      <c r="J442" s="3">
        <f>VLOOKUP(F442,'Message Mapping'!A:L,12,FALSE)</f>
        <v/>
      </c>
      <c r="K442" s="3" t="n"/>
      <c r="L442" s="3" t="n"/>
      <c r="M442" s="3" t="n"/>
      <c r="N442" s="3" t="n"/>
      <c r="O442" s="3" t="n"/>
      <c r="P442" s="3" t="n"/>
    </row>
    <row r="443">
      <c r="A443" s="94" t="inlineStr">
        <is>
          <t>FC25</t>
        </is>
      </c>
      <c r="B443" s="2" t="inlineStr">
        <is>
          <t>FALHA COMUNICACAO RELE 25</t>
        </is>
      </c>
      <c r="C443" s="2" t="inlineStr">
        <is>
          <t>Custom</t>
        </is>
      </c>
      <c r="D443" s="2" t="inlineStr">
        <is>
          <t>FALHAS FCOM/VCA/VCC</t>
        </is>
      </c>
      <c r="E443" s="2" t="inlineStr">
        <is>
          <t>Read</t>
        </is>
      </c>
      <c r="F443" s="2" t="inlineStr">
        <is>
          <t>null@null___NORMAL@FALHA___Custom_S_TS_SB</t>
        </is>
      </c>
      <c r="G443" s="2">
        <f>VLOOKUP(F443,'Message Mapping'!A:L,3,FALSE)</f>
        <v/>
      </c>
      <c r="H443" s="2">
        <f>VLOOKUP(F443,'Message Mapping'!A:L,4,FALSE)</f>
        <v/>
      </c>
      <c r="I443" s="2" t="n"/>
      <c r="J443" s="3">
        <f>VLOOKUP(F443,'Message Mapping'!A:L,12,FALSE)</f>
        <v/>
      </c>
      <c r="K443" s="3" t="n"/>
      <c r="L443" s="3" t="n"/>
      <c r="M443" s="3" t="n"/>
      <c r="N443" s="3" t="n"/>
      <c r="O443" s="3" t="n"/>
      <c r="P443" s="3" t="n"/>
    </row>
    <row r="444">
      <c r="A444" s="94" t="inlineStr">
        <is>
          <t>FC67</t>
        </is>
      </c>
      <c r="B444" s="2" t="inlineStr">
        <is>
          <t>FALHA COMUNICACAO RELE 67</t>
        </is>
      </c>
      <c r="C444" s="2" t="inlineStr">
        <is>
          <t>Custom</t>
        </is>
      </c>
      <c r="D444" s="2" t="inlineStr">
        <is>
          <t>FALHAS FCOM/VCA/VCC</t>
        </is>
      </c>
      <c r="E444" s="2" t="inlineStr">
        <is>
          <t>Read</t>
        </is>
      </c>
      <c r="F444" s="2" t="inlineStr">
        <is>
          <t>null@null___NORMAL@FALHA___Custom_S_TS_SB</t>
        </is>
      </c>
      <c r="G444" s="2">
        <f>VLOOKUP(F444,'Message Mapping'!A:L,3,FALSE)</f>
        <v/>
      </c>
      <c r="H444" s="2">
        <f>VLOOKUP(F444,'Message Mapping'!A:L,4,FALSE)</f>
        <v/>
      </c>
      <c r="I444" s="2" t="n"/>
      <c r="J444" s="3">
        <f>VLOOKUP(F444,'Message Mapping'!A:L,12,FALSE)</f>
        <v/>
      </c>
      <c r="K444" s="3" t="n"/>
      <c r="L444" s="3" t="n"/>
      <c r="M444" s="3" t="n"/>
      <c r="N444" s="3" t="n"/>
      <c r="O444" s="3" t="n"/>
      <c r="P444" s="3" t="n"/>
    </row>
    <row r="445">
      <c r="A445" s="94" t="inlineStr">
        <is>
          <t>FC87</t>
        </is>
      </c>
      <c r="B445" s="2" t="inlineStr">
        <is>
          <t>FALHA COMUNICACAO RELE 87</t>
        </is>
      </c>
      <c r="C445" s="2" t="inlineStr">
        <is>
          <t>Custom</t>
        </is>
      </c>
      <c r="D445" s="2" t="inlineStr">
        <is>
          <t>FALHAS FCOM/VCA/VCC</t>
        </is>
      </c>
      <c r="E445" s="2" t="inlineStr">
        <is>
          <t>Read</t>
        </is>
      </c>
      <c r="F445" s="2" t="inlineStr">
        <is>
          <t>null@null___NORMAL@FALHA___Custom_S_TS_SB</t>
        </is>
      </c>
      <c r="G445" s="2">
        <f>VLOOKUP(F445,'Message Mapping'!A:L,3,FALSE)</f>
        <v/>
      </c>
      <c r="H445" s="2">
        <f>VLOOKUP(F445,'Message Mapping'!A:L,4,FALSE)</f>
        <v/>
      </c>
      <c r="I445" s="2" t="n"/>
      <c r="J445" s="3">
        <f>VLOOKUP(F445,'Message Mapping'!A:L,12,FALSE)</f>
        <v/>
      </c>
      <c r="K445" s="3" t="n"/>
      <c r="L445" s="3" t="n"/>
      <c r="M445" s="3" t="n"/>
      <c r="N445" s="3" t="n"/>
      <c r="O445" s="3" t="n"/>
      <c r="P445" s="3" t="n"/>
    </row>
    <row r="446">
      <c r="A446" s="94" t="inlineStr">
        <is>
          <t>FC90</t>
        </is>
      </c>
      <c r="B446" s="2" t="inlineStr">
        <is>
          <t>FALHA COMUNICACAO RELE 90</t>
        </is>
      </c>
      <c r="C446" s="2" t="inlineStr">
        <is>
          <t>Custom</t>
        </is>
      </c>
      <c r="D446" s="2" t="inlineStr">
        <is>
          <t>FALHAS FCOM/VCA/VCC</t>
        </is>
      </c>
      <c r="E446" s="2" t="inlineStr">
        <is>
          <t>Read</t>
        </is>
      </c>
      <c r="F446" s="2" t="inlineStr">
        <is>
          <t>null@null___NORMAL@FALHA___Custom_S_TS_SB</t>
        </is>
      </c>
      <c r="G446" s="2">
        <f>VLOOKUP(F446,'Message Mapping'!A:L,3,FALSE)</f>
        <v/>
      </c>
      <c r="H446" s="2">
        <f>VLOOKUP(F446,'Message Mapping'!A:L,4,FALSE)</f>
        <v/>
      </c>
      <c r="I446" s="2" t="n"/>
      <c r="J446" s="3">
        <f>VLOOKUP(F446,'Message Mapping'!A:L,12,FALSE)</f>
        <v/>
      </c>
      <c r="K446" s="3" t="n"/>
      <c r="L446" s="3" t="n"/>
      <c r="M446" s="3" t="n"/>
      <c r="N446" s="3" t="n"/>
      <c r="O446" s="3" t="n"/>
      <c r="P446" s="3" t="n"/>
    </row>
    <row r="447">
      <c r="A447" s="94" t="inlineStr">
        <is>
          <t>FCRC</t>
        </is>
      </c>
      <c r="B447" s="2" t="inlineStr">
        <is>
          <t>FALHA COMUNICACAO RELE CONTROLE</t>
        </is>
      </c>
      <c r="C447" s="2" t="inlineStr">
        <is>
          <t>Custom</t>
        </is>
      </c>
      <c r="D447" s="2" t="inlineStr">
        <is>
          <t>FALHAS FCOM/VCA/VCC</t>
        </is>
      </c>
      <c r="E447" s="2" t="inlineStr">
        <is>
          <t>Read</t>
        </is>
      </c>
      <c r="F447" s="2" t="inlineStr">
        <is>
          <t>null@null___NORMAL@FALHA___Custom_S_TS_SB</t>
        </is>
      </c>
      <c r="G447" s="2">
        <f>VLOOKUP(F447,'Message Mapping'!A:L,3,FALSE)</f>
        <v/>
      </c>
      <c r="H447" s="2">
        <f>VLOOKUP(F447,'Message Mapping'!A:L,4,FALSE)</f>
        <v/>
      </c>
      <c r="I447" s="2" t="n"/>
      <c r="J447" s="3">
        <f>VLOOKUP(F447,'Message Mapping'!A:L,12,FALSE)</f>
        <v/>
      </c>
      <c r="K447" s="3" t="n"/>
      <c r="L447" s="3" t="n"/>
      <c r="M447" s="3" t="n"/>
      <c r="N447" s="3" t="n"/>
      <c r="O447" s="3" t="n"/>
      <c r="P447" s="3" t="n"/>
    </row>
    <row r="448">
      <c r="A448" s="94" t="inlineStr">
        <is>
          <t>FCTM</t>
        </is>
      </c>
      <c r="B448" s="2" t="inlineStr">
        <is>
          <t>FALHA COMUNICACAO RELE MONITORAMENTO DE TEMPERATURA</t>
        </is>
      </c>
      <c r="C448" s="2" t="inlineStr">
        <is>
          <t>Custom</t>
        </is>
      </c>
      <c r="D448" s="2" t="inlineStr">
        <is>
          <t>FALHAS FCOM/VCA/VCC</t>
        </is>
      </c>
      <c r="E448" s="2" t="inlineStr">
        <is>
          <t>Read</t>
        </is>
      </c>
      <c r="F448" s="2" t="inlineStr">
        <is>
          <t>null@null___NORMAL@FALHA___Custom_S_TS_SB</t>
        </is>
      </c>
      <c r="G448" s="2">
        <f>VLOOKUP(F448,'Message Mapping'!A:L,3,FALSE)</f>
        <v/>
      </c>
      <c r="H448" s="2">
        <f>VLOOKUP(F448,'Message Mapping'!A:L,4,FALSE)</f>
        <v/>
      </c>
      <c r="I448" s="2" t="n"/>
      <c r="J448" s="3">
        <f>VLOOKUP(F448,'Message Mapping'!A:L,12,FALSE)</f>
        <v/>
      </c>
      <c r="K448" s="3" t="n"/>
      <c r="L448" s="3" t="n"/>
      <c r="M448" s="3" t="n"/>
      <c r="N448" s="3" t="n"/>
      <c r="O448" s="3" t="n"/>
      <c r="P448" s="3" t="n"/>
    </row>
    <row r="449">
      <c r="A449" s="94" t="inlineStr">
        <is>
          <t>FCT1</t>
        </is>
      </c>
      <c r="B449" s="2" t="inlineStr">
        <is>
          <t>FALHA COMUNICACAO RELE MONITORAMENTO DE TEMPERATURA 1</t>
        </is>
      </c>
      <c r="C449" s="2" t="inlineStr">
        <is>
          <t>Custom</t>
        </is>
      </c>
      <c r="D449" s="2" t="inlineStr">
        <is>
          <t>FALHAS FCOM/VCA/VCC</t>
        </is>
      </c>
      <c r="E449" s="2" t="inlineStr">
        <is>
          <t>Read</t>
        </is>
      </c>
      <c r="F449" s="2" t="inlineStr">
        <is>
          <t>null@null___NORMAL@FALHA___Custom_S_TS_SB</t>
        </is>
      </c>
      <c r="G449" s="2">
        <f>VLOOKUP(F449,'Message Mapping'!A:L,3,FALSE)</f>
        <v/>
      </c>
      <c r="H449" s="2">
        <f>VLOOKUP(F449,'Message Mapping'!A:L,4,FALSE)</f>
        <v/>
      </c>
      <c r="I449" s="2" t="n"/>
      <c r="J449" s="3">
        <f>VLOOKUP(F449,'Message Mapping'!A:L,12,FALSE)</f>
        <v/>
      </c>
      <c r="K449" s="3" t="n"/>
      <c r="L449" s="3" t="n"/>
      <c r="M449" s="3" t="n"/>
      <c r="N449" s="3" t="n"/>
      <c r="O449" s="3" t="n"/>
      <c r="P449" s="3" t="n"/>
    </row>
    <row r="450">
      <c r="A450" s="94" t="inlineStr">
        <is>
          <t>FCT2</t>
        </is>
      </c>
      <c r="B450" s="2" t="inlineStr">
        <is>
          <t>FALHA COMUNICACAO RELE MONITORAMENTO DE TEMPERATURA 2</t>
        </is>
      </c>
      <c r="C450" s="2" t="inlineStr">
        <is>
          <t>Custom</t>
        </is>
      </c>
      <c r="D450" s="2" t="inlineStr">
        <is>
          <t>FALHAS FCOM/VCA/VCC</t>
        </is>
      </c>
      <c r="E450" s="2" t="inlineStr">
        <is>
          <t>Read</t>
        </is>
      </c>
      <c r="F450" s="2" t="inlineStr">
        <is>
          <t>null@null___NORMAL@FALHA___Custom_S_TS_SB</t>
        </is>
      </c>
      <c r="G450" s="2">
        <f>VLOOKUP(F450,'Message Mapping'!A:L,3,FALSE)</f>
        <v/>
      </c>
      <c r="H450" s="2">
        <f>VLOOKUP(F450,'Message Mapping'!A:L,4,FALSE)</f>
        <v/>
      </c>
      <c r="I450" s="2" t="n"/>
      <c r="J450" s="3">
        <f>VLOOKUP(F450,'Message Mapping'!A:L,12,FALSE)</f>
        <v/>
      </c>
      <c r="K450" s="3" t="n"/>
      <c r="L450" s="3" t="n"/>
      <c r="M450" s="3" t="n"/>
      <c r="N450" s="3" t="n"/>
      <c r="O450" s="3" t="n"/>
      <c r="P450" s="3" t="n"/>
    </row>
    <row r="451">
      <c r="A451" s="94" t="inlineStr">
        <is>
          <t>FCT3</t>
        </is>
      </c>
      <c r="B451" s="2" t="inlineStr">
        <is>
          <t>FALHA COMUNICACAO RELE MONITORAMENTO DE TEMPERATURA 3</t>
        </is>
      </c>
      <c r="C451" s="2" t="inlineStr">
        <is>
          <t>Custom</t>
        </is>
      </c>
      <c r="D451" s="2" t="inlineStr">
        <is>
          <t>FALHAS FCOM/VCA/VCC</t>
        </is>
      </c>
      <c r="E451" s="2" t="inlineStr">
        <is>
          <t>Read</t>
        </is>
      </c>
      <c r="F451" s="2" t="inlineStr">
        <is>
          <t>null@null___NORMAL@FALHA___Custom_S_TS_SB</t>
        </is>
      </c>
      <c r="G451" s="2">
        <f>VLOOKUP(F451,'Message Mapping'!A:L,3,FALSE)</f>
        <v/>
      </c>
      <c r="H451" s="2">
        <f>VLOOKUP(F451,'Message Mapping'!A:L,4,FALSE)</f>
        <v/>
      </c>
      <c r="I451" s="2" t="n"/>
      <c r="J451" s="3">
        <f>VLOOKUP(F451,'Message Mapping'!A:L,12,FALSE)</f>
        <v/>
      </c>
      <c r="K451" s="3" t="n"/>
      <c r="L451" s="3" t="n"/>
      <c r="M451" s="3" t="n"/>
      <c r="N451" s="3" t="n"/>
      <c r="O451" s="3" t="n"/>
      <c r="P451" s="3" t="n"/>
    </row>
    <row r="452">
      <c r="A452" s="94" t="inlineStr">
        <is>
          <t>FCPL</t>
        </is>
      </c>
      <c r="B452" s="2" t="inlineStr">
        <is>
          <t>FALHA COMUNICACAO RELE MONITORAMENTO PARALELISMO</t>
        </is>
      </c>
      <c r="C452" s="2" t="inlineStr">
        <is>
          <t>Custom</t>
        </is>
      </c>
      <c r="D452" s="2" t="inlineStr">
        <is>
          <t>FALHAS FCOM/VCA/VCC</t>
        </is>
      </c>
      <c r="E452" s="2" t="inlineStr">
        <is>
          <t>Read</t>
        </is>
      </c>
      <c r="F452" s="2" t="inlineStr">
        <is>
          <t>null@null___NORMAL@FALHA___Custom_S_TS_SB</t>
        </is>
      </c>
      <c r="G452" s="2">
        <f>VLOOKUP(F452,'Message Mapping'!A:L,3,FALSE)</f>
        <v/>
      </c>
      <c r="H452" s="2">
        <f>VLOOKUP(F452,'Message Mapping'!A:L,4,FALSE)</f>
        <v/>
      </c>
      <c r="I452" s="2" t="n"/>
      <c r="J452" s="3">
        <f>VLOOKUP(F452,'Message Mapping'!A:L,12,FALSE)</f>
        <v/>
      </c>
      <c r="K452" s="3" t="n"/>
      <c r="L452" s="3" t="n"/>
      <c r="M452" s="3" t="n"/>
      <c r="N452" s="3" t="n"/>
      <c r="O452" s="3" t="n"/>
      <c r="P452" s="3" t="n"/>
    </row>
    <row r="453">
      <c r="A453" s="94" t="inlineStr">
        <is>
          <t>FCTL</t>
        </is>
      </c>
      <c r="B453" s="2" t="inlineStr">
        <is>
          <t>FALHA CANAL TELEPROTECAO</t>
        </is>
      </c>
      <c r="C453" s="2" t="inlineStr">
        <is>
          <t>Custom</t>
        </is>
      </c>
      <c r="D453" s="2" t="inlineStr">
        <is>
          <t>DEFEITOS</t>
        </is>
      </c>
      <c r="E453" s="2" t="inlineStr">
        <is>
          <t>Read</t>
        </is>
      </c>
      <c r="F453" s="2" t="inlineStr">
        <is>
          <t>null@null___NORMAL@FALHA___Custom_S_TS_SI</t>
        </is>
      </c>
      <c r="G453" s="2">
        <f>VLOOKUP(F453,'Message Mapping'!A:L,3,FALSE)</f>
        <v/>
      </c>
      <c r="H453" s="2">
        <f>VLOOKUP(F453,'Message Mapping'!A:L,4,FALSE)</f>
        <v/>
      </c>
      <c r="I453" s="2" t="n"/>
      <c r="J453" s="3">
        <f>VLOOKUP(F453,'Message Mapping'!A:L,12,FALSE)</f>
        <v/>
      </c>
      <c r="K453" s="3" t="n"/>
      <c r="L453" s="3" t="n"/>
      <c r="M453" s="3" t="n"/>
      <c r="N453" s="3" t="n"/>
      <c r="O453" s="3" t="n"/>
      <c r="P453" s="3" t="n"/>
    </row>
    <row r="454">
      <c r="A454" s="94" t="inlineStr">
        <is>
          <t>FCTA</t>
        </is>
      </c>
      <c r="B454" s="2" t="inlineStr">
        <is>
          <t>FALHA COMUNICACAO SENSOR TEMPERATURA AMBIENTE E UMIDADE</t>
        </is>
      </c>
      <c r="C454" s="2" t="inlineStr">
        <is>
          <t>Custom</t>
        </is>
      </c>
      <c r="D454" s="2" t="inlineStr">
        <is>
          <t>FALHAS FCOM/VCA/VCC</t>
        </is>
      </c>
      <c r="E454" s="2" t="inlineStr">
        <is>
          <t>Read</t>
        </is>
      </c>
      <c r="F454" s="2" t="inlineStr">
        <is>
          <t>null@null___NORMAL@FALHA___Custom_S_TS_SB</t>
        </is>
      </c>
      <c r="G454" s="2">
        <f>VLOOKUP(F454,'Message Mapping'!A:L,3,FALSE)</f>
        <v/>
      </c>
      <c r="H454" s="2">
        <f>VLOOKUP(F454,'Message Mapping'!A:L,4,FALSE)</f>
        <v/>
      </c>
      <c r="I454" s="2" t="n"/>
      <c r="J454" s="3">
        <f>VLOOKUP(F454,'Message Mapping'!A:L,12,FALSE)</f>
        <v/>
      </c>
      <c r="K454" s="3" t="n"/>
      <c r="L454" s="3" t="n"/>
      <c r="M454" s="3" t="n"/>
      <c r="N454" s="3" t="n"/>
      <c r="O454" s="3" t="n"/>
      <c r="P454" s="3" t="n"/>
    </row>
    <row r="455">
      <c r="A455" s="94" t="inlineStr">
        <is>
          <t>FCSA</t>
        </is>
      </c>
      <c r="B455" s="2" t="inlineStr">
        <is>
          <t>FALHA COMUNICACAO SERVICO AUXILIAR</t>
        </is>
      </c>
      <c r="C455" s="2" t="inlineStr">
        <is>
          <t>Custom</t>
        </is>
      </c>
      <c r="D455" s="2" t="inlineStr">
        <is>
          <t>FALHAS FCOM/VCA/VCC</t>
        </is>
      </c>
      <c r="E455" s="2" t="inlineStr">
        <is>
          <t>Read</t>
        </is>
      </c>
      <c r="F455" s="2" t="inlineStr">
        <is>
          <t>null@null___NORMAL@FALHA___Custom_S_TS_SB</t>
        </is>
      </c>
      <c r="G455" s="2">
        <f>VLOOKUP(F455,'Message Mapping'!A:L,3,FALSE)</f>
        <v/>
      </c>
      <c r="H455" s="2">
        <f>VLOOKUP(F455,'Message Mapping'!A:L,4,FALSE)</f>
        <v/>
      </c>
      <c r="I455" s="2" t="n"/>
      <c r="J455" s="3">
        <f>VLOOKUP(F455,'Message Mapping'!A:L,12,FALSE)</f>
        <v/>
      </c>
      <c r="K455" s="3" t="n"/>
      <c r="L455" s="3" t="n"/>
      <c r="M455" s="3" t="n"/>
      <c r="N455" s="3" t="n"/>
      <c r="O455" s="3" t="n"/>
      <c r="P455" s="3" t="n"/>
    </row>
    <row r="456">
      <c r="A456" s="94" t="inlineStr">
        <is>
          <t>FCCA</t>
        </is>
      </c>
      <c r="B456" s="2" t="inlineStr">
        <is>
          <t>FALHA COMUNICACAO SERVICO AUXILIAR VCA</t>
        </is>
      </c>
      <c r="C456" s="2" t="inlineStr">
        <is>
          <t>Custom</t>
        </is>
      </c>
      <c r="D456" s="2" t="inlineStr">
        <is>
          <t>FALHAS FCOM/VCA/VCC</t>
        </is>
      </c>
      <c r="E456" s="2" t="inlineStr">
        <is>
          <t>Read</t>
        </is>
      </c>
      <c r="F456" s="2" t="inlineStr">
        <is>
          <t>null@null___NORMAL@FALHA___Custom_S_TS_SB</t>
        </is>
      </c>
      <c r="G456" s="2">
        <f>VLOOKUP(F456,'Message Mapping'!A:L,3,FALSE)</f>
        <v/>
      </c>
      <c r="H456" s="2">
        <f>VLOOKUP(F456,'Message Mapping'!A:L,4,FALSE)</f>
        <v/>
      </c>
      <c r="I456" s="2" t="n"/>
      <c r="J456" s="3">
        <f>VLOOKUP(F456,'Message Mapping'!A:L,12,FALSE)</f>
        <v/>
      </c>
      <c r="K456" s="3" t="n"/>
      <c r="L456" s="3" t="n"/>
      <c r="M456" s="3" t="n"/>
      <c r="N456" s="3" t="n"/>
      <c r="O456" s="3" t="n"/>
      <c r="P456" s="3" t="n"/>
    </row>
    <row r="457">
      <c r="A457" s="94" t="inlineStr">
        <is>
          <t>FCCC</t>
        </is>
      </c>
      <c r="B457" s="2" t="inlineStr">
        <is>
          <t>FALHA COMUNICACAO SERVICO AUXILIAR VCC</t>
        </is>
      </c>
      <c r="C457" s="2" t="inlineStr">
        <is>
          <t>Custom</t>
        </is>
      </c>
      <c r="D457" s="2" t="inlineStr">
        <is>
          <t>FALHAS FCOM/VCA/VCC</t>
        </is>
      </c>
      <c r="E457" s="2" t="inlineStr">
        <is>
          <t>Read</t>
        </is>
      </c>
      <c r="F457" s="2" t="inlineStr">
        <is>
          <t>null@null___NORMAL@FALHA___Custom_S_TS_SB</t>
        </is>
      </c>
      <c r="G457" s="2">
        <f>VLOOKUP(F457,'Message Mapping'!A:L,3,FALSE)</f>
        <v/>
      </c>
      <c r="H457" s="2">
        <f>VLOOKUP(F457,'Message Mapping'!A:L,4,FALSE)</f>
        <v/>
      </c>
      <c r="I457" s="2" t="n"/>
      <c r="J457" s="3">
        <f>VLOOKUP(F457,'Message Mapping'!A:L,12,FALSE)</f>
        <v/>
      </c>
      <c r="K457" s="3" t="n"/>
      <c r="L457" s="3" t="n"/>
      <c r="M457" s="3" t="n"/>
      <c r="N457" s="3" t="n"/>
      <c r="O457" s="3" t="n"/>
      <c r="P457" s="3" t="n"/>
    </row>
    <row r="458">
      <c r="A458" s="94" t="inlineStr">
        <is>
          <t>FCSP</t>
        </is>
      </c>
      <c r="B458" s="2" t="inlineStr">
        <is>
          <t>FALHA COMUNICACAO SPS</t>
        </is>
      </c>
      <c r="C458" s="2" t="inlineStr">
        <is>
          <t>Custom</t>
        </is>
      </c>
      <c r="D458" s="2" t="inlineStr">
        <is>
          <t>FALHAS FCOM/VCA/VCC</t>
        </is>
      </c>
      <c r="E458" s="2" t="inlineStr">
        <is>
          <t>Read</t>
        </is>
      </c>
      <c r="F458" s="2" t="inlineStr">
        <is>
          <t>null@null___NORMAL@FALHA___Custom_S_TS_SB</t>
        </is>
      </c>
      <c r="G458" s="2">
        <f>VLOOKUP(F458,'Message Mapping'!A:L,3,FALSE)</f>
        <v/>
      </c>
      <c r="H458" s="2">
        <f>VLOOKUP(F458,'Message Mapping'!A:L,4,FALSE)</f>
        <v/>
      </c>
      <c r="I458" s="2" t="n"/>
      <c r="J458" s="3">
        <f>VLOOKUP(F458,'Message Mapping'!A:L,12,FALSE)</f>
        <v/>
      </c>
      <c r="K458" s="3" t="n"/>
      <c r="L458" s="3" t="n"/>
      <c r="M458" s="3" t="n"/>
      <c r="N458" s="3" t="n"/>
      <c r="O458" s="3" t="n"/>
      <c r="P458" s="3" t="n"/>
    </row>
    <row r="459">
      <c r="A459" s="94" t="inlineStr">
        <is>
          <t>FCM</t>
        </is>
      </c>
      <c r="B459" s="2" t="inlineStr">
        <is>
          <t>FALHA COMUNICACAO TRANSDUTOR</t>
        </is>
      </c>
      <c r="C459" s="2" t="inlineStr">
        <is>
          <t>Custom</t>
        </is>
      </c>
      <c r="D459" s="2" t="inlineStr">
        <is>
          <t>FALHAS FCOM/VCA/VCC</t>
        </is>
      </c>
      <c r="E459" s="2" t="inlineStr">
        <is>
          <t>Read</t>
        </is>
      </c>
      <c r="F459" s="2" t="inlineStr">
        <is>
          <t>null@null___NORMAL@FALHA___Custom_S_TS_SB</t>
        </is>
      </c>
      <c r="G459" s="2">
        <f>VLOOKUP(F459,'Message Mapping'!A:L,3,FALSE)</f>
        <v/>
      </c>
      <c r="H459" s="2">
        <f>VLOOKUP(F459,'Message Mapping'!A:L,4,FALSE)</f>
        <v/>
      </c>
      <c r="I459" s="2" t="n"/>
      <c r="J459" s="3">
        <f>VLOOKUP(F459,'Message Mapping'!A:L,12,FALSE)</f>
        <v/>
      </c>
      <c r="K459" s="3" t="n"/>
      <c r="L459" s="3" t="n"/>
      <c r="M459" s="3" t="n"/>
      <c r="N459" s="3" t="n"/>
      <c r="O459" s="3" t="n"/>
      <c r="P459" s="3" t="n"/>
    </row>
    <row r="460">
      <c r="A460" s="94" t="inlineStr">
        <is>
          <t>FCMP</t>
        </is>
      </c>
      <c r="B460" s="2" t="inlineStr">
        <is>
          <t>FALHA COMUNICAO COMPRESSOR</t>
        </is>
      </c>
      <c r="C460" s="2" t="inlineStr">
        <is>
          <t>Custom</t>
        </is>
      </c>
      <c r="D460" s="2" t="inlineStr">
        <is>
          <t>FALHAS FCOM/VCA/VCC</t>
        </is>
      </c>
      <c r="E460" s="2" t="inlineStr">
        <is>
          <t>Read</t>
        </is>
      </c>
      <c r="F460" s="2" t="inlineStr">
        <is>
          <t>null@null___NORMAL@FALHA___Custom_S_TS_SB</t>
        </is>
      </c>
      <c r="G460" s="2">
        <f>VLOOKUP(F460,'Message Mapping'!A:L,3,FALSE)</f>
        <v/>
      </c>
      <c r="H460" s="2">
        <f>VLOOKUP(F460,'Message Mapping'!A:L,4,FALSE)</f>
        <v/>
      </c>
      <c r="I460" s="2" t="n"/>
      <c r="J460" s="3">
        <f>VLOOKUP(F460,'Message Mapping'!A:L,12,FALSE)</f>
        <v/>
      </c>
      <c r="K460" s="3" t="n"/>
      <c r="L460" s="3" t="n"/>
      <c r="M460" s="3" t="n"/>
      <c r="N460" s="3" t="n"/>
      <c r="O460" s="3" t="n"/>
      <c r="P460" s="3" t="n"/>
    </row>
    <row r="461">
      <c r="A461" s="94" t="inlineStr">
        <is>
          <t>FCMR</t>
        </is>
      </c>
      <c r="B461" s="2" t="inlineStr">
        <is>
          <t>FALHA COMUNICAO TRANSDUTOR RESERVA</t>
        </is>
      </c>
      <c r="C461" s="2" t="inlineStr">
        <is>
          <t>Custom</t>
        </is>
      </c>
      <c r="D461" s="2" t="inlineStr">
        <is>
          <t>FALHAS FCOM/VCA/VCC</t>
        </is>
      </c>
      <c r="E461" s="2" t="inlineStr">
        <is>
          <t>Read</t>
        </is>
      </c>
      <c r="F461" s="2" t="inlineStr">
        <is>
          <t>null@null___NORMAL@FALHA___Custom_S_TS_SB</t>
        </is>
      </c>
      <c r="G461" s="2">
        <f>VLOOKUP(F461,'Message Mapping'!A:L,3,FALSE)</f>
        <v/>
      </c>
      <c r="H461" s="2">
        <f>VLOOKUP(F461,'Message Mapping'!A:L,4,FALSE)</f>
        <v/>
      </c>
      <c r="I461" s="2" t="n"/>
      <c r="J461" s="3">
        <f>VLOOKUP(F461,'Message Mapping'!A:L,12,FALSE)</f>
        <v/>
      </c>
      <c r="K461" s="3" t="n"/>
      <c r="L461" s="3" t="n"/>
      <c r="M461" s="3" t="n"/>
      <c r="N461" s="3" t="n"/>
      <c r="O461" s="3" t="n"/>
      <c r="P461" s="3" t="n"/>
    </row>
    <row r="462">
      <c r="A462" s="94" t="inlineStr">
        <is>
          <t>FCMT</t>
        </is>
      </c>
      <c r="B462" s="2" t="inlineStr">
        <is>
          <t>FALHA COMUTADOR</t>
        </is>
      </c>
      <c r="C462" s="2" t="inlineStr">
        <is>
          <t>Custom</t>
        </is>
      </c>
      <c r="D462" s="2" t="inlineStr">
        <is>
          <t>DEFEITOS</t>
        </is>
      </c>
      <c r="E462" s="2" t="inlineStr">
        <is>
          <t>Read</t>
        </is>
      </c>
      <c r="F462" s="2" t="inlineStr">
        <is>
          <t>null@null___NORMAL@FALHA___Custom_S_TS_SI</t>
        </is>
      </c>
      <c r="G462" s="2">
        <f>VLOOKUP(F462,'Message Mapping'!A:L,3,FALSE)</f>
        <v/>
      </c>
      <c r="H462" s="2">
        <f>VLOOKUP(F462,'Message Mapping'!A:L,4,FALSE)</f>
        <v/>
      </c>
      <c r="I462" s="2" t="n"/>
      <c r="J462" s="3">
        <f>VLOOKUP(F462,'Message Mapping'!A:L,12,FALSE)</f>
        <v/>
      </c>
      <c r="K462" s="3" t="n"/>
      <c r="L462" s="3" t="n"/>
      <c r="M462" s="3" t="n"/>
      <c r="N462" s="3" t="n"/>
      <c r="O462" s="3" t="n"/>
      <c r="P462" s="3" t="n"/>
    </row>
    <row r="463">
      <c r="A463" s="94" t="inlineStr">
        <is>
          <t>FLAB</t>
        </is>
      </c>
      <c r="B463" s="2" t="inlineStr">
        <is>
          <t>FALHA DE ABERTURA</t>
        </is>
      </c>
      <c r="C463" s="2" t="inlineStr">
        <is>
          <t>Custom</t>
        </is>
      </c>
      <c r="D463" s="2" t="inlineStr">
        <is>
          <t>DEFEITOS</t>
        </is>
      </c>
      <c r="E463" s="2" t="inlineStr">
        <is>
          <t>Read</t>
        </is>
      </c>
      <c r="F463" s="2" t="inlineStr">
        <is>
          <t>null@null___NORMAL@FALHA___Custom_S_TS_SI</t>
        </is>
      </c>
      <c r="G463" s="2">
        <f>VLOOKUP(F463,'Message Mapping'!A:L,3,FALSE)</f>
        <v/>
      </c>
      <c r="H463" s="2">
        <f>VLOOKUP(F463,'Message Mapping'!A:L,4,FALSE)</f>
        <v/>
      </c>
      <c r="I463" s="2" t="n"/>
      <c r="J463" s="3">
        <f>VLOOKUP(F463,'Message Mapping'!A:L,12,FALSE)</f>
        <v/>
      </c>
      <c r="K463" s="3" t="n"/>
      <c r="L463" s="3" t="n"/>
      <c r="M463" s="3" t="n"/>
      <c r="N463" s="3" t="n"/>
      <c r="O463" s="3" t="n"/>
      <c r="P463" s="3" t="n"/>
    </row>
    <row r="464">
      <c r="A464" s="94" t="inlineStr">
        <is>
          <t>FLFC</t>
        </is>
      </c>
      <c r="B464" s="2" t="inlineStr">
        <is>
          <t>FALHA DE FECHAMENTO</t>
        </is>
      </c>
      <c r="C464" s="2" t="inlineStr">
        <is>
          <t>Custom</t>
        </is>
      </c>
      <c r="D464" s="2" t="inlineStr">
        <is>
          <t>DEFEITOS</t>
        </is>
      </c>
      <c r="E464" s="2" t="inlineStr">
        <is>
          <t>Read</t>
        </is>
      </c>
      <c r="F464" s="2" t="inlineStr">
        <is>
          <t>null@null___NORMAL@FALHA___Custom_S_TS_SI</t>
        </is>
      </c>
      <c r="G464" s="2">
        <f>VLOOKUP(F464,'Message Mapping'!A:L,3,FALSE)</f>
        <v/>
      </c>
      <c r="H464" s="2">
        <f>VLOOKUP(F464,'Message Mapping'!A:L,4,FALSE)</f>
        <v/>
      </c>
      <c r="I464" s="2" t="n"/>
      <c r="J464" s="3">
        <f>VLOOKUP(F464,'Message Mapping'!A:L,12,FALSE)</f>
        <v/>
      </c>
      <c r="K464" s="3" t="n"/>
      <c r="L464" s="3" t="n"/>
      <c r="M464" s="3" t="n"/>
      <c r="N464" s="3" t="n"/>
      <c r="O464" s="3" t="n"/>
      <c r="P464" s="3" t="n"/>
    </row>
    <row r="465">
      <c r="A465" s="94" t="inlineStr">
        <is>
          <t>FIOL</t>
        </is>
      </c>
      <c r="B465" s="2" t="inlineStr">
        <is>
          <t>FALHA FILTRO DE OLEO</t>
        </is>
      </c>
      <c r="C465" s="2" t="inlineStr">
        <is>
          <t>Custom</t>
        </is>
      </c>
      <c r="D465" s="2" t="inlineStr">
        <is>
          <t>DEFEITOS</t>
        </is>
      </c>
      <c r="E465" s="2" t="inlineStr">
        <is>
          <t>Read</t>
        </is>
      </c>
      <c r="F465" s="2" t="inlineStr">
        <is>
          <t>null@null___NORMAL@FALHA___Custom_S_TS_SI</t>
        </is>
      </c>
      <c r="G465" s="2">
        <f>VLOOKUP(F465,'Message Mapping'!A:L,3,FALSE)</f>
        <v/>
      </c>
      <c r="H465" s="2">
        <f>VLOOKUP(F465,'Message Mapping'!A:L,4,FALSE)</f>
        <v/>
      </c>
      <c r="I465" s="2" t="n"/>
      <c r="J465" s="3">
        <f>VLOOKUP(F465,'Message Mapping'!A:L,12,FALSE)</f>
        <v/>
      </c>
      <c r="K465" s="3" t="n"/>
      <c r="L465" s="3" t="n"/>
      <c r="M465" s="3" t="n"/>
      <c r="N465" s="3" t="n"/>
      <c r="O465" s="3" t="n"/>
      <c r="P465" s="3" t="n"/>
    </row>
    <row r="466">
      <c r="A466" s="94" t="inlineStr">
        <is>
          <t>OLFL</t>
        </is>
      </c>
      <c r="B466" s="2" t="inlineStr">
        <is>
          <t>FALHA FLUXO DE OLEO</t>
        </is>
      </c>
      <c r="C466" s="2" t="inlineStr">
        <is>
          <t>Custom</t>
        </is>
      </c>
      <c r="D466" s="2" t="inlineStr">
        <is>
          <t>DEFEITOS</t>
        </is>
      </c>
      <c r="E466" s="2" t="inlineStr">
        <is>
          <t>Read</t>
        </is>
      </c>
      <c r="F466" s="2" t="inlineStr">
        <is>
          <t>null@null___NORMAL@FALHA___Custom_S_TS_SI</t>
        </is>
      </c>
      <c r="G466" s="2">
        <f>VLOOKUP(F466,'Message Mapping'!A:L,3,FALSE)</f>
        <v/>
      </c>
      <c r="H466" s="2">
        <f>VLOOKUP(F466,'Message Mapping'!A:L,4,FALSE)</f>
        <v/>
      </c>
      <c r="I466" s="2" t="n"/>
      <c r="J466" s="3">
        <f>VLOOKUP(F466,'Message Mapping'!A:L,12,FALSE)</f>
        <v/>
      </c>
      <c r="K466" s="3" t="n"/>
      <c r="L466" s="3" t="n"/>
      <c r="M466" s="3" t="n"/>
      <c r="N466" s="3" t="n"/>
      <c r="O466" s="3" t="n"/>
      <c r="P466" s="3" t="n"/>
    </row>
    <row r="467">
      <c r="A467" s="94" t="inlineStr">
        <is>
          <t>RLFU</t>
        </is>
      </c>
      <c r="B467" s="2" t="inlineStr">
        <is>
          <t>FALHA FUSIVEL</t>
        </is>
      </c>
      <c r="C467" s="2" t="inlineStr">
        <is>
          <t>Custom</t>
        </is>
      </c>
      <c r="D467" s="2" t="inlineStr">
        <is>
          <t>DEFEITOS</t>
        </is>
      </c>
      <c r="E467" s="2" t="inlineStr">
        <is>
          <t>Read</t>
        </is>
      </c>
      <c r="F467" s="2" t="inlineStr">
        <is>
          <t>null@null___NORMAL@FALHA___Custom_S_TS_SI</t>
        </is>
      </c>
      <c r="G467" s="2">
        <f>VLOOKUP(F467,'Message Mapping'!A:L,3,FALSE)</f>
        <v/>
      </c>
      <c r="H467" s="2">
        <f>VLOOKUP(F467,'Message Mapping'!A:L,4,FALSE)</f>
        <v/>
      </c>
      <c r="I467" s="2" t="n"/>
      <c r="J467" s="3">
        <f>VLOOKUP(F467,'Message Mapping'!A:L,12,FALSE)</f>
        <v/>
      </c>
      <c r="K467" s="3" t="n"/>
      <c r="L467" s="3" t="n"/>
      <c r="M467" s="3" t="n"/>
      <c r="N467" s="3" t="n"/>
      <c r="O467" s="3" t="n"/>
      <c r="P467" s="3" t="n"/>
    </row>
    <row r="468">
      <c r="A468" s="94" t="inlineStr">
        <is>
          <t>FU1</t>
        </is>
      </c>
      <c r="B468" s="2" t="inlineStr">
        <is>
          <t>FALHA FUSIVEL 1</t>
        </is>
      </c>
      <c r="C468" s="2" t="inlineStr">
        <is>
          <t>Custom</t>
        </is>
      </c>
      <c r="D468" s="2" t="inlineStr">
        <is>
          <t>DEFEITOS</t>
        </is>
      </c>
      <c r="E468" s="2" t="inlineStr">
        <is>
          <t>Read</t>
        </is>
      </c>
      <c r="F468" s="2" t="inlineStr">
        <is>
          <t>null@null___NORMAL@FALHA___Custom_S_TS_SI</t>
        </is>
      </c>
      <c r="G468" s="2">
        <f>VLOOKUP(F468,'Message Mapping'!A:L,3,FALSE)</f>
        <v/>
      </c>
      <c r="H468" s="2">
        <f>VLOOKUP(F468,'Message Mapping'!A:L,4,FALSE)</f>
        <v/>
      </c>
      <c r="I468" s="2" t="n"/>
      <c r="J468" s="3">
        <f>VLOOKUP(F468,'Message Mapping'!A:L,12,FALSE)</f>
        <v/>
      </c>
      <c r="K468" s="3" t="n"/>
      <c r="L468" s="3" t="n"/>
      <c r="M468" s="3" t="n"/>
      <c r="N468" s="3" t="n"/>
      <c r="O468" s="3" t="n"/>
      <c r="P468" s="3" t="n"/>
    </row>
    <row r="469">
      <c r="A469" s="94" t="inlineStr">
        <is>
          <t>FUTP</t>
        </is>
      </c>
      <c r="B469" s="2" t="inlineStr">
        <is>
          <t>FALHA FUSIVEL TP</t>
        </is>
      </c>
      <c r="C469" s="2" t="inlineStr">
        <is>
          <t>Custom</t>
        </is>
      </c>
      <c r="D469" s="2" t="inlineStr">
        <is>
          <t>DEFEITOS</t>
        </is>
      </c>
      <c r="E469" s="2" t="inlineStr">
        <is>
          <t>Read</t>
        </is>
      </c>
      <c r="F469" s="2" t="inlineStr">
        <is>
          <t>null@null___NORMAL@FALHA___Custom_S_TS_SI</t>
        </is>
      </c>
      <c r="G469" s="2">
        <f>VLOOKUP(F469,'Message Mapping'!A:L,3,FALSE)</f>
        <v/>
      </c>
      <c r="H469" s="2">
        <f>VLOOKUP(F469,'Message Mapping'!A:L,4,FALSE)</f>
        <v/>
      </c>
      <c r="I469" s="2" t="n"/>
      <c r="J469" s="3">
        <f>VLOOKUP(F469,'Message Mapping'!A:L,12,FALSE)</f>
        <v/>
      </c>
      <c r="K469" s="3" t="n"/>
      <c r="L469" s="3" t="n"/>
      <c r="M469" s="3" t="n"/>
      <c r="N469" s="3" t="n"/>
      <c r="O469" s="3" t="n"/>
      <c r="P469" s="3" t="n"/>
    </row>
    <row r="470">
      <c r="A470" s="94" t="inlineStr">
        <is>
          <t>FALH</t>
        </is>
      </c>
      <c r="B470" s="2" t="inlineStr">
        <is>
          <t>FALHA GERAL</t>
        </is>
      </c>
      <c r="C470" s="2" t="inlineStr">
        <is>
          <t>Custom</t>
        </is>
      </c>
      <c r="D470" s="2" t="inlineStr">
        <is>
          <t>DEFEITOS</t>
        </is>
      </c>
      <c r="E470" s="2" t="inlineStr">
        <is>
          <t>Read</t>
        </is>
      </c>
      <c r="F470" s="2" t="inlineStr">
        <is>
          <t>null@null___NORMAL@FALHA___Custom_S_TS_SI</t>
        </is>
      </c>
      <c r="G470" s="2">
        <f>VLOOKUP(F470,'Message Mapping'!A:L,3,FALSE)</f>
        <v/>
      </c>
      <c r="H470" s="2">
        <f>VLOOKUP(F470,'Message Mapping'!A:L,4,FALSE)</f>
        <v/>
      </c>
      <c r="I470" s="2" t="n"/>
      <c r="J470" s="3">
        <f>VLOOKUP(F470,'Message Mapping'!A:L,12,FALSE)</f>
        <v/>
      </c>
      <c r="K470" s="3" t="n"/>
      <c r="L470" s="3" t="n"/>
      <c r="M470" s="3" t="n"/>
      <c r="N470" s="3" t="n"/>
      <c r="O470" s="3" t="n"/>
      <c r="P470" s="3" t="n"/>
    </row>
    <row r="471">
      <c r="A471" s="94" t="inlineStr">
        <is>
          <t>GOOS</t>
        </is>
      </c>
      <c r="B471" s="2" t="inlineStr">
        <is>
          <t>FALHA GOOSE</t>
        </is>
      </c>
      <c r="C471" s="2" t="inlineStr">
        <is>
          <t>Custom</t>
        </is>
      </c>
      <c r="D471" s="2" t="inlineStr">
        <is>
          <t>FALHAS FCOM/VCA/VCC</t>
        </is>
      </c>
      <c r="E471" s="2" t="inlineStr">
        <is>
          <t>Read</t>
        </is>
      </c>
      <c r="F471" s="2" t="inlineStr">
        <is>
          <t>null@null___NORMAL@FALHA___Custom_S_TS_SB</t>
        </is>
      </c>
      <c r="G471" s="2">
        <f>VLOOKUP(F471,'Message Mapping'!A:L,3,FALSE)</f>
        <v/>
      </c>
      <c r="H471" s="2">
        <f>VLOOKUP(F471,'Message Mapping'!A:L,4,FALSE)</f>
        <v/>
      </c>
      <c r="I471" s="2" t="n"/>
      <c r="J471" s="3">
        <f>VLOOKUP(F471,'Message Mapping'!A:L,12,FALSE)</f>
        <v/>
      </c>
      <c r="K471" s="3" t="n"/>
      <c r="L471" s="3" t="n"/>
      <c r="M471" s="3" t="n"/>
      <c r="N471" s="3" t="n"/>
      <c r="O471" s="3" t="n"/>
      <c r="P471" s="3" t="n"/>
    </row>
    <row r="472">
      <c r="A472" s="94" t="inlineStr">
        <is>
          <t>FSIN</t>
        </is>
      </c>
      <c r="B472" s="2" t="inlineStr">
        <is>
          <t>FALHA IRIG B - SINCRONISMO</t>
        </is>
      </c>
      <c r="C472" s="2" t="inlineStr">
        <is>
          <t>Custom</t>
        </is>
      </c>
      <c r="D472" s="2" t="inlineStr">
        <is>
          <t>FALHAS FCOM/VCA/VCC</t>
        </is>
      </c>
      <c r="E472" s="2" t="inlineStr">
        <is>
          <t>Read</t>
        </is>
      </c>
      <c r="F472" s="2" t="inlineStr">
        <is>
          <t>null@null___NORMAL@FALHA___Custom_S_TS_SB</t>
        </is>
      </c>
      <c r="G472" s="2">
        <f>VLOOKUP(F472,'Message Mapping'!A:L,3,FALSE)</f>
        <v/>
      </c>
      <c r="H472" s="2">
        <f>VLOOKUP(F472,'Message Mapping'!A:L,4,FALSE)</f>
        <v/>
      </c>
      <c r="I472" s="2" t="n"/>
      <c r="J472" s="3">
        <f>VLOOKUP(F472,'Message Mapping'!A:L,12,FALSE)</f>
        <v/>
      </c>
      <c r="K472" s="3" t="n"/>
      <c r="L472" s="3" t="n"/>
      <c r="M472" s="3" t="n"/>
      <c r="N472" s="3" t="n"/>
      <c r="O472" s="3" t="n"/>
      <c r="P472" s="3" t="n"/>
    </row>
    <row r="473">
      <c r="A473" s="94" t="inlineStr">
        <is>
          <t>FCRP</t>
        </is>
      </c>
      <c r="B473" s="2" t="inlineStr">
        <is>
          <t>FALHA COMUNICACAO RELE PROTECAO</t>
        </is>
      </c>
      <c r="C473" s="2" t="inlineStr">
        <is>
          <t>Custom</t>
        </is>
      </c>
      <c r="D473" s="2" t="inlineStr">
        <is>
          <t>FALHAS FCOM/VCA/VCC</t>
        </is>
      </c>
      <c r="E473" s="2" t="inlineStr">
        <is>
          <t>Read</t>
        </is>
      </c>
      <c r="F473" s="2" t="inlineStr">
        <is>
          <t>null@null___NORMAL@FALHA___Custom_S_TS_SB</t>
        </is>
      </c>
      <c r="G473" s="2">
        <f>VLOOKUP(F473,'Message Mapping'!A:L,3,FALSE)</f>
        <v/>
      </c>
      <c r="H473" s="2">
        <f>VLOOKUP(F473,'Message Mapping'!A:L,4,FALSE)</f>
        <v/>
      </c>
      <c r="I473" s="2" t="n"/>
      <c r="J473" s="3">
        <f>VLOOKUP(F473,'Message Mapping'!A:L,12,FALSE)</f>
        <v/>
      </c>
      <c r="K473" s="3" t="n"/>
      <c r="L473" s="3" t="n"/>
      <c r="M473" s="3" t="n"/>
      <c r="N473" s="3" t="n"/>
      <c r="O473" s="3" t="n"/>
      <c r="P473" s="3" t="n"/>
    </row>
    <row r="474">
      <c r="A474" s="94" t="inlineStr">
        <is>
          <t>RXER</t>
        </is>
      </c>
      <c r="B474" s="2" t="inlineStr">
        <is>
          <t>FALHA RECEPCAO DADOS RX</t>
        </is>
      </c>
      <c r="C474" s="2" t="inlineStr">
        <is>
          <t>Custom</t>
        </is>
      </c>
      <c r="D474" s="2" t="inlineStr">
        <is>
          <t>FALHAS FCOM/VCA/VCC</t>
        </is>
      </c>
      <c r="E474" s="2" t="inlineStr">
        <is>
          <t>Read</t>
        </is>
      </c>
      <c r="F474" s="2" t="inlineStr">
        <is>
          <t>null@null___NORMAL@FALHA___Custom_S_TS_SB</t>
        </is>
      </c>
      <c r="G474" s="2">
        <f>VLOOKUP(F474,'Message Mapping'!A:L,3,FALSE)</f>
        <v/>
      </c>
      <c r="H474" s="2">
        <f>VLOOKUP(F474,'Message Mapping'!A:L,4,FALSE)</f>
        <v/>
      </c>
      <c r="I474" s="2" t="n"/>
      <c r="J474" s="3">
        <f>VLOOKUP(F474,'Message Mapping'!A:L,12,FALSE)</f>
        <v/>
      </c>
      <c r="K474" s="3" t="n"/>
      <c r="L474" s="3" t="n"/>
      <c r="M474" s="3" t="n"/>
      <c r="N474" s="3" t="n"/>
      <c r="O474" s="3" t="n"/>
      <c r="P474" s="3" t="n"/>
    </row>
    <row r="475">
      <c r="A475" s="94" t="inlineStr">
        <is>
          <t>FSEC</t>
        </is>
      </c>
      <c r="B475" s="2" t="inlineStr">
        <is>
          <t>FALHA SECCIONADORA</t>
        </is>
      </c>
      <c r="C475" s="2" t="inlineStr">
        <is>
          <t>Custom</t>
        </is>
      </c>
      <c r="D475" s="2" t="inlineStr">
        <is>
          <t>DEFEITOS</t>
        </is>
      </c>
      <c r="E475" s="2" t="inlineStr">
        <is>
          <t>Read</t>
        </is>
      </c>
      <c r="F475" s="2" t="inlineStr">
        <is>
          <t>null@null___NORMAL@FALHA___Custom_S_TS_SI</t>
        </is>
      </c>
      <c r="G475" s="2">
        <f>VLOOKUP(F475,'Message Mapping'!A:L,3,FALSE)</f>
        <v/>
      </c>
      <c r="H475" s="2">
        <f>VLOOKUP(F475,'Message Mapping'!A:L,4,FALSE)</f>
        <v/>
      </c>
      <c r="I475" s="2" t="n"/>
      <c r="J475" s="3">
        <f>VLOOKUP(F475,'Message Mapping'!A:L,12,FALSE)</f>
        <v/>
      </c>
      <c r="K475" s="3" t="n"/>
      <c r="L475" s="3" t="n"/>
      <c r="M475" s="3" t="n"/>
      <c r="N475" s="3" t="n"/>
      <c r="O475" s="3" t="n"/>
      <c r="P475" s="3" t="n"/>
    </row>
    <row r="476">
      <c r="A476" s="94" t="inlineStr">
        <is>
          <t>FSIH</t>
        </is>
      </c>
      <c r="B476" s="2" t="inlineStr">
        <is>
          <t>FALHA SINCRONISMO HORA</t>
        </is>
      </c>
      <c r="C476" s="2" t="inlineStr">
        <is>
          <t>Custom</t>
        </is>
      </c>
      <c r="D476" s="2" t="inlineStr">
        <is>
          <t>FALHAS FCOM/VCA/VCC</t>
        </is>
      </c>
      <c r="E476" s="2" t="inlineStr">
        <is>
          <t>Read</t>
        </is>
      </c>
      <c r="F476" s="2" t="inlineStr">
        <is>
          <t>null@null___NORMAL@FALHA___Custom_S_TS_SB</t>
        </is>
      </c>
      <c r="G476" s="2">
        <f>VLOOKUP(F476,'Message Mapping'!A:L,3,FALSE)</f>
        <v/>
      </c>
      <c r="H476" s="2">
        <f>VLOOKUP(F476,'Message Mapping'!A:L,4,FALSE)</f>
        <v/>
      </c>
      <c r="I476" s="2" t="n"/>
      <c r="J476" s="3">
        <f>VLOOKUP(F476,'Message Mapping'!A:L,12,FALSE)</f>
        <v/>
      </c>
      <c r="K476" s="3" t="n"/>
      <c r="L476" s="3" t="n"/>
      <c r="M476" s="3" t="n"/>
      <c r="N476" s="3" t="n"/>
      <c r="O476" s="3" t="n"/>
      <c r="P476" s="3" t="n"/>
    </row>
    <row r="477">
      <c r="A477" s="94" t="inlineStr">
        <is>
          <t>FPAR</t>
        </is>
      </c>
      <c r="B477" s="2" t="inlineStr">
        <is>
          <t>FALHA SINCRONISMO PARALELISMO</t>
        </is>
      </c>
      <c r="C477" s="2" t="inlineStr">
        <is>
          <t>Custom</t>
        </is>
      </c>
      <c r="D477" s="2" t="inlineStr">
        <is>
          <t>FALHAS FCOM/VCA/VCC</t>
        </is>
      </c>
      <c r="E477" s="2" t="inlineStr">
        <is>
          <t>Read</t>
        </is>
      </c>
      <c r="F477" s="2" t="inlineStr">
        <is>
          <t>null@null___NORMAL@FALHA___Custom_S_TS_SB</t>
        </is>
      </c>
      <c r="G477" s="2">
        <f>VLOOKUP(F477,'Message Mapping'!A:L,3,FALSE)</f>
        <v/>
      </c>
      <c r="H477" s="2">
        <f>VLOOKUP(F477,'Message Mapping'!A:L,4,FALSE)</f>
        <v/>
      </c>
      <c r="I477" s="2" t="n"/>
      <c r="J477" s="3">
        <f>VLOOKUP(F477,'Message Mapping'!A:L,12,FALSE)</f>
        <v/>
      </c>
      <c r="K477" s="3" t="n"/>
      <c r="L477" s="3" t="n"/>
      <c r="M477" s="3" t="n"/>
      <c r="N477" s="3" t="n"/>
      <c r="O477" s="3" t="n"/>
      <c r="P477" s="3" t="n"/>
    </row>
    <row r="478">
      <c r="A478" s="94" t="inlineStr">
        <is>
          <t>FVF</t>
        </is>
      </c>
      <c r="B478" s="2" t="inlineStr">
        <is>
          <t>FALHA VENTILACAO FORCADA</t>
        </is>
      </c>
      <c r="C478" s="2" t="inlineStr">
        <is>
          <t>Custom</t>
        </is>
      </c>
      <c r="D478" s="2" t="inlineStr">
        <is>
          <t>DEFEITOS</t>
        </is>
      </c>
      <c r="E478" s="2" t="inlineStr">
        <is>
          <t>Read</t>
        </is>
      </c>
      <c r="F478" s="2" t="inlineStr">
        <is>
          <t>null@null___NORMAL@FALHA___Custom_S_TS_SI</t>
        </is>
      </c>
      <c r="G478" s="2">
        <f>VLOOKUP(F478,'Message Mapping'!A:L,3,FALSE)</f>
        <v/>
      </c>
      <c r="H478" s="2">
        <f>VLOOKUP(F478,'Message Mapping'!A:L,4,FALSE)</f>
        <v/>
      </c>
      <c r="I478" s="2" t="n"/>
      <c r="J478" s="3">
        <f>VLOOKUP(F478,'Message Mapping'!A:L,12,FALSE)</f>
        <v/>
      </c>
      <c r="K478" s="3" t="n"/>
      <c r="L478" s="3" t="n"/>
      <c r="M478" s="3" t="n"/>
      <c r="N478" s="3" t="n"/>
      <c r="O478" s="3" t="n"/>
      <c r="P478" s="3" t="n"/>
    </row>
    <row r="479">
      <c r="A479" s="94" t="inlineStr">
        <is>
          <t>FVF1</t>
        </is>
      </c>
      <c r="B479" s="2" t="inlineStr">
        <is>
          <t>FALHA VENTILACAO FORCADA 1</t>
        </is>
      </c>
      <c r="C479" s="2" t="inlineStr">
        <is>
          <t>Custom</t>
        </is>
      </c>
      <c r="D479" s="2" t="inlineStr">
        <is>
          <t>DEFEITOS</t>
        </is>
      </c>
      <c r="E479" s="2" t="inlineStr">
        <is>
          <t>Read</t>
        </is>
      </c>
      <c r="F479" s="2" t="inlineStr">
        <is>
          <t>null@null___NORMAL@FALHA___Custom_S_TS_SI</t>
        </is>
      </c>
      <c r="G479" s="2">
        <f>VLOOKUP(F479,'Message Mapping'!A:L,3,FALSE)</f>
        <v/>
      </c>
      <c r="H479" s="2">
        <f>VLOOKUP(F479,'Message Mapping'!A:L,4,FALSE)</f>
        <v/>
      </c>
      <c r="I479" s="2" t="n"/>
      <c r="J479" s="3">
        <f>VLOOKUP(F479,'Message Mapping'!A:L,12,FALSE)</f>
        <v/>
      </c>
      <c r="K479" s="3" t="n"/>
      <c r="L479" s="3" t="n"/>
      <c r="M479" s="3" t="n"/>
      <c r="N479" s="3" t="n"/>
      <c r="O479" s="3" t="n"/>
      <c r="P479" s="3" t="n"/>
    </row>
    <row r="480">
      <c r="A480" s="94" t="inlineStr">
        <is>
          <t>FVF2</t>
        </is>
      </c>
      <c r="B480" s="2" t="inlineStr">
        <is>
          <t>FALHA VENTILACAO FORCADA 2</t>
        </is>
      </c>
      <c r="C480" s="2" t="inlineStr">
        <is>
          <t>Custom</t>
        </is>
      </c>
      <c r="D480" s="2" t="inlineStr">
        <is>
          <t>DEFEITOS</t>
        </is>
      </c>
      <c r="E480" s="2" t="inlineStr">
        <is>
          <t>Read</t>
        </is>
      </c>
      <c r="F480" s="2" t="inlineStr">
        <is>
          <t>null@null___NORMAL@FALHA___Custom_S_TS_SI</t>
        </is>
      </c>
      <c r="G480" s="2">
        <f>VLOOKUP(F480,'Message Mapping'!A:L,3,FALSE)</f>
        <v/>
      </c>
      <c r="H480" s="2">
        <f>VLOOKUP(F480,'Message Mapping'!A:L,4,FALSE)</f>
        <v/>
      </c>
      <c r="I480" s="2" t="n"/>
      <c r="J480" s="3">
        <f>VLOOKUP(F480,'Message Mapping'!A:L,12,FALSE)</f>
        <v/>
      </c>
      <c r="K480" s="3" t="n"/>
      <c r="L480" s="3" t="n"/>
      <c r="M480" s="3" t="n"/>
      <c r="N480" s="3" t="n"/>
      <c r="O480" s="3" t="n"/>
      <c r="P480" s="3" t="n"/>
    </row>
    <row r="481">
      <c r="A481" s="94" t="inlineStr">
        <is>
          <t>ZHI</t>
        </is>
      </c>
      <c r="B481" s="2" t="inlineStr">
        <is>
          <t>FALTA ALTA IMPEDANCIA</t>
        </is>
      </c>
      <c r="C481" s="2" t="inlineStr">
        <is>
          <t>Custom</t>
        </is>
      </c>
      <c r="D481" s="2" t="inlineStr">
        <is>
          <t>PROT</t>
        </is>
      </c>
      <c r="E481" s="2" t="inlineStr">
        <is>
          <t>Read</t>
        </is>
      </c>
      <c r="F481" s="2" t="inlineStr">
        <is>
          <t>null@null___NORMAL@FALTA___Custom_S_TS_SA</t>
        </is>
      </c>
      <c r="G481" s="2">
        <f>VLOOKUP(F481,'Message Mapping'!A:L,3,FALSE)</f>
        <v/>
      </c>
      <c r="H481" s="2">
        <f>VLOOKUP(F481,'Message Mapping'!A:L,4,FALSE)</f>
        <v/>
      </c>
      <c r="I481" s="2" t="n"/>
      <c r="J481" s="3">
        <f>VLOOKUP(F481,'Message Mapping'!A:L,12,FALSE)</f>
        <v/>
      </c>
      <c r="K481" s="3" t="n"/>
      <c r="L481" s="3" t="n"/>
      <c r="M481" s="3" t="n"/>
      <c r="N481" s="3" t="n"/>
      <c r="O481" s="3" t="n"/>
      <c r="P481" s="3" t="n"/>
    </row>
    <row r="482">
      <c r="A482" s="94" t="inlineStr">
        <is>
          <t>ZLO</t>
        </is>
      </c>
      <c r="B482" s="2" t="inlineStr">
        <is>
          <t>FALTA BAIXA IMPEDANCIA</t>
        </is>
      </c>
      <c r="C482" s="2" t="inlineStr">
        <is>
          <t>Custom</t>
        </is>
      </c>
      <c r="D482" s="2" t="inlineStr">
        <is>
          <t>PROT</t>
        </is>
      </c>
      <c r="E482" s="2" t="inlineStr">
        <is>
          <t>Read</t>
        </is>
      </c>
      <c r="F482" s="2" t="inlineStr">
        <is>
          <t>null@null___NORMAL@FALTA___Custom_S_TS_SA</t>
        </is>
      </c>
      <c r="G482" s="2">
        <f>VLOOKUP(F482,'Message Mapping'!A:L,3,FALSE)</f>
        <v/>
      </c>
      <c r="H482" s="2">
        <f>VLOOKUP(F482,'Message Mapping'!A:L,4,FALSE)</f>
        <v/>
      </c>
      <c r="I482" s="2" t="n"/>
      <c r="J482" s="3">
        <f>VLOOKUP(F482,'Message Mapping'!A:L,12,FALSE)</f>
        <v/>
      </c>
      <c r="K482" s="3" t="n"/>
      <c r="L482" s="3" t="n"/>
      <c r="M482" s="3" t="n"/>
      <c r="N482" s="3" t="n"/>
      <c r="O482" s="3" t="n"/>
      <c r="P482" s="3" t="n"/>
    </row>
    <row r="483">
      <c r="A483" s="94" t="inlineStr">
        <is>
          <t>HIZ</t>
        </is>
      </c>
      <c r="B483" s="2" t="inlineStr">
        <is>
          <t>FALTA DE ALTA IMPEDANCIA</t>
        </is>
      </c>
      <c r="C483" s="2" t="inlineStr">
        <is>
          <t>Custom</t>
        </is>
      </c>
      <c r="D483" s="2" t="inlineStr">
        <is>
          <t>PROT</t>
        </is>
      </c>
      <c r="E483" s="2" t="inlineStr">
        <is>
          <t>Read</t>
        </is>
      </c>
      <c r="F483" s="2" t="inlineStr">
        <is>
          <t>null@null___NORMAL@FALTA___Custom_S_TS_SA</t>
        </is>
      </c>
      <c r="G483" s="2">
        <f>VLOOKUP(F483,'Message Mapping'!A:L,3,FALSE)</f>
        <v/>
      </c>
      <c r="H483" s="2">
        <f>VLOOKUP(F483,'Message Mapping'!A:L,4,FALSE)</f>
        <v/>
      </c>
      <c r="I483" s="2" t="n"/>
      <c r="J483" s="3">
        <f>VLOOKUP(F483,'Message Mapping'!A:L,12,FALSE)</f>
        <v/>
      </c>
      <c r="K483" s="3" t="n"/>
      <c r="L483" s="3" t="n"/>
      <c r="M483" s="3" t="n"/>
      <c r="N483" s="3" t="n"/>
      <c r="O483" s="3" t="n"/>
      <c r="P483" s="3" t="n"/>
    </row>
    <row r="484">
      <c r="A484" s="94" t="inlineStr">
        <is>
          <t>HIF1A</t>
        </is>
      </c>
      <c r="B484" s="2" t="inlineStr">
        <is>
          <t>FALTA DE ALTA IMPEDANCIA FASE A</t>
        </is>
      </c>
      <c r="C484" s="2" t="inlineStr">
        <is>
          <t>Custom</t>
        </is>
      </c>
      <c r="D484" s="2" t="inlineStr">
        <is>
          <t>PROT</t>
        </is>
      </c>
      <c r="E484" s="2" t="inlineStr">
        <is>
          <t>Read</t>
        </is>
      </c>
      <c r="F484" s="2" t="inlineStr">
        <is>
          <t>null@null___NORMAL@FALTA___Custom_S_TS_SA</t>
        </is>
      </c>
      <c r="G484" s="2">
        <f>VLOOKUP(F484,'Message Mapping'!A:L,3,FALSE)</f>
        <v/>
      </c>
      <c r="H484" s="2">
        <f>VLOOKUP(F484,'Message Mapping'!A:L,4,FALSE)</f>
        <v/>
      </c>
      <c r="I484" s="2" t="n"/>
      <c r="J484" s="3">
        <f>VLOOKUP(F484,'Message Mapping'!A:L,12,FALSE)</f>
        <v/>
      </c>
      <c r="K484" s="3" t="n"/>
      <c r="L484" s="3" t="n"/>
      <c r="M484" s="3" t="n"/>
      <c r="N484" s="3" t="n"/>
      <c r="O484" s="3" t="n"/>
      <c r="P484" s="3" t="n"/>
    </row>
    <row r="485">
      <c r="A485" s="94" t="inlineStr">
        <is>
          <t>HIF1B</t>
        </is>
      </c>
      <c r="B485" s="2" t="inlineStr">
        <is>
          <t>FALTA DE ALTA IMPEDANCIA FASE B</t>
        </is>
      </c>
      <c r="C485" s="2" t="inlineStr">
        <is>
          <t>Custom</t>
        </is>
      </c>
      <c r="D485" s="2" t="inlineStr">
        <is>
          <t>PROT</t>
        </is>
      </c>
      <c r="E485" s="2" t="inlineStr">
        <is>
          <t>Read</t>
        </is>
      </c>
      <c r="F485" s="2" t="inlineStr">
        <is>
          <t>null@null___NORMAL@FALTA___Custom_S_TS_SA</t>
        </is>
      </c>
      <c r="G485" s="2">
        <f>VLOOKUP(F485,'Message Mapping'!A:L,3,FALSE)</f>
        <v/>
      </c>
      <c r="H485" s="2">
        <f>VLOOKUP(F485,'Message Mapping'!A:L,4,FALSE)</f>
        <v/>
      </c>
      <c r="I485" s="2" t="n"/>
      <c r="J485" s="3">
        <f>VLOOKUP(F485,'Message Mapping'!A:L,12,FALSE)</f>
        <v/>
      </c>
      <c r="K485" s="3" t="n"/>
      <c r="L485" s="3" t="n"/>
      <c r="M485" s="3" t="n"/>
      <c r="N485" s="3" t="n"/>
      <c r="O485" s="3" t="n"/>
      <c r="P485" s="3" t="n"/>
    </row>
    <row r="486">
      <c r="A486" s="94" t="inlineStr">
        <is>
          <t>HIF1C</t>
        </is>
      </c>
      <c r="B486" s="2" t="inlineStr">
        <is>
          <t>FALTA DE ALTA IMPEDANCIA FASE C</t>
        </is>
      </c>
      <c r="C486" s="2" t="inlineStr">
        <is>
          <t>Custom</t>
        </is>
      </c>
      <c r="D486" s="2" t="inlineStr">
        <is>
          <t>PROT</t>
        </is>
      </c>
      <c r="E486" s="2" t="inlineStr">
        <is>
          <t>Read</t>
        </is>
      </c>
      <c r="F486" s="2" t="inlineStr">
        <is>
          <t>null@null___NORMAL@FALTA___Custom_S_TS_SA</t>
        </is>
      </c>
      <c r="G486" s="2">
        <f>VLOOKUP(F486,'Message Mapping'!A:L,3,FALSE)</f>
        <v/>
      </c>
      <c r="H486" s="2">
        <f>VLOOKUP(F486,'Message Mapping'!A:L,4,FALSE)</f>
        <v/>
      </c>
      <c r="I486" s="2" t="n"/>
      <c r="J486" s="3">
        <f>VLOOKUP(F486,'Message Mapping'!A:L,12,FALSE)</f>
        <v/>
      </c>
      <c r="K486" s="3" t="n"/>
      <c r="L486" s="3" t="n"/>
      <c r="M486" s="3" t="n"/>
      <c r="N486" s="3" t="n"/>
      <c r="O486" s="3" t="n"/>
      <c r="P486" s="3" t="n"/>
    </row>
    <row r="487">
      <c r="A487" s="94" t="inlineStr">
        <is>
          <t>FINT</t>
        </is>
      </c>
      <c r="B487" s="2" t="inlineStr">
        <is>
          <t>FALTA INTERMITENTE</t>
        </is>
      </c>
      <c r="C487" s="2" t="inlineStr">
        <is>
          <t>Custom</t>
        </is>
      </c>
      <c r="D487" s="2" t="inlineStr">
        <is>
          <t>PROT</t>
        </is>
      </c>
      <c r="E487" s="2" t="inlineStr">
        <is>
          <t>Read</t>
        </is>
      </c>
      <c r="F487" s="2" t="inlineStr">
        <is>
          <t>null@null___NORMAL@FALTA___Custom_S_TS_SA</t>
        </is>
      </c>
      <c r="G487" s="2">
        <f>VLOOKUP(F487,'Message Mapping'!A:L,3,FALSE)</f>
        <v/>
      </c>
      <c r="H487" s="2">
        <f>VLOOKUP(F487,'Message Mapping'!A:L,4,FALSE)</f>
        <v/>
      </c>
      <c r="I487" s="2" t="n"/>
      <c r="J487" s="3">
        <f>VLOOKUP(F487,'Message Mapping'!A:L,12,FALSE)</f>
        <v/>
      </c>
      <c r="K487" s="3" t="n"/>
      <c r="L487" s="3" t="n"/>
      <c r="M487" s="3" t="n"/>
      <c r="N487" s="3" t="n"/>
      <c r="O487" s="3" t="n"/>
      <c r="P487" s="3" t="n"/>
    </row>
    <row r="488">
      <c r="A488" s="94" t="inlineStr">
        <is>
          <t>FPBR</t>
        </is>
      </c>
      <c r="B488" s="2" t="inlineStr">
        <is>
          <t>FALTA POTENCIAL BARRA</t>
        </is>
      </c>
      <c r="C488" s="2" t="inlineStr">
        <is>
          <t>Custom</t>
        </is>
      </c>
      <c r="D488" s="2" t="inlineStr">
        <is>
          <t>FALHAS FCOM/VCA/VCC</t>
        </is>
      </c>
      <c r="E488" s="2" t="inlineStr">
        <is>
          <t>Read</t>
        </is>
      </c>
      <c r="F488" s="2" t="inlineStr">
        <is>
          <t>null@null___NORMAL@FALTA___Custom_S_TS_SB</t>
        </is>
      </c>
      <c r="G488" s="2">
        <f>VLOOKUP(F488,'Message Mapping'!A:L,3,FALSE)</f>
        <v/>
      </c>
      <c r="H488" s="2">
        <f>VLOOKUP(F488,'Message Mapping'!A:L,4,FALSE)</f>
        <v/>
      </c>
      <c r="I488" s="2" t="n"/>
      <c r="J488" s="3">
        <f>VLOOKUP(F488,'Message Mapping'!A:L,12,FALSE)</f>
        <v/>
      </c>
      <c r="K488" s="3" t="n"/>
      <c r="L488" s="3" t="n"/>
      <c r="M488" s="3" t="n"/>
      <c r="N488" s="3" t="n"/>
      <c r="O488" s="3" t="n"/>
      <c r="P488" s="3" t="n"/>
    </row>
    <row r="489">
      <c r="A489" s="94" t="inlineStr">
        <is>
          <t>FPP1</t>
        </is>
      </c>
      <c r="B489" s="2" t="inlineStr">
        <is>
          <t>FALTA POTENCIAL BARRA P1</t>
        </is>
      </c>
      <c r="C489" s="2" t="inlineStr">
        <is>
          <t>Custom</t>
        </is>
      </c>
      <c r="D489" s="2" t="inlineStr">
        <is>
          <t>FALHAS FCOM/VCA/VCC</t>
        </is>
      </c>
      <c r="E489" s="2" t="inlineStr">
        <is>
          <t>Read</t>
        </is>
      </c>
      <c r="F489" s="2" t="inlineStr">
        <is>
          <t>null@null___NORMAL@FALTA___Custom_S_TS_SB</t>
        </is>
      </c>
      <c r="G489" s="2">
        <f>VLOOKUP(F489,'Message Mapping'!A:L,3,FALSE)</f>
        <v/>
      </c>
      <c r="H489" s="2">
        <f>VLOOKUP(F489,'Message Mapping'!A:L,4,FALSE)</f>
        <v/>
      </c>
      <c r="I489" s="2" t="n"/>
      <c r="J489" s="3">
        <f>VLOOKUP(F489,'Message Mapping'!A:L,12,FALSE)</f>
        <v/>
      </c>
      <c r="K489" s="3" t="n"/>
      <c r="L489" s="3" t="n"/>
      <c r="M489" s="3" t="n"/>
      <c r="N489" s="3" t="n"/>
      <c r="O489" s="3" t="n"/>
      <c r="P489" s="3" t="n"/>
    </row>
    <row r="490">
      <c r="A490" s="94" t="inlineStr">
        <is>
          <t>FPP2</t>
        </is>
      </c>
      <c r="B490" s="2" t="inlineStr">
        <is>
          <t>FALTA POTENCIAL BARRA P2</t>
        </is>
      </c>
      <c r="C490" s="2" t="inlineStr">
        <is>
          <t>Custom</t>
        </is>
      </c>
      <c r="D490" s="2" t="inlineStr">
        <is>
          <t>FALHAS FCOM/VCA/VCC</t>
        </is>
      </c>
      <c r="E490" s="2" t="inlineStr">
        <is>
          <t>Read</t>
        </is>
      </c>
      <c r="F490" s="2" t="inlineStr">
        <is>
          <t>null@null___NORMAL@FALTA___Custom_S_TS_SB</t>
        </is>
      </c>
      <c r="G490" s="2">
        <f>VLOOKUP(F490,'Message Mapping'!A:L,3,FALSE)</f>
        <v/>
      </c>
      <c r="H490" s="2">
        <f>VLOOKUP(F490,'Message Mapping'!A:L,4,FALSE)</f>
        <v/>
      </c>
      <c r="I490" s="2" t="n"/>
      <c r="J490" s="3">
        <f>VLOOKUP(F490,'Message Mapping'!A:L,12,FALSE)</f>
        <v/>
      </c>
      <c r="K490" s="3" t="n"/>
      <c r="L490" s="3" t="n"/>
      <c r="M490" s="3" t="n"/>
      <c r="N490" s="3" t="n"/>
      <c r="O490" s="3" t="n"/>
      <c r="P490" s="3" t="n"/>
    </row>
    <row r="491">
      <c r="A491" s="94" t="inlineStr">
        <is>
          <t>FVLT</t>
        </is>
      </c>
      <c r="B491" s="2" t="inlineStr">
        <is>
          <t>FALTA POTENCIAL LT</t>
        </is>
      </c>
      <c r="C491" s="2" t="inlineStr">
        <is>
          <t>Custom</t>
        </is>
      </c>
      <c r="D491" s="2" t="inlineStr">
        <is>
          <t>FALHAS FCOM/VCA/VCC</t>
        </is>
      </c>
      <c r="E491" s="2" t="inlineStr">
        <is>
          <t>Read</t>
        </is>
      </c>
      <c r="F491" s="2" t="inlineStr">
        <is>
          <t>null@null___NORMAL@FALTA___Custom_S_TS_SB</t>
        </is>
      </c>
      <c r="G491" s="2">
        <f>VLOOKUP(F491,'Message Mapping'!A:L,3,FALSE)</f>
        <v/>
      </c>
      <c r="H491" s="2">
        <f>VLOOKUP(F491,'Message Mapping'!A:L,4,FALSE)</f>
        <v/>
      </c>
      <c r="I491" s="2" t="n"/>
      <c r="J491" s="3">
        <f>VLOOKUP(F491,'Message Mapping'!A:L,12,FALSE)</f>
        <v/>
      </c>
      <c r="K491" s="3" t="n"/>
      <c r="L491" s="3" t="n"/>
      <c r="M491" s="3" t="n"/>
      <c r="N491" s="3" t="n"/>
      <c r="O491" s="3" t="n"/>
      <c r="P491" s="3" t="n"/>
    </row>
    <row r="492">
      <c r="A492" s="94" t="inlineStr">
        <is>
          <t>VCAM</t>
        </is>
      </c>
      <c r="B492" s="2" t="inlineStr">
        <is>
          <t>FALTA VCA PAINEL MEDICAO</t>
        </is>
      </c>
      <c r="C492" s="2" t="inlineStr">
        <is>
          <t>Custom</t>
        </is>
      </c>
      <c r="D492" s="2" t="inlineStr">
        <is>
          <t>FALHAS FCOM/VCA/VCC</t>
        </is>
      </c>
      <c r="E492" s="2" t="inlineStr">
        <is>
          <t>Read</t>
        </is>
      </c>
      <c r="F492" s="2" t="inlineStr">
        <is>
          <t>null@null___NORMAL@FALTA___Custom_S_TS_SB</t>
        </is>
      </c>
      <c r="G492" s="2">
        <f>VLOOKUP(F492,'Message Mapping'!A:L,3,FALSE)</f>
        <v/>
      </c>
      <c r="H492" s="2">
        <f>VLOOKUP(F492,'Message Mapping'!A:L,4,FALSE)</f>
        <v/>
      </c>
      <c r="I492" s="2" t="n"/>
      <c r="J492" s="3">
        <f>VLOOKUP(F492,'Message Mapping'!A:L,12,FALSE)</f>
        <v/>
      </c>
      <c r="K492" s="3" t="n"/>
      <c r="L492" s="3" t="n"/>
      <c r="M492" s="3" t="n"/>
      <c r="N492" s="3" t="n"/>
      <c r="O492" s="3" t="n"/>
      <c r="P492" s="3" t="n"/>
    </row>
    <row r="493">
      <c r="A493" s="94" t="inlineStr">
        <is>
          <t>CAFL</t>
        </is>
      </c>
      <c r="B493" s="2" t="inlineStr">
        <is>
          <t>FALTA VCA</t>
        </is>
      </c>
      <c r="C493" s="2" t="inlineStr">
        <is>
          <t>Custom</t>
        </is>
      </c>
      <c r="D493" s="2" t="inlineStr">
        <is>
          <t>FALHAS FCOM/VCA/VCC</t>
        </is>
      </c>
      <c r="E493" s="2" t="inlineStr">
        <is>
          <t>Read</t>
        </is>
      </c>
      <c r="F493" s="2" t="inlineStr">
        <is>
          <t>null@null___NORMAL@FALTA___Custom_S_TS_SB</t>
        </is>
      </c>
      <c r="G493" s="2">
        <f>VLOOKUP(F493,'Message Mapping'!A:L,3,FALSE)</f>
        <v/>
      </c>
      <c r="H493" s="2">
        <f>VLOOKUP(F493,'Message Mapping'!A:L,4,FALSE)</f>
        <v/>
      </c>
      <c r="I493" s="2" t="n"/>
      <c r="J493" s="3">
        <f>VLOOKUP(F493,'Message Mapping'!A:L,12,FALSE)</f>
        <v/>
      </c>
      <c r="K493" s="3" t="n"/>
      <c r="L493" s="3" t="n"/>
      <c r="M493" s="3" t="n"/>
      <c r="N493" s="3" t="n"/>
      <c r="O493" s="3" t="n"/>
      <c r="P493" s="3" t="n"/>
    </row>
    <row r="494">
      <c r="A494" s="94" t="inlineStr">
        <is>
          <t>CACD</t>
        </is>
      </c>
      <c r="B494" s="2" t="inlineStr">
        <is>
          <t>FALTA VCA COMUTADOR</t>
        </is>
      </c>
      <c r="C494" s="2" t="inlineStr">
        <is>
          <t>Custom</t>
        </is>
      </c>
      <c r="D494" s="2" t="inlineStr">
        <is>
          <t>FALHAS FCOM/VCA/VCC</t>
        </is>
      </c>
      <c r="E494" s="2" t="inlineStr">
        <is>
          <t>Read</t>
        </is>
      </c>
      <c r="F494" s="2" t="inlineStr">
        <is>
          <t>null@null___NORMAL@FALTA___Custom_S_TS_SB</t>
        </is>
      </c>
      <c r="G494" s="2">
        <f>VLOOKUP(F494,'Message Mapping'!A:L,3,FALSE)</f>
        <v/>
      </c>
      <c r="H494" s="2">
        <f>VLOOKUP(F494,'Message Mapping'!A:L,4,FALSE)</f>
        <v/>
      </c>
      <c r="I494" s="2" t="n"/>
      <c r="J494" s="3">
        <f>VLOOKUP(F494,'Message Mapping'!A:L,12,FALSE)</f>
        <v/>
      </c>
      <c r="K494" s="3" t="n"/>
      <c r="L494" s="3" t="n"/>
      <c r="M494" s="3" t="n"/>
      <c r="N494" s="3" t="n"/>
      <c r="O494" s="3" t="n"/>
      <c r="P494" s="3" t="n"/>
    </row>
    <row r="495">
      <c r="A495" s="94" t="inlineStr">
        <is>
          <t>CACO</t>
        </is>
      </c>
      <c r="B495" s="2" t="inlineStr">
        <is>
          <t>FALTA VCA COMANDO</t>
        </is>
      </c>
      <c r="C495" s="2" t="inlineStr">
        <is>
          <t>Custom</t>
        </is>
      </c>
      <c r="D495" s="2" t="inlineStr">
        <is>
          <t>FALHAS FCOM/VCA/VCC</t>
        </is>
      </c>
      <c r="E495" s="2" t="inlineStr">
        <is>
          <t>Read</t>
        </is>
      </c>
      <c r="F495" s="2" t="inlineStr">
        <is>
          <t>null@null___NORMAL@FALTA___Custom_S_TS_SB</t>
        </is>
      </c>
      <c r="G495" s="2">
        <f>VLOOKUP(F495,'Message Mapping'!A:L,3,FALSE)</f>
        <v/>
      </c>
      <c r="H495" s="2">
        <f>VLOOKUP(F495,'Message Mapping'!A:L,4,FALSE)</f>
        <v/>
      </c>
      <c r="I495" s="2" t="n"/>
      <c r="J495" s="3">
        <f>VLOOKUP(F495,'Message Mapping'!A:L,12,FALSE)</f>
        <v/>
      </c>
      <c r="K495" s="3" t="n"/>
      <c r="L495" s="3" t="n"/>
      <c r="M495" s="3" t="n"/>
      <c r="N495" s="3" t="n"/>
      <c r="O495" s="3" t="n"/>
      <c r="P495" s="3" t="n"/>
    </row>
    <row r="496">
      <c r="A496" s="94" t="inlineStr">
        <is>
          <t>CAMO</t>
        </is>
      </c>
      <c r="B496" s="2" t="inlineStr">
        <is>
          <t>FALTA VCA MOTOR</t>
        </is>
      </c>
      <c r="C496" s="2" t="inlineStr">
        <is>
          <t>Custom</t>
        </is>
      </c>
      <c r="D496" s="2" t="inlineStr">
        <is>
          <t>FALHAS FCOM/VCA/VCC</t>
        </is>
      </c>
      <c r="E496" s="2" t="inlineStr">
        <is>
          <t>Read</t>
        </is>
      </c>
      <c r="F496" s="2" t="inlineStr">
        <is>
          <t>null@null___NORMAL@FALTA___Custom_S_TS_SB</t>
        </is>
      </c>
      <c r="G496" s="2">
        <f>VLOOKUP(F496,'Message Mapping'!A:L,3,FALSE)</f>
        <v/>
      </c>
      <c r="H496" s="2">
        <f>VLOOKUP(F496,'Message Mapping'!A:L,4,FALSE)</f>
        <v/>
      </c>
      <c r="I496" s="2" t="n"/>
      <c r="J496" s="3">
        <f>VLOOKUP(F496,'Message Mapping'!A:L,12,FALSE)</f>
        <v/>
      </c>
      <c r="K496" s="3" t="n"/>
      <c r="L496" s="3" t="n"/>
      <c r="M496" s="3" t="n"/>
      <c r="N496" s="3" t="n"/>
      <c r="O496" s="3" t="n"/>
      <c r="P496" s="3" t="n"/>
    </row>
    <row r="497">
      <c r="A497" s="94" t="inlineStr">
        <is>
          <t>CASC</t>
        </is>
      </c>
      <c r="B497" s="2" t="inlineStr">
        <is>
          <t>FALTA VCA SECCIONADORA</t>
        </is>
      </c>
      <c r="C497" s="2" t="inlineStr">
        <is>
          <t>Custom</t>
        </is>
      </c>
      <c r="D497" s="2" t="inlineStr">
        <is>
          <t>FALHAS FCOM/VCA/VCC</t>
        </is>
      </c>
      <c r="E497" s="2" t="inlineStr">
        <is>
          <t>Read</t>
        </is>
      </c>
      <c r="F497" s="2" t="inlineStr">
        <is>
          <t>null@null___NORMAL@FALTA___Custom_S_TS_SB</t>
        </is>
      </c>
      <c r="G497" s="2">
        <f>VLOOKUP(F497,'Message Mapping'!A:L,3,FALSE)</f>
        <v/>
      </c>
      <c r="H497" s="2">
        <f>VLOOKUP(F497,'Message Mapping'!A:L,4,FALSE)</f>
        <v/>
      </c>
      <c r="I497" s="2" t="n"/>
      <c r="J497" s="3">
        <f>VLOOKUP(F497,'Message Mapping'!A:L,12,FALSE)</f>
        <v/>
      </c>
      <c r="K497" s="3" t="n"/>
      <c r="L497" s="3" t="n"/>
      <c r="M497" s="3" t="n"/>
      <c r="N497" s="3" t="n"/>
      <c r="O497" s="3" t="n"/>
      <c r="P497" s="3" t="n"/>
    </row>
    <row r="498">
      <c r="A498" s="94" t="inlineStr">
        <is>
          <t>FVF3</t>
        </is>
      </c>
      <c r="B498" s="2" t="inlineStr">
        <is>
          <t>FALHA VENTILACAO FORCADA 3</t>
        </is>
      </c>
      <c r="C498" s="2" t="inlineStr">
        <is>
          <t>Custom</t>
        </is>
      </c>
      <c r="D498" s="2" t="inlineStr">
        <is>
          <t>DEFEITOS</t>
        </is>
      </c>
      <c r="E498" s="2" t="inlineStr">
        <is>
          <t>Read</t>
        </is>
      </c>
      <c r="F498" s="2" t="inlineStr">
        <is>
          <t>null@null___NORMAL@FALHA___Custom_S_TS_SI</t>
        </is>
      </c>
      <c r="G498" s="2">
        <f>VLOOKUP(F498,'Message Mapping'!A:L,3,FALSE)</f>
        <v/>
      </c>
      <c r="H498" s="2">
        <f>VLOOKUP(F498,'Message Mapping'!A:L,4,FALSE)</f>
        <v/>
      </c>
      <c r="I498" s="2" t="n"/>
      <c r="J498" s="3">
        <f>VLOOKUP(F498,'Message Mapping'!A:L,12,FALSE)</f>
        <v/>
      </c>
      <c r="K498" s="3" t="n"/>
      <c r="L498" s="3" t="n"/>
      <c r="M498" s="3" t="n"/>
      <c r="N498" s="3" t="n"/>
      <c r="O498" s="3" t="n"/>
      <c r="P498" s="3" t="n"/>
    </row>
    <row r="499">
      <c r="A499" s="94" t="inlineStr">
        <is>
          <t>FVF4</t>
        </is>
      </c>
      <c r="B499" s="2" t="inlineStr">
        <is>
          <t>FALHA VENTILACAO FORCADA 4</t>
        </is>
      </c>
      <c r="C499" s="2" t="inlineStr">
        <is>
          <t>Custom</t>
        </is>
      </c>
      <c r="D499" s="2" t="inlineStr">
        <is>
          <t>DEFEITOS</t>
        </is>
      </c>
      <c r="E499" s="2" t="inlineStr">
        <is>
          <t>Read</t>
        </is>
      </c>
      <c r="F499" s="2" t="inlineStr">
        <is>
          <t>null@null___NORMAL@FALHA___Custom_S_TS_SI</t>
        </is>
      </c>
      <c r="G499" s="2">
        <f>VLOOKUP(F499,'Message Mapping'!A:L,3,FALSE)</f>
        <v/>
      </c>
      <c r="H499" s="2">
        <f>VLOOKUP(F499,'Message Mapping'!A:L,4,FALSE)</f>
        <v/>
      </c>
      <c r="I499" s="2" t="n"/>
      <c r="J499" s="3">
        <f>VLOOKUP(F499,'Message Mapping'!A:L,12,FALSE)</f>
        <v/>
      </c>
      <c r="K499" s="3" t="n"/>
      <c r="L499" s="3" t="n"/>
      <c r="M499" s="3" t="n"/>
      <c r="N499" s="3" t="n"/>
      <c r="O499" s="3" t="n"/>
      <c r="P499" s="3" t="n"/>
    </row>
    <row r="500">
      <c r="A500" s="94" t="inlineStr">
        <is>
          <t>VFTP</t>
        </is>
      </c>
      <c r="B500" s="2" t="inlineStr">
        <is>
          <t>TRIP FALHA REFRIGERACAO</t>
        </is>
      </c>
      <c r="C500" s="2" t="inlineStr">
        <is>
          <t>Custom</t>
        </is>
      </c>
      <c r="D500" s="2" t="inlineStr">
        <is>
          <t>DEFEITOS</t>
        </is>
      </c>
      <c r="E500" s="2" t="inlineStr">
        <is>
          <t>Read</t>
        </is>
      </c>
      <c r="F500" s="2" t="inlineStr">
        <is>
          <t>null@null___NORMAL@FALHA___Custom_S_TS_SI</t>
        </is>
      </c>
      <c r="G500" s="2">
        <f>VLOOKUP(F500,'Message Mapping'!A:L,3,FALSE)</f>
        <v/>
      </c>
      <c r="H500" s="2">
        <f>VLOOKUP(F500,'Message Mapping'!A:L,4,FALSE)</f>
        <v/>
      </c>
      <c r="I500" s="2" t="n"/>
      <c r="J500" s="3">
        <f>VLOOKUP(F500,'Message Mapping'!A:L,12,FALSE)</f>
        <v/>
      </c>
      <c r="K500" s="3" t="n"/>
      <c r="L500" s="3" t="n"/>
      <c r="M500" s="3" t="n"/>
      <c r="N500" s="3" t="n"/>
      <c r="O500" s="3" t="n"/>
      <c r="P500" s="3" t="n"/>
    </row>
    <row r="501">
      <c r="A501" s="94" t="inlineStr">
        <is>
          <t>CAVF</t>
        </is>
      </c>
      <c r="B501" s="2" t="inlineStr">
        <is>
          <t>FALTA VCA VENTILACAO FORCADA</t>
        </is>
      </c>
      <c r="C501" s="2" t="inlineStr">
        <is>
          <t>Custom</t>
        </is>
      </c>
      <c r="D501" s="2" t="inlineStr">
        <is>
          <t>FALHAS FCOM/VCA/VCC</t>
        </is>
      </c>
      <c r="E501" s="2" t="inlineStr">
        <is>
          <t>Read</t>
        </is>
      </c>
      <c r="F501" s="2" t="inlineStr">
        <is>
          <t>null@null___NORMAL@FALTA___Custom_S_TS_SB</t>
        </is>
      </c>
      <c r="G501" s="2">
        <f>VLOOKUP(F501,'Message Mapping'!A:L,3,FALSE)</f>
        <v/>
      </c>
      <c r="H501" s="2">
        <f>VLOOKUP(F501,'Message Mapping'!A:L,4,FALSE)</f>
        <v/>
      </c>
      <c r="I501" s="2" t="n"/>
      <c r="J501" s="3">
        <f>VLOOKUP(F501,'Message Mapping'!A:L,12,FALSE)</f>
        <v/>
      </c>
      <c r="K501" s="3" t="n"/>
      <c r="L501" s="3" t="n"/>
      <c r="M501" s="3" t="n"/>
      <c r="N501" s="3" t="n"/>
      <c r="O501" s="3" t="n"/>
      <c r="P501" s="3" t="n"/>
    </row>
    <row r="502">
      <c r="A502" s="94" t="inlineStr">
        <is>
          <t>CCFL</t>
        </is>
      </c>
      <c r="B502" s="2" t="inlineStr">
        <is>
          <t>FALTA VCC</t>
        </is>
      </c>
      <c r="C502" s="2" t="inlineStr">
        <is>
          <t>Custom</t>
        </is>
      </c>
      <c r="D502" s="2" t="inlineStr">
        <is>
          <t>FALHAS FCOM/VCA/VCC</t>
        </is>
      </c>
      <c r="E502" s="2" t="inlineStr">
        <is>
          <t>Read</t>
        </is>
      </c>
      <c r="F502" s="2" t="inlineStr">
        <is>
          <t>null@null___NORMAL@FALTA___Custom_S_TS_SB</t>
        </is>
      </c>
      <c r="G502" s="2">
        <f>VLOOKUP(F502,'Message Mapping'!A:L,3,FALSE)</f>
        <v/>
      </c>
      <c r="H502" s="2">
        <f>VLOOKUP(F502,'Message Mapping'!A:L,4,FALSE)</f>
        <v/>
      </c>
      <c r="I502" s="2" t="n"/>
      <c r="J502" s="3">
        <f>VLOOKUP(F502,'Message Mapping'!A:L,12,FALSE)</f>
        <v/>
      </c>
      <c r="K502" s="3" t="n"/>
      <c r="L502" s="3" t="n"/>
      <c r="M502" s="3" t="n"/>
      <c r="N502" s="3" t="n"/>
      <c r="O502" s="3" t="n"/>
      <c r="P502" s="3" t="n"/>
    </row>
    <row r="503">
      <c r="A503" s="94" t="inlineStr">
        <is>
          <t>CCAB</t>
        </is>
      </c>
      <c r="B503" s="2" t="inlineStr">
        <is>
          <t>FALTA VCC CIRCUITO ABERTURA</t>
        </is>
      </c>
      <c r="C503" s="2" t="inlineStr">
        <is>
          <t>Custom</t>
        </is>
      </c>
      <c r="D503" s="2" t="inlineStr">
        <is>
          <t>FALHAS FCOM/VCA/VCC</t>
        </is>
      </c>
      <c r="E503" s="2" t="inlineStr">
        <is>
          <t>Read</t>
        </is>
      </c>
      <c r="F503" s="2" t="inlineStr">
        <is>
          <t>null@null___NORMAL@FALTA___Custom_S_TS_SB</t>
        </is>
      </c>
      <c r="G503" s="2">
        <f>VLOOKUP(F503,'Message Mapping'!A:L,3,FALSE)</f>
        <v/>
      </c>
      <c r="H503" s="2">
        <f>VLOOKUP(F503,'Message Mapping'!A:L,4,FALSE)</f>
        <v/>
      </c>
      <c r="I503" s="2" t="n"/>
      <c r="J503" s="3">
        <f>VLOOKUP(F503,'Message Mapping'!A:L,12,FALSE)</f>
        <v/>
      </c>
      <c r="K503" s="3" t="n"/>
      <c r="L503" s="3" t="n"/>
      <c r="M503" s="3" t="n"/>
      <c r="N503" s="3" t="n"/>
      <c r="O503" s="3" t="n"/>
      <c r="P503" s="3" t="n"/>
    </row>
    <row r="504">
      <c r="A504" s="94" t="inlineStr">
        <is>
          <t>CCA1</t>
        </is>
      </c>
      <c r="B504" s="2" t="inlineStr">
        <is>
          <t>FALTA VCC CIRCUITO ABERTURA 1</t>
        </is>
      </c>
      <c r="C504" s="2" t="inlineStr">
        <is>
          <t>Custom</t>
        </is>
      </c>
      <c r="D504" s="2" t="inlineStr">
        <is>
          <t>FALHAS FCOM/VCA/VCC</t>
        </is>
      </c>
      <c r="E504" s="2" t="inlineStr">
        <is>
          <t>Read</t>
        </is>
      </c>
      <c r="F504" s="2" t="inlineStr">
        <is>
          <t>null@null___NORMAL@FALTA___Custom_S_TS_SB</t>
        </is>
      </c>
      <c r="G504" s="2">
        <f>VLOOKUP(F504,'Message Mapping'!A:L,3,FALSE)</f>
        <v/>
      </c>
      <c r="H504" s="2">
        <f>VLOOKUP(F504,'Message Mapping'!A:L,4,FALSE)</f>
        <v/>
      </c>
      <c r="I504" s="2" t="n"/>
      <c r="J504" s="3">
        <f>VLOOKUP(F504,'Message Mapping'!A:L,12,FALSE)</f>
        <v/>
      </c>
      <c r="K504" s="3" t="n"/>
      <c r="L504" s="3" t="n"/>
      <c r="M504" s="3" t="n"/>
      <c r="N504" s="3" t="n"/>
      <c r="O504" s="3" t="n"/>
      <c r="P504" s="3" t="n"/>
    </row>
    <row r="505">
      <c r="A505" s="94" t="inlineStr">
        <is>
          <t>CCA2</t>
        </is>
      </c>
      <c r="B505" s="2" t="inlineStr">
        <is>
          <t>FALTA VCC CIRCUITO ABERTURA 2</t>
        </is>
      </c>
      <c r="C505" s="2" t="inlineStr">
        <is>
          <t>Custom</t>
        </is>
      </c>
      <c r="D505" s="2" t="inlineStr">
        <is>
          <t>FALHAS FCOM/VCA/VCC</t>
        </is>
      </c>
      <c r="E505" s="2" t="inlineStr">
        <is>
          <t>Read</t>
        </is>
      </c>
      <c r="F505" s="2" t="inlineStr">
        <is>
          <t>null@null___NORMAL@FALTA___Custom_S_TS_SB</t>
        </is>
      </c>
      <c r="G505" s="2">
        <f>VLOOKUP(F505,'Message Mapping'!A:L,3,FALSE)</f>
        <v/>
      </c>
      <c r="H505" s="2">
        <f>VLOOKUP(F505,'Message Mapping'!A:L,4,FALSE)</f>
        <v/>
      </c>
      <c r="I505" s="2" t="n"/>
      <c r="J505" s="3">
        <f>VLOOKUP(F505,'Message Mapping'!A:L,12,FALSE)</f>
        <v/>
      </c>
      <c r="K505" s="3" t="n"/>
      <c r="L505" s="3" t="n"/>
      <c r="M505" s="3" t="n"/>
      <c r="N505" s="3" t="n"/>
      <c r="O505" s="3" t="n"/>
      <c r="P505" s="3" t="n"/>
    </row>
    <row r="506">
      <c r="A506" s="94" t="inlineStr">
        <is>
          <t>CCFC</t>
        </is>
      </c>
      <c r="B506" s="2" t="inlineStr">
        <is>
          <t>FALTA VCC CIRCUITO FECHAMENTO</t>
        </is>
      </c>
      <c r="C506" s="2" t="inlineStr">
        <is>
          <t>Custom</t>
        </is>
      </c>
      <c r="D506" s="2" t="inlineStr">
        <is>
          <t>FALHAS FCOM/VCA/VCC</t>
        </is>
      </c>
      <c r="E506" s="2" t="inlineStr">
        <is>
          <t>Read</t>
        </is>
      </c>
      <c r="F506" s="2" t="inlineStr">
        <is>
          <t>null@null___NORMAL@FALTA___Custom_S_TS_SB</t>
        </is>
      </c>
      <c r="G506" s="2">
        <f>VLOOKUP(F506,'Message Mapping'!A:L,3,FALSE)</f>
        <v/>
      </c>
      <c r="H506" s="2">
        <f>VLOOKUP(F506,'Message Mapping'!A:L,4,FALSE)</f>
        <v/>
      </c>
      <c r="I506" s="2" t="n"/>
      <c r="J506" s="3">
        <f>VLOOKUP(F506,'Message Mapping'!A:L,12,FALSE)</f>
        <v/>
      </c>
      <c r="K506" s="3" t="n"/>
      <c r="L506" s="3" t="n"/>
      <c r="M506" s="3" t="n"/>
      <c r="N506" s="3" t="n"/>
      <c r="O506" s="3" t="n"/>
      <c r="P506" s="3" t="n"/>
    </row>
    <row r="507">
      <c r="A507" s="94" t="inlineStr">
        <is>
          <t>86CC</t>
        </is>
      </c>
      <c r="B507" s="2" t="inlineStr">
        <is>
          <t>FALTA VCC CIRCUITO RELE 86</t>
        </is>
      </c>
      <c r="C507" s="2" t="inlineStr">
        <is>
          <t>Custom</t>
        </is>
      </c>
      <c r="D507" s="2" t="inlineStr">
        <is>
          <t>FALHAS FCOM/VCA/VCC</t>
        </is>
      </c>
      <c r="E507" s="2" t="inlineStr">
        <is>
          <t>Read</t>
        </is>
      </c>
      <c r="F507" s="2" t="inlineStr">
        <is>
          <t>null@null___NORMAL@FALTA___Custom_S_TS_SB</t>
        </is>
      </c>
      <c r="G507" s="2">
        <f>VLOOKUP(F507,'Message Mapping'!A:L,3,FALSE)</f>
        <v/>
      </c>
      <c r="H507" s="2">
        <f>VLOOKUP(F507,'Message Mapping'!A:L,4,FALSE)</f>
        <v/>
      </c>
      <c r="I507" s="2" t="n"/>
      <c r="J507" s="3">
        <f>VLOOKUP(F507,'Message Mapping'!A:L,12,FALSE)</f>
        <v/>
      </c>
      <c r="K507" s="3" t="n"/>
      <c r="L507" s="3" t="n"/>
      <c r="M507" s="3" t="n"/>
      <c r="N507" s="3" t="n"/>
      <c r="O507" s="3" t="n"/>
      <c r="P507" s="3" t="n"/>
    </row>
    <row r="508">
      <c r="A508" s="94" t="inlineStr">
        <is>
          <t>CCCO</t>
        </is>
      </c>
      <c r="B508" s="2" t="inlineStr">
        <is>
          <t>FALTA VCC COMANDO</t>
        </is>
      </c>
      <c r="C508" s="2" t="inlineStr">
        <is>
          <t>Custom</t>
        </is>
      </c>
      <c r="D508" s="2" t="inlineStr">
        <is>
          <t>FALHAS FCOM/VCA/VCC</t>
        </is>
      </c>
      <c r="E508" s="2" t="inlineStr">
        <is>
          <t>Read</t>
        </is>
      </c>
      <c r="F508" s="2" t="inlineStr">
        <is>
          <t>null@null___NORMAL@FALTA___Custom_S_TS_SB</t>
        </is>
      </c>
      <c r="G508" s="2">
        <f>VLOOKUP(F508,'Message Mapping'!A:L,3,FALSE)</f>
        <v/>
      </c>
      <c r="H508" s="2">
        <f>VLOOKUP(F508,'Message Mapping'!A:L,4,FALSE)</f>
        <v/>
      </c>
      <c r="I508" s="2" t="n"/>
      <c r="J508" s="3">
        <f>VLOOKUP(F508,'Message Mapping'!A:L,12,FALSE)</f>
        <v/>
      </c>
      <c r="K508" s="3" t="n"/>
      <c r="L508" s="3" t="n"/>
      <c r="M508" s="3" t="n"/>
      <c r="N508" s="3" t="n"/>
      <c r="O508" s="3" t="n"/>
      <c r="P508" s="3" t="n"/>
    </row>
    <row r="509">
      <c r="A509" s="94" t="inlineStr">
        <is>
          <t>CCC1</t>
        </is>
      </c>
      <c r="B509" s="2" t="inlineStr">
        <is>
          <t>FALTA VCC COMANDO 1</t>
        </is>
      </c>
      <c r="C509" s="2" t="inlineStr">
        <is>
          <t>Custom</t>
        </is>
      </c>
      <c r="D509" s="2" t="inlineStr">
        <is>
          <t>FALHAS FCOM/VCA/VCC</t>
        </is>
      </c>
      <c r="E509" s="2" t="inlineStr">
        <is>
          <t>Read</t>
        </is>
      </c>
      <c r="F509" s="2" t="inlineStr">
        <is>
          <t>null@null___NORMAL@FALTA___Custom_S_TS_SB</t>
        </is>
      </c>
      <c r="G509" s="2">
        <f>VLOOKUP(F509,'Message Mapping'!A:L,3,FALSE)</f>
        <v/>
      </c>
      <c r="H509" s="2">
        <f>VLOOKUP(F509,'Message Mapping'!A:L,4,FALSE)</f>
        <v/>
      </c>
      <c r="I509" s="2" t="n"/>
      <c r="J509" s="3">
        <f>VLOOKUP(F509,'Message Mapping'!A:L,12,FALSE)</f>
        <v/>
      </c>
      <c r="K509" s="3" t="n"/>
      <c r="L509" s="3" t="n"/>
      <c r="M509" s="3" t="n"/>
      <c r="N509" s="3" t="n"/>
      <c r="O509" s="3" t="n"/>
      <c r="P509" s="3" t="n"/>
    </row>
    <row r="510">
      <c r="A510" s="94" t="inlineStr">
        <is>
          <t>CCC2</t>
        </is>
      </c>
      <c r="B510" s="2" t="inlineStr">
        <is>
          <t>FALTA VCC COMANDO 2</t>
        </is>
      </c>
      <c r="C510" s="2" t="inlineStr">
        <is>
          <t>Custom</t>
        </is>
      </c>
      <c r="D510" s="2" t="inlineStr">
        <is>
          <t>FALHAS FCOM/VCA/VCC</t>
        </is>
      </c>
      <c r="E510" s="2" t="inlineStr">
        <is>
          <t>Read</t>
        </is>
      </c>
      <c r="F510" s="2" t="inlineStr">
        <is>
          <t>null@null___NORMAL@FALTA___Custom_S_TS_SB</t>
        </is>
      </c>
      <c r="G510" s="2">
        <f>VLOOKUP(F510,'Message Mapping'!A:L,3,FALSE)</f>
        <v/>
      </c>
      <c r="H510" s="2">
        <f>VLOOKUP(F510,'Message Mapping'!A:L,4,FALSE)</f>
        <v/>
      </c>
      <c r="I510" s="2" t="n"/>
      <c r="J510" s="3">
        <f>VLOOKUP(F510,'Message Mapping'!A:L,12,FALSE)</f>
        <v/>
      </c>
      <c r="K510" s="3" t="n"/>
      <c r="L510" s="3" t="n"/>
      <c r="M510" s="3" t="n"/>
      <c r="N510" s="3" t="n"/>
      <c r="O510" s="3" t="n"/>
      <c r="P510" s="3" t="n"/>
    </row>
    <row r="511">
      <c r="A511" s="94" t="inlineStr">
        <is>
          <t>CCCM</t>
        </is>
      </c>
      <c r="B511" s="2" t="inlineStr">
        <is>
          <t>FALTA VCC COMANDO MOTOR</t>
        </is>
      </c>
      <c r="C511" s="2" t="inlineStr">
        <is>
          <t>Custom</t>
        </is>
      </c>
      <c r="D511" s="2" t="inlineStr">
        <is>
          <t>FALHAS FCOM/VCA/VCC</t>
        </is>
      </c>
      <c r="E511" s="2" t="inlineStr">
        <is>
          <t>Read</t>
        </is>
      </c>
      <c r="F511" s="2" t="inlineStr">
        <is>
          <t>null@null___NORMAL@FALTA___Custom_S_TS_SB</t>
        </is>
      </c>
      <c r="G511" s="2">
        <f>VLOOKUP(F511,'Message Mapping'!A:L,3,FALSE)</f>
        <v/>
      </c>
      <c r="H511" s="2">
        <f>VLOOKUP(F511,'Message Mapping'!A:L,4,FALSE)</f>
        <v/>
      </c>
      <c r="I511" s="2" t="n"/>
      <c r="J511" s="3">
        <f>VLOOKUP(F511,'Message Mapping'!A:L,12,FALSE)</f>
        <v/>
      </c>
      <c r="K511" s="3" t="n"/>
      <c r="L511" s="3" t="n"/>
      <c r="M511" s="3" t="n"/>
      <c r="N511" s="3" t="n"/>
      <c r="O511" s="3" t="n"/>
      <c r="P511" s="3" t="n"/>
    </row>
    <row r="512">
      <c r="A512" s="94" t="inlineStr">
        <is>
          <t>CCMO</t>
        </is>
      </c>
      <c r="B512" s="2" t="inlineStr">
        <is>
          <t>FALTA VCC MOTOR</t>
        </is>
      </c>
      <c r="C512" s="2" t="inlineStr">
        <is>
          <t>Custom</t>
        </is>
      </c>
      <c r="D512" s="2" t="inlineStr">
        <is>
          <t>FALHAS FCOM/VCA/VCC</t>
        </is>
      </c>
      <c r="E512" s="2" t="inlineStr">
        <is>
          <t>Read</t>
        </is>
      </c>
      <c r="F512" s="2" t="inlineStr">
        <is>
          <t>null@null___NORMAL@FALTA___Custom_S_TS_SB</t>
        </is>
      </c>
      <c r="G512" s="2">
        <f>VLOOKUP(F512,'Message Mapping'!A:L,3,FALSE)</f>
        <v/>
      </c>
      <c r="H512" s="2">
        <f>VLOOKUP(F512,'Message Mapping'!A:L,4,FALSE)</f>
        <v/>
      </c>
      <c r="I512" s="2" t="n"/>
      <c r="J512" s="3">
        <f>VLOOKUP(F512,'Message Mapping'!A:L,12,FALSE)</f>
        <v/>
      </c>
      <c r="K512" s="3" t="n"/>
      <c r="L512" s="3" t="n"/>
      <c r="M512" s="3" t="n"/>
      <c r="N512" s="3" t="n"/>
      <c r="O512" s="3" t="n"/>
      <c r="P512" s="3" t="n"/>
    </row>
    <row r="513">
      <c r="A513" s="94" t="inlineStr">
        <is>
          <t>CCPN</t>
        </is>
      </c>
      <c r="B513" s="2" t="inlineStr">
        <is>
          <t>FALTA VCC PAINEL</t>
        </is>
      </c>
      <c r="C513" s="2" t="inlineStr">
        <is>
          <t>Custom</t>
        </is>
      </c>
      <c r="D513" s="2" t="inlineStr">
        <is>
          <t>FALHAS FCOM/VCA/VCC</t>
        </is>
      </c>
      <c r="E513" s="2" t="inlineStr">
        <is>
          <t>Read</t>
        </is>
      </c>
      <c r="F513" s="2" t="inlineStr">
        <is>
          <t>null@null___NORMAL@FALTA___Custom_S_TS_SB</t>
        </is>
      </c>
      <c r="G513" s="2">
        <f>VLOOKUP(F513,'Message Mapping'!A:L,3,FALSE)</f>
        <v/>
      </c>
      <c r="H513" s="2">
        <f>VLOOKUP(F513,'Message Mapping'!A:L,4,FALSE)</f>
        <v/>
      </c>
      <c r="I513" s="2" t="n"/>
      <c r="J513" s="3">
        <f>VLOOKUP(F513,'Message Mapping'!A:L,12,FALSE)</f>
        <v/>
      </c>
      <c r="K513" s="3" t="n"/>
      <c r="L513" s="3" t="n"/>
      <c r="M513" s="3" t="n"/>
      <c r="N513" s="3" t="n"/>
      <c r="O513" s="3" t="n"/>
      <c r="P513" s="3" t="n"/>
    </row>
    <row r="514">
      <c r="A514" s="94" t="inlineStr">
        <is>
          <t>CCSC</t>
        </is>
      </c>
      <c r="B514" s="2" t="inlineStr">
        <is>
          <t>FALTA VCC SECCIONADORA</t>
        </is>
      </c>
      <c r="C514" s="2" t="inlineStr">
        <is>
          <t>Custom</t>
        </is>
      </c>
      <c r="D514" s="2" t="inlineStr">
        <is>
          <t>FALHAS FCOM/VCA/VCC</t>
        </is>
      </c>
      <c r="E514" s="2" t="inlineStr">
        <is>
          <t>Read</t>
        </is>
      </c>
      <c r="F514" s="2" t="inlineStr">
        <is>
          <t>null@null___NORMAL@FALTA___Custom_S_TS_SB</t>
        </is>
      </c>
      <c r="G514" s="2">
        <f>VLOOKUP(F514,'Message Mapping'!A:L,3,FALSE)</f>
        <v/>
      </c>
      <c r="H514" s="2">
        <f>VLOOKUP(F514,'Message Mapping'!A:L,4,FALSE)</f>
        <v/>
      </c>
      <c r="I514" s="2" t="n"/>
      <c r="J514" s="3">
        <f>VLOOKUP(F514,'Message Mapping'!A:L,12,FALSE)</f>
        <v/>
      </c>
      <c r="K514" s="3" t="n"/>
      <c r="L514" s="3" t="n"/>
      <c r="M514" s="3" t="n"/>
      <c r="N514" s="3" t="n"/>
      <c r="O514" s="3" t="n"/>
      <c r="P514" s="3" t="n"/>
    </row>
    <row r="515">
      <c r="A515" s="94" t="inlineStr">
        <is>
          <t>CCCA</t>
        </is>
      </c>
      <c r="B515" s="2" t="inlineStr">
        <is>
          <t>FALTA VCC VCA</t>
        </is>
      </c>
      <c r="C515" s="2" t="inlineStr">
        <is>
          <t>Custom</t>
        </is>
      </c>
      <c r="D515" s="2" t="inlineStr">
        <is>
          <t>FALHAS FCOM/VCA/VCC</t>
        </is>
      </c>
      <c r="E515" s="2" t="inlineStr">
        <is>
          <t>Read</t>
        </is>
      </c>
      <c r="F515" s="2" t="inlineStr">
        <is>
          <t>null@null___NORMAL@FALTA___Custom_S_TS_SB</t>
        </is>
      </c>
      <c r="G515" s="2">
        <f>VLOOKUP(F515,'Message Mapping'!A:L,3,FALSE)</f>
        <v/>
      </c>
      <c r="H515" s="2">
        <f>VLOOKUP(F515,'Message Mapping'!A:L,4,FALSE)</f>
        <v/>
      </c>
      <c r="I515" s="2" t="n"/>
      <c r="J515" s="3">
        <f>VLOOKUP(F515,'Message Mapping'!A:L,12,FALSE)</f>
        <v/>
      </c>
      <c r="K515" s="3" t="n"/>
      <c r="L515" s="3" t="n"/>
      <c r="M515" s="3" t="n"/>
      <c r="N515" s="3" t="n"/>
      <c r="O515" s="3" t="n"/>
      <c r="P515" s="3" t="n"/>
    </row>
    <row r="516">
      <c r="A516" s="94" t="inlineStr">
        <is>
          <t>MCCA</t>
        </is>
      </c>
      <c r="B516" s="2" t="inlineStr">
        <is>
          <t>FALTA VCC VCA MOLA</t>
        </is>
      </c>
      <c r="C516" s="2" t="inlineStr">
        <is>
          <t>Custom</t>
        </is>
      </c>
      <c r="D516" s="2" t="inlineStr">
        <is>
          <t>FALHAS FCOM/VCA/VCC</t>
        </is>
      </c>
      <c r="E516" s="2" t="inlineStr">
        <is>
          <t>Read</t>
        </is>
      </c>
      <c r="F516" s="2" t="inlineStr">
        <is>
          <t>null@null___NORMAL@FALTA___Custom_S_TS_SB</t>
        </is>
      </c>
      <c r="G516" s="2">
        <f>VLOOKUP(F516,'Message Mapping'!A:L,3,FALSE)</f>
        <v/>
      </c>
      <c r="H516" s="2">
        <f>VLOOKUP(F516,'Message Mapping'!A:L,4,FALSE)</f>
        <v/>
      </c>
      <c r="I516" s="2" t="n"/>
      <c r="J516" s="3">
        <f>VLOOKUP(F516,'Message Mapping'!A:L,12,FALSE)</f>
        <v/>
      </c>
      <c r="K516" s="3" t="n"/>
      <c r="L516" s="3" t="n"/>
      <c r="M516" s="3" t="n"/>
      <c r="N516" s="3" t="n"/>
      <c r="O516" s="3" t="n"/>
      <c r="P516" s="3" t="n"/>
    </row>
    <row r="517">
      <c r="A517" s="94" t="inlineStr">
        <is>
          <t>VMTC</t>
        </is>
      </c>
      <c r="B517" s="2" t="inlineStr">
        <is>
          <t>FALTA VCC VCA MOTOR COMANDO</t>
        </is>
      </c>
      <c r="C517" s="2" t="inlineStr">
        <is>
          <t>Custom</t>
        </is>
      </c>
      <c r="D517" s="2" t="inlineStr">
        <is>
          <t>FALHAS FCOM/VCA/VCC</t>
        </is>
      </c>
      <c r="E517" s="2" t="inlineStr">
        <is>
          <t>Read</t>
        </is>
      </c>
      <c r="F517" s="2" t="inlineStr">
        <is>
          <t>null@null___NORMAL@FALTA___Custom_S_TS_SB</t>
        </is>
      </c>
      <c r="G517" s="2">
        <f>VLOOKUP(F517,'Message Mapping'!A:L,3,FALSE)</f>
        <v/>
      </c>
      <c r="H517" s="2">
        <f>VLOOKUP(F517,'Message Mapping'!A:L,4,FALSE)</f>
        <v/>
      </c>
      <c r="I517" s="2" t="n"/>
      <c r="J517" s="3">
        <f>VLOOKUP(F517,'Message Mapping'!A:L,12,FALSE)</f>
        <v/>
      </c>
      <c r="K517" s="3" t="n"/>
      <c r="L517" s="3" t="n"/>
      <c r="M517" s="3" t="n"/>
      <c r="N517" s="3" t="n"/>
      <c r="O517" s="3" t="n"/>
      <c r="P517" s="3" t="n"/>
    </row>
    <row r="518">
      <c r="A518" s="94" t="inlineStr">
        <is>
          <t>FA</t>
        </is>
      </c>
      <c r="B518" s="2" t="inlineStr">
        <is>
          <t>FASE A</t>
        </is>
      </c>
      <c r="C518" s="2" t="inlineStr">
        <is>
          <t>RelayTrip</t>
        </is>
      </c>
      <c r="D518" s="2" t="inlineStr">
        <is>
          <t>PROT</t>
        </is>
      </c>
      <c r="E518" s="2" t="inlineStr">
        <is>
          <t>Read</t>
        </is>
      </c>
      <c r="F518" s="2" t="inlineStr">
        <is>
          <t>null@null___NORMAL@ATUADO___RelayTrip_S_TS_SA</t>
        </is>
      </c>
      <c r="G518" s="2">
        <f>VLOOKUP(F518,'Message Mapping'!A:L,3,FALSE)</f>
        <v/>
      </c>
      <c r="H518" s="2">
        <f>VLOOKUP(F518,'Message Mapping'!A:L,4,FALSE)</f>
        <v/>
      </c>
      <c r="I518" s="2" t="n"/>
      <c r="J518" s="3">
        <f>VLOOKUP(F518,'Message Mapping'!A:L,12,FALSE)</f>
        <v/>
      </c>
      <c r="K518" s="3" t="n"/>
      <c r="L518" s="3" t="n"/>
      <c r="M518" s="3" t="n"/>
      <c r="N518" s="3" t="n"/>
      <c r="O518" s="3" t="n"/>
      <c r="P518" s="3" t="n"/>
    </row>
    <row r="519">
      <c r="A519" s="94" t="inlineStr">
        <is>
          <t>FB</t>
        </is>
      </c>
      <c r="B519" s="2" t="inlineStr">
        <is>
          <t>FASE B</t>
        </is>
      </c>
      <c r="C519" s="2" t="inlineStr">
        <is>
          <t>RelayTrip</t>
        </is>
      </c>
      <c r="D519" s="2" t="inlineStr">
        <is>
          <t>PROT</t>
        </is>
      </c>
      <c r="E519" s="2" t="inlineStr">
        <is>
          <t>Read</t>
        </is>
      </c>
      <c r="F519" s="2" t="inlineStr">
        <is>
          <t>null@null___NORMAL@ATUADO___RelayTrip_S_TS_SA</t>
        </is>
      </c>
      <c r="G519" s="2">
        <f>VLOOKUP(F519,'Message Mapping'!A:L,3,FALSE)</f>
        <v/>
      </c>
      <c r="H519" s="2">
        <f>VLOOKUP(F519,'Message Mapping'!A:L,4,FALSE)</f>
        <v/>
      </c>
      <c r="I519" s="2" t="n"/>
      <c r="J519" s="3">
        <f>VLOOKUP(F519,'Message Mapping'!A:L,12,FALSE)</f>
        <v/>
      </c>
      <c r="K519" s="3" t="n"/>
      <c r="L519" s="3" t="n"/>
      <c r="M519" s="3" t="n"/>
      <c r="N519" s="3" t="n"/>
      <c r="O519" s="3" t="n"/>
      <c r="P519" s="3" t="n"/>
    </row>
    <row r="520">
      <c r="A520" s="94" t="inlineStr">
        <is>
          <t>FC</t>
        </is>
      </c>
      <c r="B520" s="2" t="inlineStr">
        <is>
          <t>FASE C</t>
        </is>
      </c>
      <c r="C520" s="2" t="inlineStr">
        <is>
          <t>RelayTrip</t>
        </is>
      </c>
      <c r="D520" s="2" t="inlineStr">
        <is>
          <t>PROT</t>
        </is>
      </c>
      <c r="E520" s="2" t="inlineStr">
        <is>
          <t>Read</t>
        </is>
      </c>
      <c r="F520" s="2" t="inlineStr">
        <is>
          <t>null@null___NORMAL@ATUADO___RelayTrip_S_TS_SA</t>
        </is>
      </c>
      <c r="G520" s="2">
        <f>VLOOKUP(F520,'Message Mapping'!A:L,3,FALSE)</f>
        <v/>
      </c>
      <c r="H520" s="2">
        <f>VLOOKUP(F520,'Message Mapping'!A:L,4,FALSE)</f>
        <v/>
      </c>
      <c r="I520" s="2" t="n"/>
      <c r="J520" s="3">
        <f>VLOOKUP(F520,'Message Mapping'!A:L,12,FALSE)</f>
        <v/>
      </c>
      <c r="K520" s="3" t="n"/>
      <c r="L520" s="3" t="n"/>
      <c r="M520" s="3" t="n"/>
      <c r="N520" s="3" t="n"/>
      <c r="O520" s="3" t="n"/>
      <c r="P520" s="3" t="n"/>
    </row>
    <row r="521">
      <c r="A521" s="94" t="inlineStr">
        <is>
          <t>FCBN</t>
        </is>
      </c>
      <c r="B521" s="2" t="inlineStr">
        <is>
          <t>FECHAMENTO PELA BOBINA NEUTRO</t>
        </is>
      </c>
      <c r="C521" s="2" t="inlineStr">
        <is>
          <t>Custom</t>
        </is>
      </c>
      <c r="D521" s="2" t="inlineStr">
        <is>
          <t>PROT</t>
        </is>
      </c>
      <c r="E521" s="2" t="inlineStr">
        <is>
          <t>Read</t>
        </is>
      </c>
      <c r="F521" s="2" t="inlineStr">
        <is>
          <t>null@null___NORMAL@ATUADO___Custom_S_TS_SA</t>
        </is>
      </c>
      <c r="G521" s="2">
        <f>VLOOKUP(F521,'Message Mapping'!A:L,3,FALSE)</f>
        <v/>
      </c>
      <c r="H521" s="2">
        <f>VLOOKUP(F521,'Message Mapping'!A:L,4,FALSE)</f>
        <v/>
      </c>
      <c r="I521" s="2" t="n"/>
      <c r="J521" s="3">
        <f>VLOOKUP(F521,'Message Mapping'!A:L,12,FALSE)</f>
        <v/>
      </c>
      <c r="K521" s="3" t="n"/>
      <c r="L521" s="3" t="n"/>
      <c r="M521" s="3" t="n"/>
      <c r="N521" s="3" t="n"/>
      <c r="O521" s="3" t="n"/>
      <c r="P521" s="3" t="n"/>
    </row>
    <row r="522">
      <c r="A522" s="94" t="inlineStr">
        <is>
          <t>FCSN</t>
        </is>
      </c>
      <c r="B522" s="2" t="inlineStr">
        <is>
          <t>FECHAMENTO POR SINCRONISMO</t>
        </is>
      </c>
      <c r="C522" s="2" t="inlineStr">
        <is>
          <t>Custom</t>
        </is>
      </c>
      <c r="D522" s="2" t="inlineStr">
        <is>
          <t>PROT</t>
        </is>
      </c>
      <c r="E522" s="2" t="inlineStr">
        <is>
          <t>Read</t>
        </is>
      </c>
      <c r="F522" s="2" t="inlineStr">
        <is>
          <t>null@null___NORMAL@ATUADO___Custom_S_TS_SA</t>
        </is>
      </c>
      <c r="G522" s="2">
        <f>VLOOKUP(F522,'Message Mapping'!A:L,3,FALSE)</f>
        <v/>
      </c>
      <c r="H522" s="2">
        <f>VLOOKUP(F522,'Message Mapping'!A:L,4,FALSE)</f>
        <v/>
      </c>
      <c r="I522" s="2" t="n"/>
      <c r="J522" s="3">
        <f>VLOOKUP(F522,'Message Mapping'!A:L,12,FALSE)</f>
        <v/>
      </c>
      <c r="K522" s="3" t="n"/>
      <c r="L522" s="3" t="n"/>
      <c r="M522" s="3" t="n"/>
      <c r="N522" s="3" t="n"/>
      <c r="O522" s="3" t="n"/>
      <c r="P522" s="3" t="n"/>
    </row>
    <row r="523">
      <c r="A523" s="94" t="inlineStr">
        <is>
          <t>FCSF</t>
        </is>
      </c>
      <c r="B523" s="2" t="inlineStr">
        <is>
          <t>FECHAMENTO SOB FALTA</t>
        </is>
      </c>
      <c r="C523" s="2" t="inlineStr">
        <is>
          <t>Custom</t>
        </is>
      </c>
      <c r="D523" s="2" t="inlineStr">
        <is>
          <t>PROT</t>
        </is>
      </c>
      <c r="E523" s="2" t="inlineStr">
        <is>
          <t>Read</t>
        </is>
      </c>
      <c r="F523" s="2" t="inlineStr">
        <is>
          <t>null@null___NORMAL@ATUADO___Custom_S_TS_SA</t>
        </is>
      </c>
      <c r="G523" s="2">
        <f>VLOOKUP(F523,'Message Mapping'!A:L,3,FALSE)</f>
        <v/>
      </c>
      <c r="H523" s="2">
        <f>VLOOKUP(F523,'Message Mapping'!A:L,4,FALSE)</f>
        <v/>
      </c>
      <c r="I523" s="2" t="n"/>
      <c r="J523" s="3">
        <f>VLOOKUP(F523,'Message Mapping'!A:L,12,FALSE)</f>
        <v/>
      </c>
      <c r="K523" s="3" t="n"/>
      <c r="L523" s="3" t="n"/>
      <c r="M523" s="3" t="n"/>
      <c r="N523" s="3" t="n"/>
      <c r="O523" s="3" t="n"/>
      <c r="P523" s="3" t="n"/>
    </row>
    <row r="524">
      <c r="A524" s="94" t="inlineStr">
        <is>
          <t>FGTE</t>
        </is>
      </c>
      <c r="B524" s="2" t="inlineStr">
        <is>
          <t>FUGA TERRA</t>
        </is>
      </c>
      <c r="C524" s="2" t="inlineStr">
        <is>
          <t>Custom</t>
        </is>
      </c>
      <c r="D524" s="2" t="inlineStr">
        <is>
          <t>FALHAS FCOM/VCA/VCC</t>
        </is>
      </c>
      <c r="E524" s="2" t="inlineStr">
        <is>
          <t>Read</t>
        </is>
      </c>
      <c r="F524" s="2" t="inlineStr">
        <is>
          <t>null@null___NORMAL@ATUADO___Custom_S_TS_SB</t>
        </is>
      </c>
      <c r="G524" s="2">
        <f>VLOOKUP(F524,'Message Mapping'!A:L,3,FALSE)</f>
        <v/>
      </c>
      <c r="H524" s="2">
        <f>VLOOKUP(F524,'Message Mapping'!A:L,4,FALSE)</f>
        <v/>
      </c>
      <c r="I524" s="2" t="n"/>
      <c r="J524" s="3">
        <f>VLOOKUP(F524,'Message Mapping'!A:L,12,FALSE)</f>
        <v/>
      </c>
      <c r="K524" s="3" t="n"/>
      <c r="L524" s="3" t="n"/>
      <c r="M524" s="3" t="n"/>
      <c r="N524" s="3" t="n"/>
      <c r="O524" s="3" t="n"/>
      <c r="P524" s="3" t="n"/>
    </row>
    <row r="525">
      <c r="A525" s="94" t="inlineStr">
        <is>
          <t>SOTX</t>
        </is>
      </c>
      <c r="B525" s="2" t="inlineStr">
        <is>
          <t>FUNCAO FECHAMENTO SOB FALTA</t>
        </is>
      </c>
      <c r="C525" s="2" t="inlineStr">
        <is>
          <t>Enabled</t>
        </is>
      </c>
      <c r="D525" s="2" t="inlineStr">
        <is>
          <t>FUNCÕES/43/PARALELISMO</t>
        </is>
      </c>
      <c r="E525" s="2" t="inlineStr">
        <is>
          <t>Read</t>
        </is>
      </c>
      <c r="F525" s="2" t="inlineStr">
        <is>
          <t>INCLUIR@EXCLUIR___INCLUIDO@EXCLUIDO___Enabled_S_TS_SS</t>
        </is>
      </c>
      <c r="G525" s="2">
        <f>VLOOKUP(F525,'Message Mapping'!A:L,3,FALSE)</f>
        <v/>
      </c>
      <c r="H525" s="2">
        <f>VLOOKUP(F525,'Message Mapping'!A:L,4,FALSE)</f>
        <v/>
      </c>
      <c r="I525" s="2" t="n"/>
      <c r="J525" s="3">
        <f>VLOOKUP(F525,'Message Mapping'!A:L,12,FALSE)</f>
        <v/>
      </c>
      <c r="K525" s="3" t="n"/>
      <c r="L525" s="3" t="n"/>
      <c r="M525" s="3" t="n"/>
      <c r="N525" s="3" t="n"/>
      <c r="O525" s="3" t="n"/>
      <c r="P525" s="3" t="n"/>
    </row>
    <row r="526">
      <c r="A526" s="94" t="inlineStr">
        <is>
          <t>PRTF</t>
        </is>
      </c>
      <c r="B526" s="2" t="inlineStr">
        <is>
          <t>FALHA PROTECAO</t>
        </is>
      </c>
      <c r="C526" s="2" t="inlineStr">
        <is>
          <t>Custom</t>
        </is>
      </c>
      <c r="D526" s="2" t="inlineStr">
        <is>
          <t>PROT</t>
        </is>
      </c>
      <c r="E526" s="2" t="inlineStr">
        <is>
          <t>Read</t>
        </is>
      </c>
      <c r="F526" s="2" t="inlineStr">
        <is>
          <t>null@null___NORMAL@FALHA___Custom_S_TS_SA</t>
        </is>
      </c>
      <c r="G526" s="2">
        <f>VLOOKUP(F526,'Message Mapping'!A:L,3,FALSE)</f>
        <v/>
      </c>
      <c r="H526" s="2">
        <f>VLOOKUP(F526,'Message Mapping'!A:L,4,FALSE)</f>
        <v/>
      </c>
      <c r="I526" s="2" t="n"/>
      <c r="J526" s="3">
        <f>VLOOKUP(F526,'Message Mapping'!A:L,12,FALSE)</f>
        <v/>
      </c>
      <c r="K526" s="3" t="n"/>
      <c r="L526" s="3" t="n"/>
      <c r="M526" s="3" t="n"/>
      <c r="N526" s="3" t="n"/>
      <c r="O526" s="3" t="n"/>
      <c r="P526" s="3" t="n"/>
    </row>
    <row r="527">
      <c r="A527" s="94" t="inlineStr">
        <is>
          <t>SGF</t>
        </is>
      </c>
      <c r="B527" s="2" t="inlineStr">
        <is>
          <t>FUNCAO SGF</t>
        </is>
      </c>
      <c r="C527" s="2" t="inlineStr">
        <is>
          <t>Enabled</t>
        </is>
      </c>
      <c r="D527" s="2" t="inlineStr">
        <is>
          <t>FUNCÕES/43/PARALELISMO</t>
        </is>
      </c>
      <c r="E527" s="2" t="inlineStr">
        <is>
          <t>Read</t>
        </is>
      </c>
      <c r="F527" s="2" t="inlineStr">
        <is>
          <t>INCLUIR@EXCLUIR___INCLUIDO@EXCLUIDO___Enabled_S_TS_SS</t>
        </is>
      </c>
      <c r="G527" s="2">
        <f>VLOOKUP(F527,'Message Mapping'!A:L,3,FALSE)</f>
        <v/>
      </c>
      <c r="H527" s="2">
        <f>VLOOKUP(F527,'Message Mapping'!A:L,4,FALSE)</f>
        <v/>
      </c>
      <c r="I527" s="2" t="n"/>
      <c r="J527" s="3">
        <f>VLOOKUP(F527,'Message Mapping'!A:L,12,FALSE)</f>
        <v/>
      </c>
      <c r="K527" s="3" t="n"/>
      <c r="L527" s="3" t="n"/>
      <c r="M527" s="3" t="n"/>
      <c r="N527" s="3" t="n"/>
      <c r="O527" s="3" t="n"/>
      <c r="P527" s="3" t="n"/>
    </row>
    <row r="528">
      <c r="A528" s="94" t="inlineStr">
        <is>
          <t>SGF</t>
        </is>
      </c>
      <c r="B528" s="2" t="inlineStr">
        <is>
          <t>FUNCAO SGF</t>
        </is>
      </c>
      <c r="C528" s="2" t="inlineStr">
        <is>
          <t>Enabled</t>
        </is>
      </c>
      <c r="D528" s="2" t="inlineStr">
        <is>
          <t>FUNCÕES/43/PARALELISMO</t>
        </is>
      </c>
      <c r="E528" s="2" t="inlineStr">
        <is>
          <t>ReadWrite</t>
        </is>
      </c>
      <c r="F528" s="2" t="inlineStr">
        <is>
          <t>INCLUIR@EXCLUIR___INCLUIDO@EXCLUIDO___Enabled_S_TC_SS</t>
        </is>
      </c>
      <c r="G528" s="2">
        <f>VLOOKUP(F528,'Message Mapping'!A:L,3,FALSE)</f>
        <v/>
      </c>
      <c r="H528" s="2">
        <f>VLOOKUP(F528,'Message Mapping'!A:L,4,FALSE)</f>
        <v/>
      </c>
      <c r="I528" s="2" t="n"/>
      <c r="J528" s="3">
        <f>VLOOKUP(F528,'Message Mapping'!A:L,12,FALSE)</f>
        <v/>
      </c>
      <c r="K528" s="3" t="n"/>
      <c r="L528" s="3" t="n"/>
      <c r="M528" s="3" t="n"/>
      <c r="N528" s="3" t="n"/>
      <c r="O528" s="3" t="n"/>
      <c r="P528" s="3" t="n"/>
    </row>
    <row r="529">
      <c r="A529" s="94" t="inlineStr">
        <is>
          <t>TDS</t>
        </is>
      </c>
      <c r="B529" s="2" t="inlineStr">
        <is>
          <t>FUNCAO TRIP DEFEITO SIMULTANEO</t>
        </is>
      </c>
      <c r="C529" s="2" t="inlineStr">
        <is>
          <t>Enabled</t>
        </is>
      </c>
      <c r="D529" s="2" t="inlineStr">
        <is>
          <t>FUNCÕES/43/PARALELISMO</t>
        </is>
      </c>
      <c r="E529" s="2" t="inlineStr">
        <is>
          <t>ReadWrite</t>
        </is>
      </c>
      <c r="F529" s="2" t="inlineStr">
        <is>
          <t>INCLUIR@EXCLUIR___INCLUIDO@EXCLUIDO___Enabled_S_TC_SS</t>
        </is>
      </c>
      <c r="G529" s="2">
        <f>VLOOKUP(F529,'Message Mapping'!A:L,3,FALSE)</f>
        <v/>
      </c>
      <c r="H529" s="2">
        <f>VLOOKUP(F529,'Message Mapping'!A:L,4,FALSE)</f>
        <v/>
      </c>
      <c r="I529" s="2" t="n"/>
      <c r="J529" s="3">
        <f>VLOOKUP(F529,'Message Mapping'!A:L,12,FALSE)</f>
        <v/>
      </c>
      <c r="K529" s="3" t="n"/>
      <c r="L529" s="3" t="n"/>
      <c r="M529" s="3" t="n"/>
      <c r="N529" s="3" t="n"/>
      <c r="O529" s="3" t="n"/>
      <c r="P529" s="3" t="n"/>
    </row>
    <row r="530">
      <c r="A530" s="94" t="inlineStr">
        <is>
          <t>AJST</t>
        </is>
      </c>
      <c r="B530" s="2" t="inlineStr">
        <is>
          <t>GRUPO DE AJUSTE</t>
        </is>
      </c>
      <c r="C530" s="2" t="inlineStr">
        <is>
          <t>Custom</t>
        </is>
      </c>
      <c r="D530" s="2" t="inlineStr">
        <is>
          <t>ALARMES PREDIAIS/VF/GRUPO</t>
        </is>
      </c>
      <c r="E530" s="2" t="inlineStr">
        <is>
          <t>Write</t>
        </is>
      </c>
      <c r="F530" s="2" t="inlineStr">
        <is>
          <t>TROCA@null___null@null___Custom_S_TC_SV</t>
        </is>
      </c>
      <c r="G530" s="2">
        <f>VLOOKUP(F530,'Message Mapping'!A:L,3,FALSE)</f>
        <v/>
      </c>
      <c r="H530" s="2">
        <f>VLOOKUP(F530,'Message Mapping'!A:L,4,FALSE)</f>
        <v/>
      </c>
      <c r="I530" s="2" t="n"/>
      <c r="J530" s="3">
        <f>VLOOKUP(F530,'Message Mapping'!A:L,12,FALSE)</f>
        <v/>
      </c>
      <c r="K530" s="3" t="n"/>
      <c r="L530" s="3" t="n"/>
      <c r="M530" s="3" t="n"/>
      <c r="N530" s="3" t="n"/>
      <c r="O530" s="3" t="n"/>
      <c r="P530" s="3" t="n"/>
    </row>
    <row r="531">
      <c r="A531" s="94" t="inlineStr">
        <is>
          <t>G1</t>
        </is>
      </c>
      <c r="B531" s="2" t="inlineStr">
        <is>
          <t>GRUPO DE AJUSTE 1</t>
        </is>
      </c>
      <c r="C531" s="2" t="inlineStr">
        <is>
          <t>Custom</t>
        </is>
      </c>
      <c r="D531" s="2" t="inlineStr">
        <is>
          <t>ALARMES PREDIAIS/VF/GRUPO</t>
        </is>
      </c>
      <c r="E531" s="2" t="inlineStr">
        <is>
          <t>Read</t>
        </is>
      </c>
      <c r="F531" s="2" t="inlineStr">
        <is>
          <t>DESATIVAR@ATIVAR___DESATIVADO@ATIVADO___Custom_S_TS_SV</t>
        </is>
      </c>
      <c r="G531" s="2">
        <f>VLOOKUP(F531,'Message Mapping'!A:L,3,FALSE)</f>
        <v/>
      </c>
      <c r="H531" s="2">
        <f>VLOOKUP(F531,'Message Mapping'!A:L,4,FALSE)</f>
        <v/>
      </c>
      <c r="I531" s="2" t="n"/>
      <c r="J531" s="3">
        <f>VLOOKUP(F531,'Message Mapping'!A:L,12,FALSE)</f>
        <v/>
      </c>
      <c r="K531" s="3" t="n"/>
      <c r="L531" s="3" t="n"/>
      <c r="M531" s="3" t="n"/>
      <c r="N531" s="3" t="n"/>
      <c r="O531" s="3" t="n"/>
      <c r="P531" s="3" t="n"/>
    </row>
    <row r="532">
      <c r="A532" s="94" t="inlineStr">
        <is>
          <t>G1</t>
        </is>
      </c>
      <c r="B532" s="2" t="inlineStr">
        <is>
          <t>GRUPO DE AJUSTE 1</t>
        </is>
      </c>
      <c r="C532" s="2" t="inlineStr">
        <is>
          <t>Custom</t>
        </is>
      </c>
      <c r="D532" s="2" t="inlineStr">
        <is>
          <t>ALARMES PREDIAIS/VF/GRUPO</t>
        </is>
      </c>
      <c r="E532" s="2" t="inlineStr">
        <is>
          <t>ReadWrite</t>
        </is>
      </c>
      <c r="F532" s="2" t="inlineStr">
        <is>
          <t>DESATIVAR@ATIVAR___DESATIVADO@ATIVADO___Custom_S_TC_SV</t>
        </is>
      </c>
      <c r="G532" s="2">
        <f>VLOOKUP(F532,'Message Mapping'!A:L,3,FALSE)</f>
        <v/>
      </c>
      <c r="H532" s="2">
        <f>VLOOKUP(F532,'Message Mapping'!A:L,4,FALSE)</f>
        <v/>
      </c>
      <c r="I532" s="2" t="n"/>
      <c r="J532" s="3">
        <f>VLOOKUP(F532,'Message Mapping'!A:L,12,FALSE)</f>
        <v/>
      </c>
      <c r="K532" s="3" t="n"/>
      <c r="L532" s="3" t="n"/>
      <c r="M532" s="3" t="n"/>
      <c r="N532" s="3" t="n"/>
      <c r="O532" s="3" t="n"/>
      <c r="P532" s="3" t="n"/>
    </row>
    <row r="533">
      <c r="A533" s="94" t="inlineStr">
        <is>
          <t>G2</t>
        </is>
      </c>
      <c r="B533" s="2" t="inlineStr">
        <is>
          <t>GRUPO DE AJUSTE 2</t>
        </is>
      </c>
      <c r="C533" s="2" t="inlineStr">
        <is>
          <t>Custom</t>
        </is>
      </c>
      <c r="D533" s="2" t="inlineStr">
        <is>
          <t>ALARMES PREDIAIS/VF/GRUPO</t>
        </is>
      </c>
      <c r="E533" s="2" t="inlineStr">
        <is>
          <t>Read</t>
        </is>
      </c>
      <c r="F533" s="2" t="inlineStr">
        <is>
          <t>DESATIVAR@ATIVAR___DESATIVADO@ATIVADO___Custom_S_TS_SV</t>
        </is>
      </c>
      <c r="G533" s="2">
        <f>VLOOKUP(F533,'Message Mapping'!A:L,3,FALSE)</f>
        <v/>
      </c>
      <c r="H533" s="2">
        <f>VLOOKUP(F533,'Message Mapping'!A:L,4,FALSE)</f>
        <v/>
      </c>
      <c r="I533" s="2" t="n"/>
      <c r="J533" s="3">
        <f>VLOOKUP(F533,'Message Mapping'!A:L,12,FALSE)</f>
        <v/>
      </c>
      <c r="K533" s="3" t="n"/>
      <c r="L533" s="3" t="n"/>
      <c r="M533" s="3" t="n"/>
      <c r="N533" s="3" t="n"/>
      <c r="O533" s="3" t="n"/>
      <c r="P533" s="3" t="n"/>
    </row>
    <row r="534">
      <c r="A534" s="94" t="inlineStr">
        <is>
          <t>G2</t>
        </is>
      </c>
      <c r="B534" s="2" t="inlineStr">
        <is>
          <t>GRUPO DE AJUSTE 2</t>
        </is>
      </c>
      <c r="C534" s="2" t="inlineStr">
        <is>
          <t>Custom</t>
        </is>
      </c>
      <c r="D534" s="2" t="inlineStr">
        <is>
          <t>ALARMES PREDIAIS/VF/GRUPO</t>
        </is>
      </c>
      <c r="E534" s="2" t="inlineStr">
        <is>
          <t>ReadWrite</t>
        </is>
      </c>
      <c r="F534" s="2" t="inlineStr">
        <is>
          <t>DESATIVAR@ATIVAR___DESATIVADO@ATIVADO___Custom_S_TC_SV</t>
        </is>
      </c>
      <c r="G534" s="2">
        <f>VLOOKUP(F534,'Message Mapping'!A:L,3,FALSE)</f>
        <v/>
      </c>
      <c r="H534" s="2">
        <f>VLOOKUP(F534,'Message Mapping'!A:L,4,FALSE)</f>
        <v/>
      </c>
      <c r="I534" s="2" t="n"/>
      <c r="J534" s="3">
        <f>VLOOKUP(F534,'Message Mapping'!A:L,12,FALSE)</f>
        <v/>
      </c>
      <c r="K534" s="3" t="n"/>
      <c r="L534" s="3" t="n"/>
      <c r="M534" s="3" t="n"/>
      <c r="N534" s="3" t="n"/>
      <c r="O534" s="3" t="n"/>
      <c r="P534" s="3" t="n"/>
    </row>
    <row r="535">
      <c r="A535" s="94" t="inlineStr">
        <is>
          <t>G3</t>
        </is>
      </c>
      <c r="B535" s="2" t="inlineStr">
        <is>
          <t>GRUPO DE AJUSTE 3</t>
        </is>
      </c>
      <c r="C535" s="2" t="inlineStr">
        <is>
          <t>Custom</t>
        </is>
      </c>
      <c r="D535" s="2" t="inlineStr">
        <is>
          <t>ALARMES PREDIAIS/VF/GRUPO</t>
        </is>
      </c>
      <c r="E535" s="2" t="inlineStr">
        <is>
          <t>Read</t>
        </is>
      </c>
      <c r="F535" s="2" t="inlineStr">
        <is>
          <t>DESATIVAR@ATIVAR___DESATIVADO@ATIVADO___Custom_S_TS_SV</t>
        </is>
      </c>
      <c r="G535" s="2">
        <f>VLOOKUP(F535,'Message Mapping'!A:L,3,FALSE)</f>
        <v/>
      </c>
      <c r="H535" s="2">
        <f>VLOOKUP(F535,'Message Mapping'!A:L,4,FALSE)</f>
        <v/>
      </c>
      <c r="I535" s="2" t="n"/>
      <c r="J535" s="3">
        <f>VLOOKUP(F535,'Message Mapping'!A:L,12,FALSE)</f>
        <v/>
      </c>
      <c r="K535" s="3" t="n"/>
      <c r="L535" s="3" t="n"/>
      <c r="M535" s="3" t="n"/>
      <c r="N535" s="3" t="n"/>
      <c r="O535" s="3" t="n"/>
      <c r="P535" s="3" t="n"/>
    </row>
    <row r="536">
      <c r="A536" s="94" t="inlineStr">
        <is>
          <t>G3</t>
        </is>
      </c>
      <c r="B536" s="2" t="inlineStr">
        <is>
          <t>GRUPO DE AJUSTE 3</t>
        </is>
      </c>
      <c r="C536" s="2" t="inlineStr">
        <is>
          <t>Custom</t>
        </is>
      </c>
      <c r="D536" s="2" t="inlineStr">
        <is>
          <t>ALARMES PREDIAIS/VF/GRUPO</t>
        </is>
      </c>
      <c r="E536" s="2" t="inlineStr">
        <is>
          <t>ReadWrite</t>
        </is>
      </c>
      <c r="F536" s="2" t="inlineStr">
        <is>
          <t>DESATIVAR@ATIVAR___DESATIVADO@ATIVADO___Custom_S_TC_SV</t>
        </is>
      </c>
      <c r="G536" s="2">
        <f>VLOOKUP(F536,'Message Mapping'!A:L,3,FALSE)</f>
        <v/>
      </c>
      <c r="H536" s="2">
        <f>VLOOKUP(F536,'Message Mapping'!A:L,4,FALSE)</f>
        <v/>
      </c>
      <c r="I536" s="2" t="n"/>
      <c r="J536" s="3">
        <f>VLOOKUP(F536,'Message Mapping'!A:L,12,FALSE)</f>
        <v/>
      </c>
      <c r="K536" s="3" t="n"/>
      <c r="L536" s="3" t="n"/>
      <c r="M536" s="3" t="n"/>
      <c r="N536" s="3" t="n"/>
      <c r="O536" s="3" t="n"/>
      <c r="P536" s="3" t="n"/>
    </row>
    <row r="537">
      <c r="A537" s="94" t="inlineStr">
        <is>
          <t>G4</t>
        </is>
      </c>
      <c r="B537" s="2" t="inlineStr">
        <is>
          <t>GRUPO DE AJUSTE 4</t>
        </is>
      </c>
      <c r="C537" s="2" t="inlineStr">
        <is>
          <t>Custom</t>
        </is>
      </c>
      <c r="D537" s="2" t="inlineStr">
        <is>
          <t>ALARMES PREDIAIS/VF/GRUPO</t>
        </is>
      </c>
      <c r="E537" s="2" t="inlineStr">
        <is>
          <t>Read</t>
        </is>
      </c>
      <c r="F537" s="2" t="inlineStr">
        <is>
          <t>DESATIVAR@ATIVAR___DESATIVADO@ATIVADO___Custom_S_TS_SV</t>
        </is>
      </c>
      <c r="G537" s="2">
        <f>VLOOKUP(F537,'Message Mapping'!A:L,3,FALSE)</f>
        <v/>
      </c>
      <c r="H537" s="2">
        <f>VLOOKUP(F537,'Message Mapping'!A:L,4,FALSE)</f>
        <v/>
      </c>
      <c r="I537" s="2" t="n"/>
      <c r="J537" s="3">
        <f>VLOOKUP(F537,'Message Mapping'!A:L,12,FALSE)</f>
        <v/>
      </c>
      <c r="K537" s="3" t="n"/>
      <c r="L537" s="3" t="n"/>
      <c r="M537" s="3" t="n"/>
      <c r="N537" s="3" t="n"/>
      <c r="O537" s="3" t="n"/>
      <c r="P537" s="3" t="n"/>
    </row>
    <row r="538">
      <c r="A538" s="94" t="inlineStr">
        <is>
          <t>G4</t>
        </is>
      </c>
      <c r="B538" s="2" t="inlineStr">
        <is>
          <t>GRUPO DE AJUSTE 4</t>
        </is>
      </c>
      <c r="C538" s="2" t="inlineStr">
        <is>
          <t>Custom</t>
        </is>
      </c>
      <c r="D538" s="2" t="inlineStr">
        <is>
          <t>ALARMES PREDIAIS/VF/GRUPO</t>
        </is>
      </c>
      <c r="E538" s="2" t="inlineStr">
        <is>
          <t>ReadWrite</t>
        </is>
      </c>
      <c r="F538" s="2" t="inlineStr">
        <is>
          <t>DESATIVAR@ATIVAR___DESATIVADO@ATIVADO___Custom_S_TC_SV</t>
        </is>
      </c>
      <c r="G538" s="2">
        <f>VLOOKUP(F538,'Message Mapping'!A:L,3,FALSE)</f>
        <v/>
      </c>
      <c r="H538" s="2">
        <f>VLOOKUP(F538,'Message Mapping'!A:L,4,FALSE)</f>
        <v/>
      </c>
      <c r="I538" s="2" t="n"/>
      <c r="J538" s="3">
        <f>VLOOKUP(F538,'Message Mapping'!A:L,12,FALSE)</f>
        <v/>
      </c>
      <c r="K538" s="3" t="n"/>
      <c r="L538" s="3" t="n"/>
      <c r="M538" s="3" t="n"/>
      <c r="N538" s="3" t="n"/>
      <c r="O538" s="3" t="n"/>
      <c r="P538" s="3" t="n"/>
    </row>
    <row r="539">
      <c r="A539" s="94" t="inlineStr">
        <is>
          <t>G5</t>
        </is>
      </c>
      <c r="B539" s="2" t="inlineStr">
        <is>
          <t>GRUPO DE AJUSTE 5</t>
        </is>
      </c>
      <c r="C539" s="2" t="inlineStr">
        <is>
          <t>Custom</t>
        </is>
      </c>
      <c r="D539" s="2" t="inlineStr">
        <is>
          <t>ALARMES PREDIAIS/VF/GRUPO</t>
        </is>
      </c>
      <c r="E539" s="2" t="inlineStr">
        <is>
          <t>Read</t>
        </is>
      </c>
      <c r="F539" s="2" t="inlineStr">
        <is>
          <t>DESATIVAR@ATIVAR___DESATIVADO@ATIVADO___Custom_S_TS_SV</t>
        </is>
      </c>
      <c r="G539" s="2">
        <f>VLOOKUP(F539,'Message Mapping'!A:L,3,FALSE)</f>
        <v/>
      </c>
      <c r="H539" s="2">
        <f>VLOOKUP(F539,'Message Mapping'!A:L,4,FALSE)</f>
        <v/>
      </c>
      <c r="I539" s="2" t="n"/>
      <c r="J539" s="3">
        <f>VLOOKUP(F539,'Message Mapping'!A:L,12,FALSE)</f>
        <v/>
      </c>
      <c r="K539" s="3" t="n"/>
      <c r="L539" s="3" t="n"/>
      <c r="M539" s="3" t="n"/>
      <c r="N539" s="3" t="n"/>
      <c r="O539" s="3" t="n"/>
      <c r="P539" s="3" t="n"/>
    </row>
    <row r="540">
      <c r="A540" s="94" t="inlineStr">
        <is>
          <t>G5</t>
        </is>
      </c>
      <c r="B540" s="2" t="inlineStr">
        <is>
          <t>GRUPO DE AJUSTE 5</t>
        </is>
      </c>
      <c r="C540" s="2" t="inlineStr">
        <is>
          <t>Custom</t>
        </is>
      </c>
      <c r="D540" s="2" t="inlineStr">
        <is>
          <t>ALARMES PREDIAIS/VF/GRUPO</t>
        </is>
      </c>
      <c r="E540" s="2" t="inlineStr">
        <is>
          <t>ReadWrite</t>
        </is>
      </c>
      <c r="F540" s="2" t="inlineStr">
        <is>
          <t>DESATIVAR@ATIVAR___DESATIVADO@ATIVADO___Custom_S_TC_SV</t>
        </is>
      </c>
      <c r="G540" s="2">
        <f>VLOOKUP(F540,'Message Mapping'!A:L,3,FALSE)</f>
        <v/>
      </c>
      <c r="H540" s="2">
        <f>VLOOKUP(F540,'Message Mapping'!A:L,4,FALSE)</f>
        <v/>
      </c>
      <c r="I540" s="2" t="n"/>
      <c r="J540" s="3">
        <f>VLOOKUP(F540,'Message Mapping'!A:L,12,FALSE)</f>
        <v/>
      </c>
      <c r="K540" s="3" t="n"/>
      <c r="L540" s="3" t="n"/>
      <c r="M540" s="3" t="n"/>
      <c r="N540" s="3" t="n"/>
      <c r="O540" s="3" t="n"/>
      <c r="P540" s="3" t="n"/>
    </row>
    <row r="541">
      <c r="A541" s="94" t="inlineStr">
        <is>
          <t>G6</t>
        </is>
      </c>
      <c r="B541" s="2" t="inlineStr">
        <is>
          <t>GRUPO DE AJUSTE 6</t>
        </is>
      </c>
      <c r="C541" s="2" t="inlineStr">
        <is>
          <t>Custom</t>
        </is>
      </c>
      <c r="D541" s="2" t="inlineStr">
        <is>
          <t>ALARMES PREDIAIS/VF/GRUPO</t>
        </is>
      </c>
      <c r="E541" s="2" t="inlineStr">
        <is>
          <t>Read</t>
        </is>
      </c>
      <c r="F541" s="2" t="inlineStr">
        <is>
          <t>DESATIVAR@ATIVAR___DESATIVADO@ATIVADO___Custom_S_TS_SV</t>
        </is>
      </c>
      <c r="G541" s="2">
        <f>VLOOKUP(F541,'Message Mapping'!A:L,3,FALSE)</f>
        <v/>
      </c>
      <c r="H541" s="2">
        <f>VLOOKUP(F541,'Message Mapping'!A:L,4,FALSE)</f>
        <v/>
      </c>
      <c r="I541" s="2" t="n"/>
      <c r="J541" s="3">
        <f>VLOOKUP(F541,'Message Mapping'!A:L,12,FALSE)</f>
        <v/>
      </c>
      <c r="K541" s="3" t="n"/>
      <c r="L541" s="3" t="n"/>
      <c r="M541" s="3" t="n"/>
      <c r="N541" s="3" t="n"/>
      <c r="O541" s="3" t="n"/>
      <c r="P541" s="3" t="n"/>
    </row>
    <row r="542">
      <c r="A542" s="94" t="inlineStr">
        <is>
          <t>G6</t>
        </is>
      </c>
      <c r="B542" s="2" t="inlineStr">
        <is>
          <t>GRUPO DE AJUSTE 6</t>
        </is>
      </c>
      <c r="C542" s="2" t="inlineStr">
        <is>
          <t>Custom</t>
        </is>
      </c>
      <c r="D542" s="2" t="inlineStr">
        <is>
          <t>ALARMES PREDIAIS/VF/GRUPO</t>
        </is>
      </c>
      <c r="E542" s="2" t="inlineStr">
        <is>
          <t>ReadWrite</t>
        </is>
      </c>
      <c r="F542" s="2" t="inlineStr">
        <is>
          <t>DESATIVAR@ATIVAR___DESATIVADO@ATIVADO___Custom_S_TC_SV</t>
        </is>
      </c>
      <c r="G542" s="2">
        <f>VLOOKUP(F542,'Message Mapping'!A:L,3,FALSE)</f>
        <v/>
      </c>
      <c r="H542" s="2">
        <f>VLOOKUP(F542,'Message Mapping'!A:L,4,FALSE)</f>
        <v/>
      </c>
      <c r="I542" s="2" t="n"/>
      <c r="J542" s="3">
        <f>VLOOKUP(F542,'Message Mapping'!A:L,12,FALSE)</f>
        <v/>
      </c>
      <c r="K542" s="3" t="n"/>
      <c r="L542" s="3" t="n"/>
      <c r="M542" s="3" t="n"/>
      <c r="N542" s="3" t="n"/>
      <c r="O542" s="3" t="n"/>
      <c r="P542" s="3" t="n"/>
    </row>
    <row r="543">
      <c r="A543" s="94" t="inlineStr">
        <is>
          <t>81AJST</t>
        </is>
      </c>
      <c r="B543" s="2" t="inlineStr">
        <is>
          <t>GRUPO DE AJUSTE FUNCAO 81</t>
        </is>
      </c>
      <c r="C543" s="2" t="inlineStr">
        <is>
          <t>Custom</t>
        </is>
      </c>
      <c r="D543" s="2" t="inlineStr">
        <is>
          <t>ALARMES PREDIAIS/VF/GRUPO</t>
        </is>
      </c>
      <c r="E543" s="2" t="inlineStr">
        <is>
          <t>Write</t>
        </is>
      </c>
      <c r="F543" s="2" t="inlineStr">
        <is>
          <t>TROCA@null___null@null___Custom_S_TC_SV</t>
        </is>
      </c>
      <c r="G543" s="2">
        <f>VLOOKUP(F543,'Message Mapping'!A:L,3,FALSE)</f>
        <v/>
      </c>
      <c r="H543" s="2">
        <f>VLOOKUP(F543,'Message Mapping'!A:L,4,FALSE)</f>
        <v/>
      </c>
      <c r="I543" s="2" t="n"/>
      <c r="J543" s="3">
        <f>VLOOKUP(F543,'Message Mapping'!A:L,12,FALSE)</f>
        <v/>
      </c>
      <c r="K543" s="3" t="n"/>
      <c r="L543" s="3" t="n"/>
      <c r="M543" s="3" t="n"/>
      <c r="N543" s="3" t="n"/>
      <c r="O543" s="3" t="n"/>
      <c r="P543" s="3" t="n"/>
    </row>
    <row r="544">
      <c r="A544" s="94" t="inlineStr">
        <is>
          <t>GRPO</t>
        </is>
      </c>
      <c r="B544" s="2" t="inlineStr">
        <is>
          <t>GRUPO DE AJUSTE RELIGADOR</t>
        </is>
      </c>
      <c r="C544" s="2" t="inlineStr">
        <is>
          <t>Custom</t>
        </is>
      </c>
      <c r="D544" s="2" t="inlineStr">
        <is>
          <t>ALARMES PREDIAIS/VF/GRUPO</t>
        </is>
      </c>
      <c r="E544" s="2" t="inlineStr">
        <is>
          <t>ReadWrite</t>
        </is>
      </c>
      <c r="F544" s="2" t="inlineStr">
        <is>
          <t>RELIGADOR@ALTERNATIVO___NORMAL@ALTERNATIVO___Custom_S_TC_SV</t>
        </is>
      </c>
      <c r="G544" s="2">
        <f>VLOOKUP(F544,'Message Mapping'!A:L,3,FALSE)</f>
        <v/>
      </c>
      <c r="H544" s="2">
        <f>VLOOKUP(F544,'Message Mapping'!A:L,4,FALSE)</f>
        <v/>
      </c>
      <c r="I544" s="2" t="n"/>
      <c r="J544" s="3">
        <f>VLOOKUP(F544,'Message Mapping'!A:L,12,FALSE)</f>
        <v/>
      </c>
      <c r="K544" s="3" t="inlineStr">
        <is>
          <t>Utilizado em religadores (troca de ajustes)</t>
        </is>
      </c>
      <c r="L544" s="3" t="n"/>
      <c r="M544" s="3" t="n"/>
      <c r="N544" s="3" t="n"/>
      <c r="O544" s="3" t="n"/>
      <c r="P544" s="3" t="n"/>
    </row>
    <row r="545">
      <c r="A545" s="94" t="inlineStr">
        <is>
          <t>AJGP</t>
        </is>
      </c>
      <c r="B545" s="2" t="inlineStr">
        <is>
          <t>GRUPOS DE AJUSTE</t>
        </is>
      </c>
      <c r="C545" s="2" t="inlineStr">
        <is>
          <t>Custom</t>
        </is>
      </c>
      <c r="D545" s="2" t="inlineStr">
        <is>
          <t>ALARMES PREDIAIS/VF/GRUPO</t>
        </is>
      </c>
      <c r="E545" s="2" t="inlineStr">
        <is>
          <t>ReadWrite</t>
        </is>
      </c>
      <c r="F545" s="2" t="inlineStr">
        <is>
          <t>G1@G2___GRUPO 1@GRUPO 2___Custom_S_TC_SV</t>
        </is>
      </c>
      <c r="G545" s="2">
        <f>VLOOKUP(F545,'Message Mapping'!A:L,3,FALSE)</f>
        <v/>
      </c>
      <c r="H545" s="2">
        <f>VLOOKUP(F545,'Message Mapping'!A:L,4,FALSE)</f>
        <v/>
      </c>
      <c r="I545" s="2" t="n"/>
      <c r="J545" s="3">
        <f>VLOOKUP(F545,'Message Mapping'!A:L,12,FALSE)</f>
        <v/>
      </c>
      <c r="K545" s="3" t="inlineStr">
        <is>
          <t>Utilizado para grupo de ajustes de disjuntores de subtransmissão.</t>
        </is>
      </c>
      <c r="L545" s="3" t="n"/>
      <c r="M545" s="3" t="n"/>
      <c r="N545" s="3" t="n"/>
      <c r="O545" s="3" t="n"/>
      <c r="P545" s="3" t="n"/>
    </row>
    <row r="546" ht="25.5" customHeight="1">
      <c r="A546" s="94" t="inlineStr">
        <is>
          <t>HLT</t>
        </is>
      </c>
      <c r="B546" s="2" t="inlineStr">
        <is>
          <t>HOT LINE TAG</t>
        </is>
      </c>
      <c r="C546" s="2" t="inlineStr">
        <is>
          <t>HotLineTag</t>
        </is>
      </c>
      <c r="D546" s="2" t="inlineStr">
        <is>
          <t>FUNCÕES/43/PARALELISMO</t>
        </is>
      </c>
      <c r="E546" s="2" t="inlineStr">
        <is>
          <t>Read</t>
        </is>
      </c>
      <c r="F546" s="2" t="inlineStr">
        <is>
          <t>null@null___DESABILITADO@HABILITADO___HotLineTag_S_TS_SS</t>
        </is>
      </c>
      <c r="G546" s="2">
        <f>VLOOKUP(F546,'Message Mapping'!A:L,3,FALSE)</f>
        <v/>
      </c>
      <c r="H546" s="2">
        <f>VLOOKUP(F546,'Message Mapping'!A:L,4,FALSE)</f>
        <v/>
      </c>
      <c r="I546" s="2" t="n"/>
      <c r="J546" s="3">
        <f>VLOOKUP(F546,'Message Mapping'!A:L,12,FALSE)</f>
        <v/>
      </c>
      <c r="K546" s="3" t="inlineStr">
        <is>
          <t>An intertrip protection relay is a relay used in power systems to initiate a trip (opening) of a circuit breaker at a remote location when a fault is detected at another location on the same circuit</t>
        </is>
      </c>
      <c r="L546" s="3" t="n"/>
      <c r="M546" s="3" t="n"/>
      <c r="N546" s="3" t="n"/>
      <c r="O546" s="3" t="n"/>
      <c r="P546" s="3" t="n"/>
    </row>
    <row r="547" ht="25.5" customHeight="1">
      <c r="A547" s="94" t="inlineStr">
        <is>
          <t>HLT</t>
        </is>
      </c>
      <c r="B547" s="2" t="inlineStr">
        <is>
          <t>HOT LINE TAG</t>
        </is>
      </c>
      <c r="C547" s="2" t="inlineStr">
        <is>
          <t>HotLineTag</t>
        </is>
      </c>
      <c r="D547" s="2" t="inlineStr">
        <is>
          <t>FUNCÕES/43/PARALELISMO</t>
        </is>
      </c>
      <c r="E547" s="2" t="inlineStr">
        <is>
          <t>ReadWrite</t>
        </is>
      </c>
      <c r="F547" s="2" t="inlineStr">
        <is>
          <t>INCLUIR@EXCLUIR___INCLUIDO@EXCLUIDO___HotLineTag_S_TC_SS</t>
        </is>
      </c>
      <c r="G547" s="2">
        <f>VLOOKUP(F547,'Message Mapping'!A:L,3,FALSE)</f>
        <v/>
      </c>
      <c r="H547" s="2">
        <f>VLOOKUP(F547,'Message Mapping'!A:L,4,FALSE)</f>
        <v/>
      </c>
      <c r="I547" s="2" t="n"/>
      <c r="J547" s="3">
        <f>VLOOKUP(F547,'Message Mapping'!A:L,12,FALSE)</f>
        <v/>
      </c>
      <c r="K547" s="3" t="inlineStr">
        <is>
          <t>An intertrip protection relay is a relay used in power systems to initiate a trip (opening) of a circuit breaker at a remote location when a fault is detected at another location on the same circuit</t>
        </is>
      </c>
      <c r="L547" s="3" t="n"/>
      <c r="M547" s="3" t="n"/>
      <c r="N547" s="3" t="n"/>
      <c r="O547" s="3" t="n"/>
      <c r="P547" s="3" t="n"/>
    </row>
    <row r="548">
      <c r="A548" s="94" t="inlineStr">
        <is>
          <t>ITFA</t>
        </is>
      </c>
      <c r="B548" s="2" t="inlineStr">
        <is>
          <t>INTERTRIP FASE A</t>
        </is>
      </c>
      <c r="C548" s="2" t="inlineStr">
        <is>
          <t>RelayTrip</t>
        </is>
      </c>
      <c r="D548" s="2" t="inlineStr">
        <is>
          <t>PROT</t>
        </is>
      </c>
      <c r="E548" s="2" t="inlineStr">
        <is>
          <t>Read</t>
        </is>
      </c>
      <c r="F548" s="2" t="inlineStr">
        <is>
          <t>null@null___NORMAL@ATUADO___RelayTrip_S_TS_SA</t>
        </is>
      </c>
      <c r="G548" s="2">
        <f>VLOOKUP(F548,'Message Mapping'!A:L,3,FALSE)</f>
        <v/>
      </c>
      <c r="H548" s="2">
        <f>VLOOKUP(F548,'Message Mapping'!A:L,4,FALSE)</f>
        <v/>
      </c>
      <c r="I548" s="2" t="n"/>
      <c r="J548" s="3">
        <f>VLOOKUP(F548,'Message Mapping'!A:L,12,FALSE)</f>
        <v/>
      </c>
      <c r="K548" s="3" t="n"/>
      <c r="L548" s="3" t="n"/>
      <c r="M548" s="3" t="n"/>
      <c r="N548" s="3" t="n"/>
      <c r="O548" s="3" t="n"/>
      <c r="P548" s="3" t="n"/>
    </row>
    <row r="549">
      <c r="A549" s="94" t="inlineStr">
        <is>
          <t>ITFB</t>
        </is>
      </c>
      <c r="B549" s="2" t="inlineStr">
        <is>
          <t>INTERTRIP FASE B</t>
        </is>
      </c>
      <c r="C549" s="2" t="inlineStr">
        <is>
          <t>RelayTrip</t>
        </is>
      </c>
      <c r="D549" s="2" t="inlineStr">
        <is>
          <t>PROT</t>
        </is>
      </c>
      <c r="E549" s="2" t="inlineStr">
        <is>
          <t>Read</t>
        </is>
      </c>
      <c r="F549" s="2" t="inlineStr">
        <is>
          <t>null@null___NORMAL@ATUADO___RelayTrip_S_TS_SA</t>
        </is>
      </c>
      <c r="G549" s="2">
        <f>VLOOKUP(F549,'Message Mapping'!A:L,3,FALSE)</f>
        <v/>
      </c>
      <c r="H549" s="2">
        <f>VLOOKUP(F549,'Message Mapping'!A:L,4,FALSE)</f>
        <v/>
      </c>
      <c r="I549" s="2" t="n"/>
      <c r="J549" s="3">
        <f>VLOOKUP(F549,'Message Mapping'!A:L,12,FALSE)</f>
        <v/>
      </c>
      <c r="K549" s="3" t="n"/>
      <c r="L549" s="3" t="n"/>
      <c r="M549" s="3" t="n"/>
      <c r="N549" s="3" t="n"/>
      <c r="O549" s="3" t="n"/>
      <c r="P549" s="3" t="n"/>
    </row>
    <row r="550">
      <c r="A550" s="94" t="inlineStr">
        <is>
          <t>ITFC</t>
        </is>
      </c>
      <c r="B550" s="2" t="inlineStr">
        <is>
          <t>INTERTRIP FASE C</t>
        </is>
      </c>
      <c r="C550" s="2" t="inlineStr">
        <is>
          <t>RelayTrip</t>
        </is>
      </c>
      <c r="D550" s="2" t="inlineStr">
        <is>
          <t>PROT</t>
        </is>
      </c>
      <c r="E550" s="2" t="inlineStr">
        <is>
          <t>Read</t>
        </is>
      </c>
      <c r="F550" s="2" t="inlineStr">
        <is>
          <t>null@null___NORMAL@ATUADO___RelayTrip_S_TS_SA</t>
        </is>
      </c>
      <c r="G550" s="2">
        <f>VLOOKUP(F550,'Message Mapping'!A:L,3,FALSE)</f>
        <v/>
      </c>
      <c r="H550" s="2">
        <f>VLOOKUP(F550,'Message Mapping'!A:L,4,FALSE)</f>
        <v/>
      </c>
      <c r="I550" s="2" t="n"/>
      <c r="J550" s="3">
        <f>VLOOKUP(F550,'Message Mapping'!A:L,12,FALSE)</f>
        <v/>
      </c>
      <c r="K550" s="3" t="n"/>
      <c r="L550" s="3" t="n"/>
      <c r="M550" s="3" t="n"/>
      <c r="N550" s="3" t="n"/>
      <c r="O550" s="3" t="n"/>
      <c r="P550" s="3" t="n"/>
    </row>
    <row r="551">
      <c r="A551" s="94" t="inlineStr">
        <is>
          <t>ITGE</t>
        </is>
      </c>
      <c r="B551" s="2" t="inlineStr">
        <is>
          <t>INTERTRIP GERAL</t>
        </is>
      </c>
      <c r="C551" s="2" t="inlineStr">
        <is>
          <t>RelayTrip</t>
        </is>
      </c>
      <c r="D551" s="2" t="inlineStr">
        <is>
          <t>PROT</t>
        </is>
      </c>
      <c r="E551" s="2" t="inlineStr">
        <is>
          <t>Read</t>
        </is>
      </c>
      <c r="F551" s="2" t="inlineStr">
        <is>
          <t>null@null___NORMAL@ATUADO___RelayTrip_S_TS_SA</t>
        </is>
      </c>
      <c r="G551" s="2">
        <f>VLOOKUP(F551,'Message Mapping'!A:L,3,FALSE)</f>
        <v/>
      </c>
      <c r="H551" s="2">
        <f>VLOOKUP(F551,'Message Mapping'!A:L,4,FALSE)</f>
        <v/>
      </c>
      <c r="I551" s="2" t="n"/>
      <c r="J551" s="3">
        <f>VLOOKUP(F551,'Message Mapping'!A:L,12,FALSE)</f>
        <v/>
      </c>
      <c r="K551" s="3" t="n"/>
      <c r="L551" s="3" t="n"/>
      <c r="M551" s="3" t="n"/>
      <c r="N551" s="3" t="n"/>
      <c r="O551" s="3" t="n"/>
      <c r="P551" s="3" t="n"/>
    </row>
    <row r="552">
      <c r="A552" s="94" t="inlineStr">
        <is>
          <t>LIBM</t>
        </is>
      </c>
      <c r="B552" s="2" t="inlineStr">
        <is>
          <t>LIBERA MANOBRA</t>
        </is>
      </c>
      <c r="C552" s="2" t="inlineStr">
        <is>
          <t>Custom</t>
        </is>
      </c>
      <c r="D552" s="2" t="inlineStr">
        <is>
          <t>FUNCÕES/43/PARALELISMO</t>
        </is>
      </c>
      <c r="E552" s="2" t="inlineStr">
        <is>
          <t>Read</t>
        </is>
      </c>
      <c r="F552" s="2" t="inlineStr">
        <is>
          <t>null@null___BLOQUEADA@LIBERADA___Custom_S_TS_SS</t>
        </is>
      </c>
      <c r="G552" s="2">
        <f>VLOOKUP(F552,'Message Mapping'!A:L,3,FALSE)</f>
        <v/>
      </c>
      <c r="H552" s="2">
        <f>VLOOKUP(F552,'Message Mapping'!A:L,4,FALSE)</f>
        <v/>
      </c>
      <c r="I552" s="2" t="n"/>
      <c r="J552" s="3">
        <f>VLOOKUP(F552,'Message Mapping'!A:L,12,FALSE)</f>
        <v/>
      </c>
      <c r="K552" s="3" t="n"/>
      <c r="L552" s="3" t="n"/>
      <c r="M552" s="3" t="n"/>
      <c r="N552" s="3" t="n"/>
      <c r="O552" s="3" t="n"/>
      <c r="P552" s="3" t="n"/>
    </row>
    <row r="553">
      <c r="A553" s="94" t="inlineStr">
        <is>
          <t>LMAB</t>
        </is>
      </c>
      <c r="B553" s="2" t="inlineStr">
        <is>
          <t>LIBERA MANOBRA ABERTURA</t>
        </is>
      </c>
      <c r="C553" s="2" t="inlineStr">
        <is>
          <t>Custom</t>
        </is>
      </c>
      <c r="D553" s="2" t="inlineStr">
        <is>
          <t>FUNCÕES/43/PARALELISMO</t>
        </is>
      </c>
      <c r="E553" s="2" t="inlineStr">
        <is>
          <t>Read</t>
        </is>
      </c>
      <c r="F553" s="2" t="inlineStr">
        <is>
          <t>null@null___BLOQUEADA@LIBERADA___Custom_S_TS_SS</t>
        </is>
      </c>
      <c r="G553" s="2">
        <f>VLOOKUP(F553,'Message Mapping'!A:L,3,FALSE)</f>
        <v/>
      </c>
      <c r="H553" s="2">
        <f>VLOOKUP(F553,'Message Mapping'!A:L,4,FALSE)</f>
        <v/>
      </c>
      <c r="I553" s="2" t="n"/>
      <c r="J553" s="3">
        <f>VLOOKUP(F553,'Message Mapping'!A:L,12,FALSE)</f>
        <v/>
      </c>
      <c r="K553" s="3" t="n"/>
      <c r="L553" s="3" t="n"/>
      <c r="M553" s="3" t="n"/>
      <c r="N553" s="3" t="n"/>
      <c r="O553" s="3" t="n"/>
      <c r="P553" s="3" t="n"/>
    </row>
    <row r="554">
      <c r="A554" s="94" t="inlineStr">
        <is>
          <t>LMFE</t>
        </is>
      </c>
      <c r="B554" s="2" t="inlineStr">
        <is>
          <t>LIBERA MANOBRA FECHAMENTO</t>
        </is>
      </c>
      <c r="C554" s="2" t="inlineStr">
        <is>
          <t>Custom</t>
        </is>
      </c>
      <c r="D554" s="2" t="inlineStr">
        <is>
          <t>FUNCÕES/43/PARALELISMO</t>
        </is>
      </c>
      <c r="E554" s="2" t="inlineStr">
        <is>
          <t>Read</t>
        </is>
      </c>
      <c r="F554" s="2" t="inlineStr">
        <is>
          <t>null@null___BLOQUEADA@LIBERADA___Custom_S_TS_SS</t>
        </is>
      </c>
      <c r="G554" s="2">
        <f>VLOOKUP(F554,'Message Mapping'!A:L,3,FALSE)</f>
        <v/>
      </c>
      <c r="H554" s="2">
        <f>VLOOKUP(F554,'Message Mapping'!A:L,4,FALSE)</f>
        <v/>
      </c>
      <c r="I554" s="2" t="n"/>
      <c r="J554" s="3">
        <f>VLOOKUP(F554,'Message Mapping'!A:L,12,FALSE)</f>
        <v/>
      </c>
      <c r="K554" s="3" t="n"/>
      <c r="L554" s="3" t="n"/>
      <c r="M554" s="3" t="n"/>
      <c r="N554" s="3" t="n"/>
      <c r="O554" s="3" t="n"/>
      <c r="P554" s="3" t="n"/>
    </row>
    <row r="555">
      <c r="A555" s="94" t="inlineStr">
        <is>
          <t>LMLO</t>
        </is>
      </c>
      <c r="B555" s="2" t="inlineStr">
        <is>
          <t>LIBERA MANOBRA LOCAL</t>
        </is>
      </c>
      <c r="C555" s="2" t="inlineStr">
        <is>
          <t>Custom</t>
        </is>
      </c>
      <c r="D555" s="2" t="inlineStr">
        <is>
          <t>FUNCÕES/43/PARALELISMO</t>
        </is>
      </c>
      <c r="E555" s="2" t="inlineStr">
        <is>
          <t>Read</t>
        </is>
      </c>
      <c r="F555" s="2" t="inlineStr">
        <is>
          <t>null@null___BLOQUEADA@LIBERADA___Custom_S_TS_SS</t>
        </is>
      </c>
      <c r="G555" s="2">
        <f>VLOOKUP(F555,'Message Mapping'!A:L,3,FALSE)</f>
        <v/>
      </c>
      <c r="H555" s="2">
        <f>VLOOKUP(F555,'Message Mapping'!A:L,4,FALSE)</f>
        <v/>
      </c>
      <c r="I555" s="2" t="n"/>
      <c r="J555" s="3">
        <f>VLOOKUP(F555,'Message Mapping'!A:L,12,FALSE)</f>
        <v/>
      </c>
      <c r="K555" s="3" t="n"/>
      <c r="L555" s="3" t="n"/>
      <c r="M555" s="3" t="n"/>
      <c r="N555" s="3" t="n"/>
      <c r="O555" s="3" t="n"/>
      <c r="P555" s="3" t="n"/>
    </row>
    <row r="556">
      <c r="A556" s="94" t="inlineStr">
        <is>
          <t>MLRE</t>
        </is>
      </c>
      <c r="B556" s="2" t="inlineStr">
        <is>
          <t>MAL FUNCIONAMENTO</t>
        </is>
      </c>
      <c r="C556" s="2" t="inlineStr">
        <is>
          <t>Custom</t>
        </is>
      </c>
      <c r="D556" s="2" t="inlineStr">
        <is>
          <t>DEFEITOS</t>
        </is>
      </c>
      <c r="E556" s="2" t="inlineStr">
        <is>
          <t>Read</t>
        </is>
      </c>
      <c r="F556" s="2" t="inlineStr">
        <is>
          <t>null@null___NORMAL@ATUADO___Custom_S_TS_SI</t>
        </is>
      </c>
      <c r="G556" s="2">
        <f>VLOOKUP(F556,'Message Mapping'!A:L,3,FALSE)</f>
        <v/>
      </c>
      <c r="H556" s="2">
        <f>VLOOKUP(F556,'Message Mapping'!A:L,4,FALSE)</f>
        <v/>
      </c>
      <c r="I556" s="2" t="n"/>
      <c r="J556" s="3">
        <f>VLOOKUP(F556,'Message Mapping'!A:L,12,FALSE)</f>
        <v/>
      </c>
      <c r="K556" s="3" t="n"/>
      <c r="L556" s="3" t="n"/>
      <c r="M556" s="3" t="n"/>
      <c r="N556" s="3" t="n"/>
      <c r="O556" s="3" t="n"/>
      <c r="P556" s="3" t="n"/>
    </row>
    <row r="557">
      <c r="A557" s="94" t="inlineStr">
        <is>
          <t>MANI</t>
        </is>
      </c>
      <c r="B557" s="2" t="inlineStr">
        <is>
          <t>MANIVELA COMANDO MANUAL</t>
        </is>
      </c>
      <c r="C557" s="2" t="inlineStr">
        <is>
          <t>Custom</t>
        </is>
      </c>
      <c r="D557" s="2" t="inlineStr">
        <is>
          <t>FUNCÕES/43/PARALELISMO</t>
        </is>
      </c>
      <c r="E557" s="2" t="inlineStr">
        <is>
          <t>Read</t>
        </is>
      </c>
      <c r="F557" s="2" t="inlineStr">
        <is>
          <t>null@null___EXTRAIDA@INSERIDA___Custom_S_TS_SS</t>
        </is>
      </c>
      <c r="G557" s="2">
        <f>VLOOKUP(F557,'Message Mapping'!A:L,3,FALSE)</f>
        <v/>
      </c>
      <c r="H557" s="2">
        <f>VLOOKUP(F557,'Message Mapping'!A:L,4,FALSE)</f>
        <v/>
      </c>
      <c r="I557" s="2" t="n"/>
      <c r="J557" s="3">
        <f>VLOOKUP(F557,'Message Mapping'!A:L,12,FALSE)</f>
        <v/>
      </c>
      <c r="K557" s="3" t="n"/>
      <c r="L557" s="3" t="n"/>
      <c r="M557" s="3" t="n"/>
      <c r="N557" s="3" t="n"/>
      <c r="O557" s="3" t="n"/>
      <c r="P557" s="3" t="n"/>
    </row>
    <row r="558">
      <c r="A558" s="94" t="inlineStr">
        <is>
          <t>MD</t>
        </is>
      </c>
      <c r="B558" s="2" t="inlineStr">
        <is>
          <t>MINI DISJUNTOR</t>
        </is>
      </c>
      <c r="C558" s="2" t="inlineStr">
        <is>
          <t>Custom</t>
        </is>
      </c>
      <c r="D558" s="2" t="inlineStr">
        <is>
          <t>FALHAS FCOM/VCA/VCC</t>
        </is>
      </c>
      <c r="E558" s="2" t="inlineStr">
        <is>
          <t>Read</t>
        </is>
      </c>
      <c r="F558" s="2" t="inlineStr">
        <is>
          <t>null@null___LIGADO@DESLIGADO___Custom_S_TS_SB</t>
        </is>
      </c>
      <c r="G558" s="2">
        <f>VLOOKUP(F558,'Message Mapping'!A:L,3,FALSE)</f>
        <v/>
      </c>
      <c r="H558" s="2">
        <f>VLOOKUP(F558,'Message Mapping'!A:L,4,FALSE)</f>
        <v/>
      </c>
      <c r="I558" s="2" t="n"/>
      <c r="J558" s="3">
        <f>VLOOKUP(F558,'Message Mapping'!A:L,12,FALSE)</f>
        <v/>
      </c>
      <c r="K558" s="3" t="n"/>
      <c r="L558" s="3" t="n"/>
      <c r="M558" s="3" t="n"/>
      <c r="N558" s="3" t="n"/>
      <c r="O558" s="3" t="n"/>
      <c r="P558" s="3" t="n"/>
    </row>
    <row r="559">
      <c r="A559" s="94" t="inlineStr">
        <is>
          <t>MD38</t>
        </is>
      </c>
      <c r="B559" s="2" t="inlineStr">
        <is>
          <t>MINI DISJUNTOR 138KV</t>
        </is>
      </c>
      <c r="C559" s="2" t="inlineStr">
        <is>
          <t>Custom</t>
        </is>
      </c>
      <c r="D559" s="2" t="inlineStr">
        <is>
          <t>FALHAS FCOM/VCA/VCC</t>
        </is>
      </c>
      <c r="E559" s="2" t="inlineStr">
        <is>
          <t>Read</t>
        </is>
      </c>
      <c r="F559" s="2" t="inlineStr">
        <is>
          <t>null@null___LIGADO@DESLIGADO___Custom_S_TS_SB</t>
        </is>
      </c>
      <c r="G559" s="2">
        <f>VLOOKUP(F559,'Message Mapping'!A:L,3,FALSE)</f>
        <v/>
      </c>
      <c r="H559" s="2">
        <f>VLOOKUP(F559,'Message Mapping'!A:L,4,FALSE)</f>
        <v/>
      </c>
      <c r="I559" s="2" t="n"/>
      <c r="J559" s="3">
        <f>VLOOKUP(F559,'Message Mapping'!A:L,12,FALSE)</f>
        <v/>
      </c>
      <c r="K559" s="3" t="n"/>
      <c r="L559" s="3" t="n"/>
      <c r="M559" s="3" t="n"/>
      <c r="N559" s="3" t="n"/>
      <c r="O559" s="3" t="n"/>
      <c r="P559" s="3" t="n"/>
    </row>
    <row r="560">
      <c r="A560" s="94" t="inlineStr">
        <is>
          <t>MD13</t>
        </is>
      </c>
      <c r="B560" s="2" t="inlineStr">
        <is>
          <t>MINI DISJUNTOR 13KV</t>
        </is>
      </c>
      <c r="C560" s="2" t="inlineStr">
        <is>
          <t>Custom</t>
        </is>
      </c>
      <c r="D560" s="2" t="inlineStr">
        <is>
          <t>FALHAS FCOM/VCA/VCC</t>
        </is>
      </c>
      <c r="E560" s="2" t="inlineStr">
        <is>
          <t>Read</t>
        </is>
      </c>
      <c r="F560" s="2" t="inlineStr">
        <is>
          <t>null@null___LIGADO@DESLIGADO___Custom_S_TS_SB</t>
        </is>
      </c>
      <c r="G560" s="2">
        <f>VLOOKUP(F560,'Message Mapping'!A:L,3,FALSE)</f>
        <v/>
      </c>
      <c r="H560" s="2">
        <f>VLOOKUP(F560,'Message Mapping'!A:L,4,FALSE)</f>
        <v/>
      </c>
      <c r="I560" s="2" t="n"/>
      <c r="J560" s="3">
        <f>VLOOKUP(F560,'Message Mapping'!A:L,12,FALSE)</f>
        <v/>
      </c>
      <c r="K560" s="3" t="n"/>
      <c r="L560" s="3" t="n"/>
      <c r="M560" s="3" t="n"/>
      <c r="N560" s="3" t="n"/>
      <c r="O560" s="3" t="n"/>
      <c r="P560" s="3" t="n"/>
    </row>
    <row r="561">
      <c r="A561" s="94" t="inlineStr">
        <is>
          <t>MD23</t>
        </is>
      </c>
      <c r="B561" s="2" t="inlineStr">
        <is>
          <t>MINI DISJUNTOR 23KV</t>
        </is>
      </c>
      <c r="C561" s="2" t="inlineStr">
        <is>
          <t>Custom</t>
        </is>
      </c>
      <c r="D561" s="2" t="inlineStr">
        <is>
          <t>FALHAS FCOM/VCA/VCC</t>
        </is>
      </c>
      <c r="E561" s="2" t="inlineStr">
        <is>
          <t>Read</t>
        </is>
      </c>
      <c r="F561" s="2" t="inlineStr">
        <is>
          <t>null@null___LIGADO@DESLIGADO___Custom_S_TS_SB</t>
        </is>
      </c>
      <c r="G561" s="2">
        <f>VLOOKUP(F561,'Message Mapping'!A:L,3,FALSE)</f>
        <v/>
      </c>
      <c r="H561" s="2">
        <f>VLOOKUP(F561,'Message Mapping'!A:L,4,FALSE)</f>
        <v/>
      </c>
      <c r="I561" s="2" t="n"/>
      <c r="J561" s="3">
        <f>VLOOKUP(F561,'Message Mapping'!A:L,12,FALSE)</f>
        <v/>
      </c>
      <c r="K561" s="3" t="n"/>
      <c r="L561" s="3" t="n"/>
      <c r="M561" s="3" t="n"/>
      <c r="N561" s="3" t="n"/>
      <c r="O561" s="3" t="n"/>
      <c r="P561" s="3" t="n"/>
    </row>
    <row r="562">
      <c r="A562" s="94" t="inlineStr">
        <is>
          <t>MD69</t>
        </is>
      </c>
      <c r="B562" s="2" t="inlineStr">
        <is>
          <t>MINI DISJUNTOR 69KV</t>
        </is>
      </c>
      <c r="C562" s="2" t="inlineStr">
        <is>
          <t>Custom</t>
        </is>
      </c>
      <c r="D562" s="2" t="inlineStr">
        <is>
          <t>FALHAS FCOM/VCA/VCC</t>
        </is>
      </c>
      <c r="E562" s="2" t="inlineStr">
        <is>
          <t>Read</t>
        </is>
      </c>
      <c r="F562" s="2" t="inlineStr">
        <is>
          <t>null@null___LIGADO@DESLIGADO___Custom_S_TS_SB</t>
        </is>
      </c>
      <c r="G562" s="2">
        <f>VLOOKUP(F562,'Message Mapping'!A:L,3,FALSE)</f>
        <v/>
      </c>
      <c r="H562" s="2">
        <f>VLOOKUP(F562,'Message Mapping'!A:L,4,FALSE)</f>
        <v/>
      </c>
      <c r="I562" s="2" t="n"/>
      <c r="J562" s="3">
        <f>VLOOKUP(F562,'Message Mapping'!A:L,12,FALSE)</f>
        <v/>
      </c>
      <c r="K562" s="3" t="n"/>
      <c r="L562" s="3" t="n"/>
      <c r="M562" s="3" t="n"/>
      <c r="N562" s="3" t="n"/>
      <c r="O562" s="3" t="n"/>
      <c r="P562" s="3" t="n"/>
    </row>
    <row r="563">
      <c r="A563" s="94" t="inlineStr">
        <is>
          <t>MDBC</t>
        </is>
      </c>
      <c r="B563" s="2" t="inlineStr">
        <is>
          <t>MINI DISJUNTOR BARRA PAINEL</t>
        </is>
      </c>
      <c r="C563" s="2" t="inlineStr">
        <is>
          <t>Custom</t>
        </is>
      </c>
      <c r="D563" s="2" t="inlineStr">
        <is>
          <t>FALHAS FCOM/VCA/VCC</t>
        </is>
      </c>
      <c r="E563" s="2" t="inlineStr">
        <is>
          <t>Read</t>
        </is>
      </c>
      <c r="F563" s="2" t="inlineStr">
        <is>
          <t>null@null___LIGADO@DESLIGADO___Custom_S_TS_SB</t>
        </is>
      </c>
      <c r="G563" s="2">
        <f>VLOOKUP(F563,'Message Mapping'!A:L,3,FALSE)</f>
        <v/>
      </c>
      <c r="H563" s="2">
        <f>VLOOKUP(F563,'Message Mapping'!A:L,4,FALSE)</f>
        <v/>
      </c>
      <c r="I563" s="2" t="n"/>
      <c r="J563" s="3">
        <f>VLOOKUP(F563,'Message Mapping'!A:L,12,FALSE)</f>
        <v/>
      </c>
      <c r="K563" s="3" t="n"/>
      <c r="L563" s="3" t="n"/>
      <c r="M563" s="3" t="n"/>
      <c r="N563" s="3" t="n"/>
      <c r="O563" s="3" t="n"/>
      <c r="P563" s="3" t="n"/>
    </row>
    <row r="564">
      <c r="A564" s="94" t="inlineStr">
        <is>
          <t>MDBP</t>
        </is>
      </c>
      <c r="B564" s="2" t="inlineStr">
        <is>
          <t>MINI DISJUNTOR BARRA PATIO</t>
        </is>
      </c>
      <c r="C564" s="2" t="inlineStr">
        <is>
          <t>Custom</t>
        </is>
      </c>
      <c r="D564" s="2" t="inlineStr">
        <is>
          <t>FALHAS FCOM/VCA/VCC</t>
        </is>
      </c>
      <c r="E564" s="2" t="inlineStr">
        <is>
          <t>Read</t>
        </is>
      </c>
      <c r="F564" s="2" t="inlineStr">
        <is>
          <t>null@null___LIGADO@DESLIGADO___Custom_S_TS_SB</t>
        </is>
      </c>
      <c r="G564" s="2">
        <f>VLOOKUP(F564,'Message Mapping'!A:L,3,FALSE)</f>
        <v/>
      </c>
      <c r="H564" s="2">
        <f>VLOOKUP(F564,'Message Mapping'!A:L,4,FALSE)</f>
        <v/>
      </c>
      <c r="I564" s="2" t="n"/>
      <c r="J564" s="3">
        <f>VLOOKUP(F564,'Message Mapping'!A:L,12,FALSE)</f>
        <v/>
      </c>
      <c r="K564" s="3" t="n"/>
      <c r="L564" s="3" t="n"/>
      <c r="M564" s="3" t="n"/>
      <c r="N564" s="3" t="n"/>
      <c r="O564" s="3" t="n"/>
      <c r="P564" s="3" t="n"/>
    </row>
    <row r="565">
      <c r="A565" s="94" t="inlineStr">
        <is>
          <t>MDCD</t>
        </is>
      </c>
      <c r="B565" s="2" t="inlineStr">
        <is>
          <t>MINI DISJUNTOR CDC</t>
        </is>
      </c>
      <c r="C565" s="2" t="inlineStr">
        <is>
          <t>Custom</t>
        </is>
      </c>
      <c r="D565" s="2" t="inlineStr">
        <is>
          <t>FALHAS FCOM/VCA/VCC</t>
        </is>
      </c>
      <c r="E565" s="2" t="inlineStr">
        <is>
          <t>Read</t>
        </is>
      </c>
      <c r="F565" s="2" t="inlineStr">
        <is>
          <t>null@null___LIGADO@DESLIGADO___Custom_S_TS_SB</t>
        </is>
      </c>
      <c r="G565" s="2">
        <f>VLOOKUP(F565,'Message Mapping'!A:L,3,FALSE)</f>
        <v/>
      </c>
      <c r="H565" s="2">
        <f>VLOOKUP(F565,'Message Mapping'!A:L,4,FALSE)</f>
        <v/>
      </c>
      <c r="I565" s="2" t="n"/>
      <c r="J565" s="3">
        <f>VLOOKUP(F565,'Message Mapping'!A:L,12,FALSE)</f>
        <v/>
      </c>
      <c r="K565" s="3" t="n"/>
      <c r="L565" s="3" t="n"/>
      <c r="M565" s="3" t="n"/>
      <c r="N565" s="3" t="n"/>
      <c r="O565" s="3" t="n"/>
      <c r="P565" s="3" t="n"/>
    </row>
    <row r="566">
      <c r="A566" s="94" t="inlineStr">
        <is>
          <t>MDCM</t>
        </is>
      </c>
      <c r="B566" s="2" t="inlineStr">
        <is>
          <t>MINI DISJUNTOR COMANDO</t>
        </is>
      </c>
      <c r="C566" s="2" t="inlineStr">
        <is>
          <t>Custom</t>
        </is>
      </c>
      <c r="D566" s="2" t="inlineStr">
        <is>
          <t>FALHAS FCOM/VCA/VCC</t>
        </is>
      </c>
      <c r="E566" s="2" t="inlineStr">
        <is>
          <t>Read</t>
        </is>
      </c>
      <c r="F566" s="2" t="inlineStr">
        <is>
          <t>null@null___LIGADO@DESLIGADO___Custom_S_TS_SB</t>
        </is>
      </c>
      <c r="G566" s="2">
        <f>VLOOKUP(F566,'Message Mapping'!A:L,3,FALSE)</f>
        <v/>
      </c>
      <c r="H566" s="2">
        <f>VLOOKUP(F566,'Message Mapping'!A:L,4,FALSE)</f>
        <v/>
      </c>
      <c r="I566" s="2" t="n"/>
      <c r="J566" s="3">
        <f>VLOOKUP(F566,'Message Mapping'!A:L,12,FALSE)</f>
        <v/>
      </c>
      <c r="K566" s="3" t="n"/>
      <c r="L566" s="3" t="n"/>
      <c r="M566" s="3" t="n"/>
      <c r="N566" s="3" t="n"/>
      <c r="O566" s="3" t="n"/>
      <c r="P566" s="3" t="n"/>
    </row>
    <row r="567">
      <c r="A567" s="94" t="inlineStr">
        <is>
          <t>MDFA</t>
        </is>
      </c>
      <c r="B567" s="2" t="inlineStr">
        <is>
          <t>MINI DISJUNTOR FASE A</t>
        </is>
      </c>
      <c r="C567" s="2" t="inlineStr">
        <is>
          <t>Custom</t>
        </is>
      </c>
      <c r="D567" s="2" t="inlineStr">
        <is>
          <t>FALHAS FCOM/VCA/VCC</t>
        </is>
      </c>
      <c r="E567" s="2" t="inlineStr">
        <is>
          <t>Read</t>
        </is>
      </c>
      <c r="F567" s="2" t="inlineStr">
        <is>
          <t>null@null___LIGADO@DESLIGADO___Custom_S_TS_SB</t>
        </is>
      </c>
      <c r="G567" s="2">
        <f>VLOOKUP(F567,'Message Mapping'!A:L,3,FALSE)</f>
        <v/>
      </c>
      <c r="H567" s="2">
        <f>VLOOKUP(F567,'Message Mapping'!A:L,4,FALSE)</f>
        <v/>
      </c>
      <c r="I567" s="2" t="n"/>
      <c r="J567" s="3">
        <f>VLOOKUP(F567,'Message Mapping'!A:L,12,FALSE)</f>
        <v/>
      </c>
      <c r="K567" s="3" t="n"/>
      <c r="L567" s="3" t="n"/>
      <c r="M567" s="3" t="n"/>
      <c r="N567" s="3" t="n"/>
      <c r="O567" s="3" t="n"/>
      <c r="P567" s="3" t="n"/>
    </row>
    <row r="568">
      <c r="A568" s="94" t="inlineStr">
        <is>
          <t>MDFB</t>
        </is>
      </c>
      <c r="B568" s="2" t="inlineStr">
        <is>
          <t>MINI DISJUNTOR FASE B</t>
        </is>
      </c>
      <c r="C568" s="2" t="inlineStr">
        <is>
          <t>Custom</t>
        </is>
      </c>
      <c r="D568" s="2" t="inlineStr">
        <is>
          <t>FALHAS FCOM/VCA/VCC</t>
        </is>
      </c>
      <c r="E568" s="2" t="inlineStr">
        <is>
          <t>Read</t>
        </is>
      </c>
      <c r="F568" s="2" t="inlineStr">
        <is>
          <t>null@null___LIGADO@DESLIGADO___Custom_S_TS_SB</t>
        </is>
      </c>
      <c r="G568" s="2">
        <f>VLOOKUP(F568,'Message Mapping'!A:L,3,FALSE)</f>
        <v/>
      </c>
      <c r="H568" s="2">
        <f>VLOOKUP(F568,'Message Mapping'!A:L,4,FALSE)</f>
        <v/>
      </c>
      <c r="I568" s="2" t="n"/>
      <c r="J568" s="3">
        <f>VLOOKUP(F568,'Message Mapping'!A:L,12,FALSE)</f>
        <v/>
      </c>
      <c r="K568" s="3" t="n"/>
      <c r="L568" s="3" t="n"/>
      <c r="M568" s="3" t="n"/>
      <c r="N568" s="3" t="n"/>
      <c r="O568" s="3" t="n"/>
      <c r="P568" s="3" t="n"/>
    </row>
    <row r="569">
      <c r="A569" s="94" t="inlineStr">
        <is>
          <t>MDFC</t>
        </is>
      </c>
      <c r="B569" s="2" t="inlineStr">
        <is>
          <t>MINI DISJUNTOR FASE C</t>
        </is>
      </c>
      <c r="C569" s="2" t="inlineStr">
        <is>
          <t>Custom</t>
        </is>
      </c>
      <c r="D569" s="2" t="inlineStr">
        <is>
          <t>FALHAS FCOM/VCA/VCC</t>
        </is>
      </c>
      <c r="E569" s="2" t="inlineStr">
        <is>
          <t>Read</t>
        </is>
      </c>
      <c r="F569" s="2" t="inlineStr">
        <is>
          <t>null@null___LIGADO@DESLIGADO___Custom_S_TS_SB</t>
        </is>
      </c>
      <c r="G569" s="2">
        <f>VLOOKUP(F569,'Message Mapping'!A:L,3,FALSE)</f>
        <v/>
      </c>
      <c r="H569" s="2">
        <f>VLOOKUP(F569,'Message Mapping'!A:L,4,FALSE)</f>
        <v/>
      </c>
      <c r="I569" s="2" t="n"/>
      <c r="J569" s="3">
        <f>VLOOKUP(F569,'Message Mapping'!A:L,12,FALSE)</f>
        <v/>
      </c>
      <c r="K569" s="3" t="n"/>
      <c r="L569" s="3" t="n"/>
      <c r="M569" s="3" t="n"/>
      <c r="N569" s="3" t="n"/>
      <c r="O569" s="3" t="n"/>
      <c r="P569" s="3" t="n"/>
    </row>
    <row r="570">
      <c r="A570" s="94" t="inlineStr">
        <is>
          <t>MDLT</t>
        </is>
      </c>
      <c r="B570" s="2" t="inlineStr">
        <is>
          <t>MINI DISJUNTOR LT</t>
        </is>
      </c>
      <c r="C570" s="2" t="inlineStr">
        <is>
          <t>Custom</t>
        </is>
      </c>
      <c r="D570" s="2" t="inlineStr">
        <is>
          <t>FALHAS FCOM/VCA/VCC</t>
        </is>
      </c>
      <c r="E570" s="2" t="inlineStr">
        <is>
          <t>Read</t>
        </is>
      </c>
      <c r="F570" s="2" t="inlineStr">
        <is>
          <t>null@null___LIGADO@DESLIGADO___Custom_S_TS_SB</t>
        </is>
      </c>
      <c r="G570" s="2">
        <f>VLOOKUP(F570,'Message Mapping'!A:L,3,FALSE)</f>
        <v/>
      </c>
      <c r="H570" s="2">
        <f>VLOOKUP(F570,'Message Mapping'!A:L,4,FALSE)</f>
        <v/>
      </c>
      <c r="I570" s="2" t="n"/>
      <c r="J570" s="3">
        <f>VLOOKUP(F570,'Message Mapping'!A:L,12,FALSE)</f>
        <v/>
      </c>
      <c r="K570" s="3" t="n"/>
      <c r="L570" s="3" t="n"/>
      <c r="M570" s="3" t="n"/>
      <c r="N570" s="3" t="n"/>
      <c r="O570" s="3" t="n"/>
      <c r="P570" s="3" t="n"/>
    </row>
    <row r="571">
      <c r="A571" s="94" t="inlineStr">
        <is>
          <t>MDLC</t>
        </is>
      </c>
      <c r="B571" s="2" t="inlineStr">
        <is>
          <t>MINI DISJUNTOR LT PAINEL</t>
        </is>
      </c>
      <c r="C571" s="2" t="inlineStr">
        <is>
          <t>Custom</t>
        </is>
      </c>
      <c r="D571" s="2" t="inlineStr">
        <is>
          <t>FALHAS FCOM/VCA/VCC</t>
        </is>
      </c>
      <c r="E571" s="2" t="inlineStr">
        <is>
          <t>Read</t>
        </is>
      </c>
      <c r="F571" s="2" t="inlineStr">
        <is>
          <t>null@null___LIGADO@DESLIGADO___Custom_S_TS_SB</t>
        </is>
      </c>
      <c r="G571" s="2">
        <f>VLOOKUP(F571,'Message Mapping'!A:L,3,FALSE)</f>
        <v/>
      </c>
      <c r="H571" s="2">
        <f>VLOOKUP(F571,'Message Mapping'!A:L,4,FALSE)</f>
        <v/>
      </c>
      <c r="I571" s="2" t="n"/>
      <c r="J571" s="3">
        <f>VLOOKUP(F571,'Message Mapping'!A:L,12,FALSE)</f>
        <v/>
      </c>
      <c r="K571" s="3" t="n"/>
      <c r="L571" s="3" t="n"/>
      <c r="M571" s="3" t="n"/>
      <c r="N571" s="3" t="n"/>
      <c r="O571" s="3" t="n"/>
      <c r="P571" s="3" t="n"/>
    </row>
    <row r="572">
      <c r="A572" s="94" t="inlineStr">
        <is>
          <t>MDLP</t>
        </is>
      </c>
      <c r="B572" s="2" t="inlineStr">
        <is>
          <t>MINI DISJUNTOR LT PATIO</t>
        </is>
      </c>
      <c r="C572" s="2" t="inlineStr">
        <is>
          <t>Custom</t>
        </is>
      </c>
      <c r="D572" s="2" t="inlineStr">
        <is>
          <t>FALHAS FCOM/VCA/VCC</t>
        </is>
      </c>
      <c r="E572" s="2" t="inlineStr">
        <is>
          <t>Read</t>
        </is>
      </c>
      <c r="F572" s="2" t="inlineStr">
        <is>
          <t>null@null___LIGADO@DESLIGADO___Custom_S_TS_SB</t>
        </is>
      </c>
      <c r="G572" s="2">
        <f>VLOOKUP(F572,'Message Mapping'!A:L,3,FALSE)</f>
        <v/>
      </c>
      <c r="H572" s="2">
        <f>VLOOKUP(F572,'Message Mapping'!A:L,4,FALSE)</f>
        <v/>
      </c>
      <c r="I572" s="2" t="n"/>
      <c r="J572" s="3">
        <f>VLOOKUP(F572,'Message Mapping'!A:L,12,FALSE)</f>
        <v/>
      </c>
      <c r="K572" s="3" t="n"/>
      <c r="L572" s="3" t="n"/>
      <c r="M572" s="3" t="n"/>
      <c r="N572" s="3" t="n"/>
      <c r="O572" s="3" t="n"/>
      <c r="P572" s="3" t="n"/>
    </row>
    <row r="573">
      <c r="A573" s="94" t="inlineStr">
        <is>
          <t>MDOL</t>
        </is>
      </c>
      <c r="B573" s="2" t="inlineStr">
        <is>
          <t>MINI DISJUNTOR OLEO</t>
        </is>
      </c>
      <c r="C573" s="2" t="inlineStr">
        <is>
          <t>Custom</t>
        </is>
      </c>
      <c r="D573" s="2" t="inlineStr">
        <is>
          <t>FALHAS FCOM/VCA/VCC</t>
        </is>
      </c>
      <c r="E573" s="2" t="inlineStr">
        <is>
          <t>Read</t>
        </is>
      </c>
      <c r="F573" s="2" t="inlineStr">
        <is>
          <t>null@null___LIGADO@DESLIGADO___Custom_S_TS_SB</t>
        </is>
      </c>
      <c r="G573" s="2">
        <f>VLOOKUP(F573,'Message Mapping'!A:L,3,FALSE)</f>
        <v/>
      </c>
      <c r="H573" s="2">
        <f>VLOOKUP(F573,'Message Mapping'!A:L,4,FALSE)</f>
        <v/>
      </c>
      <c r="I573" s="2" t="n"/>
      <c r="J573" s="3">
        <f>VLOOKUP(F573,'Message Mapping'!A:L,12,FALSE)</f>
        <v/>
      </c>
      <c r="K573" s="3" t="n"/>
      <c r="L573" s="3" t="n"/>
      <c r="M573" s="3" t="n"/>
      <c r="N573" s="3" t="n"/>
      <c r="O573" s="3" t="n"/>
      <c r="P573" s="3" t="n"/>
    </row>
    <row r="574">
      <c r="A574" s="94" t="inlineStr">
        <is>
          <t>MDPM</t>
        </is>
      </c>
      <c r="B574" s="2" t="inlineStr">
        <is>
          <t>MINI DISJUNTOR PAINEL MEDICAO</t>
        </is>
      </c>
      <c r="C574" s="2" t="inlineStr">
        <is>
          <t>Custom</t>
        </is>
      </c>
      <c r="D574" s="2" t="inlineStr">
        <is>
          <t>FALHAS FCOM/VCA/VCC</t>
        </is>
      </c>
      <c r="E574" s="2" t="inlineStr">
        <is>
          <t>Read</t>
        </is>
      </c>
      <c r="F574" s="2" t="inlineStr">
        <is>
          <t>null@null___LIGADO@DESLIGADO___Custom_S_TS_SB</t>
        </is>
      </c>
      <c r="G574" s="2">
        <f>VLOOKUP(F574,'Message Mapping'!A:L,3,FALSE)</f>
        <v/>
      </c>
      <c r="H574" s="2">
        <f>VLOOKUP(F574,'Message Mapping'!A:L,4,FALSE)</f>
        <v/>
      </c>
      <c r="I574" s="2" t="n"/>
      <c r="J574" s="3">
        <f>VLOOKUP(F574,'Message Mapping'!A:L,12,FALSE)</f>
        <v/>
      </c>
      <c r="K574" s="3" t="n"/>
      <c r="L574" s="3" t="n"/>
      <c r="M574" s="3" t="n"/>
      <c r="N574" s="3" t="n"/>
      <c r="O574" s="3" t="n"/>
      <c r="P574" s="3" t="n"/>
    </row>
    <row r="575">
      <c r="A575" s="94" t="inlineStr">
        <is>
          <t>MDTP</t>
        </is>
      </c>
      <c r="B575" s="2" t="inlineStr">
        <is>
          <t>MINI DISJUNTOR TP</t>
        </is>
      </c>
      <c r="C575" s="2" t="inlineStr">
        <is>
          <t>Custom</t>
        </is>
      </c>
      <c r="D575" s="2" t="inlineStr">
        <is>
          <t>FALHAS FCOM/VCA/VCC</t>
        </is>
      </c>
      <c r="E575" s="2" t="inlineStr">
        <is>
          <t>Read</t>
        </is>
      </c>
      <c r="F575" s="2" t="inlineStr">
        <is>
          <t>null@null___LIGADO@DESLIGADO___Custom_S_TS_SB</t>
        </is>
      </c>
      <c r="G575" s="2">
        <f>VLOOKUP(F575,'Message Mapping'!A:L,3,FALSE)</f>
        <v/>
      </c>
      <c r="H575" s="2">
        <f>VLOOKUP(F575,'Message Mapping'!A:L,4,FALSE)</f>
        <v/>
      </c>
      <c r="I575" s="2" t="n"/>
      <c r="J575" s="3">
        <f>VLOOKUP(F575,'Message Mapping'!A:L,12,FALSE)</f>
        <v/>
      </c>
      <c r="K575" s="3" t="n"/>
      <c r="L575" s="3" t="n"/>
      <c r="M575" s="3" t="n"/>
      <c r="N575" s="3" t="n"/>
      <c r="O575" s="3" t="n"/>
      <c r="P575" s="3" t="n"/>
    </row>
    <row r="576">
      <c r="A576" s="94" t="inlineStr">
        <is>
          <t>MDTM</t>
        </is>
      </c>
      <c r="B576" s="2" t="inlineStr">
        <is>
          <t>MINI DISJUNTOR TP MEDICAO</t>
        </is>
      </c>
      <c r="C576" s="2" t="inlineStr">
        <is>
          <t>Custom</t>
        </is>
      </c>
      <c r="D576" s="2" t="inlineStr">
        <is>
          <t>FALHAS FCOM/VCA/VCC</t>
        </is>
      </c>
      <c r="E576" s="2" t="inlineStr">
        <is>
          <t>Read</t>
        </is>
      </c>
      <c r="F576" s="2" t="inlineStr">
        <is>
          <t>null@null___LIGADO@DESLIGADO___Custom_S_TS_SB</t>
        </is>
      </c>
      <c r="G576" s="2">
        <f>VLOOKUP(F576,'Message Mapping'!A:L,3,FALSE)</f>
        <v/>
      </c>
      <c r="H576" s="2">
        <f>VLOOKUP(F576,'Message Mapping'!A:L,4,FALSE)</f>
        <v/>
      </c>
      <c r="I576" s="2" t="n"/>
      <c r="J576" s="3">
        <f>VLOOKUP(F576,'Message Mapping'!A:L,12,FALSE)</f>
        <v/>
      </c>
      <c r="K576" s="3" t="n"/>
      <c r="L576" s="3" t="n"/>
      <c r="M576" s="3" t="n"/>
      <c r="N576" s="3" t="n"/>
      <c r="O576" s="3" t="n"/>
      <c r="P576" s="3" t="n"/>
    </row>
    <row r="577">
      <c r="A577" s="94" t="inlineStr">
        <is>
          <t>MDMT</t>
        </is>
      </c>
      <c r="B577" s="2" t="inlineStr">
        <is>
          <t>MINI DISJUNTOR TP MEDICAO CDC</t>
        </is>
      </c>
      <c r="C577" s="2" t="inlineStr">
        <is>
          <t>Custom</t>
        </is>
      </c>
      <c r="D577" s="2" t="inlineStr">
        <is>
          <t>FALHAS FCOM/VCA/VCC</t>
        </is>
      </c>
      <c r="E577" s="2" t="inlineStr">
        <is>
          <t>Read</t>
        </is>
      </c>
      <c r="F577" s="2" t="inlineStr">
        <is>
          <t>null@null___LIGADO@DESLIGADO___Custom_S_TS_SB</t>
        </is>
      </c>
      <c r="G577" s="2">
        <f>VLOOKUP(F577,'Message Mapping'!A:L,3,FALSE)</f>
        <v/>
      </c>
      <c r="H577" s="2">
        <f>VLOOKUP(F577,'Message Mapping'!A:L,4,FALSE)</f>
        <v/>
      </c>
      <c r="I577" s="2" t="n"/>
      <c r="J577" s="3">
        <f>VLOOKUP(F577,'Message Mapping'!A:L,12,FALSE)</f>
        <v/>
      </c>
      <c r="K577" s="3" t="n"/>
      <c r="L577" s="3" t="n"/>
      <c r="M577" s="3" t="n"/>
      <c r="N577" s="3" t="n"/>
      <c r="O577" s="3" t="n"/>
      <c r="P577" s="3" t="n"/>
    </row>
    <row r="578">
      <c r="A578" s="94" t="inlineStr">
        <is>
          <t>MDPN</t>
        </is>
      </c>
      <c r="B578" s="2" t="inlineStr">
        <is>
          <t>MINI DISJUNTOR TP PAINEL</t>
        </is>
      </c>
      <c r="C578" s="2" t="inlineStr">
        <is>
          <t>Custom</t>
        </is>
      </c>
      <c r="D578" s="2" t="inlineStr">
        <is>
          <t>FALHAS FCOM/VCA/VCC</t>
        </is>
      </c>
      <c r="E578" s="2" t="inlineStr">
        <is>
          <t>Read</t>
        </is>
      </c>
      <c r="F578" s="2" t="inlineStr">
        <is>
          <t>null@null___LIGADO@DESLIGADO___Custom_S_TS_SB</t>
        </is>
      </c>
      <c r="G578" s="2">
        <f>VLOOKUP(F578,'Message Mapping'!A:L,3,FALSE)</f>
        <v/>
      </c>
      <c r="H578" s="2">
        <f>VLOOKUP(F578,'Message Mapping'!A:L,4,FALSE)</f>
        <v/>
      </c>
      <c r="I578" s="2" t="n"/>
      <c r="J578" s="3">
        <f>VLOOKUP(F578,'Message Mapping'!A:L,12,FALSE)</f>
        <v/>
      </c>
      <c r="K578" s="3" t="n"/>
      <c r="L578" s="3" t="n"/>
      <c r="M578" s="3" t="n"/>
      <c r="N578" s="3" t="n"/>
      <c r="O578" s="3" t="n"/>
      <c r="P578" s="3" t="n"/>
    </row>
    <row r="579">
      <c r="A579" s="94" t="inlineStr">
        <is>
          <t>MDCA</t>
        </is>
      </c>
      <c r="B579" s="2" t="inlineStr">
        <is>
          <t>MINI DISJUNTOR VCA</t>
        </is>
      </c>
      <c r="C579" s="2" t="inlineStr">
        <is>
          <t>Custom</t>
        </is>
      </c>
      <c r="D579" s="2" t="inlineStr">
        <is>
          <t>FALHAS FCOM/VCA/VCC</t>
        </is>
      </c>
      <c r="E579" s="2" t="inlineStr">
        <is>
          <t>Read</t>
        </is>
      </c>
      <c r="F579" s="2" t="inlineStr">
        <is>
          <t>null@null___LIGADO@DESLIGADO___Custom_S_TS_SB</t>
        </is>
      </c>
      <c r="G579" s="2">
        <f>VLOOKUP(F579,'Message Mapping'!A:L,3,FALSE)</f>
        <v/>
      </c>
      <c r="H579" s="2">
        <f>VLOOKUP(F579,'Message Mapping'!A:L,4,FALSE)</f>
        <v/>
      </c>
      <c r="I579" s="2" t="n"/>
      <c r="J579" s="3">
        <f>VLOOKUP(F579,'Message Mapping'!A:L,12,FALSE)</f>
        <v/>
      </c>
      <c r="K579" s="3" t="n"/>
      <c r="L579" s="3" t="n"/>
      <c r="M579" s="3" t="n"/>
      <c r="N579" s="3" t="n"/>
      <c r="O579" s="3" t="n"/>
      <c r="P579" s="3" t="n"/>
    </row>
    <row r="580">
      <c r="A580" s="94" t="inlineStr">
        <is>
          <t>MDCC</t>
        </is>
      </c>
      <c r="B580" s="2" t="inlineStr">
        <is>
          <t>MINI DISJUNTOR VCC</t>
        </is>
      </c>
      <c r="C580" s="2" t="inlineStr">
        <is>
          <t>Custom</t>
        </is>
      </c>
      <c r="D580" s="2" t="inlineStr">
        <is>
          <t>FALHAS FCOM/VCA/VCC</t>
        </is>
      </c>
      <c r="E580" s="2" t="inlineStr">
        <is>
          <t>Read</t>
        </is>
      </c>
      <c r="F580" s="2" t="inlineStr">
        <is>
          <t>null@null___LIGADO@DESLIGADO___Custom_S_TS_SB</t>
        </is>
      </c>
      <c r="G580" s="2">
        <f>VLOOKUP(F580,'Message Mapping'!A:L,3,FALSE)</f>
        <v/>
      </c>
      <c r="H580" s="2">
        <f>VLOOKUP(F580,'Message Mapping'!A:L,4,FALSE)</f>
        <v/>
      </c>
      <c r="I580" s="2" t="n"/>
      <c r="J580" s="3">
        <f>VLOOKUP(F580,'Message Mapping'!A:L,12,FALSE)</f>
        <v/>
      </c>
      <c r="K580" s="3" t="n"/>
      <c r="L580" s="3" t="n"/>
      <c r="M580" s="3" t="n"/>
      <c r="N580" s="3" t="n"/>
      <c r="O580" s="3" t="n"/>
      <c r="P580" s="3" t="n"/>
    </row>
    <row r="581">
      <c r="A581" s="94" t="inlineStr">
        <is>
          <t>MTRF</t>
        </is>
      </c>
      <c r="B581" s="2" t="inlineStr">
        <is>
          <t>MODULO TRANSFERIDO</t>
        </is>
      </c>
      <c r="C581" s="2" t="inlineStr">
        <is>
          <t>Custom</t>
        </is>
      </c>
      <c r="D581" s="2" t="inlineStr">
        <is>
          <t>FUNCÕES/43/PARALELISMO</t>
        </is>
      </c>
      <c r="E581" s="2" t="inlineStr">
        <is>
          <t>Read</t>
        </is>
      </c>
      <c r="F581" s="2" t="inlineStr">
        <is>
          <t>null@null___NORMAL@ATUADO___Custom_S_TS_SS</t>
        </is>
      </c>
      <c r="G581" s="2">
        <f>VLOOKUP(F581,'Message Mapping'!A:L,3,FALSE)</f>
        <v/>
      </c>
      <c r="H581" s="2">
        <f>VLOOKUP(F581,'Message Mapping'!A:L,4,FALSE)</f>
        <v/>
      </c>
      <c r="I581" s="2" t="n"/>
      <c r="J581" s="3">
        <f>VLOOKUP(F581,'Message Mapping'!A:L,12,FALSE)</f>
        <v/>
      </c>
      <c r="K581" s="3" t="n"/>
      <c r="L581" s="3" t="n"/>
      <c r="M581" s="3" t="n"/>
      <c r="N581" s="3" t="n"/>
      <c r="O581" s="3" t="n"/>
      <c r="P581" s="3" t="n"/>
    </row>
    <row r="582">
      <c r="A582" s="94" t="inlineStr">
        <is>
          <t>MOLA</t>
        </is>
      </c>
      <c r="B582" s="2" t="inlineStr">
        <is>
          <t>MOLA</t>
        </is>
      </c>
      <c r="C582" s="2" t="inlineStr">
        <is>
          <t>Custom</t>
        </is>
      </c>
      <c r="D582" s="2" t="inlineStr">
        <is>
          <t>FALHAS FCOM/VCA/VCC</t>
        </is>
      </c>
      <c r="E582" s="2" t="inlineStr">
        <is>
          <t>Read</t>
        </is>
      </c>
      <c r="F582" s="2" t="inlineStr">
        <is>
          <t>null@null___CARREGADA@DESCARREGADA___Custom_S_TS_SB</t>
        </is>
      </c>
      <c r="G582" s="2">
        <f>VLOOKUP(F582,'Message Mapping'!A:L,3,FALSE)</f>
        <v/>
      </c>
      <c r="H582" s="2">
        <f>VLOOKUP(F582,'Message Mapping'!A:L,4,FALSE)</f>
        <v/>
      </c>
      <c r="I582" s="2" t="n"/>
      <c r="J582" s="3">
        <f>VLOOKUP(F582,'Message Mapping'!A:L,12,FALSE)</f>
        <v/>
      </c>
      <c r="K582" s="3" t="n"/>
      <c r="L582" s="3" t="n"/>
      <c r="M582" s="3" t="n"/>
      <c r="N582" s="3" t="n"/>
      <c r="O582" s="3" t="n"/>
      <c r="P582" s="3" t="n"/>
    </row>
    <row r="583">
      <c r="A583" s="94" t="inlineStr">
        <is>
          <t>MLCC</t>
        </is>
      </c>
      <c r="B583" s="2" t="inlineStr">
        <is>
          <t>FALTA VCC OU MOLA</t>
        </is>
      </c>
      <c r="C583" s="2" t="inlineStr">
        <is>
          <t>Custom</t>
        </is>
      </c>
      <c r="D583" s="2" t="inlineStr">
        <is>
          <t>FALHAS FCOM/VCA/VCC</t>
        </is>
      </c>
      <c r="E583" s="2" t="inlineStr">
        <is>
          <t>Read</t>
        </is>
      </c>
      <c r="F583" s="2" t="inlineStr">
        <is>
          <t>null@null___NORMAL@ATUADO___Custom_S_TS_SB</t>
        </is>
      </c>
      <c r="G583" s="2">
        <f>VLOOKUP(F583,'Message Mapping'!A:L,3,FALSE)</f>
        <v/>
      </c>
      <c r="H583" s="2">
        <f>VLOOKUP(F583,'Message Mapping'!A:L,4,FALSE)</f>
        <v/>
      </c>
      <c r="I583" s="2" t="n"/>
      <c r="J583" s="3">
        <f>VLOOKUP(F583,'Message Mapping'!A:L,12,FALSE)</f>
        <v/>
      </c>
      <c r="K583" s="3" t="n"/>
      <c r="L583" s="3" t="n"/>
      <c r="M583" s="3" t="n"/>
      <c r="N583" s="3" t="n"/>
      <c r="O583" s="3" t="n"/>
      <c r="P583" s="3" t="n"/>
    </row>
    <row r="584">
      <c r="A584" s="94" t="inlineStr">
        <is>
          <t>NEGT</t>
        </is>
      </c>
      <c r="B584" s="2" t="inlineStr">
        <is>
          <t>NEGATIVADO A TERRA</t>
        </is>
      </c>
      <c r="C584" s="2" t="inlineStr">
        <is>
          <t>Custom</t>
        </is>
      </c>
      <c r="D584" s="2" t="inlineStr">
        <is>
          <t>FALHAS FCOM/VCA/VCC</t>
        </is>
      </c>
      <c r="E584" s="2" t="inlineStr">
        <is>
          <t>Read</t>
        </is>
      </c>
      <c r="F584" s="2" t="inlineStr">
        <is>
          <t>null@null___NORMAL@ATUADO___Custom_S_TS_SB</t>
        </is>
      </c>
      <c r="G584" s="2">
        <f>VLOOKUP(F584,'Message Mapping'!A:L,3,FALSE)</f>
        <v/>
      </c>
      <c r="H584" s="2">
        <f>VLOOKUP(F584,'Message Mapping'!A:L,4,FALSE)</f>
        <v/>
      </c>
      <c r="I584" s="2" t="n"/>
      <c r="J584" s="3">
        <f>VLOOKUP(F584,'Message Mapping'!A:L,12,FALSE)</f>
        <v/>
      </c>
      <c r="K584" s="3" t="n"/>
      <c r="L584" s="3" t="n"/>
      <c r="M584" s="3" t="n"/>
      <c r="N584" s="3" t="n"/>
      <c r="O584" s="3" t="n"/>
      <c r="P584" s="3" t="n"/>
    </row>
    <row r="585">
      <c r="A585" s="94" t="inlineStr">
        <is>
          <t>N</t>
        </is>
      </c>
      <c r="B585" s="2" t="inlineStr">
        <is>
          <t>NEUTRO</t>
        </is>
      </c>
      <c r="C585" s="2" t="inlineStr">
        <is>
          <t>RelayTrip</t>
        </is>
      </c>
      <c r="D585" s="2" t="inlineStr">
        <is>
          <t>PROT</t>
        </is>
      </c>
      <c r="E585" s="2" t="inlineStr">
        <is>
          <t>Read</t>
        </is>
      </c>
      <c r="F585" s="2" t="inlineStr">
        <is>
          <t>null@null___NORMAL@ATUADO___Custom_S_TS_SA</t>
        </is>
      </c>
      <c r="G585" s="2">
        <f>VLOOKUP(F585,'Message Mapping'!A:L,3,FALSE)</f>
        <v/>
      </c>
      <c r="H585" s="2">
        <f>VLOOKUP(F585,'Message Mapping'!A:L,4,FALSE)</f>
        <v/>
      </c>
      <c r="I585" s="2" t="n"/>
      <c r="J585" s="3">
        <f>VLOOKUP(F585,'Message Mapping'!A:L,12,FALSE)</f>
        <v/>
      </c>
      <c r="K585" s="3" t="n"/>
      <c r="L585" s="3" t="n"/>
      <c r="M585" s="3" t="n"/>
      <c r="N585" s="3" t="n"/>
      <c r="O585" s="3" t="n"/>
      <c r="P585" s="3" t="n"/>
    </row>
    <row r="586">
      <c r="A586" s="94" t="inlineStr">
        <is>
          <t>OI</t>
        </is>
      </c>
      <c r="B586" s="2" t="inlineStr">
        <is>
          <t>OPERACAO INDEVIDA SECCIONADORA</t>
        </is>
      </c>
      <c r="C586" s="2" t="inlineStr">
        <is>
          <t>Custom</t>
        </is>
      </c>
      <c r="D586" s="2" t="inlineStr">
        <is>
          <t>FALHAS FCOM/VCA/VCC</t>
        </is>
      </c>
      <c r="E586" s="2" t="inlineStr">
        <is>
          <t>Read</t>
        </is>
      </c>
      <c r="F586" s="2" t="inlineStr">
        <is>
          <t>null@null___NORMAL@ATUADO___Custom_S_TS_SB</t>
        </is>
      </c>
      <c r="G586" s="2">
        <f>VLOOKUP(F586,'Message Mapping'!A:L,3,FALSE)</f>
        <v/>
      </c>
      <c r="H586" s="2">
        <f>VLOOKUP(F586,'Message Mapping'!A:L,4,FALSE)</f>
        <v/>
      </c>
      <c r="I586" s="2" t="n"/>
      <c r="J586" s="3">
        <f>VLOOKUP(F586,'Message Mapping'!A:L,12,FALSE)</f>
        <v/>
      </c>
      <c r="K586" s="3" t="n"/>
      <c r="L586" s="3" t="n"/>
      <c r="M586" s="3" t="n"/>
      <c r="N586" s="3" t="n"/>
      <c r="O586" s="3" t="n"/>
      <c r="P586" s="3" t="n"/>
    </row>
    <row r="587">
      <c r="A587" s="94" t="inlineStr">
        <is>
          <t>OAUT</t>
        </is>
      </c>
      <c r="B587" s="2" t="inlineStr">
        <is>
          <t>OPERAÇÃO PELO AUTOMATISMO</t>
        </is>
      </c>
      <c r="C587" s="2" t="inlineStr">
        <is>
          <t>Custom</t>
        </is>
      </c>
      <c r="D587" s="2" t="inlineStr">
        <is>
          <t>PROT</t>
        </is>
      </c>
      <c r="E587" s="2" t="inlineStr">
        <is>
          <t>Read</t>
        </is>
      </c>
      <c r="F587" s="2" t="inlineStr">
        <is>
          <t>null@null___NORMAL@ATUADO___Custom_S_TS_SA</t>
        </is>
      </c>
      <c r="G587" s="2">
        <f>VLOOKUP(F587,'Message Mapping'!A:L,3,FALSE)</f>
        <v/>
      </c>
      <c r="H587" s="2">
        <f>VLOOKUP(F587,'Message Mapping'!A:L,4,FALSE)</f>
        <v/>
      </c>
      <c r="I587" s="2" t="n"/>
      <c r="J587" s="3">
        <f>VLOOKUP(F587,'Message Mapping'!A:L,12,FALSE)</f>
        <v/>
      </c>
      <c r="K587" s="3" t="n"/>
      <c r="L587" s="3" t="n"/>
      <c r="M587" s="3" t="n"/>
      <c r="N587" s="3" t="n"/>
      <c r="O587" s="3" t="n"/>
      <c r="P587" s="3" t="n"/>
    </row>
    <row r="588">
      <c r="A588" s="94" t="inlineStr">
        <is>
          <t>PPOT</t>
        </is>
      </c>
      <c r="B588" s="2" t="inlineStr">
        <is>
          <t>PERDA DE POTENCIAL</t>
        </is>
      </c>
      <c r="C588" s="2" t="inlineStr">
        <is>
          <t>Custom</t>
        </is>
      </c>
      <c r="D588" s="2" t="inlineStr">
        <is>
          <t>FALHAS FCOM/VCA/VCC</t>
        </is>
      </c>
      <c r="E588" s="2" t="inlineStr">
        <is>
          <t>Read</t>
        </is>
      </c>
      <c r="F588" s="2" t="inlineStr">
        <is>
          <t>null@null___NORMAL@ATUADO___Custom_S_TS_SB</t>
        </is>
      </c>
      <c r="G588" s="2">
        <f>VLOOKUP(F588,'Message Mapping'!A:L,3,FALSE)</f>
        <v/>
      </c>
      <c r="H588" s="2">
        <f>VLOOKUP(F588,'Message Mapping'!A:L,4,FALSE)</f>
        <v/>
      </c>
      <c r="I588" s="2" t="n"/>
      <c r="J588" s="3">
        <f>VLOOKUP(F588,'Message Mapping'!A:L,12,FALSE)</f>
        <v/>
      </c>
      <c r="K588" s="3" t="n"/>
      <c r="L588" s="3" t="n"/>
      <c r="M588" s="3" t="n"/>
      <c r="N588" s="3" t="n"/>
      <c r="O588" s="3" t="n"/>
      <c r="P588" s="3" t="n"/>
    </row>
    <row r="589">
      <c r="A589" s="94" t="inlineStr">
        <is>
          <t>PVRF</t>
        </is>
      </c>
      <c r="B589" s="2" t="inlineStr">
        <is>
          <t>PERDA DE TENSAO DE REFERENCIA</t>
        </is>
      </c>
      <c r="C589" s="2" t="inlineStr">
        <is>
          <t>Custom</t>
        </is>
      </c>
      <c r="D589" s="2" t="inlineStr">
        <is>
          <t>FALHAS FCOM/VCA/VCC</t>
        </is>
      </c>
      <c r="E589" s="2" t="inlineStr">
        <is>
          <t>Read</t>
        </is>
      </c>
      <c r="F589" s="2" t="inlineStr">
        <is>
          <t>null@null___NORMAL@ATUADO___Custom_S_TS_SB</t>
        </is>
      </c>
      <c r="G589" s="2">
        <f>VLOOKUP(F589,'Message Mapping'!A:L,3,FALSE)</f>
        <v/>
      </c>
      <c r="H589" s="2">
        <f>VLOOKUP(F589,'Message Mapping'!A:L,4,FALSE)</f>
        <v/>
      </c>
      <c r="I589" s="2" t="n"/>
      <c r="J589" s="3">
        <f>VLOOKUP(F589,'Message Mapping'!A:L,12,FALSE)</f>
        <v/>
      </c>
      <c r="K589" s="3" t="n"/>
      <c r="L589" s="3" t="n"/>
      <c r="M589" s="3" t="n"/>
      <c r="N589" s="3" t="n"/>
      <c r="O589" s="3" t="n"/>
      <c r="P589" s="3" t="n"/>
    </row>
    <row r="590">
      <c r="A590" s="94" t="inlineStr">
        <is>
          <t>PALT</t>
        </is>
      </c>
      <c r="B590" s="2" t="inlineStr">
        <is>
          <t>PERFIL DE AJUSTE ALTERNATIVO</t>
        </is>
      </c>
      <c r="C590" s="2" t="inlineStr">
        <is>
          <t>Custom</t>
        </is>
      </c>
      <c r="D590" s="2" t="inlineStr">
        <is>
          <t>ALARMES PREDIAIS/VF/GRUPO</t>
        </is>
      </c>
      <c r="E590" s="2" t="inlineStr">
        <is>
          <t>Read</t>
        </is>
      </c>
      <c r="F590" s="2" t="inlineStr">
        <is>
          <t>DESATIVAR@ATIVAR___DESATIVADO@ATIVADO___Custom_S_TS_SV</t>
        </is>
      </c>
      <c r="G590" s="2">
        <f>VLOOKUP(F590,'Message Mapping'!A:L,3,FALSE)</f>
        <v/>
      </c>
      <c r="H590" s="2">
        <f>VLOOKUP(F590,'Message Mapping'!A:L,4,FALSE)</f>
        <v/>
      </c>
      <c r="I590" s="2" t="n"/>
      <c r="J590" s="3">
        <f>VLOOKUP(F590,'Message Mapping'!A:L,12,FALSE)</f>
        <v/>
      </c>
      <c r="K590" s="3" t="n"/>
      <c r="L590" s="3" t="n"/>
      <c r="M590" s="3" t="n"/>
      <c r="N590" s="3" t="n"/>
      <c r="O590" s="3" t="n"/>
      <c r="P590" s="3" t="n"/>
    </row>
    <row r="591">
      <c r="A591" s="94" t="inlineStr">
        <is>
          <t>PALT</t>
        </is>
      </c>
      <c r="B591" s="2" t="inlineStr">
        <is>
          <t>PERFIL DE AJUSTE ALTERNATIVO</t>
        </is>
      </c>
      <c r="C591" s="2" t="inlineStr">
        <is>
          <t>Custom</t>
        </is>
      </c>
      <c r="D591" s="2" t="inlineStr">
        <is>
          <t>ALARMES PREDIAIS/VF/GRUPO</t>
        </is>
      </c>
      <c r="E591" s="2" t="inlineStr">
        <is>
          <t>ReadWrite</t>
        </is>
      </c>
      <c r="F591" s="2" t="inlineStr">
        <is>
          <t>DESATIVAR@ATIVAR___DESATIVADO@ATIVADO___Custom_S_TC_SV</t>
        </is>
      </c>
      <c r="G591" s="2">
        <f>VLOOKUP(F591,'Message Mapping'!A:L,3,FALSE)</f>
        <v/>
      </c>
      <c r="H591" s="2">
        <f>VLOOKUP(F591,'Message Mapping'!A:L,4,FALSE)</f>
        <v/>
      </c>
      <c r="I591" s="2" t="n"/>
      <c r="J591" s="3">
        <f>VLOOKUP(F591,'Message Mapping'!A:L,12,FALSE)</f>
        <v/>
      </c>
      <c r="K591" s="3" t="n"/>
      <c r="L591" s="3" t="n"/>
      <c r="M591" s="3" t="n"/>
      <c r="N591" s="3" t="n"/>
      <c r="O591" s="3" t="n"/>
      <c r="P591" s="3" t="n"/>
    </row>
    <row r="592">
      <c r="A592" s="94" t="inlineStr">
        <is>
          <t>PNOR</t>
        </is>
      </c>
      <c r="B592" s="2" t="inlineStr">
        <is>
          <t>PERFIL DE AJUSTE NORMAL</t>
        </is>
      </c>
      <c r="C592" s="2" t="inlineStr">
        <is>
          <t>Custom</t>
        </is>
      </c>
      <c r="D592" s="2" t="inlineStr">
        <is>
          <t>ALARMES PREDIAIS/VF/GRUPO</t>
        </is>
      </c>
      <c r="E592" s="2" t="inlineStr">
        <is>
          <t>Read</t>
        </is>
      </c>
      <c r="F592" s="2" t="inlineStr">
        <is>
          <t>DESATIVAR@ATIVAR___DESATIVADO@ATIVADO___Custom_S_TS_SV</t>
        </is>
      </c>
      <c r="G592" s="2">
        <f>VLOOKUP(F592,'Message Mapping'!A:L,3,FALSE)</f>
        <v/>
      </c>
      <c r="H592" s="2">
        <f>VLOOKUP(F592,'Message Mapping'!A:L,4,FALSE)</f>
        <v/>
      </c>
      <c r="I592" s="2" t="n"/>
      <c r="J592" s="3">
        <f>VLOOKUP(F592,'Message Mapping'!A:L,12,FALSE)</f>
        <v/>
      </c>
      <c r="K592" s="3" t="n"/>
      <c r="L592" s="3" t="n"/>
      <c r="M592" s="3" t="n"/>
      <c r="N592" s="3" t="n"/>
      <c r="O592" s="3" t="n"/>
      <c r="P592" s="3" t="n"/>
    </row>
    <row r="593">
      <c r="A593" s="94" t="inlineStr">
        <is>
          <t>PNOR</t>
        </is>
      </c>
      <c r="B593" s="2" t="inlineStr">
        <is>
          <t>PERFIL DE AJUSTE NORMAL</t>
        </is>
      </c>
      <c r="C593" s="2" t="inlineStr">
        <is>
          <t>Custom</t>
        </is>
      </c>
      <c r="D593" s="2" t="inlineStr">
        <is>
          <t>ALARMES PREDIAIS/VF/GRUPO</t>
        </is>
      </c>
      <c r="E593" s="2" t="inlineStr">
        <is>
          <t>ReadWrite</t>
        </is>
      </c>
      <c r="F593" s="2" t="inlineStr">
        <is>
          <t>DESATIVAR@ATIVAR___DESATIVADO@ATIVADO___Custom_S_TC_SV</t>
        </is>
      </c>
      <c r="G593" s="2">
        <f>VLOOKUP(F593,'Message Mapping'!A:L,3,FALSE)</f>
        <v/>
      </c>
      <c r="H593" s="2">
        <f>VLOOKUP(F593,'Message Mapping'!A:L,4,FALSE)</f>
        <v/>
      </c>
      <c r="I593" s="2" t="n"/>
      <c r="J593" s="3">
        <f>VLOOKUP(F593,'Message Mapping'!A:L,12,FALSE)</f>
        <v/>
      </c>
      <c r="K593" s="3" t="n"/>
      <c r="L593" s="3" t="n"/>
      <c r="M593" s="3" t="n"/>
      <c r="N593" s="3" t="n"/>
      <c r="O593" s="3" t="n"/>
      <c r="P593" s="3" t="n"/>
    </row>
    <row r="594">
      <c r="A594" s="94" t="inlineStr">
        <is>
          <t>PERP</t>
        </is>
      </c>
      <c r="B594" s="2" t="inlineStr">
        <is>
          <t>PERMISSAO PARALELISMO</t>
        </is>
      </c>
      <c r="C594" s="2" t="inlineStr">
        <is>
          <t>Custom</t>
        </is>
      </c>
      <c r="D594" s="2" t="inlineStr">
        <is>
          <t>FUNCÕES/43/PARALELISMO</t>
        </is>
      </c>
      <c r="E594" s="2" t="inlineStr">
        <is>
          <t>Read</t>
        </is>
      </c>
      <c r="F594" s="2" t="inlineStr">
        <is>
          <t>null@null___NÃO PERMITIDO@PERMITIDO___Custom_S_TS_SS</t>
        </is>
      </c>
      <c r="G594" s="2">
        <f>VLOOKUP(F594,'Message Mapping'!A:L,3,FALSE)</f>
        <v/>
      </c>
      <c r="H594" s="2">
        <f>VLOOKUP(F594,'Message Mapping'!A:L,4,FALSE)</f>
        <v/>
      </c>
      <c r="I594" s="2" t="n"/>
      <c r="J594" s="3">
        <f>VLOOKUP(F594,'Message Mapping'!A:L,12,FALSE)</f>
        <v/>
      </c>
      <c r="K594" s="3" t="n"/>
      <c r="L594" s="3" t="n"/>
      <c r="M594" s="3" t="n"/>
      <c r="N594" s="3" t="n"/>
      <c r="O594" s="3" t="n"/>
      <c r="P594" s="3" t="n"/>
    </row>
    <row r="595">
      <c r="A595" s="94" t="inlineStr">
        <is>
          <t>P51F</t>
        </is>
      </c>
      <c r="B595" s="2" t="inlineStr">
        <is>
          <t>PICK UP 51F</t>
        </is>
      </c>
      <c r="C595" s="2" t="inlineStr">
        <is>
          <t>Custom</t>
        </is>
      </c>
      <c r="D595" s="2" t="inlineStr">
        <is>
          <t>PROT</t>
        </is>
      </c>
      <c r="E595" s="2" t="inlineStr">
        <is>
          <t>Read</t>
        </is>
      </c>
      <c r="F595" s="2" t="inlineStr">
        <is>
          <t>null@null___NORMAL@ATUADO___Custom_S_TS_SA</t>
        </is>
      </c>
      <c r="G595" s="2">
        <f>VLOOKUP(F595,'Message Mapping'!A:L,3,FALSE)</f>
        <v/>
      </c>
      <c r="H595" s="2">
        <f>VLOOKUP(F595,'Message Mapping'!A:L,4,FALSE)</f>
        <v/>
      </c>
      <c r="I595" s="2" t="n"/>
      <c r="J595" s="3">
        <f>VLOOKUP(F595,'Message Mapping'!A:L,12,FALSE)</f>
        <v/>
      </c>
      <c r="K595" s="3" t="n"/>
      <c r="L595" s="3" t="n"/>
      <c r="M595" s="3" t="n"/>
      <c r="N595" s="3" t="n"/>
      <c r="O595" s="3" t="n"/>
      <c r="P595" s="3" t="n"/>
    </row>
    <row r="596">
      <c r="A596" s="94" t="inlineStr">
        <is>
          <t>P51N</t>
        </is>
      </c>
      <c r="B596" s="2" t="inlineStr">
        <is>
          <t>PICK UP 51N</t>
        </is>
      </c>
      <c r="C596" s="2" t="inlineStr">
        <is>
          <t>Custom</t>
        </is>
      </c>
      <c r="D596" s="2" t="inlineStr">
        <is>
          <t>PROT</t>
        </is>
      </c>
      <c r="E596" s="2" t="inlineStr">
        <is>
          <t>Read</t>
        </is>
      </c>
      <c r="F596" s="2" t="inlineStr">
        <is>
          <t>null@null___NORMAL@ATUADO___Custom_S_TS_SA</t>
        </is>
      </c>
      <c r="G596" s="2">
        <f>VLOOKUP(F596,'Message Mapping'!A:L,3,FALSE)</f>
        <v/>
      </c>
      <c r="H596" s="2">
        <f>VLOOKUP(F596,'Message Mapping'!A:L,4,FALSE)</f>
        <v/>
      </c>
      <c r="I596" s="2" t="n"/>
      <c r="J596" s="3">
        <f>VLOOKUP(F596,'Message Mapping'!A:L,12,FALSE)</f>
        <v/>
      </c>
      <c r="K596" s="3" t="n"/>
      <c r="L596" s="3" t="n"/>
      <c r="M596" s="3" t="n"/>
      <c r="N596" s="3" t="n"/>
      <c r="O596" s="3" t="n"/>
      <c r="P596" s="3" t="n"/>
    </row>
    <row r="597">
      <c r="A597" s="94" t="inlineStr">
        <is>
          <t>PORT</t>
        </is>
      </c>
      <c r="B597" s="2" t="inlineStr">
        <is>
          <t>PORTA SUBESTACAO</t>
        </is>
      </c>
      <c r="C597" s="2" t="inlineStr">
        <is>
          <t>Custom</t>
        </is>
      </c>
      <c r="D597" s="2" t="inlineStr">
        <is>
          <t>ALARMES PREDIAIS/VF/GRUPO</t>
        </is>
      </c>
      <c r="E597" s="2" t="inlineStr">
        <is>
          <t>Read</t>
        </is>
      </c>
      <c r="F597" s="2" t="inlineStr">
        <is>
          <t>null@null___ABERTO@FECHADO___Custom_S_TS_SP</t>
        </is>
      </c>
      <c r="G597" s="2">
        <f>VLOOKUP(F597,'Message Mapping'!A:L,3,FALSE)</f>
        <v/>
      </c>
      <c r="H597" s="2">
        <f>VLOOKUP(F597,'Message Mapping'!A:L,4,FALSE)</f>
        <v/>
      </c>
      <c r="I597" s="2" t="n"/>
      <c r="J597" s="3">
        <f>VLOOKUP(F597,'Message Mapping'!A:L,12,FALSE)</f>
        <v/>
      </c>
      <c r="K597" s="3" t="n"/>
      <c r="L597" s="3" t="n"/>
      <c r="M597" s="3" t="n"/>
      <c r="N597" s="3" t="n"/>
      <c r="O597" s="3" t="n"/>
      <c r="P597" s="3" t="n"/>
    </row>
    <row r="598">
      <c r="A598" s="94" t="inlineStr">
        <is>
          <t>PORU</t>
        </is>
      </c>
      <c r="B598" s="2" t="inlineStr">
        <is>
          <t>PORTA UTR</t>
        </is>
      </c>
      <c r="C598" s="2" t="inlineStr">
        <is>
          <t>Custom</t>
        </is>
      </c>
      <c r="D598" s="2" t="inlineStr">
        <is>
          <t>ALARMES PREDIAIS/VF/GRUPO</t>
        </is>
      </c>
      <c r="E598" s="2" t="inlineStr">
        <is>
          <t>Read</t>
        </is>
      </c>
      <c r="F598" s="2" t="inlineStr">
        <is>
          <t>null@null___ABERTO@FECHADO___Custom_S_TS_SP</t>
        </is>
      </c>
      <c r="G598" s="2">
        <f>VLOOKUP(F598,'Message Mapping'!A:L,3,FALSE)</f>
        <v/>
      </c>
      <c r="H598" s="2">
        <f>VLOOKUP(F598,'Message Mapping'!A:L,4,FALSE)</f>
        <v/>
      </c>
      <c r="I598" s="2" t="n"/>
      <c r="J598" s="3">
        <f>VLOOKUP(F598,'Message Mapping'!A:L,12,FALSE)</f>
        <v/>
      </c>
      <c r="K598" s="3" t="n"/>
      <c r="L598" s="3" t="n"/>
      <c r="M598" s="3" t="n"/>
      <c r="N598" s="3" t="n"/>
      <c r="O598" s="3" t="n"/>
      <c r="P598" s="3" t="n"/>
    </row>
    <row r="599">
      <c r="A599" s="94" t="inlineStr">
        <is>
          <t>PORO</t>
        </is>
      </c>
      <c r="B599" s="2" t="inlineStr">
        <is>
          <t>PORTAO SUBESTACAO</t>
        </is>
      </c>
      <c r="C599" s="2" t="inlineStr">
        <is>
          <t>Custom</t>
        </is>
      </c>
      <c r="D599" s="2" t="inlineStr">
        <is>
          <t>ALARMES PREDIAIS/VF/GRUPO</t>
        </is>
      </c>
      <c r="E599" s="2" t="inlineStr">
        <is>
          <t>Read</t>
        </is>
      </c>
      <c r="F599" s="2" t="inlineStr">
        <is>
          <t>null@null___ABERTO@FECHADO___Custom_S_TS_SP</t>
        </is>
      </c>
      <c r="G599" s="2">
        <f>VLOOKUP(F599,'Message Mapping'!A:L,3,FALSE)</f>
        <v/>
      </c>
      <c r="H599" s="2">
        <f>VLOOKUP(F599,'Message Mapping'!A:L,4,FALSE)</f>
        <v/>
      </c>
      <c r="I599" s="2" t="n"/>
      <c r="J599" s="3">
        <f>VLOOKUP(F599,'Message Mapping'!A:L,12,FALSE)</f>
        <v/>
      </c>
      <c r="K599" s="3" t="n"/>
      <c r="L599" s="3" t="n"/>
      <c r="M599" s="3" t="n"/>
      <c r="N599" s="3" t="n"/>
      <c r="O599" s="3" t="n"/>
      <c r="P599" s="3" t="n"/>
    </row>
    <row r="600">
      <c r="A600" s="94" t="inlineStr">
        <is>
          <t>DJIE</t>
        </is>
      </c>
      <c r="B600" s="2" t="inlineStr">
        <is>
          <t>POSICAO DISJUNTOR EXTRAIVEL</t>
        </is>
      </c>
      <c r="C600" s="2" t="inlineStr">
        <is>
          <t>Custom</t>
        </is>
      </c>
      <c r="D600" s="2" t="inlineStr">
        <is>
          <t>DEFEITOS</t>
        </is>
      </c>
      <c r="E600" s="2" t="inlineStr">
        <is>
          <t>Read</t>
        </is>
      </c>
      <c r="F600" s="2" t="inlineStr">
        <is>
          <t>null@null___EXTRAIDO@INSERIDO___Custom_S_TS_SI</t>
        </is>
      </c>
      <c r="G600" s="2">
        <f>VLOOKUP(F600,'Message Mapping'!A:L,3,FALSE)</f>
        <v/>
      </c>
      <c r="H600" s="2">
        <f>VLOOKUP(F600,'Message Mapping'!A:L,4,FALSE)</f>
        <v/>
      </c>
      <c r="I600" s="2" t="n"/>
      <c r="J600" s="3">
        <f>VLOOKUP(F600,'Message Mapping'!A:L,12,FALSE)</f>
        <v/>
      </c>
      <c r="K600" s="3" t="n"/>
      <c r="L600" s="3" t="n"/>
      <c r="M600" s="3" t="n"/>
      <c r="N600" s="3" t="n"/>
      <c r="O600" s="3" t="n"/>
      <c r="P600" s="3" t="n"/>
    </row>
    <row r="601">
      <c r="A601" s="94" t="inlineStr">
        <is>
          <t>POST</t>
        </is>
      </c>
      <c r="B601" s="2" t="inlineStr">
        <is>
          <t>POSITIVO A TERRA</t>
        </is>
      </c>
      <c r="C601" s="2" t="inlineStr">
        <is>
          <t>Custom</t>
        </is>
      </c>
      <c r="D601" s="2" t="inlineStr">
        <is>
          <t>FALHAS FCOM/VCA/VCC</t>
        </is>
      </c>
      <c r="E601" s="2" t="inlineStr">
        <is>
          <t>Read</t>
        </is>
      </c>
      <c r="F601" s="2" t="inlineStr">
        <is>
          <t>null@null___NORMAL@ATUADO___Custom_S_TS_SB</t>
        </is>
      </c>
      <c r="G601" s="2">
        <f>VLOOKUP(F601,'Message Mapping'!A:L,3,FALSE)</f>
        <v/>
      </c>
      <c r="H601" s="2">
        <f>VLOOKUP(F601,'Message Mapping'!A:L,4,FALSE)</f>
        <v/>
      </c>
      <c r="I601" s="2" t="n"/>
      <c r="J601" s="3">
        <f>VLOOKUP(F601,'Message Mapping'!A:L,12,FALSE)</f>
        <v/>
      </c>
      <c r="K601" s="3" t="n"/>
      <c r="L601" s="3" t="n"/>
      <c r="M601" s="3" t="n"/>
      <c r="N601" s="3" t="n"/>
      <c r="O601" s="3" t="n"/>
      <c r="P601" s="3" t="n"/>
    </row>
    <row r="602">
      <c r="A602" s="94" t="inlineStr">
        <is>
          <t>PBEX</t>
        </is>
      </c>
      <c r="B602" s="2" t="inlineStr">
        <is>
          <t>FUNCAO PROTECAO DE BARRA</t>
        </is>
      </c>
      <c r="C602" s="2" t="inlineStr">
        <is>
          <t>Enabled</t>
        </is>
      </c>
      <c r="D602" s="2" t="inlineStr">
        <is>
          <t>FUNCÕES/43/PARALELISMO</t>
        </is>
      </c>
      <c r="E602" s="2" t="inlineStr">
        <is>
          <t>Read</t>
        </is>
      </c>
      <c r="F602" s="2" t="inlineStr">
        <is>
          <t>INCLUIR@EXCLUIR___INCLUIDO@EXCLUIDO___Enabled_S_TS_SS</t>
        </is>
      </c>
      <c r="G602" s="2">
        <f>VLOOKUP(F602,'Message Mapping'!A:L,3,FALSE)</f>
        <v/>
      </c>
      <c r="H602" s="2">
        <f>VLOOKUP(F602,'Message Mapping'!A:L,4,FALSE)</f>
        <v/>
      </c>
      <c r="I602" s="2" t="n"/>
      <c r="J602" s="3">
        <f>VLOOKUP(F602,'Message Mapping'!A:L,12,FALSE)</f>
        <v/>
      </c>
      <c r="K602" s="3" t="n"/>
      <c r="L602" s="3" t="n"/>
      <c r="M602" s="3" t="n"/>
      <c r="N602" s="3" t="n"/>
      <c r="O602" s="3" t="n"/>
      <c r="P602" s="3" t="n"/>
    </row>
    <row r="603" ht="25.5" customHeight="1">
      <c r="A603" s="94" t="inlineStr">
        <is>
          <t>PROT</t>
        </is>
      </c>
      <c r="B603" s="2" t="inlineStr">
        <is>
          <t>PROTECAO BLOQUEADA</t>
        </is>
      </c>
      <c r="C603" s="2" t="inlineStr">
        <is>
          <t>Custom</t>
        </is>
      </c>
      <c r="D603" s="2" t="inlineStr">
        <is>
          <t>PROT</t>
        </is>
      </c>
      <c r="E603" s="2" t="inlineStr">
        <is>
          <t>Read</t>
        </is>
      </c>
      <c r="F603" s="2" t="inlineStr">
        <is>
          <t>DESBLOQUEAR@BLOQUEAR___NORMAL@BLOQUEADA___Enabled___admsINV_S_TS_SA</t>
        </is>
      </c>
      <c r="G603" s="2">
        <f>VLOOKUP(F603,'Message Mapping'!A:L,3,FALSE)</f>
        <v/>
      </c>
      <c r="H603" s="2">
        <f>VLOOKUP(F603,'Message Mapping'!A:L,4,FALSE)</f>
        <v/>
      </c>
      <c r="I603" s="2" t="n"/>
      <c r="J603" s="3">
        <f>VLOOKUP(F603,'Message Mapping'!A:L,12,FALSE)</f>
        <v/>
      </c>
      <c r="K603" s="3" t="n"/>
      <c r="L603" s="3" t="n"/>
      <c r="M603" s="3" t="n"/>
      <c r="N603" s="3" t="n"/>
      <c r="O603" s="3" t="n"/>
      <c r="P603" s="3" t="n"/>
    </row>
    <row r="604" ht="38.25" customHeight="1">
      <c r="A604" s="94" t="inlineStr">
        <is>
          <t>PB</t>
        </is>
      </c>
      <c r="B604" s="2" t="inlineStr">
        <is>
          <t>PROTECAO DE BARRA</t>
        </is>
      </c>
      <c r="C604" s="2" t="inlineStr">
        <is>
          <t>RelayTrip</t>
        </is>
      </c>
      <c r="D604" s="2" t="inlineStr">
        <is>
          <t>PROT</t>
        </is>
      </c>
      <c r="E604" s="2" t="inlineStr">
        <is>
          <t>Read</t>
        </is>
      </c>
      <c r="F604" s="2" t="inlineStr">
        <is>
          <t>null@null___NORMAL@ATUADO___RelayTrip_S_TS_SA</t>
        </is>
      </c>
      <c r="G604" s="2">
        <f>VLOOKUP(F604,'Message Mapping'!A:L,3,FALSE)</f>
        <v/>
      </c>
      <c r="H604" s="2">
        <f>VLOOKUP(F604,'Message Mapping'!A:L,4,FALSE)</f>
        <v/>
      </c>
      <c r="I604" s="2" t="n"/>
      <c r="J604" s="3">
        <f>VLOOKUP(F604,'Message Mapping'!A:L,12,FALSE)</f>
        <v/>
      </c>
      <c r="K604" s="3" t="inlineStr">
        <is>
          <t>Funciona como um 50 da barra (quando há defeito na barra e não nos alimentadores). Atua com um tempo pré-determinado (geralmente 150ms) e é utilizado para diminuir o tempo de atuação sobre o defeito (devido os tempos de seletividade).</t>
        </is>
      </c>
      <c r="L604" s="3" t="n"/>
      <c r="M604" s="3" t="n"/>
      <c r="N604" s="3" t="n"/>
      <c r="O604" s="3" t="n"/>
      <c r="P604" s="3" t="n"/>
    </row>
    <row r="605" ht="38.25" customHeight="1">
      <c r="A605" s="94" t="inlineStr">
        <is>
          <t>PBF</t>
        </is>
      </c>
      <c r="B605" s="2" t="inlineStr">
        <is>
          <t>PROTECAO DE BARRA FASE</t>
        </is>
      </c>
      <c r="C605" s="2" t="inlineStr">
        <is>
          <t>RelayTrip</t>
        </is>
      </c>
      <c r="D605" s="2" t="inlineStr">
        <is>
          <t>PROT</t>
        </is>
      </c>
      <c r="E605" s="2" t="inlineStr">
        <is>
          <t>Read</t>
        </is>
      </c>
      <c r="F605" s="2" t="inlineStr">
        <is>
          <t>null@null___NORMAL@ATUADO___RelayTrip_S_TS_SA</t>
        </is>
      </c>
      <c r="G605" s="2">
        <f>VLOOKUP(F605,'Message Mapping'!A:L,3,FALSE)</f>
        <v/>
      </c>
      <c r="H605" s="2">
        <f>VLOOKUP(F605,'Message Mapping'!A:L,4,FALSE)</f>
        <v/>
      </c>
      <c r="I605" s="2" t="n"/>
      <c r="J605" s="3">
        <f>VLOOKUP(F605,'Message Mapping'!A:L,12,FALSE)</f>
        <v/>
      </c>
      <c r="K605" s="3" t="inlineStr">
        <is>
          <t>Funciona como um 50 da barra (quando há defeito na barra e não nos alimentadores). Atua com um tempo pré-determinado (geralmente 150ms) e é utilizado para diminuir o tempo de atuação sobre o defeito (devido os tempos de seletividade).</t>
        </is>
      </c>
      <c r="L605" s="3" t="n"/>
      <c r="M605" s="3" t="n"/>
      <c r="N605" s="3" t="n"/>
      <c r="O605" s="3" t="n"/>
      <c r="P605" s="3" t="n"/>
    </row>
    <row r="606" ht="38.25" customHeight="1">
      <c r="A606" s="94" t="inlineStr">
        <is>
          <t>PBF1</t>
        </is>
      </c>
      <c r="B606" s="2" t="inlineStr">
        <is>
          <t>PROTECAO DE BARRA FASE E1</t>
        </is>
      </c>
      <c r="C606" s="2" t="inlineStr">
        <is>
          <t>RelayTrip</t>
        </is>
      </c>
      <c r="D606" s="2" t="inlineStr">
        <is>
          <t>PROT</t>
        </is>
      </c>
      <c r="E606" s="2" t="inlineStr">
        <is>
          <t>Read</t>
        </is>
      </c>
      <c r="F606" s="2" t="inlineStr">
        <is>
          <t>null@null___NORMAL@ATUADO___RelayTrip_S_TS_SA</t>
        </is>
      </c>
      <c r="G606" s="2">
        <f>VLOOKUP(F606,'Message Mapping'!A:L,3,FALSE)</f>
        <v/>
      </c>
      <c r="H606" s="2">
        <f>VLOOKUP(F606,'Message Mapping'!A:L,4,FALSE)</f>
        <v/>
      </c>
      <c r="I606" s="2" t="n"/>
      <c r="J606" s="3">
        <f>VLOOKUP(F606,'Message Mapping'!A:L,12,FALSE)</f>
        <v/>
      </c>
      <c r="K606" s="3" t="inlineStr">
        <is>
          <t>Funciona como um 50 da barra (quando há defeito na barra e não nos alimentadores). Atua com um tempo pré-determinado (geralmente 150ms) e é utilizado para diminuir o tempo de atuação sobre o defeito (devido os tempos de seletividade).</t>
        </is>
      </c>
      <c r="L606" s="3" t="n"/>
      <c r="M606" s="3" t="n"/>
      <c r="N606" s="3" t="n"/>
      <c r="O606" s="3" t="n"/>
      <c r="P606" s="3" t="n"/>
    </row>
    <row r="607" ht="38.25" customHeight="1">
      <c r="A607" s="94" t="inlineStr">
        <is>
          <t>PBF2</t>
        </is>
      </c>
      <c r="B607" s="2" t="inlineStr">
        <is>
          <t>PROTECAO DE BARRA FASE E2</t>
        </is>
      </c>
      <c r="C607" s="2" t="inlineStr">
        <is>
          <t>RelayTrip</t>
        </is>
      </c>
      <c r="D607" s="2" t="inlineStr">
        <is>
          <t>PROT</t>
        </is>
      </c>
      <c r="E607" s="2" t="inlineStr">
        <is>
          <t>Read</t>
        </is>
      </c>
      <c r="F607" s="2" t="inlineStr">
        <is>
          <t>null@null___NORMAL@ATUADO___RelayTrip_S_TS_SA</t>
        </is>
      </c>
      <c r="G607" s="2">
        <f>VLOOKUP(F607,'Message Mapping'!A:L,3,FALSE)</f>
        <v/>
      </c>
      <c r="H607" s="2">
        <f>VLOOKUP(F607,'Message Mapping'!A:L,4,FALSE)</f>
        <v/>
      </c>
      <c r="I607" s="2" t="n"/>
      <c r="J607" s="3">
        <f>VLOOKUP(F607,'Message Mapping'!A:L,12,FALSE)</f>
        <v/>
      </c>
      <c r="K607" s="3" t="inlineStr">
        <is>
          <t>Funciona como um 50 da barra (quando há defeito na barra e não nos alimentadores). Atua com um tempo pré-determinado (geralmente 150ms) e é utilizado para diminuir o tempo de atuação sobre o defeito (devido os tempos de seletividade).</t>
        </is>
      </c>
      <c r="L607" s="3" t="n"/>
      <c r="M607" s="3" t="n"/>
      <c r="N607" s="3" t="n"/>
      <c r="O607" s="3" t="n"/>
      <c r="P607" s="3" t="n"/>
    </row>
    <row r="608" ht="38.25" customHeight="1">
      <c r="A608" s="94" t="inlineStr">
        <is>
          <t>PBN</t>
        </is>
      </c>
      <c r="B608" s="2" t="inlineStr">
        <is>
          <t>PROTECAO DE BARRA NEUTRO</t>
        </is>
      </c>
      <c r="C608" s="2" t="inlineStr">
        <is>
          <t>RelayTrip</t>
        </is>
      </c>
      <c r="D608" s="2" t="inlineStr">
        <is>
          <t>PROT</t>
        </is>
      </c>
      <c r="E608" s="2" t="inlineStr">
        <is>
          <t>Read</t>
        </is>
      </c>
      <c r="F608" s="2" t="inlineStr">
        <is>
          <t>null@null___NORMAL@ATUADO___RelayTrip_S_TS_SA</t>
        </is>
      </c>
      <c r="G608" s="2">
        <f>VLOOKUP(F608,'Message Mapping'!A:L,3,FALSE)</f>
        <v/>
      </c>
      <c r="H608" s="2">
        <f>VLOOKUP(F608,'Message Mapping'!A:L,4,FALSE)</f>
        <v/>
      </c>
      <c r="I608" s="2" t="n"/>
      <c r="J608" s="3">
        <f>VLOOKUP(F608,'Message Mapping'!A:L,12,FALSE)</f>
        <v/>
      </c>
      <c r="K608" s="3" t="inlineStr">
        <is>
          <t>Funciona como um 50 da barra (quando há defeito na barra e não nos alimentadores). Atua com um tempo pré-determinado (geralmente 150ms) e é utilizado para diminuir o tempo de atuação sobre o defeito (devido os tempos de seletividade).</t>
        </is>
      </c>
      <c r="L608" s="3" t="n"/>
      <c r="M608" s="3" t="n"/>
      <c r="N608" s="3" t="n"/>
      <c r="O608" s="3" t="n"/>
      <c r="P608" s="3" t="n"/>
    </row>
    <row r="609" ht="38.25" customHeight="1">
      <c r="A609" s="94" t="inlineStr">
        <is>
          <t>PBN1</t>
        </is>
      </c>
      <c r="B609" s="2" t="inlineStr">
        <is>
          <t>PROTECAO DE BARRA NEUTRO 1</t>
        </is>
      </c>
      <c r="C609" s="2" t="inlineStr">
        <is>
          <t>RelayTrip</t>
        </is>
      </c>
      <c r="D609" s="2" t="inlineStr">
        <is>
          <t>PROT</t>
        </is>
      </c>
      <c r="E609" s="2" t="inlineStr">
        <is>
          <t>Read</t>
        </is>
      </c>
      <c r="F609" s="2" t="inlineStr">
        <is>
          <t>null@null___NORMAL@ATUADO___RelayTrip_S_TS_SA</t>
        </is>
      </c>
      <c r="G609" s="2">
        <f>VLOOKUP(F609,'Message Mapping'!A:L,3,FALSE)</f>
        <v/>
      </c>
      <c r="H609" s="2">
        <f>VLOOKUP(F609,'Message Mapping'!A:L,4,FALSE)</f>
        <v/>
      </c>
      <c r="I609" s="2" t="n"/>
      <c r="J609" s="3">
        <f>VLOOKUP(F609,'Message Mapping'!A:L,12,FALSE)</f>
        <v/>
      </c>
      <c r="K609" s="3" t="inlineStr">
        <is>
          <t>Funciona como um 50 da barra (quando há defeito na barra e não nos alimentadores). Atua com um tempo pré-determinado (geralmente 150ms) e é utilizado para diminuir o tempo de atuação sobre o defeito (devido os tempos de seletividade).</t>
        </is>
      </c>
      <c r="L609" s="3" t="n"/>
      <c r="M609" s="3" t="n"/>
      <c r="N609" s="3" t="n"/>
      <c r="O609" s="3" t="n"/>
      <c r="P609" s="3" t="n"/>
    </row>
    <row r="610" ht="38.25" customHeight="1">
      <c r="A610" s="94" t="inlineStr">
        <is>
          <t>PBN2</t>
        </is>
      </c>
      <c r="B610" s="2" t="inlineStr">
        <is>
          <t>PROTECAO DE BARRA NEUTRO 2</t>
        </is>
      </c>
      <c r="C610" s="2" t="inlineStr">
        <is>
          <t>RelayTrip</t>
        </is>
      </c>
      <c r="D610" s="2" t="inlineStr">
        <is>
          <t>PROT</t>
        </is>
      </c>
      <c r="E610" s="2" t="inlineStr">
        <is>
          <t>Read</t>
        </is>
      </c>
      <c r="F610" s="2" t="inlineStr">
        <is>
          <t>null@null___NORMAL@ATUADO___RelayTrip_S_TS_SA</t>
        </is>
      </c>
      <c r="G610" s="2">
        <f>VLOOKUP(F610,'Message Mapping'!A:L,3,FALSE)</f>
        <v/>
      </c>
      <c r="H610" s="2">
        <f>VLOOKUP(F610,'Message Mapping'!A:L,4,FALSE)</f>
        <v/>
      </c>
      <c r="I610" s="2" t="n"/>
      <c r="J610" s="3">
        <f>VLOOKUP(F610,'Message Mapping'!A:L,12,FALSE)</f>
        <v/>
      </c>
      <c r="K610" s="3" t="inlineStr">
        <is>
          <t>Funciona como um 50 da barra (quando há defeito na barra e não nos alimentadores). Atua com um tempo pré-determinado (geralmente 150ms) e é utilizado para diminuir o tempo de atuação sobre o defeito (devido os tempos de seletividade).</t>
        </is>
      </c>
      <c r="L610" s="3" t="n"/>
      <c r="M610" s="3" t="n"/>
      <c r="N610" s="3" t="n"/>
      <c r="O610" s="3" t="n"/>
      <c r="P610" s="3" t="n"/>
    </row>
    <row r="611">
      <c r="A611" s="94" t="inlineStr">
        <is>
          <t>PB1</t>
        </is>
      </c>
      <c r="B611" s="2" t="inlineStr">
        <is>
          <t>PROTECAO DE BARRA P1</t>
        </is>
      </c>
      <c r="C611" s="2" t="inlineStr">
        <is>
          <t>RelayTrip</t>
        </is>
      </c>
      <c r="D611" s="2" t="inlineStr">
        <is>
          <t>PROT</t>
        </is>
      </c>
      <c r="E611" s="2" t="inlineStr">
        <is>
          <t>Read</t>
        </is>
      </c>
      <c r="F611" s="2" t="inlineStr">
        <is>
          <t>null@null___NORMAL@ATUADO___RelayTrip_S_TS_SA</t>
        </is>
      </c>
      <c r="G611" s="2">
        <f>VLOOKUP(F611,'Message Mapping'!A:L,3,FALSE)</f>
        <v/>
      </c>
      <c r="H611" s="2">
        <f>VLOOKUP(F611,'Message Mapping'!A:L,4,FALSE)</f>
        <v/>
      </c>
      <c r="I611" s="2" t="n"/>
      <c r="J611" s="3">
        <f>VLOOKUP(F611,'Message Mapping'!A:L,12,FALSE)</f>
        <v/>
      </c>
      <c r="K611" s="3" t="n"/>
      <c r="L611" s="3" t="n"/>
      <c r="M611" s="3" t="n"/>
      <c r="N611" s="3" t="n"/>
      <c r="O611" s="3" t="n"/>
      <c r="P611" s="3" t="n"/>
    </row>
    <row r="612">
      <c r="A612" s="94" t="inlineStr">
        <is>
          <t>PB2</t>
        </is>
      </c>
      <c r="B612" s="2" t="inlineStr">
        <is>
          <t>PROTECAO DE BARRA P2</t>
        </is>
      </c>
      <c r="C612" s="2" t="inlineStr">
        <is>
          <t>RelayTrip</t>
        </is>
      </c>
      <c r="D612" s="2" t="inlineStr">
        <is>
          <t>PROT</t>
        </is>
      </c>
      <c r="E612" s="2" t="inlineStr">
        <is>
          <t>Read</t>
        </is>
      </c>
      <c r="F612" s="2" t="inlineStr">
        <is>
          <t>null@null___NORMAL@ATUADO___RelayTrip_S_TS_SA</t>
        </is>
      </c>
      <c r="G612" s="2">
        <f>VLOOKUP(F612,'Message Mapping'!A:L,3,FALSE)</f>
        <v/>
      </c>
      <c r="H612" s="2">
        <f>VLOOKUP(F612,'Message Mapping'!A:L,4,FALSE)</f>
        <v/>
      </c>
      <c r="I612" s="2" t="n"/>
      <c r="J612" s="3">
        <f>VLOOKUP(F612,'Message Mapping'!A:L,12,FALSE)</f>
        <v/>
      </c>
      <c r="K612" s="3" t="n"/>
      <c r="L612" s="3" t="n"/>
      <c r="M612" s="3" t="n"/>
      <c r="N612" s="3" t="n"/>
      <c r="O612" s="3" t="n"/>
      <c r="P612" s="3" t="n"/>
    </row>
    <row r="613">
      <c r="A613" s="94" t="inlineStr">
        <is>
          <t>TPNO</t>
        </is>
      </c>
      <c r="B613" s="2" t="inlineStr">
        <is>
          <t>PROTECAO NAO TRANSFERIDA</t>
        </is>
      </c>
      <c r="C613" s="2" t="inlineStr">
        <is>
          <t>Custom</t>
        </is>
      </c>
      <c r="D613" s="2" t="inlineStr">
        <is>
          <t>PROT</t>
        </is>
      </c>
      <c r="E613" s="2" t="inlineStr">
        <is>
          <t>Read</t>
        </is>
      </c>
      <c r="F613" s="2" t="inlineStr">
        <is>
          <t>null@null___NORMAL@INCOMPLETA___Custom_S_TS_SA</t>
        </is>
      </c>
      <c r="G613" s="2">
        <f>VLOOKUP(F613,'Message Mapping'!A:L,3,FALSE)</f>
        <v/>
      </c>
      <c r="H613" s="2">
        <f>VLOOKUP(F613,'Message Mapping'!A:L,4,FALSE)</f>
        <v/>
      </c>
      <c r="I613" s="2" t="n"/>
      <c r="J613" s="3">
        <f>VLOOKUP(F613,'Message Mapping'!A:L,12,FALSE)</f>
        <v/>
      </c>
      <c r="K613" s="3" t="n"/>
      <c r="L613" s="3" t="n"/>
      <c r="M613" s="3" t="n"/>
      <c r="N613" s="3" t="n"/>
      <c r="O613" s="3" t="n"/>
      <c r="P613" s="3" t="n"/>
    </row>
    <row r="614">
      <c r="A614" s="94" t="inlineStr">
        <is>
          <t>RGBL</t>
        </is>
      </c>
      <c r="B614" s="2" t="inlineStr">
        <is>
          <t>RELIGADOR BLOQUEADO</t>
        </is>
      </c>
      <c r="C614" s="2" t="inlineStr">
        <is>
          <t>Custom</t>
        </is>
      </c>
      <c r="D614" s="2" t="inlineStr">
        <is>
          <t>PROT</t>
        </is>
      </c>
      <c r="E614" s="2" t="inlineStr">
        <is>
          <t>Read</t>
        </is>
      </c>
      <c r="F614" s="2" t="inlineStr">
        <is>
          <t>null@null___NORMAL@ATUADO___Custom_S_TS_SA</t>
        </is>
      </c>
      <c r="G614" s="2">
        <f>VLOOKUP(F614,'Message Mapping'!A:L,3,FALSE)</f>
        <v/>
      </c>
      <c r="H614" s="2">
        <f>VLOOKUP(F614,'Message Mapping'!A:L,4,FALSE)</f>
        <v/>
      </c>
      <c r="I614" s="2" t="n"/>
      <c r="J614" s="3">
        <f>VLOOKUP(F614,'Message Mapping'!A:L,12,FALSE)</f>
        <v/>
      </c>
      <c r="K614" s="3" t="n"/>
      <c r="L614" s="3" t="n"/>
      <c r="M614" s="3" t="n"/>
      <c r="N614" s="3" t="n"/>
      <c r="O614" s="3" t="n"/>
      <c r="P614" s="3" t="n"/>
    </row>
    <row r="615">
      <c r="A615" s="94" t="inlineStr">
        <is>
          <t>ICC</t>
        </is>
      </c>
      <c r="B615" s="2" t="inlineStr">
        <is>
          <t>RESET CORRENTE DE CURTO CIRCUITO</t>
        </is>
      </c>
      <c r="C615" s="2" t="inlineStr">
        <is>
          <t>Custom</t>
        </is>
      </c>
      <c r="D615" s="2" t="inlineStr">
        <is>
          <t>FUNCÕES/43/PARALELISMO</t>
        </is>
      </c>
      <c r="E615" s="2" t="inlineStr">
        <is>
          <t>Write</t>
        </is>
      </c>
      <c r="F615" s="2" t="inlineStr">
        <is>
          <t>RESET@null___null@null___Custom_S_TC_SS</t>
        </is>
      </c>
      <c r="G615" s="2">
        <f>VLOOKUP(F615,'Message Mapping'!A:L,3,FALSE)</f>
        <v/>
      </c>
      <c r="H615" s="2">
        <f>VLOOKUP(F615,'Message Mapping'!A:L,4,FALSE)</f>
        <v/>
      </c>
      <c r="I615" s="2" t="n"/>
      <c r="J615" s="3">
        <f>VLOOKUP(F615,'Message Mapping'!A:L,12,FALSE)</f>
        <v/>
      </c>
      <c r="K615" s="3" t="n"/>
      <c r="L615" s="3" t="n"/>
      <c r="M615" s="3" t="n"/>
      <c r="N615" s="3" t="n"/>
      <c r="O615" s="3" t="n"/>
      <c r="P615" s="3" t="n"/>
    </row>
    <row r="616">
      <c r="A616" s="94" t="inlineStr">
        <is>
          <t>CTPC</t>
        </is>
      </c>
      <c r="B616" s="2" t="inlineStr">
        <is>
          <t>RETORNO DE TENSAO DA PCH</t>
        </is>
      </c>
      <c r="C616" s="2" t="inlineStr">
        <is>
          <t>Custom</t>
        </is>
      </c>
      <c r="D616" s="2" t="inlineStr">
        <is>
          <t>PROT</t>
        </is>
      </c>
      <c r="E616" s="2" t="inlineStr">
        <is>
          <t>Read</t>
        </is>
      </c>
      <c r="F616" s="2" t="inlineStr">
        <is>
          <t>null@null___NORMAL@ATUADO___Custom_S_TS_SA</t>
        </is>
      </c>
      <c r="G616" s="2">
        <f>VLOOKUP(F616,'Message Mapping'!A:L,3,FALSE)</f>
        <v/>
      </c>
      <c r="H616" s="2">
        <f>VLOOKUP(F616,'Message Mapping'!A:L,4,FALSE)</f>
        <v/>
      </c>
      <c r="I616" s="2" t="n"/>
      <c r="J616" s="3">
        <f>VLOOKUP(F616,'Message Mapping'!A:L,12,FALSE)</f>
        <v/>
      </c>
      <c r="K616" s="3" t="n"/>
      <c r="L616" s="3" t="n"/>
      <c r="M616" s="3" t="n"/>
      <c r="N616" s="3" t="n"/>
      <c r="O616" s="3" t="n"/>
      <c r="P616" s="3" t="n"/>
    </row>
    <row r="617">
      <c r="A617" s="94" t="inlineStr">
        <is>
          <t>MEMB</t>
        </is>
      </c>
      <c r="B617" s="2" t="inlineStr">
        <is>
          <t>RUPTURA MEMBRANA</t>
        </is>
      </c>
      <c r="C617" s="2" t="inlineStr">
        <is>
          <t>Custom</t>
        </is>
      </c>
      <c r="D617" s="2" t="inlineStr">
        <is>
          <t>FALHAS FCOM/VCA/VCC</t>
        </is>
      </c>
      <c r="E617" s="2" t="inlineStr">
        <is>
          <t>Read</t>
        </is>
      </c>
      <c r="F617" s="2" t="inlineStr">
        <is>
          <t>null@null___NORMAL@ATUADO___Custom_S_TS_SB</t>
        </is>
      </c>
      <c r="G617" s="2">
        <f>VLOOKUP(F617,'Message Mapping'!A:L,3,FALSE)</f>
        <v/>
      </c>
      <c r="H617" s="2">
        <f>VLOOKUP(F617,'Message Mapping'!A:L,4,FALSE)</f>
        <v/>
      </c>
      <c r="I617" s="2" t="n"/>
      <c r="J617" s="3">
        <f>VLOOKUP(F617,'Message Mapping'!A:L,12,FALSE)</f>
        <v/>
      </c>
      <c r="K617" s="8" t="n"/>
      <c r="L617" s="8" t="n"/>
      <c r="M617" s="8" t="n"/>
      <c r="N617" s="8" t="n"/>
      <c r="O617" s="8" t="n"/>
      <c r="P617" s="8" t="n"/>
    </row>
    <row r="618">
      <c r="A618" s="94" t="inlineStr">
        <is>
          <t>SCAR</t>
        </is>
      </c>
      <c r="B618" s="2" t="inlineStr">
        <is>
          <t>SECADOR DE AR</t>
        </is>
      </c>
      <c r="C618" s="2" t="inlineStr">
        <is>
          <t>Custom</t>
        </is>
      </c>
      <c r="D618" s="2" t="inlineStr">
        <is>
          <t>FALHAS FCOM/VCA/VCC</t>
        </is>
      </c>
      <c r="E618" s="2" t="inlineStr">
        <is>
          <t>Read</t>
        </is>
      </c>
      <c r="F618" s="2" t="inlineStr">
        <is>
          <t>null@null___NORMAL@ATUADO___Custom_S_TS_SB</t>
        </is>
      </c>
      <c r="G618" s="2">
        <f>VLOOKUP(F618,'Message Mapping'!A:L,3,FALSE)</f>
        <v/>
      </c>
      <c r="H618" s="2">
        <f>VLOOKUP(F618,'Message Mapping'!A:L,4,FALSE)</f>
        <v/>
      </c>
      <c r="I618" s="2" t="n"/>
      <c r="J618" s="3">
        <f>VLOOKUP(F618,'Message Mapping'!A:L,12,FALSE)</f>
        <v/>
      </c>
      <c r="K618" s="8" t="n"/>
      <c r="L618" s="8" t="n"/>
      <c r="M618" s="8" t="n"/>
      <c r="N618" s="8" t="n"/>
      <c r="O618" s="8" t="n"/>
      <c r="P618" s="8" t="n"/>
    </row>
    <row r="619">
      <c r="A619" s="94" t="inlineStr">
        <is>
          <t>SECB</t>
        </is>
      </c>
      <c r="B619" s="2" t="inlineStr">
        <is>
          <t>SECCIONADORA BYPASS</t>
        </is>
      </c>
      <c r="C619" s="2" t="inlineStr">
        <is>
          <t>SwitchStatus</t>
        </is>
      </c>
      <c r="D619" s="2" t="inlineStr">
        <is>
          <t>DJ BC/SEC</t>
        </is>
      </c>
      <c r="E619" s="2" t="inlineStr">
        <is>
          <t>Read</t>
        </is>
      </c>
      <c r="F619" s="2" t="inlineStr">
        <is>
          <t>ABRIR@FECHAR___ABERTO@FECHADO___SwitchStatus_D_TS_SO</t>
        </is>
      </c>
      <c r="G619" s="2">
        <f>VLOOKUP(F619,'Message Mapping'!A:L,3,FALSE)</f>
        <v/>
      </c>
      <c r="H619" s="2">
        <f>VLOOKUP(F619,'Message Mapping'!A:L,4,FALSE)</f>
        <v/>
      </c>
      <c r="I619" s="2" t="n"/>
      <c r="J619" s="3">
        <f>VLOOKUP(F619,'Message Mapping'!A:L,12,FALSE)</f>
        <v/>
      </c>
      <c r="K619" s="3" t="n"/>
      <c r="L619" s="3" t="n"/>
      <c r="M619" s="3" t="n"/>
      <c r="N619" s="3" t="n"/>
      <c r="O619" s="3" t="n"/>
      <c r="P619" s="3" t="n"/>
    </row>
    <row r="620">
      <c r="A620" s="94" t="inlineStr">
        <is>
          <t>SECB</t>
        </is>
      </c>
      <c r="B620" s="2" t="inlineStr">
        <is>
          <t>SECCIONADORA BYPASS</t>
        </is>
      </c>
      <c r="C620" s="2" t="inlineStr">
        <is>
          <t>SwitchStatus</t>
        </is>
      </c>
      <c r="D620" s="2" t="inlineStr">
        <is>
          <t>DJ BC/SEC</t>
        </is>
      </c>
      <c r="E620" s="2" t="inlineStr">
        <is>
          <t>ReadWrite</t>
        </is>
      </c>
      <c r="F620" s="2" t="inlineStr">
        <is>
          <t>ABRIR@FECHAR___ABERTO@FECHADO___SwitchStatus_D_TC_SO</t>
        </is>
      </c>
      <c r="G620" s="2">
        <f>VLOOKUP(F620,'Message Mapping'!A:L,3,FALSE)</f>
        <v/>
      </c>
      <c r="H620" s="2">
        <f>VLOOKUP(F620,'Message Mapping'!A:L,4,FALSE)</f>
        <v/>
      </c>
      <c r="I620" s="2" t="n"/>
      <c r="J620" s="3">
        <f>VLOOKUP(F620,'Message Mapping'!A:L,12,FALSE)</f>
        <v/>
      </c>
      <c r="K620" s="3" t="n"/>
      <c r="L620" s="3" t="n"/>
      <c r="M620" s="3" t="n"/>
      <c r="N620" s="3" t="n"/>
      <c r="O620" s="3" t="n"/>
      <c r="P620" s="3" t="n"/>
    </row>
    <row r="621">
      <c r="A621" s="94" t="inlineStr">
        <is>
          <t>SECC</t>
        </is>
      </c>
      <c r="B621" s="2" t="inlineStr">
        <is>
          <t>SECCIONADORA CARGA</t>
        </is>
      </c>
      <c r="C621" s="2" t="inlineStr">
        <is>
          <t>SwitchStatus</t>
        </is>
      </c>
      <c r="D621" s="2" t="inlineStr">
        <is>
          <t>DJ BC/SEC</t>
        </is>
      </c>
      <c r="E621" s="2" t="inlineStr">
        <is>
          <t>Read</t>
        </is>
      </c>
      <c r="F621" s="2" t="inlineStr">
        <is>
          <t>ABRIR@FECHAR___ABERTO@FECHADO___SwitchStatus_D_TS_SO</t>
        </is>
      </c>
      <c r="G621" s="2">
        <f>VLOOKUP(F621,'Message Mapping'!A:L,3,FALSE)</f>
        <v/>
      </c>
      <c r="H621" s="2">
        <f>VLOOKUP(F621,'Message Mapping'!A:L,4,FALSE)</f>
        <v/>
      </c>
      <c r="I621" s="2" t="n"/>
      <c r="J621" s="3">
        <f>VLOOKUP(F621,'Message Mapping'!A:L,12,FALSE)</f>
        <v/>
      </c>
      <c r="K621" s="3" t="n"/>
      <c r="L621" s="3" t="n"/>
      <c r="M621" s="3" t="n"/>
      <c r="N621" s="3" t="n"/>
      <c r="O621" s="3" t="n"/>
      <c r="P621" s="3" t="n"/>
    </row>
    <row r="622">
      <c r="A622" s="94" t="inlineStr">
        <is>
          <t>SECC</t>
        </is>
      </c>
      <c r="B622" s="2" t="inlineStr">
        <is>
          <t>SECCIONADORA CARGA</t>
        </is>
      </c>
      <c r="C622" s="2" t="inlineStr">
        <is>
          <t>SwitchStatus</t>
        </is>
      </c>
      <c r="D622" s="2" t="inlineStr">
        <is>
          <t>DJ BC/SEC</t>
        </is>
      </c>
      <c r="E622" s="2" t="inlineStr">
        <is>
          <t>ReadWrite</t>
        </is>
      </c>
      <c r="F622" s="2" t="inlineStr">
        <is>
          <t>ABRIR@FECHAR___ABERTO@FECHADO___SwitchStatus_D_TC_SO</t>
        </is>
      </c>
      <c r="G622" s="2">
        <f>VLOOKUP(F622,'Message Mapping'!A:L,3,FALSE)</f>
        <v/>
      </c>
      <c r="H622" s="2">
        <f>VLOOKUP(F622,'Message Mapping'!A:L,4,FALSE)</f>
        <v/>
      </c>
      <c r="I622" s="2" t="n"/>
      <c r="J622" s="3">
        <f>VLOOKUP(F622,'Message Mapping'!A:L,12,FALSE)</f>
        <v/>
      </c>
      <c r="K622" s="3" t="n"/>
      <c r="L622" s="3" t="n"/>
      <c r="M622" s="3" t="n"/>
      <c r="N622" s="3" t="n"/>
      <c r="O622" s="3" t="n"/>
      <c r="P622" s="3" t="n"/>
    </row>
    <row r="623">
      <c r="A623" s="94" t="inlineStr">
        <is>
          <t>SECF</t>
        </is>
      </c>
      <c r="B623" s="2" t="inlineStr">
        <is>
          <t>SECCIONADORA FONTE</t>
        </is>
      </c>
      <c r="C623" s="2" t="inlineStr">
        <is>
          <t>SwitchStatus</t>
        </is>
      </c>
      <c r="D623" s="2" t="inlineStr">
        <is>
          <t>DJ BC/SEC</t>
        </is>
      </c>
      <c r="E623" s="2" t="inlineStr">
        <is>
          <t>Read</t>
        </is>
      </c>
      <c r="F623" s="2" t="inlineStr">
        <is>
          <t>ABRIR@FECHAR___ABERTO@FECHADO___SwitchStatus_D_TS_SO</t>
        </is>
      </c>
      <c r="G623" s="2">
        <f>VLOOKUP(F623,'Message Mapping'!A:L,3,FALSE)</f>
        <v/>
      </c>
      <c r="H623" s="2">
        <f>VLOOKUP(F623,'Message Mapping'!A:L,4,FALSE)</f>
        <v/>
      </c>
      <c r="I623" s="2" t="n"/>
      <c r="J623" s="3">
        <f>VLOOKUP(F623,'Message Mapping'!A:L,12,FALSE)</f>
        <v/>
      </c>
      <c r="K623" s="3" t="n"/>
      <c r="L623" s="3" t="n"/>
      <c r="M623" s="3" t="n"/>
      <c r="N623" s="3" t="n"/>
      <c r="O623" s="3" t="n"/>
      <c r="P623" s="3" t="n"/>
    </row>
    <row r="624">
      <c r="A624" s="94" t="inlineStr">
        <is>
          <t>SECF</t>
        </is>
      </c>
      <c r="B624" s="2" t="inlineStr">
        <is>
          <t>SECCIONADORA FONTE</t>
        </is>
      </c>
      <c r="C624" s="2" t="inlineStr">
        <is>
          <t>SwitchStatus</t>
        </is>
      </c>
      <c r="D624" s="2" t="inlineStr">
        <is>
          <t>DJ BC/SEC</t>
        </is>
      </c>
      <c r="E624" s="2" t="inlineStr">
        <is>
          <t>ReadWrite</t>
        </is>
      </c>
      <c r="F624" s="2" t="inlineStr">
        <is>
          <t>ABRIR@FECHAR___ABERTO@FECHADO___SwitchStatus_D_TC_SO</t>
        </is>
      </c>
      <c r="G624" s="2">
        <f>VLOOKUP(F624,'Message Mapping'!A:L,3,FALSE)</f>
        <v/>
      </c>
      <c r="H624" s="2">
        <f>VLOOKUP(F624,'Message Mapping'!A:L,4,FALSE)</f>
        <v/>
      </c>
      <c r="I624" s="2" t="n"/>
      <c r="J624" s="3">
        <f>VLOOKUP(F624,'Message Mapping'!A:L,12,FALSE)</f>
        <v/>
      </c>
      <c r="K624" s="3" t="n"/>
      <c r="L624" s="3" t="n"/>
      <c r="M624" s="3" t="n"/>
      <c r="N624" s="3" t="n"/>
      <c r="O624" s="3" t="n"/>
      <c r="P624" s="3" t="n"/>
    </row>
    <row r="625">
      <c r="A625" s="94" t="inlineStr">
        <is>
          <t>SECI</t>
        </is>
      </c>
      <c r="B625" s="2" t="inlineStr">
        <is>
          <t>SECCIONADORA INTERBARRAS</t>
        </is>
      </c>
      <c r="C625" s="2" t="inlineStr">
        <is>
          <t>SwitchStatus</t>
        </is>
      </c>
      <c r="D625" s="2" t="inlineStr">
        <is>
          <t>DJ BC/SEC</t>
        </is>
      </c>
      <c r="E625" s="2" t="inlineStr">
        <is>
          <t>Read</t>
        </is>
      </c>
      <c r="F625" s="2" t="inlineStr">
        <is>
          <t>ABRIR@FECHAR___ABERTO@FECHADO___SwitchStatus_D_TS_SO</t>
        </is>
      </c>
      <c r="G625" s="2">
        <f>VLOOKUP(F625,'Message Mapping'!A:L,3,FALSE)</f>
        <v/>
      </c>
      <c r="H625" s="2">
        <f>VLOOKUP(F625,'Message Mapping'!A:L,4,FALSE)</f>
        <v/>
      </c>
      <c r="I625" s="2" t="n"/>
      <c r="J625" s="3">
        <f>VLOOKUP(F625,'Message Mapping'!A:L,12,FALSE)</f>
        <v/>
      </c>
      <c r="K625" s="3" t="n"/>
      <c r="L625" s="3" t="n"/>
      <c r="M625" s="3" t="n"/>
      <c r="N625" s="3" t="n"/>
      <c r="O625" s="3" t="n"/>
      <c r="P625" s="3" t="n"/>
    </row>
    <row r="626">
      <c r="A626" s="94" t="inlineStr">
        <is>
          <t>SECI</t>
        </is>
      </c>
      <c r="B626" s="2" t="inlineStr">
        <is>
          <t>SECCIONADORA INTERBARRAS</t>
        </is>
      </c>
      <c r="C626" s="2" t="inlineStr">
        <is>
          <t>SwitchStatus</t>
        </is>
      </c>
      <c r="D626" s="2" t="inlineStr">
        <is>
          <t>DJ BC/SEC</t>
        </is>
      </c>
      <c r="E626" s="2" t="inlineStr">
        <is>
          <t>ReadWrite</t>
        </is>
      </c>
      <c r="F626" s="2" t="inlineStr">
        <is>
          <t>ABRIR@FECHAR___ABERTO@FECHADO___SwitchStatus_D_TC_SO</t>
        </is>
      </c>
      <c r="G626" s="2">
        <f>VLOOKUP(F626,'Message Mapping'!A:L,3,FALSE)</f>
        <v/>
      </c>
      <c r="H626" s="2">
        <f>VLOOKUP(F626,'Message Mapping'!A:L,4,FALSE)</f>
        <v/>
      </c>
      <c r="I626" s="2" t="n"/>
      <c r="J626" s="3">
        <f>VLOOKUP(F626,'Message Mapping'!A:L,12,FALSE)</f>
        <v/>
      </c>
      <c r="K626" s="3" t="n"/>
      <c r="L626" s="3" t="n"/>
      <c r="M626" s="3" t="n"/>
      <c r="N626" s="3" t="n"/>
      <c r="O626" s="3" t="n"/>
      <c r="P626" s="3" t="n"/>
    </row>
    <row r="627">
      <c r="A627" s="94" t="inlineStr">
        <is>
          <t>SECL</t>
        </is>
      </c>
      <c r="B627" s="2" t="inlineStr">
        <is>
          <t>SECCIONADORA INTERLINHAS</t>
        </is>
      </c>
      <c r="C627" s="2" t="inlineStr">
        <is>
          <t>SwitchStatus</t>
        </is>
      </c>
      <c r="D627" s="2" t="inlineStr">
        <is>
          <t>DJ BC/SEC</t>
        </is>
      </c>
      <c r="E627" s="2" t="inlineStr">
        <is>
          <t>Read</t>
        </is>
      </c>
      <c r="F627" s="2" t="inlineStr">
        <is>
          <t>ABRIR@FECHAR___ABERTO@FECHADO___SwitchStatus_D_TS_SO</t>
        </is>
      </c>
      <c r="G627" s="2">
        <f>VLOOKUP(F627,'Message Mapping'!A:L,3,FALSE)</f>
        <v/>
      </c>
      <c r="H627" s="2">
        <f>VLOOKUP(F627,'Message Mapping'!A:L,4,FALSE)</f>
        <v/>
      </c>
      <c r="I627" s="2" t="n"/>
      <c r="J627" s="3">
        <f>VLOOKUP(F627,'Message Mapping'!A:L,12,FALSE)</f>
        <v/>
      </c>
      <c r="K627" s="3" t="n"/>
      <c r="L627" s="3" t="n"/>
      <c r="M627" s="3" t="n"/>
      <c r="N627" s="3" t="n"/>
      <c r="O627" s="3" t="n"/>
      <c r="P627" s="3" t="n"/>
    </row>
    <row r="628">
      <c r="A628" s="94" t="inlineStr">
        <is>
          <t>SECL</t>
        </is>
      </c>
      <c r="B628" s="2" t="inlineStr">
        <is>
          <t>SECCIONADORA INTERLINHAS</t>
        </is>
      </c>
      <c r="C628" s="2" t="inlineStr">
        <is>
          <t>SwitchStatus</t>
        </is>
      </c>
      <c r="D628" s="2" t="inlineStr">
        <is>
          <t>DJ BC/SEC</t>
        </is>
      </c>
      <c r="E628" s="2" t="inlineStr">
        <is>
          <t>ReadWrite</t>
        </is>
      </c>
      <c r="F628" s="2" t="inlineStr">
        <is>
          <t>ABRIR@FECHAR___ABERTO@FECHADO___SwitchStatus_D_TC_SO</t>
        </is>
      </c>
      <c r="G628" s="2">
        <f>VLOOKUP(F628,'Message Mapping'!A:L,3,FALSE)</f>
        <v/>
      </c>
      <c r="H628" s="2">
        <f>VLOOKUP(F628,'Message Mapping'!A:L,4,FALSE)</f>
        <v/>
      </c>
      <c r="I628" s="2" t="n"/>
      <c r="J628" s="3">
        <f>VLOOKUP(F628,'Message Mapping'!A:L,12,FALSE)</f>
        <v/>
      </c>
      <c r="K628" s="3" t="n"/>
      <c r="L628" s="3" t="n"/>
      <c r="M628" s="3" t="n"/>
      <c r="N628" s="3" t="n"/>
      <c r="O628" s="3" t="n"/>
      <c r="P628" s="3" t="n"/>
    </row>
    <row r="629">
      <c r="A629" s="94" t="inlineStr">
        <is>
          <t>SECG</t>
        </is>
      </c>
      <c r="B629" s="2" t="inlineStr">
        <is>
          <t>SECCIONADORA TERRA</t>
        </is>
      </c>
      <c r="C629" s="2" t="inlineStr">
        <is>
          <t>SwitchStatus</t>
        </is>
      </c>
      <c r="D629" s="2" t="inlineStr">
        <is>
          <t>DJ BC/SEC</t>
        </is>
      </c>
      <c r="E629" s="2" t="inlineStr">
        <is>
          <t>Read</t>
        </is>
      </c>
      <c r="F629" s="2" t="inlineStr">
        <is>
          <t>ABRIR@FECHAR___ABERTO@FECHADO___SwitchStatus_D_TS_SO</t>
        </is>
      </c>
      <c r="G629" s="2">
        <f>VLOOKUP(F629,'Message Mapping'!A:L,3,FALSE)</f>
        <v/>
      </c>
      <c r="H629" s="2">
        <f>VLOOKUP(F629,'Message Mapping'!A:L,4,FALSE)</f>
        <v/>
      </c>
      <c r="I629" s="2" t="n"/>
      <c r="J629" s="3">
        <f>VLOOKUP(F629,'Message Mapping'!A:L,12,FALSE)</f>
        <v/>
      </c>
      <c r="K629" s="3" t="n"/>
      <c r="L629" s="3" t="n"/>
      <c r="M629" s="3" t="n"/>
      <c r="N629" s="3" t="n"/>
      <c r="O629" s="3" t="n"/>
      <c r="P629" s="3" t="n"/>
    </row>
    <row r="630">
      <c r="A630" s="94" t="inlineStr">
        <is>
          <t>SECG</t>
        </is>
      </c>
      <c r="B630" s="2" t="inlineStr">
        <is>
          <t>SECCIONADORA TERRA</t>
        </is>
      </c>
      <c r="C630" s="2" t="inlineStr">
        <is>
          <t>SwitchStatus</t>
        </is>
      </c>
      <c r="D630" s="2" t="inlineStr">
        <is>
          <t>DJ BC/SEC</t>
        </is>
      </c>
      <c r="E630" s="2" t="inlineStr">
        <is>
          <t>ReadWrite</t>
        </is>
      </c>
      <c r="F630" s="2" t="inlineStr">
        <is>
          <t>ABRIR@FECHAR___ABERTO@FECHADO___SwitchStatus_D_TC_SO</t>
        </is>
      </c>
      <c r="G630" s="2">
        <f>VLOOKUP(F630,'Message Mapping'!A:L,3,FALSE)</f>
        <v/>
      </c>
      <c r="H630" s="2">
        <f>VLOOKUP(F630,'Message Mapping'!A:L,4,FALSE)</f>
        <v/>
      </c>
      <c r="I630" s="2" t="n"/>
      <c r="J630" s="3">
        <f>VLOOKUP(F630,'Message Mapping'!A:L,12,FALSE)</f>
        <v/>
      </c>
      <c r="K630" s="3" t="n"/>
      <c r="L630" s="3" t="n"/>
      <c r="M630" s="3" t="n"/>
      <c r="N630" s="3" t="n"/>
      <c r="O630" s="3" t="n"/>
      <c r="P630" s="3" t="n"/>
    </row>
    <row r="631">
      <c r="A631" s="94" t="inlineStr">
        <is>
          <t>SECT</t>
        </is>
      </c>
      <c r="B631" s="2" t="inlineStr">
        <is>
          <t>SECCIONADORA TRANSFERENCIA</t>
        </is>
      </c>
      <c r="C631" s="2" t="inlineStr">
        <is>
          <t>SwitchStatus</t>
        </is>
      </c>
      <c r="D631" s="2" t="inlineStr">
        <is>
          <t>DJ BC/SEC</t>
        </is>
      </c>
      <c r="E631" s="2" t="inlineStr">
        <is>
          <t>Read</t>
        </is>
      </c>
      <c r="F631" s="2" t="inlineStr">
        <is>
          <t>ABRIR@FECHAR___ABERTO@FECHADO___SwitchStatus_D_TS_SO</t>
        </is>
      </c>
      <c r="G631" s="2">
        <f>VLOOKUP(F631,'Message Mapping'!A:L,3,FALSE)</f>
        <v/>
      </c>
      <c r="H631" s="2">
        <f>VLOOKUP(F631,'Message Mapping'!A:L,4,FALSE)</f>
        <v/>
      </c>
      <c r="I631" s="2" t="n"/>
      <c r="J631" s="3">
        <f>VLOOKUP(F631,'Message Mapping'!A:L,12,FALSE)</f>
        <v/>
      </c>
      <c r="K631" s="3" t="n"/>
      <c r="L631" s="3" t="n"/>
      <c r="M631" s="3" t="n"/>
      <c r="N631" s="3" t="n"/>
      <c r="O631" s="3" t="n"/>
      <c r="P631" s="3" t="n"/>
    </row>
    <row r="632">
      <c r="A632" s="94" t="inlineStr">
        <is>
          <t>SECT</t>
        </is>
      </c>
      <c r="B632" s="2" t="inlineStr">
        <is>
          <t>SECCIONADORA TRANSFERENCIA</t>
        </is>
      </c>
      <c r="C632" s="2" t="inlineStr">
        <is>
          <t>SwitchStatus</t>
        </is>
      </c>
      <c r="D632" s="2" t="inlineStr">
        <is>
          <t>DJ BC/SEC</t>
        </is>
      </c>
      <c r="E632" s="2" t="inlineStr">
        <is>
          <t>ReadWrite</t>
        </is>
      </c>
      <c r="F632" s="2" t="inlineStr">
        <is>
          <t>ABRIR@FECHAR___ABERTO@FECHADO___SwitchStatus_D_TC_SO</t>
        </is>
      </c>
      <c r="G632" s="2">
        <f>VLOOKUP(F632,'Message Mapping'!A:L,3,FALSE)</f>
        <v/>
      </c>
      <c r="H632" s="2">
        <f>VLOOKUP(F632,'Message Mapping'!A:L,4,FALSE)</f>
        <v/>
      </c>
      <c r="I632" s="2" t="n"/>
      <c r="J632" s="3">
        <f>VLOOKUP(F632,'Message Mapping'!A:L,12,FALSE)</f>
        <v/>
      </c>
      <c r="K632" s="3" t="n"/>
      <c r="L632" s="3" t="n"/>
      <c r="M632" s="3" t="n"/>
      <c r="N632" s="3" t="n"/>
      <c r="O632" s="3" t="n"/>
      <c r="P632" s="3" t="n"/>
    </row>
    <row r="633">
      <c r="A633" s="94" t="inlineStr">
        <is>
          <t>FUMA</t>
        </is>
      </c>
      <c r="B633" s="2" t="inlineStr">
        <is>
          <t>SENSOR FUMACA</t>
        </is>
      </c>
      <c r="C633" s="2" t="inlineStr">
        <is>
          <t>Custom</t>
        </is>
      </c>
      <c r="D633" s="2" t="inlineStr">
        <is>
          <t>ALARMES PREDIAIS/VF/GRUPO</t>
        </is>
      </c>
      <c r="E633" s="2" t="inlineStr">
        <is>
          <t>Read</t>
        </is>
      </c>
      <c r="F633" s="2" t="inlineStr">
        <is>
          <t>null@null___NORMAL@ATUADO___Custom_S_TS_SV</t>
        </is>
      </c>
      <c r="G633" s="2">
        <f>VLOOKUP(F633,'Message Mapping'!A:L,3,FALSE)</f>
        <v/>
      </c>
      <c r="H633" s="2">
        <f>VLOOKUP(F633,'Message Mapping'!A:L,4,FALSE)</f>
        <v/>
      </c>
      <c r="I633" s="2" t="n"/>
      <c r="J633" s="3">
        <f>VLOOKUP(F633,'Message Mapping'!A:L,12,FALSE)</f>
        <v/>
      </c>
      <c r="K633" s="3" t="n"/>
      <c r="L633" s="3" t="n"/>
      <c r="M633" s="3" t="n"/>
      <c r="N633" s="3" t="n"/>
      <c r="O633" s="3" t="n"/>
      <c r="P633" s="3" t="n"/>
    </row>
    <row r="634">
      <c r="A634" s="94" t="inlineStr">
        <is>
          <t>SEXT</t>
        </is>
      </c>
      <c r="B634" s="2" t="inlineStr">
        <is>
          <t>SENSOR PRESENCA EXTERNO</t>
        </is>
      </c>
      <c r="C634" s="2" t="inlineStr">
        <is>
          <t>Custom</t>
        </is>
      </c>
      <c r="D634" s="2" t="inlineStr">
        <is>
          <t>ALARMES PREDIAIS/VF/GRUPO</t>
        </is>
      </c>
      <c r="E634" s="2" t="inlineStr">
        <is>
          <t>Read</t>
        </is>
      </c>
      <c r="F634" s="2" t="inlineStr">
        <is>
          <t>null@null___NORMAL@ATUADO___Custom_S_TS_SV</t>
        </is>
      </c>
      <c r="G634" s="2">
        <f>VLOOKUP(F634,'Message Mapping'!A:L,3,FALSE)</f>
        <v/>
      </c>
      <c r="H634" s="2">
        <f>VLOOKUP(F634,'Message Mapping'!A:L,4,FALSE)</f>
        <v/>
      </c>
      <c r="I634" s="2" t="n"/>
      <c r="J634" s="3">
        <f>VLOOKUP(F634,'Message Mapping'!A:L,12,FALSE)</f>
        <v/>
      </c>
      <c r="K634" s="3" t="n"/>
      <c r="L634" s="3" t="n"/>
      <c r="M634" s="3" t="n"/>
      <c r="N634" s="3" t="n"/>
      <c r="O634" s="3" t="n"/>
      <c r="P634" s="3" t="n"/>
    </row>
    <row r="635">
      <c r="A635" s="94" t="inlineStr">
        <is>
          <t>SINT</t>
        </is>
      </c>
      <c r="B635" s="2" t="inlineStr">
        <is>
          <t>SENSOR PRESENCA INTERNO</t>
        </is>
      </c>
      <c r="C635" s="2" t="inlineStr">
        <is>
          <t>Custom</t>
        </is>
      </c>
      <c r="D635" s="2" t="inlineStr">
        <is>
          <t>ALARMES PREDIAIS/VF/GRUPO</t>
        </is>
      </c>
      <c r="E635" s="2" t="inlineStr">
        <is>
          <t>Read</t>
        </is>
      </c>
      <c r="F635" s="2" t="inlineStr">
        <is>
          <t>null@null___NORMAL@ATUADO___Custom_S_TS_SV</t>
        </is>
      </c>
      <c r="G635" s="2">
        <f>VLOOKUP(F635,'Message Mapping'!A:L,3,FALSE)</f>
        <v/>
      </c>
      <c r="H635" s="2">
        <f>VLOOKUP(F635,'Message Mapping'!A:L,4,FALSE)</f>
        <v/>
      </c>
      <c r="I635" s="2" t="n"/>
      <c r="J635" s="3">
        <f>VLOOKUP(F635,'Message Mapping'!A:L,12,FALSE)</f>
        <v/>
      </c>
      <c r="K635" s="3" t="n"/>
      <c r="L635" s="3" t="n"/>
      <c r="M635" s="3" t="n"/>
      <c r="N635" s="3" t="n"/>
      <c r="O635" s="3" t="n"/>
      <c r="P635" s="3" t="n"/>
    </row>
    <row r="636">
      <c r="A636" s="94" t="inlineStr">
        <is>
          <t>STMP</t>
        </is>
      </c>
      <c r="B636" s="2" t="inlineStr">
        <is>
          <t>SENSOR TEMPERATURA</t>
        </is>
      </c>
      <c r="C636" s="2" t="inlineStr">
        <is>
          <t>Custom</t>
        </is>
      </c>
      <c r="D636" s="2" t="inlineStr">
        <is>
          <t>FALHAS FCOM/VCA/VCC</t>
        </is>
      </c>
      <c r="E636" s="2" t="inlineStr">
        <is>
          <t>Read</t>
        </is>
      </c>
      <c r="F636" s="2" t="inlineStr">
        <is>
          <t>null@null___NORMAL@ATUADO___Custom_S_TS_SB</t>
        </is>
      </c>
      <c r="G636" s="2">
        <f>VLOOKUP(F636,'Message Mapping'!A:L,3,FALSE)</f>
        <v/>
      </c>
      <c r="H636" s="2">
        <f>VLOOKUP(F636,'Message Mapping'!A:L,4,FALSE)</f>
        <v/>
      </c>
      <c r="I636" s="2" t="n"/>
      <c r="J636" s="3">
        <f>VLOOKUP(F636,'Message Mapping'!A:L,12,FALSE)</f>
        <v/>
      </c>
      <c r="K636" s="3" t="n"/>
      <c r="L636" s="3" t="n"/>
      <c r="M636" s="3" t="n"/>
      <c r="N636" s="3" t="n"/>
      <c r="O636" s="3" t="n"/>
      <c r="P636" s="3" t="n"/>
    </row>
    <row r="637">
      <c r="A637" s="94" t="inlineStr">
        <is>
          <t>SFAB</t>
        </is>
      </c>
      <c r="B637" s="2" t="inlineStr">
        <is>
          <t>SF6 BLOQUEIO ABERTURA</t>
        </is>
      </c>
      <c r="C637" s="2" t="inlineStr">
        <is>
          <t>Custom</t>
        </is>
      </c>
      <c r="D637" s="2" t="inlineStr">
        <is>
          <t>DEFEITOS</t>
        </is>
      </c>
      <c r="E637" s="2" t="inlineStr">
        <is>
          <t>Read</t>
        </is>
      </c>
      <c r="F637" s="2" t="inlineStr">
        <is>
          <t>null@null___NORMAL@ATUADO___Custom_S_TS_SI</t>
        </is>
      </c>
      <c r="G637" s="2">
        <f>VLOOKUP(F637,'Message Mapping'!A:L,3,FALSE)</f>
        <v/>
      </c>
      <c r="H637" s="2">
        <f>VLOOKUP(F637,'Message Mapping'!A:L,4,FALSE)</f>
        <v/>
      </c>
      <c r="I637" s="2" t="n"/>
      <c r="J637" s="3">
        <f>VLOOKUP(F637,'Message Mapping'!A:L,12,FALSE)</f>
        <v/>
      </c>
      <c r="K637" s="3" t="n"/>
      <c r="L637" s="3" t="n"/>
      <c r="M637" s="3" t="n"/>
      <c r="N637" s="3" t="n"/>
      <c r="O637" s="3" t="n"/>
      <c r="P637" s="3" t="n"/>
    </row>
    <row r="638">
      <c r="A638" s="94" t="inlineStr">
        <is>
          <t>SFFC</t>
        </is>
      </c>
      <c r="B638" s="2" t="inlineStr">
        <is>
          <t>SF6 BLOQUEIO FECHAMENTO</t>
        </is>
      </c>
      <c r="C638" s="2" t="inlineStr">
        <is>
          <t>Custom</t>
        </is>
      </c>
      <c r="D638" s="2" t="inlineStr">
        <is>
          <t>DEFEITOS</t>
        </is>
      </c>
      <c r="E638" s="2" t="inlineStr">
        <is>
          <t>Read</t>
        </is>
      </c>
      <c r="F638" s="2" t="inlineStr">
        <is>
          <t>null@null___NORMAL@ATUADO___Custom_S_TS_SI</t>
        </is>
      </c>
      <c r="G638" s="2">
        <f>VLOOKUP(F638,'Message Mapping'!A:L,3,FALSE)</f>
        <v/>
      </c>
      <c r="H638" s="2">
        <f>VLOOKUP(F638,'Message Mapping'!A:L,4,FALSE)</f>
        <v/>
      </c>
      <c r="I638" s="2" t="n"/>
      <c r="J638" s="3">
        <f>VLOOKUP(F638,'Message Mapping'!A:L,12,FALSE)</f>
        <v/>
      </c>
      <c r="K638" s="3" t="n"/>
      <c r="L638" s="3" t="n"/>
      <c r="M638" s="3" t="n"/>
      <c r="N638" s="3" t="n"/>
      <c r="O638" s="3" t="n"/>
      <c r="P638" s="3" t="n"/>
    </row>
    <row r="639">
      <c r="A639" s="94" t="inlineStr">
        <is>
          <t>SOBC</t>
        </is>
      </c>
      <c r="B639" s="2" t="inlineStr">
        <is>
          <t>SOBRECARGA</t>
        </is>
      </c>
      <c r="C639" s="2" t="inlineStr">
        <is>
          <t>Custom</t>
        </is>
      </c>
      <c r="D639" s="2" t="inlineStr">
        <is>
          <t>FALHAS FCOM/VCA/VCC</t>
        </is>
      </c>
      <c r="E639" s="2" t="inlineStr">
        <is>
          <t>Read</t>
        </is>
      </c>
      <c r="F639" s="2" t="inlineStr">
        <is>
          <t>null@null___NORMAL@ATUADO___Custom_S_TS_SB</t>
        </is>
      </c>
      <c r="G639" s="2">
        <f>VLOOKUP(F639,'Message Mapping'!A:L,3,FALSE)</f>
        <v/>
      </c>
      <c r="H639" s="2">
        <f>VLOOKUP(F639,'Message Mapping'!A:L,4,FALSE)</f>
        <v/>
      </c>
      <c r="I639" s="2" t="n"/>
      <c r="J639" s="3">
        <f>VLOOKUP(F639,'Message Mapping'!A:L,12,FALSE)</f>
        <v/>
      </c>
      <c r="K639" s="3" t="n"/>
      <c r="L639" s="3" t="n"/>
      <c r="M639" s="3" t="n"/>
      <c r="N639" s="3" t="n"/>
      <c r="O639" s="3" t="n"/>
      <c r="P639" s="3" t="n"/>
    </row>
    <row r="640">
      <c r="A640" s="94" t="inlineStr">
        <is>
          <t>BAHI</t>
        </is>
      </c>
      <c r="B640" s="2" t="inlineStr">
        <is>
          <t>TENSAO ALTA BATERIA</t>
        </is>
      </c>
      <c r="C640" s="2" t="inlineStr">
        <is>
          <t>Custom</t>
        </is>
      </c>
      <c r="D640" s="2" t="inlineStr">
        <is>
          <t>FALHAS FCOM/VCA/VCC</t>
        </is>
      </c>
      <c r="E640" s="2" t="inlineStr">
        <is>
          <t>Read</t>
        </is>
      </c>
      <c r="F640" s="2" t="inlineStr">
        <is>
          <t>null@null___NORMAL@ATUADO___Custom_S_TS_SB</t>
        </is>
      </c>
      <c r="G640" s="2">
        <f>VLOOKUP(F640,'Message Mapping'!A:L,3,FALSE)</f>
        <v/>
      </c>
      <c r="H640" s="2">
        <f>VLOOKUP(F640,'Message Mapping'!A:L,4,FALSE)</f>
        <v/>
      </c>
      <c r="I640" s="2" t="n"/>
      <c r="J640" s="3">
        <f>VLOOKUP(F640,'Message Mapping'!A:L,12,FALSE)</f>
        <v/>
      </c>
      <c r="K640" s="3" t="n"/>
      <c r="L640" s="3" t="n"/>
      <c r="M640" s="3" t="n"/>
      <c r="N640" s="3" t="n"/>
      <c r="O640" s="3" t="n"/>
      <c r="P640" s="3" t="n"/>
    </row>
    <row r="641">
      <c r="A641" s="94" t="inlineStr">
        <is>
          <t>BATL</t>
        </is>
      </c>
      <c r="B641" s="2" t="inlineStr">
        <is>
          <t>TENSAO BAIXA BATERIA</t>
        </is>
      </c>
      <c r="C641" s="2" t="inlineStr">
        <is>
          <t>Custom</t>
        </is>
      </c>
      <c r="D641" s="2" t="inlineStr">
        <is>
          <t>FALHAS FCOM/VCA/VCC</t>
        </is>
      </c>
      <c r="E641" s="2" t="inlineStr">
        <is>
          <t>Read</t>
        </is>
      </c>
      <c r="F641" s="2" t="inlineStr">
        <is>
          <t>null@null___NORMAL@ATUADO___Custom_S_TS_SB</t>
        </is>
      </c>
      <c r="G641" s="2">
        <f>VLOOKUP(F641,'Message Mapping'!A:L,3,FALSE)</f>
        <v/>
      </c>
      <c r="H641" s="2">
        <f>VLOOKUP(F641,'Message Mapping'!A:L,4,FALSE)</f>
        <v/>
      </c>
      <c r="I641" s="2" t="n"/>
      <c r="J641" s="3">
        <f>VLOOKUP(F641,'Message Mapping'!A:L,12,FALSE)</f>
        <v/>
      </c>
      <c r="K641" s="3" t="n"/>
      <c r="L641" s="3" t="n"/>
      <c r="M641" s="3" t="n"/>
      <c r="N641" s="3" t="n"/>
      <c r="O641" s="3" t="n"/>
      <c r="P641" s="3" t="n"/>
    </row>
    <row r="642">
      <c r="A642" s="94" t="inlineStr">
        <is>
          <t>RVTL</t>
        </is>
      </c>
      <c r="B642" s="2" t="inlineStr">
        <is>
          <t>TENSAO BAIXA RELE 90</t>
        </is>
      </c>
      <c r="C642" s="2" t="inlineStr">
        <is>
          <t>Custom</t>
        </is>
      </c>
      <c r="D642" s="2" t="inlineStr">
        <is>
          <t>FALHAS FCOM/VCA/VCC</t>
        </is>
      </c>
      <c r="E642" s="2" t="inlineStr">
        <is>
          <t>Read</t>
        </is>
      </c>
      <c r="F642" s="2" t="inlineStr">
        <is>
          <t>null@null___NORMAL@ATUADO___Custom_S_TS_SB</t>
        </is>
      </c>
      <c r="G642" s="2">
        <f>VLOOKUP(F642,'Message Mapping'!A:L,3,FALSE)</f>
        <v/>
      </c>
      <c r="H642" s="2">
        <f>VLOOKUP(F642,'Message Mapping'!A:L,4,FALSE)</f>
        <v/>
      </c>
      <c r="I642" s="2" t="n"/>
      <c r="J642" s="3">
        <f>VLOOKUP(F642,'Message Mapping'!A:L,12,FALSE)</f>
        <v/>
      </c>
      <c r="K642" s="3" t="n"/>
      <c r="L642" s="3" t="n"/>
      <c r="M642" s="3" t="n"/>
      <c r="N642" s="3" t="n"/>
      <c r="O642" s="3" t="n"/>
      <c r="P642" s="3" t="n"/>
    </row>
    <row r="643">
      <c r="A643" s="94" t="inlineStr">
        <is>
          <t>TPOK</t>
        </is>
      </c>
      <c r="B643" s="2" t="inlineStr">
        <is>
          <t>PROTECAO TRANSFERIDA</t>
        </is>
      </c>
      <c r="C643" s="2" t="inlineStr">
        <is>
          <t>Custom</t>
        </is>
      </c>
      <c r="D643" s="2" t="inlineStr">
        <is>
          <t>PROT</t>
        </is>
      </c>
      <c r="E643" s="2" t="inlineStr">
        <is>
          <t>Read</t>
        </is>
      </c>
      <c r="F643" s="2" t="inlineStr">
        <is>
          <t>null@null___NORMAL@COMPLETA___Custom_S_TS_SA</t>
        </is>
      </c>
      <c r="G643" s="2">
        <f>VLOOKUP(F643,'Message Mapping'!A:L,3,FALSE)</f>
        <v/>
      </c>
      <c r="H643" s="2">
        <f>VLOOKUP(F643,'Message Mapping'!A:L,4,FALSE)</f>
        <v/>
      </c>
      <c r="I643" s="2" t="n"/>
      <c r="J643" s="3">
        <f>VLOOKUP(F643,'Message Mapping'!A:L,12,FALSE)</f>
        <v/>
      </c>
      <c r="K643" s="3" t="n"/>
      <c r="L643" s="3" t="n"/>
      <c r="M643" s="3" t="n"/>
      <c r="N643" s="3" t="n"/>
      <c r="O643" s="3" t="n"/>
      <c r="P643" s="3" t="n"/>
    </row>
    <row r="644">
      <c r="A644" s="94" t="inlineStr">
        <is>
          <t>DTT</t>
        </is>
      </c>
      <c r="B644" s="2" t="inlineStr">
        <is>
          <t>TRANSFERENCIA DE TRIP</t>
        </is>
      </c>
      <c r="C644" s="2" t="inlineStr">
        <is>
          <t>Custom</t>
        </is>
      </c>
      <c r="D644" s="2" t="inlineStr">
        <is>
          <t>PROT</t>
        </is>
      </c>
      <c r="E644" s="2" t="inlineStr">
        <is>
          <t>Read</t>
        </is>
      </c>
      <c r="F644" s="2" t="inlineStr">
        <is>
          <t>null@null___OPERANDO@BLOQUEADO___Custom_S_TS_SA</t>
        </is>
      </c>
      <c r="G644" s="2">
        <f>VLOOKUP(F644,'Message Mapping'!A:L,3,FALSE)</f>
        <v/>
      </c>
      <c r="H644" s="2">
        <f>VLOOKUP(F644,'Message Mapping'!A:L,4,FALSE)</f>
        <v/>
      </c>
      <c r="I644" s="2" t="n"/>
      <c r="J644" s="3">
        <f>VLOOKUP(F644,'Message Mapping'!A:L,12,FALSE)</f>
        <v/>
      </c>
      <c r="K644" s="3" t="n"/>
      <c r="L644" s="3" t="n"/>
      <c r="M644" s="3" t="n"/>
      <c r="N644" s="3" t="n"/>
      <c r="O644" s="3" t="n"/>
      <c r="P644" s="3" t="n"/>
    </row>
    <row r="645">
      <c r="A645" s="94" t="inlineStr">
        <is>
          <t>DTTT</t>
        </is>
      </c>
      <c r="B645" s="2" t="inlineStr">
        <is>
          <t>TRANSFERENCIA DE TRIP TRIFASICO</t>
        </is>
      </c>
      <c r="C645" s="2" t="inlineStr">
        <is>
          <t>Custom</t>
        </is>
      </c>
      <c r="D645" s="2" t="inlineStr">
        <is>
          <t>PROT</t>
        </is>
      </c>
      <c r="E645" s="2" t="inlineStr">
        <is>
          <t>Read</t>
        </is>
      </c>
      <c r="F645" s="2" t="inlineStr">
        <is>
          <t>null@null___NORMAL@ATUADO___Custom_S_TS_SA</t>
        </is>
      </c>
      <c r="G645" s="2">
        <f>VLOOKUP(F645,'Message Mapping'!A:L,3,FALSE)</f>
        <v/>
      </c>
      <c r="H645" s="2">
        <f>VLOOKUP(F645,'Message Mapping'!A:L,4,FALSE)</f>
        <v/>
      </c>
      <c r="I645" s="2" t="n"/>
      <c r="J645" s="3">
        <f>VLOOKUP(F645,'Message Mapping'!A:L,12,FALSE)</f>
        <v/>
      </c>
      <c r="K645" s="3" t="n"/>
      <c r="L645" s="3" t="n"/>
      <c r="M645" s="3" t="n"/>
      <c r="N645" s="3" t="n"/>
      <c r="O645" s="3" t="n"/>
      <c r="P645" s="3" t="n"/>
    </row>
    <row r="646">
      <c r="A646" s="94" t="inlineStr">
        <is>
          <t>TRIP</t>
        </is>
      </c>
      <c r="B646" s="2" t="inlineStr">
        <is>
          <t>TRIP</t>
        </is>
      </c>
      <c r="C646" s="2" t="inlineStr">
        <is>
          <t>RelayTrip</t>
        </is>
      </c>
      <c r="D646" s="2" t="inlineStr">
        <is>
          <t>PROT</t>
        </is>
      </c>
      <c r="E646" s="2" t="inlineStr">
        <is>
          <t>Read</t>
        </is>
      </c>
      <c r="F646" s="2" t="inlineStr">
        <is>
          <t>null@null___NORMAL@ATUADO___RelayTrip_S_TS_SA</t>
        </is>
      </c>
      <c r="G646" s="2">
        <f>VLOOKUP(F646,'Message Mapping'!A:L,3,FALSE)</f>
        <v/>
      </c>
      <c r="H646" s="2">
        <f>VLOOKUP(F646,'Message Mapping'!A:L,4,FALSE)</f>
        <v/>
      </c>
      <c r="I646" s="2" t="n"/>
      <c r="J646" s="3">
        <f>VLOOKUP(F646,'Message Mapping'!A:L,12,FALSE)</f>
        <v/>
      </c>
      <c r="K646" s="3" t="n"/>
      <c r="L646" s="3" t="n"/>
      <c r="M646" s="3" t="n"/>
      <c r="N646" s="3" t="n"/>
      <c r="O646" s="3" t="n"/>
      <c r="P646" s="3" t="n"/>
    </row>
    <row r="647" customFormat="1" s="103">
      <c r="A647" s="102" t="inlineStr">
        <is>
          <t>SIMD</t>
        </is>
      </c>
      <c r="B647" s="5" t="inlineStr">
        <is>
          <t>TRIP DEFEITO SIMULTANEO</t>
        </is>
      </c>
      <c r="C647" s="5" t="inlineStr">
        <is>
          <t>RelayTrip</t>
        </is>
      </c>
      <c r="D647" s="5" t="inlineStr">
        <is>
          <t>PROT</t>
        </is>
      </c>
      <c r="E647" s="5" t="inlineStr">
        <is>
          <t>Read</t>
        </is>
      </c>
      <c r="F647" s="5" t="inlineStr">
        <is>
          <t>null@null___NORMAL@ATUADO___RelayTrip_S_TS_SA</t>
        </is>
      </c>
      <c r="G647" s="5">
        <f>VLOOKUP(F647,'Message Mapping'!A:L,3,FALSE)</f>
        <v/>
      </c>
      <c r="H647" s="5">
        <f>VLOOKUP(F647,'Message Mapping'!A:L,4,FALSE)</f>
        <v/>
      </c>
      <c r="I647" s="5" t="n"/>
      <c r="J647" s="8">
        <f>VLOOKUP(F647,'Message Mapping'!A:L,12,FALSE)</f>
        <v/>
      </c>
      <c r="K647" s="8" t="n"/>
      <c r="L647" s="8" t="n"/>
      <c r="M647" s="8" t="n"/>
      <c r="N647" s="8" t="n"/>
      <c r="O647" s="8" t="n"/>
      <c r="P647" s="8" t="n"/>
    </row>
    <row r="648">
      <c r="A648" s="94" t="inlineStr">
        <is>
          <t>TEXT</t>
        </is>
      </c>
      <c r="B648" s="2" t="inlineStr">
        <is>
          <t>TRIP EXTERNO</t>
        </is>
      </c>
      <c r="C648" s="2" t="inlineStr">
        <is>
          <t>RelayTrip</t>
        </is>
      </c>
      <c r="D648" s="2" t="inlineStr">
        <is>
          <t>PROT</t>
        </is>
      </c>
      <c r="E648" s="2" t="inlineStr">
        <is>
          <t>Read</t>
        </is>
      </c>
      <c r="F648" s="2" t="inlineStr">
        <is>
          <t>null@null___NORMAL@ATUADO___RelayTrip_S_TS_SA</t>
        </is>
      </c>
      <c r="G648" s="2">
        <f>VLOOKUP(F648,'Message Mapping'!A:L,3,FALSE)</f>
        <v/>
      </c>
      <c r="H648" s="2">
        <f>VLOOKUP(F648,'Message Mapping'!A:L,4,FALSE)</f>
        <v/>
      </c>
      <c r="I648" s="2" t="n"/>
      <c r="J648" s="3">
        <f>VLOOKUP(F648,'Message Mapping'!A:L,12,FALSE)</f>
        <v/>
      </c>
      <c r="K648" s="3" t="n"/>
      <c r="L648" s="3" t="n"/>
      <c r="M648" s="3" t="n"/>
      <c r="N648" s="3" t="n"/>
      <c r="O648" s="3" t="n"/>
      <c r="P648" s="3" t="n"/>
    </row>
    <row r="649">
      <c r="A649" s="94" t="inlineStr">
        <is>
          <t>RXTR</t>
        </is>
      </c>
      <c r="B649" s="2" t="inlineStr">
        <is>
          <t>TRIP EXTERNO RECEBIDO</t>
        </is>
      </c>
      <c r="C649" s="2" t="inlineStr">
        <is>
          <t>Custom</t>
        </is>
      </c>
      <c r="D649" s="2" t="inlineStr">
        <is>
          <t>PROT</t>
        </is>
      </c>
      <c r="E649" s="2" t="inlineStr">
        <is>
          <t>Read</t>
        </is>
      </c>
      <c r="F649" s="2" t="inlineStr">
        <is>
          <t>null@null___NORMAL@RECEBIDO___Custom_S_TS_SA</t>
        </is>
      </c>
      <c r="G649" s="2">
        <f>VLOOKUP(F649,'Message Mapping'!A:L,3,FALSE)</f>
        <v/>
      </c>
      <c r="H649" s="2">
        <f>VLOOKUP(F649,'Message Mapping'!A:L,4,FALSE)</f>
        <v/>
      </c>
      <c r="I649" s="2" t="n"/>
      <c r="J649" s="3">
        <f>VLOOKUP(F649,'Message Mapping'!A:L,12,FALSE)</f>
        <v/>
      </c>
      <c r="K649" s="3" t="n"/>
      <c r="L649" s="3" t="n"/>
      <c r="M649" s="3" t="n"/>
      <c r="N649" s="3" t="n"/>
      <c r="O649" s="3" t="n"/>
      <c r="P649" s="3" t="n"/>
    </row>
    <row r="650">
      <c r="A650" s="94" t="inlineStr">
        <is>
          <t>TXTR</t>
        </is>
      </c>
      <c r="B650" s="2" t="inlineStr">
        <is>
          <t>TRIP EXTERNO TRANSMITIDO</t>
        </is>
      </c>
      <c r="C650" s="2" t="inlineStr">
        <is>
          <t>Custom</t>
        </is>
      </c>
      <c r="D650" s="2" t="inlineStr">
        <is>
          <t>PROT</t>
        </is>
      </c>
      <c r="E650" s="2" t="inlineStr">
        <is>
          <t>Read</t>
        </is>
      </c>
      <c r="F650" s="2" t="inlineStr">
        <is>
          <t>null@null___NORMAL@TRANSMITIDO___Custom_S_TS_SA</t>
        </is>
      </c>
      <c r="G650" s="2">
        <f>VLOOKUP(F650,'Message Mapping'!A:L,3,FALSE)</f>
        <v/>
      </c>
      <c r="H650" s="2">
        <f>VLOOKUP(F650,'Message Mapping'!A:L,4,FALSE)</f>
        <v/>
      </c>
      <c r="I650" s="2" t="n"/>
      <c r="J650" s="3">
        <f>VLOOKUP(F650,'Message Mapping'!A:L,12,FALSE)</f>
        <v/>
      </c>
      <c r="K650" s="3" t="n"/>
      <c r="L650" s="3" t="n"/>
      <c r="M650" s="3" t="n"/>
      <c r="N650" s="3" t="n"/>
      <c r="O650" s="3" t="n"/>
      <c r="P650" s="3" t="n"/>
    </row>
    <row r="651">
      <c r="A651" s="94" t="inlineStr">
        <is>
          <t>SOTF</t>
        </is>
      </c>
      <c r="B651" s="2" t="inlineStr">
        <is>
          <t>TRIP FECHAMENTO SOB FALTA</t>
        </is>
      </c>
      <c r="C651" s="2" t="inlineStr">
        <is>
          <t>RelayTrip</t>
        </is>
      </c>
      <c r="D651" s="2" t="inlineStr">
        <is>
          <t>PROT</t>
        </is>
      </c>
      <c r="E651" s="2" t="inlineStr">
        <is>
          <t>Read</t>
        </is>
      </c>
      <c r="F651" s="2" t="inlineStr">
        <is>
          <t>null@null___NORMAL@ATUADO___RelayTrip_S_TS_SA</t>
        </is>
      </c>
      <c r="G651" s="2">
        <f>VLOOKUP(F651,'Message Mapping'!A:L,3,FALSE)</f>
        <v/>
      </c>
      <c r="H651" s="2">
        <f>VLOOKUP(F651,'Message Mapping'!A:L,4,FALSE)</f>
        <v/>
      </c>
      <c r="I651" s="2" t="n"/>
      <c r="J651" s="3">
        <f>VLOOKUP(F651,'Message Mapping'!A:L,12,FALSE)</f>
        <v/>
      </c>
      <c r="K651" s="3" t="n"/>
      <c r="L651" s="3" t="n"/>
      <c r="M651" s="3" t="n"/>
      <c r="N651" s="3" t="n"/>
      <c r="O651" s="3" t="n"/>
      <c r="P651" s="3" t="n"/>
    </row>
    <row r="652">
      <c r="A652" s="94" t="inlineStr">
        <is>
          <t>TRAL</t>
        </is>
      </c>
      <c r="B652" s="2" t="inlineStr">
        <is>
          <t>TRIP PARA ALIMENTADORES</t>
        </is>
      </c>
      <c r="C652" s="2" t="inlineStr">
        <is>
          <t>Custom</t>
        </is>
      </c>
      <c r="D652" s="2" t="inlineStr">
        <is>
          <t>PROT</t>
        </is>
      </c>
      <c r="E652" s="2" t="inlineStr">
        <is>
          <t>Read</t>
        </is>
      </c>
      <c r="F652" s="2" t="inlineStr">
        <is>
          <t>null@null___NORMAL@ATUADO___Custom_S_TS_SA</t>
        </is>
      </c>
      <c r="G652" s="2">
        <f>VLOOKUP(F652,'Message Mapping'!A:L,3,FALSE)</f>
        <v/>
      </c>
      <c r="H652" s="2">
        <f>VLOOKUP(F652,'Message Mapping'!A:L,4,FALSE)</f>
        <v/>
      </c>
      <c r="I652" s="2" t="n"/>
      <c r="J652" s="3">
        <f>VLOOKUP(F652,'Message Mapping'!A:L,12,FALSE)</f>
        <v/>
      </c>
      <c r="K652" s="3" t="n"/>
      <c r="L652" s="3" t="n"/>
      <c r="M652" s="3" t="n"/>
      <c r="N652" s="3" t="n"/>
      <c r="O652" s="3" t="n"/>
      <c r="P652" s="3" t="n"/>
    </row>
    <row r="653">
      <c r="A653" s="94" t="inlineStr">
        <is>
          <t>TPIN</t>
        </is>
      </c>
      <c r="B653" s="2" t="inlineStr">
        <is>
          <t>TRANSFERENCIA DE PROTECAO</t>
        </is>
      </c>
      <c r="C653" s="2" t="inlineStr">
        <is>
          <t>Custom</t>
        </is>
      </c>
      <c r="D653" s="2" t="inlineStr">
        <is>
          <t>PROT</t>
        </is>
      </c>
      <c r="E653" s="2" t="inlineStr">
        <is>
          <t>Read</t>
        </is>
      </c>
      <c r="F653" s="2" t="inlineStr">
        <is>
          <t>null@null___COMPLETA@INCOMPLETA___Custom_S_TS_SA</t>
        </is>
      </c>
      <c r="G653" s="2">
        <f>VLOOKUP(F653,'Message Mapping'!A:L,3,FALSE)</f>
        <v/>
      </c>
      <c r="H653" s="2">
        <f>VLOOKUP(F653,'Message Mapping'!A:L,4,FALSE)</f>
        <v/>
      </c>
      <c r="I653" s="2" t="n"/>
      <c r="J653" s="3">
        <f>VLOOKUP(F653,'Message Mapping'!A:L,12,FALSE)</f>
        <v/>
      </c>
      <c r="K653" s="3" t="n"/>
      <c r="L653" s="3" t="n"/>
      <c r="M653" s="3" t="n"/>
      <c r="N653" s="3" t="n"/>
      <c r="O653" s="3" t="n"/>
      <c r="P653" s="3" t="n"/>
    </row>
    <row r="654">
      <c r="A654" s="94" t="inlineStr">
        <is>
          <t>TRPR</t>
        </is>
      </c>
      <c r="B654" s="2" t="inlineStr">
        <is>
          <t>TRIP RECEBIDO</t>
        </is>
      </c>
      <c r="C654" s="2" t="inlineStr">
        <is>
          <t>Custom</t>
        </is>
      </c>
      <c r="D654" s="2" t="inlineStr">
        <is>
          <t>PROT</t>
        </is>
      </c>
      <c r="E654" s="2" t="inlineStr">
        <is>
          <t>Read</t>
        </is>
      </c>
      <c r="F654" s="2" t="inlineStr">
        <is>
          <t>null@null___NORMAL@RECEBIDO___Custom_S_TS_SA</t>
        </is>
      </c>
      <c r="G654" s="2">
        <f>VLOOKUP(F654,'Message Mapping'!A:L,3,FALSE)</f>
        <v/>
      </c>
      <c r="H654" s="2">
        <f>VLOOKUP(F654,'Message Mapping'!A:L,4,FALSE)</f>
        <v/>
      </c>
      <c r="I654" s="2" t="n"/>
      <c r="J654" s="3">
        <f>VLOOKUP(F654,'Message Mapping'!A:L,12,FALSE)</f>
        <v/>
      </c>
      <c r="K654" s="3" t="n"/>
      <c r="L654" s="3" t="n"/>
      <c r="M654" s="3" t="n"/>
      <c r="N654" s="3" t="n"/>
      <c r="O654" s="3" t="n"/>
      <c r="P654" s="3" t="n"/>
    </row>
    <row r="655">
      <c r="A655" s="94" t="inlineStr">
        <is>
          <t>SGFT</t>
        </is>
      </c>
      <c r="B655" s="2" t="inlineStr">
        <is>
          <t>TRIP SGF</t>
        </is>
      </c>
      <c r="C655" s="2" t="inlineStr">
        <is>
          <t>RelayTrip</t>
        </is>
      </c>
      <c r="D655" s="2" t="inlineStr">
        <is>
          <t>PROT</t>
        </is>
      </c>
      <c r="E655" s="2" t="inlineStr">
        <is>
          <t>Read</t>
        </is>
      </c>
      <c r="F655" s="2" t="inlineStr">
        <is>
          <t>null@null___NORMAL@ATUADO___RelayTrip_S_TS_SA</t>
        </is>
      </c>
      <c r="G655" s="2">
        <f>VLOOKUP(F655,'Message Mapping'!A:L,3,FALSE)</f>
        <v/>
      </c>
      <c r="H655" s="2">
        <f>VLOOKUP(F655,'Message Mapping'!A:L,4,FALSE)</f>
        <v/>
      </c>
      <c r="I655" s="2" t="n"/>
      <c r="J655" s="3">
        <f>VLOOKUP(F655,'Message Mapping'!A:L,12,FALSE)</f>
        <v/>
      </c>
      <c r="K655" s="3" t="n"/>
      <c r="L655" s="3" t="n"/>
      <c r="M655" s="3" t="n"/>
      <c r="N655" s="3" t="n"/>
      <c r="O655" s="3" t="n"/>
      <c r="P655" s="3" t="n"/>
    </row>
    <row r="656">
      <c r="A656" s="94" t="inlineStr">
        <is>
          <t>SGT2</t>
        </is>
      </c>
      <c r="B656" s="2" t="inlineStr">
        <is>
          <t>TRIP SGF E2</t>
        </is>
      </c>
      <c r="C656" s="2" t="inlineStr">
        <is>
          <t>RelayTrip</t>
        </is>
      </c>
      <c r="D656" s="2" t="inlineStr">
        <is>
          <t>PROT</t>
        </is>
      </c>
      <c r="E656" s="2" t="inlineStr">
        <is>
          <t>Read</t>
        </is>
      </c>
      <c r="F656" s="2" t="inlineStr">
        <is>
          <t>null@null___NORMAL@ATUADO___RelayTrip_S_TS_SA</t>
        </is>
      </c>
      <c r="G656" s="2">
        <f>VLOOKUP(F656,'Message Mapping'!A:L,3,FALSE)</f>
        <v/>
      </c>
      <c r="H656" s="2">
        <f>VLOOKUP(F656,'Message Mapping'!A:L,4,FALSE)</f>
        <v/>
      </c>
      <c r="I656" s="2" t="n"/>
      <c r="J656" s="3">
        <f>VLOOKUP(F656,'Message Mapping'!A:L,12,FALSE)</f>
        <v/>
      </c>
      <c r="K656" s="3" t="n"/>
      <c r="L656" s="3" t="n"/>
      <c r="M656" s="3" t="n"/>
      <c r="N656" s="3" t="n"/>
      <c r="O656" s="3" t="n"/>
      <c r="P656" s="3" t="n"/>
    </row>
    <row r="657">
      <c r="A657" s="94" t="inlineStr">
        <is>
          <t>TRPT</t>
        </is>
      </c>
      <c r="B657" s="2" t="inlineStr">
        <is>
          <t>TRIP TRANSMITIDO</t>
        </is>
      </c>
      <c r="C657" s="2" t="inlineStr">
        <is>
          <t>Custom</t>
        </is>
      </c>
      <c r="D657" s="2" t="inlineStr">
        <is>
          <t>PROT</t>
        </is>
      </c>
      <c r="E657" s="2" t="inlineStr">
        <is>
          <t>Read</t>
        </is>
      </c>
      <c r="F657" s="2" t="inlineStr">
        <is>
          <t>null@null___NORMAL@TRANSMITIDO___Custom_S_TS_SA</t>
        </is>
      </c>
      <c r="G657" s="2">
        <f>VLOOKUP(F657,'Message Mapping'!A:L,3,FALSE)</f>
        <v/>
      </c>
      <c r="H657" s="2">
        <f>VLOOKUP(F657,'Message Mapping'!A:L,4,FALSE)</f>
        <v/>
      </c>
      <c r="I657" s="2" t="n"/>
      <c r="J657" s="3">
        <f>VLOOKUP(F657,'Message Mapping'!A:L,12,FALSE)</f>
        <v/>
      </c>
      <c r="K657" s="3" t="n"/>
      <c r="L657" s="3" t="n"/>
      <c r="M657" s="3" t="n"/>
      <c r="N657" s="3" t="n"/>
      <c r="O657" s="3" t="n"/>
      <c r="P657" s="3" t="n"/>
    </row>
    <row r="658">
      <c r="A658" s="94" t="inlineStr">
        <is>
          <t>REFE</t>
        </is>
      </c>
      <c r="B658" s="2" t="inlineStr">
        <is>
          <t>VARIAÇÃO DA TENSAO DE REFERÊNCIA POR MVA</t>
        </is>
      </c>
      <c r="C658" s="2" t="inlineStr">
        <is>
          <t>Custom</t>
        </is>
      </c>
      <c r="D658" s="2" t="inlineStr">
        <is>
          <t>FUNCÕES/43/PARALELISMO</t>
        </is>
      </c>
      <c r="E658" s="2" t="inlineStr">
        <is>
          <t>ReadWrite</t>
        </is>
      </c>
      <c r="F658" s="2" t="inlineStr">
        <is>
          <t>INCLUIR@EXCLUIR___INCLUIDO@EXCLUIDO___Custom_S_TC_SS</t>
        </is>
      </c>
      <c r="G658" s="2">
        <f>VLOOKUP(F658,'Message Mapping'!A:L,3,FALSE)</f>
        <v/>
      </c>
      <c r="H658" s="2">
        <f>VLOOKUP(F658,'Message Mapping'!A:L,4,FALSE)</f>
        <v/>
      </c>
      <c r="I658" s="2" t="n"/>
      <c r="J658" s="3">
        <f>VLOOKUP(F658,'Message Mapping'!A:L,12,FALSE)</f>
        <v/>
      </c>
      <c r="K658" s="3" t="n"/>
      <c r="L658" s="3" t="n"/>
      <c r="M658" s="3" t="n"/>
      <c r="N658" s="3" t="n"/>
      <c r="O658" s="3" t="n"/>
      <c r="P658" s="3" t="n"/>
    </row>
    <row r="659">
      <c r="A659" s="94" t="inlineStr">
        <is>
          <t>CAAL</t>
        </is>
      </c>
      <c r="B659" s="2" t="inlineStr">
        <is>
          <t>VCA ALARME</t>
        </is>
      </c>
      <c r="C659" s="2" t="inlineStr">
        <is>
          <t>Custom</t>
        </is>
      </c>
      <c r="D659" s="2" t="inlineStr">
        <is>
          <t>FALHAS FCOM/VCA/VCC</t>
        </is>
      </c>
      <c r="E659" s="2" t="inlineStr">
        <is>
          <t>Read</t>
        </is>
      </c>
      <c r="F659" s="2" t="inlineStr">
        <is>
          <t>null@null___NORMAL@ATUADO___Custom_S_TS_SB</t>
        </is>
      </c>
      <c r="G659" s="2">
        <f>VLOOKUP(F659,'Message Mapping'!A:L,3,FALSE)</f>
        <v/>
      </c>
      <c r="H659" s="2">
        <f>VLOOKUP(F659,'Message Mapping'!A:L,4,FALSE)</f>
        <v/>
      </c>
      <c r="I659" s="2" t="n"/>
      <c r="J659" s="3">
        <f>VLOOKUP(F659,'Message Mapping'!A:L,12,FALSE)</f>
        <v/>
      </c>
      <c r="K659" s="3" t="n"/>
      <c r="L659" s="3" t="n"/>
      <c r="M659" s="3" t="n"/>
      <c r="N659" s="3" t="n"/>
      <c r="O659" s="3" t="n"/>
      <c r="P659" s="3" t="n"/>
    </row>
    <row r="660">
      <c r="A660" s="94" t="inlineStr">
        <is>
          <t>CAAQ</t>
        </is>
      </c>
      <c r="B660" s="2" t="inlineStr">
        <is>
          <t>VCA AQUECIMENTO</t>
        </is>
      </c>
      <c r="C660" s="2" t="inlineStr">
        <is>
          <t>Custom</t>
        </is>
      </c>
      <c r="D660" s="2" t="inlineStr">
        <is>
          <t>FALHAS FCOM/VCA/VCC</t>
        </is>
      </c>
      <c r="E660" s="2" t="inlineStr">
        <is>
          <t>Read</t>
        </is>
      </c>
      <c r="F660" s="2" t="inlineStr">
        <is>
          <t>null@null___NORMAL@ATUADO___Custom_S_TS_SB</t>
        </is>
      </c>
      <c r="G660" s="2">
        <f>VLOOKUP(F660,'Message Mapping'!A:L,3,FALSE)</f>
        <v/>
      </c>
      <c r="H660" s="2">
        <f>VLOOKUP(F660,'Message Mapping'!A:L,4,FALSE)</f>
        <v/>
      </c>
      <c r="I660" s="2" t="n"/>
      <c r="J660" s="3">
        <f>VLOOKUP(F660,'Message Mapping'!A:L,12,FALSE)</f>
        <v/>
      </c>
      <c r="K660" s="3" t="n"/>
      <c r="L660" s="3" t="n"/>
      <c r="M660" s="3" t="n"/>
      <c r="N660" s="3" t="n"/>
      <c r="O660" s="3" t="n"/>
      <c r="P660" s="3" t="n"/>
    </row>
    <row r="661">
      <c r="A661" s="94" t="inlineStr">
        <is>
          <t>CAFI</t>
        </is>
      </c>
      <c r="B661" s="2" t="inlineStr">
        <is>
          <t>VCA MOTOR DO FILTRO DO OLEO</t>
        </is>
      </c>
      <c r="C661" s="2" t="inlineStr">
        <is>
          <t>Custom</t>
        </is>
      </c>
      <c r="D661" s="2" t="inlineStr">
        <is>
          <t>FALHAS FCOM/VCA/VCC</t>
        </is>
      </c>
      <c r="E661" s="2" t="inlineStr">
        <is>
          <t>Read</t>
        </is>
      </c>
      <c r="F661" s="2" t="inlineStr">
        <is>
          <t>null@null___NORMAL@ATUADO___Custom_S_TS_SB</t>
        </is>
      </c>
      <c r="G661" s="2">
        <f>VLOOKUP(F661,'Message Mapping'!A:L,3,FALSE)</f>
        <v/>
      </c>
      <c r="H661" s="2">
        <f>VLOOKUP(F661,'Message Mapping'!A:L,4,FALSE)</f>
        <v/>
      </c>
      <c r="I661" s="2" t="n"/>
      <c r="J661" s="3">
        <f>VLOOKUP(F661,'Message Mapping'!A:L,12,FALSE)</f>
        <v/>
      </c>
      <c r="K661" s="3" t="n"/>
      <c r="L661" s="3" t="n"/>
      <c r="M661" s="3" t="n"/>
      <c r="N661" s="3" t="n"/>
      <c r="O661" s="3" t="n"/>
      <c r="P661" s="3" t="n"/>
    </row>
    <row r="662">
      <c r="A662" s="94" t="inlineStr">
        <is>
          <t>CASA</t>
        </is>
      </c>
      <c r="B662" s="2" t="inlineStr">
        <is>
          <t>VCA SERVICO AUXILIAR</t>
        </is>
      </c>
      <c r="C662" s="2" t="inlineStr">
        <is>
          <t>Custom</t>
        </is>
      </c>
      <c r="D662" s="2" t="inlineStr">
        <is>
          <t>FALHAS FCOM/VCA/VCC</t>
        </is>
      </c>
      <c r="E662" s="2" t="inlineStr">
        <is>
          <t>Read</t>
        </is>
      </c>
      <c r="F662" s="2" t="inlineStr">
        <is>
          <t>null@null___NORMAL@ATUADO___Custom_S_TS_SB</t>
        </is>
      </c>
      <c r="G662" s="2">
        <f>VLOOKUP(F662,'Message Mapping'!A:L,3,FALSE)</f>
        <v/>
      </c>
      <c r="H662" s="2">
        <f>VLOOKUP(F662,'Message Mapping'!A:L,4,FALSE)</f>
        <v/>
      </c>
      <c r="I662" s="2" t="n"/>
      <c r="J662" s="3">
        <f>VLOOKUP(F662,'Message Mapping'!A:L,12,FALSE)</f>
        <v/>
      </c>
      <c r="K662" s="3" t="n"/>
      <c r="L662" s="3" t="n"/>
      <c r="M662" s="3" t="n"/>
      <c r="N662" s="3" t="n"/>
      <c r="O662" s="3" t="n"/>
      <c r="P662" s="3" t="n"/>
    </row>
    <row r="663">
      <c r="A663" s="94" t="inlineStr">
        <is>
          <t>CCAL</t>
        </is>
      </c>
      <c r="B663" s="2" t="inlineStr">
        <is>
          <t>VCC ALARME</t>
        </is>
      </c>
      <c r="C663" s="2" t="inlineStr">
        <is>
          <t>Custom</t>
        </is>
      </c>
      <c r="D663" s="2" t="inlineStr">
        <is>
          <t>FALHAS FCOM/VCA/VCC</t>
        </is>
      </c>
      <c r="E663" s="2" t="inlineStr">
        <is>
          <t>Read</t>
        </is>
      </c>
      <c r="F663" s="2" t="inlineStr">
        <is>
          <t>null@null___NORMAL@ATUADO___Custom_S_TS_SB</t>
        </is>
      </c>
      <c r="G663" s="2">
        <f>VLOOKUP(F663,'Message Mapping'!A:L,3,FALSE)</f>
        <v/>
      </c>
      <c r="H663" s="2">
        <f>VLOOKUP(F663,'Message Mapping'!A:L,4,FALSE)</f>
        <v/>
      </c>
      <c r="I663" s="2" t="n"/>
      <c r="J663" s="3">
        <f>VLOOKUP(F663,'Message Mapping'!A:L,12,FALSE)</f>
        <v/>
      </c>
      <c r="K663" s="3" t="n"/>
      <c r="L663" s="3" t="n"/>
      <c r="M663" s="3" t="n"/>
      <c r="N663" s="3" t="n"/>
      <c r="O663" s="3" t="n"/>
      <c r="P663" s="3" t="n"/>
    </row>
    <row r="664">
      <c r="A664" s="94" t="inlineStr">
        <is>
          <t>CCHI</t>
        </is>
      </c>
      <c r="B664" s="2" t="inlineStr">
        <is>
          <t>VCC ALTA</t>
        </is>
      </c>
      <c r="C664" s="2" t="inlineStr">
        <is>
          <t>Custom</t>
        </is>
      </c>
      <c r="D664" s="2" t="inlineStr">
        <is>
          <t>FALHAS FCOM/VCA/VCC</t>
        </is>
      </c>
      <c r="E664" s="2" t="inlineStr">
        <is>
          <t>Read</t>
        </is>
      </c>
      <c r="F664" s="2" t="inlineStr">
        <is>
          <t>null@null___NORMAL@ATUADO___Custom_S_TS_SB</t>
        </is>
      </c>
      <c r="G664" s="2">
        <f>VLOOKUP(F664,'Message Mapping'!A:L,3,FALSE)</f>
        <v/>
      </c>
      <c r="H664" s="2">
        <f>VLOOKUP(F664,'Message Mapping'!A:L,4,FALSE)</f>
        <v/>
      </c>
      <c r="I664" s="2" t="n"/>
      <c r="J664" s="3">
        <f>VLOOKUP(F664,'Message Mapping'!A:L,12,FALSE)</f>
        <v/>
      </c>
      <c r="K664" s="3" t="n"/>
      <c r="L664" s="3" t="n"/>
      <c r="M664" s="3" t="n"/>
      <c r="N664" s="3" t="n"/>
      <c r="O664" s="3" t="n"/>
      <c r="P664" s="3" t="n"/>
    </row>
    <row r="665">
      <c r="A665" s="94" t="inlineStr">
        <is>
          <t>CCLO</t>
        </is>
      </c>
      <c r="B665" s="2" t="inlineStr">
        <is>
          <t>VCC BAIXA</t>
        </is>
      </c>
      <c r="C665" s="2" t="inlineStr">
        <is>
          <t>Custom</t>
        </is>
      </c>
      <c r="D665" s="2" t="inlineStr">
        <is>
          <t>FALHAS FCOM/VCA/VCC</t>
        </is>
      </c>
      <c r="E665" s="2" t="inlineStr">
        <is>
          <t>Read</t>
        </is>
      </c>
      <c r="F665" s="2" t="inlineStr">
        <is>
          <t>null@null___NORMAL@ATUADO___Custom_S_TS_SB</t>
        </is>
      </c>
      <c r="G665" s="2">
        <f>VLOOKUP(F665,'Message Mapping'!A:L,3,FALSE)</f>
        <v/>
      </c>
      <c r="H665" s="2">
        <f>VLOOKUP(F665,'Message Mapping'!A:L,4,FALSE)</f>
        <v/>
      </c>
      <c r="I665" s="2" t="n"/>
      <c r="J665" s="3">
        <f>VLOOKUP(F665,'Message Mapping'!A:L,12,FALSE)</f>
        <v/>
      </c>
      <c r="K665" s="3" t="n"/>
      <c r="L665" s="3" t="n"/>
      <c r="M665" s="3" t="n"/>
      <c r="N665" s="3" t="n"/>
      <c r="O665" s="3" t="n"/>
      <c r="P665" s="3" t="n"/>
    </row>
    <row r="666">
      <c r="A666" s="94" t="inlineStr">
        <is>
          <t>LDF</t>
        </is>
      </c>
      <c r="B666" s="2" t="inlineStr">
        <is>
          <t>LOCALIZADOR DE FALTA</t>
        </is>
      </c>
      <c r="C666" s="2" t="inlineStr">
        <is>
          <t>RelayTrip</t>
        </is>
      </c>
      <c r="D666" s="2" t="inlineStr">
        <is>
          <t>PROT</t>
        </is>
      </c>
      <c r="E666" s="2" t="inlineStr">
        <is>
          <t>Read</t>
        </is>
      </c>
      <c r="F666" s="2" t="inlineStr">
        <is>
          <t>null@null___NORMAL@ATUADO___RelayTrip_S_TS_SA</t>
        </is>
      </c>
      <c r="G666" s="2">
        <f>VLOOKUP(F666,'Message Mapping'!A:L,3,FALSE)</f>
        <v/>
      </c>
      <c r="H666" s="2">
        <f>VLOOKUP(F666,'Message Mapping'!A:L,4,FALSE)</f>
        <v/>
      </c>
      <c r="I666" s="2" t="n"/>
      <c r="J666" s="3">
        <f>VLOOKUP(F666,'Message Mapping'!A:L,12,FALSE)</f>
        <v/>
      </c>
      <c r="K666" s="3" t="n"/>
      <c r="L666" s="3" t="n"/>
      <c r="M666" s="3" t="n"/>
      <c r="N666" s="3" t="n"/>
      <c r="O666" s="3" t="n"/>
      <c r="P666" s="3" t="n"/>
    </row>
    <row r="667">
      <c r="A667" s="94" t="inlineStr">
        <is>
          <t>POTT</t>
        </is>
      </c>
      <c r="B667" s="2" t="inlineStr">
        <is>
          <t>TRIP POR TELEPROTECAO</t>
        </is>
      </c>
      <c r="C667" s="2" t="inlineStr">
        <is>
          <t>Custom</t>
        </is>
      </c>
      <c r="D667" s="2" t="inlineStr">
        <is>
          <t>PROT</t>
        </is>
      </c>
      <c r="E667" s="2" t="inlineStr">
        <is>
          <t>Read</t>
        </is>
      </c>
      <c r="F667" s="2" t="inlineStr">
        <is>
          <t>null@null___NORMAL@ATUADO___Custom_S_TS_SA</t>
        </is>
      </c>
      <c r="G667" s="2">
        <f>VLOOKUP(F667,'Message Mapping'!A:L,3,FALSE)</f>
        <v/>
      </c>
      <c r="H667" s="2">
        <f>VLOOKUP(F667,'Message Mapping'!A:L,4,FALSE)</f>
        <v/>
      </c>
      <c r="I667" s="2" t="n"/>
      <c r="J667" s="3">
        <f>VLOOKUP(F667,'Message Mapping'!A:L,12,FALSE)</f>
        <v/>
      </c>
      <c r="K667" s="3" t="n"/>
      <c r="L667" s="3" t="n"/>
      <c r="M667" s="3" t="n"/>
      <c r="N667" s="3" t="n"/>
      <c r="O667" s="3" t="n"/>
      <c r="P667" s="3" t="n"/>
    </row>
    <row r="668">
      <c r="A668" s="94" t="inlineStr">
        <is>
          <t>FLAR</t>
        </is>
      </c>
      <c r="B668" s="2" t="inlineStr">
        <is>
          <t>FALHA FLUXO AR</t>
        </is>
      </c>
      <c r="C668" s="2" t="inlineStr">
        <is>
          <t>Custom</t>
        </is>
      </c>
      <c r="D668" s="2" t="inlineStr">
        <is>
          <t>DEFEITOS</t>
        </is>
      </c>
      <c r="E668" s="2" t="inlineStr">
        <is>
          <t>Read</t>
        </is>
      </c>
      <c r="F668" s="2" t="inlineStr">
        <is>
          <t>null@null___NORMAL@FALHA___Custom_S_TS_SI</t>
        </is>
      </c>
      <c r="G668" s="2">
        <f>VLOOKUP(F668,'Message Mapping'!A:L,3,FALSE)</f>
        <v/>
      </c>
      <c r="H668" s="2">
        <f>VLOOKUP(F668,'Message Mapping'!A:L,4,FALSE)</f>
        <v/>
      </c>
      <c r="I668" s="2" t="n"/>
      <c r="J668" s="3">
        <f>VLOOKUP(F668,'Message Mapping'!A:L,12,FALSE)</f>
        <v/>
      </c>
      <c r="K668" s="3" t="n"/>
      <c r="L668" s="3" t="n"/>
      <c r="M668" s="3" t="n"/>
      <c r="N668" s="3" t="n"/>
      <c r="O668" s="3" t="n"/>
      <c r="P668" s="3" t="n"/>
    </row>
    <row r="669">
      <c r="A669" s="94" t="inlineStr">
        <is>
          <t>BOMB</t>
        </is>
      </c>
      <c r="B669" s="2" t="inlineStr">
        <is>
          <t>ESTADO BOMBA OLEO</t>
        </is>
      </c>
      <c r="C669" s="2" t="inlineStr">
        <is>
          <t>Custom</t>
        </is>
      </c>
      <c r="D669" s="5" t="inlineStr">
        <is>
          <t>FALHAS FCOM/VCA/VCC</t>
        </is>
      </c>
      <c r="E669" s="2" t="inlineStr">
        <is>
          <t>Read</t>
        </is>
      </c>
      <c r="F669" s="2" t="inlineStr">
        <is>
          <t>DESLIGAR@LIGAR___DESLIGADO@LIGADO___Custom_S_TS_SB</t>
        </is>
      </c>
      <c r="G669" s="2">
        <f>VLOOKUP(F669,'Message Mapping'!A:L,3,FALSE)</f>
        <v/>
      </c>
      <c r="H669" s="2">
        <f>VLOOKUP(F669,'Message Mapping'!A:L,4,FALSE)</f>
        <v/>
      </c>
      <c r="I669" s="2" t="n"/>
      <c r="J669" s="3">
        <f>VLOOKUP(F669,'Message Mapping'!A:L,12,FALSE)</f>
        <v/>
      </c>
      <c r="K669" s="3" t="n"/>
      <c r="L669" s="3" t="n"/>
      <c r="M669" s="3" t="n"/>
      <c r="N669" s="3" t="n"/>
      <c r="O669" s="3" t="n"/>
      <c r="P669" s="3" t="n"/>
    </row>
    <row r="670">
      <c r="A670" s="94" t="inlineStr">
        <is>
          <t>VF</t>
        </is>
      </c>
      <c r="B670" s="2" t="inlineStr">
        <is>
          <t>VENTILACAO FORCADA</t>
        </is>
      </c>
      <c r="C670" s="2" t="inlineStr">
        <is>
          <t>Custom</t>
        </is>
      </c>
      <c r="D670" s="2" t="inlineStr">
        <is>
          <t>ALARMES PREDIAIS/VF/GRUPO</t>
        </is>
      </c>
      <c r="E670" s="2" t="inlineStr">
        <is>
          <t>Read</t>
        </is>
      </c>
      <c r="F670" s="2" t="inlineStr">
        <is>
          <t>DESLIGAR@LIGAR___DESLIGADO@LIGADO___Custom_S_TS_SV</t>
        </is>
      </c>
      <c r="G670" s="2">
        <f>VLOOKUP(F670,'Message Mapping'!A:L,3,FALSE)</f>
        <v/>
      </c>
      <c r="H670" s="2">
        <f>VLOOKUP(F670,'Message Mapping'!A:L,4,FALSE)</f>
        <v/>
      </c>
      <c r="I670" s="2" t="n"/>
      <c r="J670" s="3">
        <f>VLOOKUP(F670,'Message Mapping'!A:L,12,FALSE)</f>
        <v/>
      </c>
      <c r="K670" s="3" t="n"/>
      <c r="L670" s="3" t="n"/>
      <c r="M670" s="3" t="n"/>
      <c r="N670" s="3" t="n"/>
      <c r="O670" s="3" t="n"/>
      <c r="P670" s="3" t="n"/>
    </row>
    <row r="671">
      <c r="A671" s="94" t="inlineStr">
        <is>
          <t>VF</t>
        </is>
      </c>
      <c r="B671" s="2" t="inlineStr">
        <is>
          <t>VENTILACAO FORCADA</t>
        </is>
      </c>
      <c r="C671" s="2" t="inlineStr">
        <is>
          <t>Custom</t>
        </is>
      </c>
      <c r="D671" s="2" t="inlineStr">
        <is>
          <t>ALARMES PREDIAIS/VF/GRUPO</t>
        </is>
      </c>
      <c r="E671" s="2" t="inlineStr">
        <is>
          <t>ReadWrite</t>
        </is>
      </c>
      <c r="F671" s="2" t="inlineStr">
        <is>
          <t>DESLIGAR@LIGAR___DESLIGADO@LIGADO___Custom_S_TC_SV</t>
        </is>
      </c>
      <c r="G671" s="2">
        <f>VLOOKUP(F671,'Message Mapping'!A:L,3,FALSE)</f>
        <v/>
      </c>
      <c r="H671" s="2">
        <f>VLOOKUP(F671,'Message Mapping'!A:L,4,FALSE)</f>
        <v/>
      </c>
      <c r="I671" s="2" t="n"/>
      <c r="J671" s="3">
        <f>VLOOKUP(F671,'Message Mapping'!A:L,12,FALSE)</f>
        <v/>
      </c>
      <c r="K671" s="3" t="n"/>
      <c r="L671" s="3" t="n"/>
      <c r="M671" s="3" t="n"/>
      <c r="N671" s="3" t="n"/>
      <c r="O671" s="3" t="n"/>
      <c r="P671" s="3" t="n"/>
    </row>
    <row r="672">
      <c r="A672" s="94" t="inlineStr">
        <is>
          <t>VF1</t>
        </is>
      </c>
      <c r="B672" s="2" t="inlineStr">
        <is>
          <t>VENTILACAO FORCADA 1</t>
        </is>
      </c>
      <c r="C672" s="2" t="inlineStr">
        <is>
          <t>Custom</t>
        </is>
      </c>
      <c r="D672" s="2" t="inlineStr">
        <is>
          <t>ALARMES PREDIAIS/VF/GRUPO</t>
        </is>
      </c>
      <c r="E672" s="2" t="inlineStr">
        <is>
          <t>Read</t>
        </is>
      </c>
      <c r="F672" s="2" t="inlineStr">
        <is>
          <t>DESLIGAR@LIGAR___DESLIGADO@LIGADO___Custom_S_TS_SV</t>
        </is>
      </c>
      <c r="G672" s="2">
        <f>VLOOKUP(F672,'Message Mapping'!A:L,3,FALSE)</f>
        <v/>
      </c>
      <c r="H672" s="2">
        <f>VLOOKUP(F672,'Message Mapping'!A:L,4,FALSE)</f>
        <v/>
      </c>
      <c r="I672" s="2" t="n"/>
      <c r="J672" s="3">
        <f>VLOOKUP(F672,'Message Mapping'!A:L,12,FALSE)</f>
        <v/>
      </c>
      <c r="K672" s="3" t="n"/>
      <c r="L672" s="3" t="n"/>
      <c r="M672" s="3" t="n"/>
      <c r="N672" s="3" t="n"/>
      <c r="O672" s="3" t="n"/>
      <c r="P672" s="3" t="n"/>
    </row>
    <row r="673">
      <c r="A673" s="94" t="inlineStr">
        <is>
          <t>VF1</t>
        </is>
      </c>
      <c r="B673" s="2" t="inlineStr">
        <is>
          <t>VENTILACAO FORCADA 1</t>
        </is>
      </c>
      <c r="C673" s="2" t="inlineStr">
        <is>
          <t>Custom</t>
        </is>
      </c>
      <c r="D673" s="2" t="inlineStr">
        <is>
          <t>ALARMES PREDIAIS/VF/GRUPO</t>
        </is>
      </c>
      <c r="E673" s="2" t="inlineStr">
        <is>
          <t>ReadWrite</t>
        </is>
      </c>
      <c r="F673" s="2" t="inlineStr">
        <is>
          <t>DESLIGAR@LIGAR___DESLIGADO@LIGADO___Custom_S_TC_SV</t>
        </is>
      </c>
      <c r="G673" s="2">
        <f>VLOOKUP(F673,'Message Mapping'!A:L,3,FALSE)</f>
        <v/>
      </c>
      <c r="H673" s="2">
        <f>VLOOKUP(F673,'Message Mapping'!A:L,4,FALSE)</f>
        <v/>
      </c>
      <c r="I673" s="2" t="n"/>
      <c r="J673" s="3">
        <f>VLOOKUP(F673,'Message Mapping'!A:L,12,FALSE)</f>
        <v/>
      </c>
      <c r="K673" s="3" t="n"/>
      <c r="L673" s="3" t="n"/>
      <c r="M673" s="3" t="n"/>
      <c r="N673" s="3" t="n"/>
      <c r="O673" s="3" t="n"/>
      <c r="P673" s="3" t="n"/>
    </row>
    <row r="674">
      <c r="A674" s="94" t="inlineStr">
        <is>
          <t>VF2</t>
        </is>
      </c>
      <c r="B674" s="2" t="inlineStr">
        <is>
          <t>VENTILACAO FORCADA 2</t>
        </is>
      </c>
      <c r="C674" s="2" t="inlineStr">
        <is>
          <t>Custom</t>
        </is>
      </c>
      <c r="D674" s="2" t="inlineStr">
        <is>
          <t>ALARMES PREDIAIS/VF/GRUPO</t>
        </is>
      </c>
      <c r="E674" s="2" t="inlineStr">
        <is>
          <t>Read</t>
        </is>
      </c>
      <c r="F674" s="2" t="inlineStr">
        <is>
          <t>DESLIGAR@LIGAR___DESLIGADO@LIGADO___Custom_S_TS_SV</t>
        </is>
      </c>
      <c r="G674" s="2">
        <f>VLOOKUP(F674,'Message Mapping'!A:L,3,FALSE)</f>
        <v/>
      </c>
      <c r="H674" s="2">
        <f>VLOOKUP(F674,'Message Mapping'!A:L,4,FALSE)</f>
        <v/>
      </c>
      <c r="I674" s="2" t="n"/>
      <c r="J674" s="3">
        <f>VLOOKUP(F674,'Message Mapping'!A:L,12,FALSE)</f>
        <v/>
      </c>
      <c r="K674" s="3" t="n"/>
      <c r="L674" s="3" t="n"/>
      <c r="M674" s="3" t="n"/>
      <c r="N674" s="3" t="n"/>
      <c r="O674" s="3" t="n"/>
      <c r="P674" s="3" t="n"/>
    </row>
    <row r="675">
      <c r="A675" s="94" t="inlineStr">
        <is>
          <t>VF2</t>
        </is>
      </c>
      <c r="B675" s="2" t="inlineStr">
        <is>
          <t>VENTILACAO FORCADA 2</t>
        </is>
      </c>
      <c r="C675" s="2" t="inlineStr">
        <is>
          <t>Custom</t>
        </is>
      </c>
      <c r="D675" s="2" t="inlineStr">
        <is>
          <t>ALARMES PREDIAIS/VF/GRUPO</t>
        </is>
      </c>
      <c r="E675" s="2" t="inlineStr">
        <is>
          <t>ReadWrite</t>
        </is>
      </c>
      <c r="F675" s="2" t="inlineStr">
        <is>
          <t>DESLIGAR@LIGAR___DESLIGADO@LIGADO___Custom_S_TC_SV</t>
        </is>
      </c>
      <c r="G675" s="2">
        <f>VLOOKUP(F675,'Message Mapping'!A:L,3,FALSE)</f>
        <v/>
      </c>
      <c r="H675" s="2">
        <f>VLOOKUP(F675,'Message Mapping'!A:L,4,FALSE)</f>
        <v/>
      </c>
      <c r="I675" s="2" t="n"/>
      <c r="J675" s="3">
        <f>VLOOKUP(F675,'Message Mapping'!A:L,12,FALSE)</f>
        <v/>
      </c>
      <c r="K675" s="3" t="n"/>
      <c r="L675" s="3" t="n"/>
      <c r="M675" s="3" t="n"/>
      <c r="N675" s="3" t="n"/>
      <c r="O675" s="3" t="n"/>
      <c r="P675" s="3" t="n"/>
    </row>
    <row r="676">
      <c r="A676" s="94" t="inlineStr">
        <is>
          <t>VF3</t>
        </is>
      </c>
      <c r="B676" s="2" t="inlineStr">
        <is>
          <t>VENTILACAO FORCADA 3</t>
        </is>
      </c>
      <c r="C676" s="2" t="inlineStr">
        <is>
          <t>Custom</t>
        </is>
      </c>
      <c r="D676" s="2" t="inlineStr">
        <is>
          <t>ALARMES PREDIAIS/VF/GRUPO</t>
        </is>
      </c>
      <c r="E676" s="2" t="inlineStr">
        <is>
          <t>Read</t>
        </is>
      </c>
      <c r="F676" s="2" t="inlineStr">
        <is>
          <t>DESLIGAR@LIGAR___DESLIGADO@LIGADO___Custom_S_TS_SV</t>
        </is>
      </c>
      <c r="G676" s="2">
        <f>VLOOKUP(F676,'Message Mapping'!A:L,3,FALSE)</f>
        <v/>
      </c>
      <c r="H676" s="2">
        <f>VLOOKUP(F676,'Message Mapping'!A:L,4,FALSE)</f>
        <v/>
      </c>
      <c r="I676" s="2" t="n"/>
      <c r="J676" s="3">
        <f>VLOOKUP(F676,'Message Mapping'!A:L,12,FALSE)</f>
        <v/>
      </c>
      <c r="K676" s="3" t="n"/>
      <c r="L676" s="3" t="n"/>
      <c r="M676" s="3" t="n"/>
      <c r="N676" s="3" t="n"/>
      <c r="O676" s="3" t="n"/>
      <c r="P676" s="3" t="n"/>
    </row>
    <row r="677">
      <c r="A677" s="94" t="inlineStr">
        <is>
          <t>VF3</t>
        </is>
      </c>
      <c r="B677" s="2" t="inlineStr">
        <is>
          <t>VENTILACAO FORCADA 3</t>
        </is>
      </c>
      <c r="C677" s="2" t="inlineStr">
        <is>
          <t>Custom</t>
        </is>
      </c>
      <c r="D677" s="2" t="inlineStr">
        <is>
          <t>ALARMES PREDIAIS/VF/GRUPO</t>
        </is>
      </c>
      <c r="E677" s="2" t="inlineStr">
        <is>
          <t>ReadWrite</t>
        </is>
      </c>
      <c r="F677" s="2" t="inlineStr">
        <is>
          <t>DESLIGAR@LIGAR___DESLIGADO@LIGADO___Custom_S_TC_SV</t>
        </is>
      </c>
      <c r="G677" s="2">
        <f>VLOOKUP(F677,'Message Mapping'!A:L,3,FALSE)</f>
        <v/>
      </c>
      <c r="H677" s="2">
        <f>VLOOKUP(F677,'Message Mapping'!A:L,4,FALSE)</f>
        <v/>
      </c>
      <c r="I677" s="2" t="n"/>
      <c r="J677" s="3">
        <f>VLOOKUP(F677,'Message Mapping'!A:L,12,FALSE)</f>
        <v/>
      </c>
      <c r="K677" s="3" t="n"/>
      <c r="L677" s="3" t="n"/>
      <c r="M677" s="3" t="n"/>
      <c r="N677" s="3" t="n"/>
      <c r="O677" s="3" t="n"/>
      <c r="P677" s="3" t="n"/>
    </row>
    <row r="678">
      <c r="A678" s="94" t="inlineStr">
        <is>
          <t>VF4</t>
        </is>
      </c>
      <c r="B678" s="2" t="inlineStr">
        <is>
          <t>VENTILACAO FORCADA 4</t>
        </is>
      </c>
      <c r="C678" s="2" t="inlineStr">
        <is>
          <t>Custom</t>
        </is>
      </c>
      <c r="D678" s="2" t="inlineStr">
        <is>
          <t>ALARMES PREDIAIS/VF/GRUPO</t>
        </is>
      </c>
      <c r="E678" s="2" t="inlineStr">
        <is>
          <t>Read</t>
        </is>
      </c>
      <c r="F678" s="2" t="inlineStr">
        <is>
          <t>DESLIGAR@LIGAR___DESLIGADO@LIGADO___Custom_S_TS_SV</t>
        </is>
      </c>
      <c r="G678" s="2">
        <f>VLOOKUP(F678,'Message Mapping'!A:L,3,FALSE)</f>
        <v/>
      </c>
      <c r="H678" s="2">
        <f>VLOOKUP(F678,'Message Mapping'!A:L,4,FALSE)</f>
        <v/>
      </c>
      <c r="I678" s="2" t="n"/>
      <c r="J678" s="3">
        <f>VLOOKUP(F678,'Message Mapping'!A:L,12,FALSE)</f>
        <v/>
      </c>
      <c r="K678" s="3" t="n"/>
      <c r="L678" s="3" t="n"/>
      <c r="M678" s="3" t="n"/>
      <c r="N678" s="3" t="n"/>
      <c r="O678" s="3" t="n"/>
      <c r="P678" s="3" t="n"/>
    </row>
    <row r="679">
      <c r="A679" s="94" t="inlineStr">
        <is>
          <t>VF4</t>
        </is>
      </c>
      <c r="B679" s="2" t="inlineStr">
        <is>
          <t>VENTILACAO FORCADA 4</t>
        </is>
      </c>
      <c r="C679" s="2" t="inlineStr">
        <is>
          <t>Custom</t>
        </is>
      </c>
      <c r="D679" s="2" t="inlineStr">
        <is>
          <t>ALARMES PREDIAIS/VF/GRUPO</t>
        </is>
      </c>
      <c r="E679" s="2" t="inlineStr">
        <is>
          <t>ReadWrite</t>
        </is>
      </c>
      <c r="F679" s="2" t="inlineStr">
        <is>
          <t>DESLIGAR@LIGAR___DESLIGADO@LIGADO___Custom_S_TC_SV</t>
        </is>
      </c>
      <c r="G679" s="2">
        <f>VLOOKUP(F679,'Message Mapping'!A:L,3,FALSE)</f>
        <v/>
      </c>
      <c r="H679" s="2">
        <f>VLOOKUP(F679,'Message Mapping'!A:L,4,FALSE)</f>
        <v/>
      </c>
      <c r="I679" s="2" t="n"/>
      <c r="J679" s="3">
        <f>VLOOKUP(F679,'Message Mapping'!A:L,12,FALSE)</f>
        <v/>
      </c>
      <c r="K679" s="3" t="n"/>
      <c r="L679" s="3" t="n"/>
      <c r="M679" s="3" t="n"/>
      <c r="N679" s="3" t="n"/>
      <c r="O679" s="3" t="n"/>
      <c r="P679" s="3" t="n"/>
    </row>
    <row r="680" ht="25.5" customHeight="1">
      <c r="A680" s="94" t="inlineStr">
        <is>
          <t>VFAM</t>
        </is>
      </c>
      <c r="B680" s="2" t="inlineStr">
        <is>
          <t>VENTILACAO FORCADA AUTOMATICA MANUAL</t>
        </is>
      </c>
      <c r="C680" s="2" t="inlineStr">
        <is>
          <t>Custom</t>
        </is>
      </c>
      <c r="D680" s="2" t="inlineStr">
        <is>
          <t>ALARMES PREDIAIS/VF/GRUPO</t>
        </is>
      </c>
      <c r="E680" s="2" t="inlineStr">
        <is>
          <t>Read</t>
        </is>
      </c>
      <c r="F680" s="2" t="inlineStr">
        <is>
          <t>AUTOMATICO@MANUAL___AUTOMATICO@MANUAL___Custom___admsINV_S_TS_SV</t>
        </is>
      </c>
      <c r="G680" s="2">
        <f>VLOOKUP(F680,'Message Mapping'!A:L,3,FALSE)</f>
        <v/>
      </c>
      <c r="H680" s="2">
        <f>VLOOKUP(F680,'Message Mapping'!A:L,4,FALSE)</f>
        <v/>
      </c>
      <c r="I680" s="2" t="n"/>
      <c r="J680" s="3">
        <f>VLOOKUP(F680,'Message Mapping'!A:L,12,FALSE)</f>
        <v/>
      </c>
      <c r="K680" s="3" t="n"/>
      <c r="L680" s="3" t="n"/>
      <c r="M680" s="3" t="n"/>
      <c r="N680" s="3" t="n"/>
      <c r="O680" s="3" t="n"/>
      <c r="P680" s="3" t="n"/>
    </row>
    <row r="681">
      <c r="A681" s="94" t="inlineStr">
        <is>
          <t>VFAR</t>
        </is>
      </c>
      <c r="B681" s="2" t="inlineStr">
        <is>
          <t>VENTILACAO FORCADA AUTOMATICO REMOTO</t>
        </is>
      </c>
      <c r="C681" s="2" t="inlineStr">
        <is>
          <t>Custom</t>
        </is>
      </c>
      <c r="D681" s="2" t="inlineStr">
        <is>
          <t>ALARMES PREDIAIS/VF/GRUPO</t>
        </is>
      </c>
      <c r="E681" s="2" t="inlineStr">
        <is>
          <t>Read</t>
        </is>
      </c>
      <c r="F681" s="2" t="inlineStr">
        <is>
          <t>null@null___DESABILITADO@HABILITADO___Custom_S_TS_SV</t>
        </is>
      </c>
      <c r="G681" s="2">
        <f>VLOOKUP(F681,'Message Mapping'!A:L,3,FALSE)</f>
        <v/>
      </c>
      <c r="H681" s="2">
        <f>VLOOKUP(F681,'Message Mapping'!A:L,4,FALSE)</f>
        <v/>
      </c>
      <c r="I681" s="2" t="n"/>
      <c r="J681" s="3">
        <f>VLOOKUP(F681,'Message Mapping'!A:L,12,FALSE)</f>
        <v/>
      </c>
      <c r="K681" s="3" t="n"/>
      <c r="L681" s="3" t="n"/>
      <c r="M681" s="3" t="n"/>
      <c r="N681" s="3" t="n"/>
      <c r="O681" s="3" t="n"/>
      <c r="P681" s="3" t="n"/>
    </row>
    <row r="682">
      <c r="A682" s="95" t="inlineStr">
        <is>
          <t>FCRT</t>
        </is>
      </c>
      <c r="B682" s="2" t="inlineStr">
        <is>
          <t>FALHA COMUNICACAO RELE REGULADOR DE TENSAO</t>
        </is>
      </c>
      <c r="C682" s="2" t="inlineStr">
        <is>
          <t>Custom</t>
        </is>
      </c>
      <c r="D682" s="2" t="inlineStr">
        <is>
          <t>FALHAS FCOM/VCA/VCC</t>
        </is>
      </c>
      <c r="E682" s="2" t="inlineStr">
        <is>
          <t>Read</t>
        </is>
      </c>
      <c r="F682" s="2" t="inlineStr">
        <is>
          <t>null@null___NORMAL@FALHA___Custom_S_TS_SB</t>
        </is>
      </c>
      <c r="G682" s="2">
        <f>VLOOKUP(F682,'Message Mapping'!A:L,3,FALSE)</f>
        <v/>
      </c>
      <c r="H682" s="2">
        <f>VLOOKUP(F682,'Message Mapping'!A:L,4,FALSE)</f>
        <v/>
      </c>
      <c r="I682" s="2" t="n"/>
      <c r="J682" s="3">
        <f>VLOOKUP(F682,'Message Mapping'!A:L,12,FALSE)</f>
        <v/>
      </c>
      <c r="K682" s="3" t="n"/>
      <c r="L682" s="3" t="n"/>
      <c r="M682" s="3" t="n"/>
      <c r="N682" s="3" t="n"/>
      <c r="O682" s="3" t="n"/>
      <c r="P682" s="3" t="n"/>
    </row>
    <row r="683">
      <c r="A683" s="94" t="inlineStr">
        <is>
          <t>FLNR</t>
        </is>
      </c>
      <c r="B683" s="2" t="inlineStr">
        <is>
          <t>FALHA NEUTRO RESSONANTE</t>
        </is>
      </c>
      <c r="C683" s="2" t="inlineStr">
        <is>
          <t>Custom</t>
        </is>
      </c>
      <c r="D683" s="2" t="inlineStr">
        <is>
          <t>FALHAS FCOM/VCA/VCC</t>
        </is>
      </c>
      <c r="E683" s="2" t="inlineStr">
        <is>
          <t>Read</t>
        </is>
      </c>
      <c r="F683" s="2" t="inlineStr">
        <is>
          <t>null@null___NORMAL@FALHA___Custom_S_TS_SB</t>
        </is>
      </c>
      <c r="G683" s="2">
        <f>VLOOKUP(F683,'Message Mapping'!A:L,3,FALSE)</f>
        <v/>
      </c>
      <c r="H683" s="2">
        <f>VLOOKUP(F683,'Message Mapping'!A:L,4,FALSE)</f>
        <v/>
      </c>
      <c r="I683" s="2" t="n"/>
      <c r="J683" s="3">
        <f>VLOOKUP(F683,'Message Mapping'!A:L,12,FALSE)</f>
        <v/>
      </c>
      <c r="K683" s="3" t="n"/>
      <c r="L683" s="3" t="n"/>
      <c r="M683" s="3" t="n"/>
      <c r="N683" s="3" t="n"/>
      <c r="O683" s="3" t="n"/>
      <c r="P683" s="3" t="n"/>
    </row>
    <row r="684">
      <c r="A684" s="94" t="inlineStr">
        <is>
          <t>MNAT</t>
        </is>
      </c>
      <c r="B684" s="2" t="inlineStr">
        <is>
          <t>OPERACAO DO NEUTRO RESSONANTE</t>
        </is>
      </c>
      <c r="C684" s="2" t="inlineStr">
        <is>
          <t>Custom</t>
        </is>
      </c>
      <c r="D684" s="2" t="inlineStr">
        <is>
          <t>FUNCÕES/43/PARALELISMO</t>
        </is>
      </c>
      <c r="E684" s="2" t="inlineStr">
        <is>
          <t>ReadWrite</t>
        </is>
      </c>
      <c r="F684" s="2" t="inlineStr">
        <is>
          <t>MANUAL@AUTOMATICO___MANUAL@AUTOMATICO___Custom_S_TC_SS</t>
        </is>
      </c>
      <c r="G684" s="2">
        <f>VLOOKUP(F684,'Message Mapping'!A:L,3,FALSE)</f>
        <v/>
      </c>
      <c r="H684" s="2">
        <f>VLOOKUP(F684,'Message Mapping'!A:L,4,FALSE)</f>
        <v/>
      </c>
      <c r="I684" s="2" t="n"/>
      <c r="J684" s="3">
        <f>VLOOKUP(F684,'Message Mapping'!A:L,12,FALSE)</f>
        <v/>
      </c>
      <c r="K684" s="3" t="n"/>
      <c r="L684" s="3" t="n"/>
      <c r="M684" s="3" t="n"/>
      <c r="N684" s="3" t="n"/>
      <c r="O684" s="3" t="n"/>
      <c r="P684" s="3" t="n"/>
    </row>
    <row r="685">
      <c r="A685" s="94" t="inlineStr">
        <is>
          <t>MOD</t>
        </is>
      </c>
      <c r="B685" s="2" t="inlineStr">
        <is>
          <t>MODO DE OPERAÇÃO</t>
        </is>
      </c>
      <c r="C685" s="2" t="inlineStr">
        <is>
          <t>Custom</t>
        </is>
      </c>
      <c r="D685" s="2" t="inlineStr">
        <is>
          <t>ALARMES PREDIAIS/VF/GRUPO</t>
        </is>
      </c>
      <c r="E685" s="2" t="inlineStr">
        <is>
          <t>ReadWrite</t>
        </is>
      </c>
      <c r="F685" s="2" t="inlineStr">
        <is>
          <t>RELIGADOR@CHAVE___RELIGADOR@CHAVE___Custom___S_TC_SS</t>
        </is>
      </c>
      <c r="G685" s="2">
        <f>VLOOKUP(F685,'Message Mapping'!A:L,3,FALSE)</f>
        <v/>
      </c>
      <c r="H685" s="2">
        <f>VLOOKUP(F685,'Message Mapping'!A:L,4,FALSE)</f>
        <v/>
      </c>
      <c r="I685" s="2" t="n"/>
      <c r="J685" s="3">
        <f>VLOOKUP(F685,'Message Mapping'!A:L,12,FALSE)</f>
        <v/>
      </c>
      <c r="K685" s="3" t="n"/>
      <c r="L685" s="3" t="n"/>
      <c r="M685" s="3" t="n"/>
      <c r="N685" s="3" t="n"/>
      <c r="O685" s="3" t="n"/>
      <c r="P685" s="3" t="n"/>
    </row>
    <row r="686">
      <c r="A686" s="94" t="inlineStr">
        <is>
          <t>LIGAR</t>
        </is>
      </c>
      <c r="B686" s="2" t="inlineStr">
        <is>
          <t>COMANDO LIGAR</t>
        </is>
      </c>
      <c r="C686" s="2" t="inlineStr">
        <is>
          <t>Custom</t>
        </is>
      </c>
      <c r="D686" s="2" t="inlineStr">
        <is>
          <t>DJ</t>
        </is>
      </c>
      <c r="E686" s="2" t="inlineStr">
        <is>
          <t>Read</t>
        </is>
      </c>
      <c r="F686" s="2" t="inlineStr">
        <is>
          <t>null@LIGAR___null@LIGADO___SwitchStatus_S_TC_SE</t>
        </is>
      </c>
      <c r="G686" s="2">
        <f>VLOOKUP(F686,'Message Mapping'!A:L,3,FALSE)</f>
        <v/>
      </c>
      <c r="H686" s="2">
        <f>VLOOKUP(F686,'Message Mapping'!A:L,4,FALSE)</f>
        <v/>
      </c>
      <c r="I686" s="2" t="n"/>
      <c r="J686" s="3">
        <f>VLOOKUP(F686,'Message Mapping'!A:L,12,FALSE)</f>
        <v/>
      </c>
      <c r="K686" s="3" t="n"/>
      <c r="L686" s="3" t="n"/>
      <c r="M686" s="3" t="n"/>
      <c r="N686" s="3" t="n"/>
      <c r="O686" s="3" t="n"/>
      <c r="P686" s="3" t="n"/>
    </row>
    <row r="687">
      <c r="A687" s="94" t="inlineStr">
        <is>
          <t>DESLIGAR</t>
        </is>
      </c>
      <c r="B687" s="2" t="inlineStr">
        <is>
          <t>COMANDO DESLIGAR</t>
        </is>
      </c>
      <c r="C687" s="2" t="inlineStr">
        <is>
          <t>Custom</t>
        </is>
      </c>
      <c r="D687" s="2" t="inlineStr">
        <is>
          <t>DJ</t>
        </is>
      </c>
      <c r="E687" s="2" t="inlineStr">
        <is>
          <t>Read</t>
        </is>
      </c>
      <c r="F687" s="2" t="inlineStr">
        <is>
          <t>DESLIGAR@null___null@DESLIGADO___SwitchStatus_S_TC_SE</t>
        </is>
      </c>
      <c r="G687" s="2">
        <f>VLOOKUP(F687,'Message Mapping'!A:L,3,FALSE)</f>
        <v/>
      </c>
      <c r="H687" s="2">
        <f>VLOOKUP(F687,'Message Mapping'!A:L,4,FALSE)</f>
        <v/>
      </c>
      <c r="I687" s="2" t="n"/>
      <c r="J687" s="3">
        <f>VLOOKUP(F687,'Message Mapping'!A:L,12,FALSE)</f>
        <v/>
      </c>
      <c r="K687" s="3" t="n"/>
      <c r="L687" s="3" t="n"/>
      <c r="M687" s="3" t="n"/>
      <c r="N687" s="3" t="n"/>
      <c r="O687" s="3" t="n"/>
      <c r="P687" s="3" t="n"/>
    </row>
    <row r="688">
      <c r="A688" s="94" t="inlineStr">
        <is>
          <t>C13</t>
        </is>
      </c>
      <c r="B688" s="2" t="inlineStr">
        <is>
          <t>CHAVE SELETORA 13 KV</t>
        </is>
      </c>
      <c r="C688" s="2" t="inlineStr">
        <is>
          <t>Custom</t>
        </is>
      </c>
      <c r="D688" s="2" t="inlineStr">
        <is>
          <t>DJ</t>
        </is>
      </c>
      <c r="E688" s="2" t="inlineStr">
        <is>
          <t>Read</t>
        </is>
      </c>
      <c r="F688" s="2" t="inlineStr">
        <is>
          <t>DESLIGAR@null___null@DESLIGADO___SwitchStatus_S_TC_SE</t>
        </is>
      </c>
      <c r="G688" s="2">
        <f>VLOOKUP(F688,'Message Mapping'!A:L,3,FALSE)</f>
        <v/>
      </c>
      <c r="H688" s="2">
        <f>VLOOKUP(F688,'Message Mapping'!A:L,4,FALSE)</f>
        <v/>
      </c>
      <c r="I688" s="2" t="n"/>
      <c r="J688" s="3">
        <f>VLOOKUP(F688,'Message Mapping'!A:L,12,FALSE)</f>
        <v/>
      </c>
      <c r="K688" s="3" t="n"/>
      <c r="L688" s="3" t="n"/>
      <c r="M688" s="3" t="n"/>
      <c r="N688" s="3" t="n"/>
      <c r="O688" s="3" t="n"/>
      <c r="P688" s="3" t="n"/>
    </row>
    <row r="689">
      <c r="A689" s="94" t="inlineStr">
        <is>
          <t>C23</t>
        </is>
      </c>
      <c r="B689" s="2" t="inlineStr">
        <is>
          <t>CHAVE SELETORA 23 KV</t>
        </is>
      </c>
      <c r="C689" s="2" t="inlineStr">
        <is>
          <t>Custom</t>
        </is>
      </c>
      <c r="D689" s="2" t="inlineStr">
        <is>
          <t>DJ</t>
        </is>
      </c>
      <c r="E689" s="2" t="inlineStr">
        <is>
          <t>Read</t>
        </is>
      </c>
      <c r="F689" s="2" t="inlineStr">
        <is>
          <t>DESLIGAR@null___null@DESLIGADO___SwitchStatus_S_TC_SE</t>
        </is>
      </c>
      <c r="G689" s="2">
        <f>VLOOKUP(F689,'Message Mapping'!A:L,3,FALSE)</f>
        <v/>
      </c>
      <c r="H689" s="2">
        <f>VLOOKUP(F689,'Message Mapping'!A:L,4,FALSE)</f>
        <v/>
      </c>
      <c r="I689" s="2" t="n"/>
      <c r="J689" s="3">
        <f>VLOOKUP(F689,'Message Mapping'!A:L,12,FALSE)</f>
        <v/>
      </c>
      <c r="K689" s="3" t="n"/>
      <c r="L689" s="3" t="n"/>
      <c r="M689" s="3" t="n"/>
      <c r="N689" s="3" t="n"/>
      <c r="O689" s="3" t="n"/>
      <c r="P689" s="3" t="n"/>
    </row>
    <row r="690">
      <c r="A690" s="94" t="inlineStr">
        <is>
          <t>C69</t>
        </is>
      </c>
      <c r="B690" s="2" t="inlineStr">
        <is>
          <t>CHAVE SELETORA 69 KV</t>
        </is>
      </c>
      <c r="C690" s="2" t="inlineStr">
        <is>
          <t>Custom</t>
        </is>
      </c>
      <c r="D690" s="2" t="inlineStr">
        <is>
          <t>DJ</t>
        </is>
      </c>
      <c r="E690" s="2" t="inlineStr">
        <is>
          <t>Read</t>
        </is>
      </c>
      <c r="F690" s="2" t="inlineStr">
        <is>
          <t>DESLIGAR@null___null@DESLIGADO___SwitchStatus_S_TC_SE</t>
        </is>
      </c>
      <c r="G690" s="2">
        <f>VLOOKUP(F690,'Message Mapping'!A:L,3,FALSE)</f>
        <v/>
      </c>
      <c r="H690" s="2">
        <f>VLOOKUP(F690,'Message Mapping'!A:L,4,FALSE)</f>
        <v/>
      </c>
      <c r="I690" s="2" t="n"/>
      <c r="J690" s="3">
        <f>VLOOKUP(F690,'Message Mapping'!A:L,12,FALSE)</f>
        <v/>
      </c>
      <c r="K690" s="3" t="n"/>
      <c r="L690" s="3" t="n"/>
      <c r="M690" s="3" t="n"/>
      <c r="N690" s="3" t="n"/>
      <c r="O690" s="3" t="n"/>
      <c r="P690" s="3" t="n"/>
    </row>
    <row r="691">
      <c r="A691" s="94" t="inlineStr">
        <is>
          <t>C138</t>
        </is>
      </c>
      <c r="B691" s="2" t="inlineStr">
        <is>
          <t>CHAVE SELETORA 138 KV</t>
        </is>
      </c>
      <c r="C691" s="2" t="inlineStr">
        <is>
          <t>Custom</t>
        </is>
      </c>
      <c r="D691" s="2" t="inlineStr">
        <is>
          <t>DJ</t>
        </is>
      </c>
      <c r="E691" s="2" t="inlineStr">
        <is>
          <t>Read</t>
        </is>
      </c>
      <c r="F691" s="2" t="inlineStr">
        <is>
          <t>DESLIGAR@null___null@DESLIGADO___SwitchStatus_S_TC_SE</t>
        </is>
      </c>
      <c r="G691" s="2">
        <f>VLOOKUP(F691,'Message Mapping'!A:L,3,FALSE)</f>
        <v/>
      </c>
      <c r="H691" s="2">
        <f>VLOOKUP(F691,'Message Mapping'!A:L,4,FALSE)</f>
        <v/>
      </c>
      <c r="I691" s="2" t="n"/>
      <c r="J691" s="3">
        <f>VLOOKUP(F691,'Message Mapping'!A:L,12,FALSE)</f>
        <v/>
      </c>
      <c r="K691" s="3" t="n"/>
      <c r="L691" s="3" t="n"/>
      <c r="M691" s="3" t="n"/>
      <c r="N691" s="3" t="n"/>
      <c r="O691" s="3" t="n"/>
      <c r="P691" s="3" t="n"/>
    </row>
    <row r="692">
      <c r="A692" s="94" t="inlineStr">
        <is>
          <t>FCMM</t>
        </is>
      </c>
      <c r="B692" s="2" t="inlineStr">
        <is>
          <t>FALHA COMUNICACAO MULTIMEDIDOR</t>
        </is>
      </c>
      <c r="C692" s="2" t="inlineStr">
        <is>
          <t>Custom</t>
        </is>
      </c>
      <c r="D692" s="2" t="inlineStr">
        <is>
          <t>FALHAS FCOM/VCA/VCC</t>
        </is>
      </c>
      <c r="E692" s="2" t="inlineStr">
        <is>
          <t>Read</t>
        </is>
      </c>
      <c r="F692" s="2" t="inlineStr">
        <is>
          <t>null@null___NORMAL@FALHA___Custom_S_TS_SB</t>
        </is>
      </c>
      <c r="G692" s="2">
        <f>VLOOKUP(F692,'Message Mapping'!A:L,3,FALSE)</f>
        <v/>
      </c>
      <c r="H692" s="2">
        <f>VLOOKUP(F692,'Message Mapping'!A:L,4,FALSE)</f>
        <v/>
      </c>
      <c r="I692" s="2" t="n"/>
      <c r="J692" s="3">
        <f>VLOOKUP(F692,'Message Mapping'!A:L,12,FALSE)</f>
        <v/>
      </c>
      <c r="K692" s="3" t="n"/>
      <c r="L692" s="3" t="n"/>
      <c r="M692" s="3" t="n"/>
      <c r="N692" s="3" t="n"/>
      <c r="O692" s="3" t="n"/>
      <c r="P692" s="3" t="n"/>
    </row>
    <row r="693">
      <c r="A693" s="94" t="inlineStr">
        <is>
          <t>VCPB</t>
        </is>
      </c>
      <c r="B693" s="2" t="inlineStr">
        <is>
          <t>VCC PROTECAO BARRA</t>
        </is>
      </c>
      <c r="C693" s="2" t="inlineStr">
        <is>
          <t>Custom</t>
        </is>
      </c>
      <c r="D693" s="2" t="inlineStr">
        <is>
          <t>FALHAS FCOM/VCA/VCC</t>
        </is>
      </c>
      <c r="E693" s="2" t="inlineStr">
        <is>
          <t>Read</t>
        </is>
      </c>
      <c r="F693" s="2" t="inlineStr">
        <is>
          <t>null@null___NORMAL@ATUADO___Custom_S_TS_SB</t>
        </is>
      </c>
      <c r="G693" s="2">
        <f>VLOOKUP(F693,'Message Mapping'!A:L,3,FALSE)</f>
        <v/>
      </c>
      <c r="H693" s="2">
        <f>VLOOKUP(F693,'Message Mapping'!A:L,4,FALSE)</f>
        <v/>
      </c>
      <c r="I693" s="2" t="n"/>
      <c r="J693" s="3">
        <f>VLOOKUP(F693,'Message Mapping'!A:L,12,FALSE)</f>
        <v/>
      </c>
      <c r="K693" s="3" t="n"/>
      <c r="L693" s="3" t="n"/>
      <c r="M693" s="3" t="n"/>
      <c r="N693" s="3" t="n"/>
      <c r="O693" s="3" t="n"/>
      <c r="P693" s="3" t="n"/>
    </row>
  </sheetData>
  <autoFilter ref="A1:P693"/>
  <conditionalFormatting sqref="A548">
    <cfRule type="duplicateValues" priority="8" dxfId="0"/>
  </conditionalFormatting>
  <conditionalFormatting sqref="B91:B93">
    <cfRule type="duplicateValues" priority="10" dxfId="0"/>
  </conditionalFormatting>
  <conditionalFormatting sqref="B203:B204">
    <cfRule type="duplicateValues" priority="2" dxfId="0"/>
  </conditionalFormatting>
  <conditionalFormatting sqref="B205:B206">
    <cfRule type="duplicateValues" priority="1" dxfId="0"/>
  </conditionalFormatting>
  <conditionalFormatting sqref="B498:B500">
    <cfRule type="duplicateValues" priority="3" dxfId="0"/>
  </conditionalFormatting>
  <conditionalFormatting sqref="B1:B61 B62:D62 B63:B90 B94 B96:B166 B170:B188 B191:B202 B207:B249 B251:B295 B301:B386 B391 B393:B400 B409 B411 B413:B435 B437:B459 B461:B496 B502:B615 B659:B660 B663:B665 B668:B680 B686:B1048576">
    <cfRule type="duplicateValues" priority="11" dxfId="0"/>
  </conditionalFormatting>
  <hyperlinks>
    <hyperlink xmlns:r="http://schemas.openxmlformats.org/officeDocument/2006/relationships" ref="F16" r:id="rId1"/>
    <hyperlink xmlns:r="http://schemas.openxmlformats.org/officeDocument/2006/relationships" ref="F17" r:id="rId2"/>
    <hyperlink xmlns:r="http://schemas.openxmlformats.org/officeDocument/2006/relationships" ref="F18" r:id="rId3"/>
    <hyperlink xmlns:r="http://schemas.openxmlformats.org/officeDocument/2006/relationships" ref="F19" r:id="rId4"/>
    <hyperlink xmlns:r="http://schemas.openxmlformats.org/officeDocument/2006/relationships" ref="F20" r:id="rId5"/>
    <hyperlink xmlns:r="http://schemas.openxmlformats.org/officeDocument/2006/relationships" ref="F21" r:id="rId6"/>
    <hyperlink xmlns:r="http://schemas.openxmlformats.org/officeDocument/2006/relationships" ref="F52" display="INCLUIR@EXCLUIR___INCLUIDO@EXCLUIDO___Enabled_S_TC_SS" r:id="rId7"/>
    <hyperlink xmlns:r="http://schemas.openxmlformats.org/officeDocument/2006/relationships" ref="F53" display="INCLUIR@EXCLUIR___INCLUIDO@EXCLUIDO___Enabled_S_TC_SS" r:id="rId8"/>
    <hyperlink xmlns:r="http://schemas.openxmlformats.org/officeDocument/2006/relationships" ref="F55" r:id="rId9"/>
    <hyperlink xmlns:r="http://schemas.openxmlformats.org/officeDocument/2006/relationships" ref="F57" r:id="rId10"/>
    <hyperlink xmlns:r="http://schemas.openxmlformats.org/officeDocument/2006/relationships" ref="F58" r:id="rId11"/>
    <hyperlink xmlns:r="http://schemas.openxmlformats.org/officeDocument/2006/relationships" ref="F68" r:id="rId12"/>
    <hyperlink xmlns:r="http://schemas.openxmlformats.org/officeDocument/2006/relationships" ref="F70" r:id="rId13"/>
    <hyperlink xmlns:r="http://schemas.openxmlformats.org/officeDocument/2006/relationships" ref="F71" display="null@null___NORMAL@ATUADO___Custom_S_TS_SA" r:id="rId14"/>
    <hyperlink xmlns:r="http://schemas.openxmlformats.org/officeDocument/2006/relationships" ref="F72" r:id="rId15"/>
    <hyperlink xmlns:r="http://schemas.openxmlformats.org/officeDocument/2006/relationships" ref="F73" display="null@null___NORMAL@ATUADO___Custom_S_TS_SA" r:id="rId16"/>
    <hyperlink xmlns:r="http://schemas.openxmlformats.org/officeDocument/2006/relationships" ref="F74" display="null@null___NORMAL@ATUADO___Custom_S_TS_SA" r:id="rId17"/>
    <hyperlink xmlns:r="http://schemas.openxmlformats.org/officeDocument/2006/relationships" ref="F75" display="null@null___NORMAL@ATUADO___Custom_S_TS_SA" r:id="rId18"/>
    <hyperlink xmlns:r="http://schemas.openxmlformats.org/officeDocument/2006/relationships" ref="F76" display="null@null___NORMAL@ATUADO___Custom_S_TS_SA" r:id="rId19"/>
    <hyperlink xmlns:r="http://schemas.openxmlformats.org/officeDocument/2006/relationships" ref="F77" display="null@null___NORMAL@ATUADO___Custom_S_TS_SA" r:id="rId20"/>
    <hyperlink xmlns:r="http://schemas.openxmlformats.org/officeDocument/2006/relationships" ref="F78" display="null@null___NORMAL@ATUADO___Custom_S_TS_SA" r:id="rId21"/>
    <hyperlink xmlns:r="http://schemas.openxmlformats.org/officeDocument/2006/relationships" ref="F79" display="null@null___NORMAL@ATUADO___Custom_S_TS_SA" r:id="rId22"/>
    <hyperlink xmlns:r="http://schemas.openxmlformats.org/officeDocument/2006/relationships" ref="F80" display="null@null___NORMAL@ATUADO___Custom_S_TS_SA" r:id="rId23"/>
    <hyperlink xmlns:r="http://schemas.openxmlformats.org/officeDocument/2006/relationships" ref="F81" display="null@null___NORMAL@ATUADO___Custom_S_TS_SA" r:id="rId24"/>
    <hyperlink xmlns:r="http://schemas.openxmlformats.org/officeDocument/2006/relationships" ref="F82" display="null@null___NORMAL@ATUADO___Custom_S_TS_SA" r:id="rId25"/>
    <hyperlink xmlns:r="http://schemas.openxmlformats.org/officeDocument/2006/relationships" ref="F83" display="null@null___NORMAL@ATUADO___Custom_S_TS_SA" r:id="rId26"/>
    <hyperlink xmlns:r="http://schemas.openxmlformats.org/officeDocument/2006/relationships" ref="F88" r:id="rId27"/>
    <hyperlink xmlns:r="http://schemas.openxmlformats.org/officeDocument/2006/relationships" ref="F96" r:id="rId28"/>
    <hyperlink xmlns:r="http://schemas.openxmlformats.org/officeDocument/2006/relationships" ref="F97" r:id="rId29"/>
    <hyperlink xmlns:r="http://schemas.openxmlformats.org/officeDocument/2006/relationships" ref="F100" r:id="rId30"/>
    <hyperlink xmlns:r="http://schemas.openxmlformats.org/officeDocument/2006/relationships" ref="F106" r:id="rId31"/>
    <hyperlink xmlns:r="http://schemas.openxmlformats.org/officeDocument/2006/relationships" ref="F131" r:id="rId32"/>
    <hyperlink xmlns:r="http://schemas.openxmlformats.org/officeDocument/2006/relationships" ref="F145" display="null@null___NORMAL@ATUADO___Custom_S_TS_SA" r:id="rId33"/>
    <hyperlink xmlns:r="http://schemas.openxmlformats.org/officeDocument/2006/relationships" ref="F146" r:id="rId34"/>
    <hyperlink xmlns:r="http://schemas.openxmlformats.org/officeDocument/2006/relationships" ref="F164" display="null@null___NORMAL@ATUADO___Custom_S_TS_SA" r:id="rId35"/>
    <hyperlink xmlns:r="http://schemas.openxmlformats.org/officeDocument/2006/relationships" ref="F165" display="null@null___NORMAL@ATUADO___Custom_S_TS_SA" r:id="rId36"/>
    <hyperlink xmlns:r="http://schemas.openxmlformats.org/officeDocument/2006/relationships" ref="F166" display="null@null___NORMAL@ATUADO___Custom_S_TS_SA" r:id="rId37"/>
    <hyperlink xmlns:r="http://schemas.openxmlformats.org/officeDocument/2006/relationships" ref="F198" display="null@null___NORMAL@ATUADO___Custom_S_TS_SA" r:id="rId38"/>
    <hyperlink xmlns:r="http://schemas.openxmlformats.org/officeDocument/2006/relationships" ref="F199" r:id="rId39"/>
    <hyperlink xmlns:r="http://schemas.openxmlformats.org/officeDocument/2006/relationships" ref="F200" display="null@null___NORMAL@ATUADO___Custom_S_TS_SA" r:id="rId40"/>
    <hyperlink xmlns:r="http://schemas.openxmlformats.org/officeDocument/2006/relationships" ref="F201" r:id="rId41"/>
    <hyperlink xmlns:r="http://schemas.openxmlformats.org/officeDocument/2006/relationships" ref="F202" display="null@null___NORMAL@ATUADO___Custom_S_TS_SA" r:id="rId42"/>
    <hyperlink xmlns:r="http://schemas.openxmlformats.org/officeDocument/2006/relationships" ref="F203" display="null@null___NORMAL@ATUADO___Custom_S_TS_SA" r:id="rId43"/>
    <hyperlink xmlns:r="http://schemas.openxmlformats.org/officeDocument/2006/relationships" ref="F204" display="null@null___NORMAL@ATUADO___Custom_S_TS_SA" r:id="rId44"/>
    <hyperlink xmlns:r="http://schemas.openxmlformats.org/officeDocument/2006/relationships" ref="F205" display="null@null___NORMAL@ATUADO___Custom_S_TS_SA" r:id="rId45"/>
    <hyperlink xmlns:r="http://schemas.openxmlformats.org/officeDocument/2006/relationships" ref="F206" display="null@null___NORMAL@ATUADO___Custom_S_TS_SA" r:id="rId46"/>
    <hyperlink xmlns:r="http://schemas.openxmlformats.org/officeDocument/2006/relationships" ref="F207" display="null@null___NORMAL@ATUADO___Custom_S_TS_SA" r:id="rId47"/>
    <hyperlink xmlns:r="http://schemas.openxmlformats.org/officeDocument/2006/relationships" ref="F208" display="null@null___NORMAL@ATUADO___Custom_S_TS_SA" r:id="rId48"/>
    <hyperlink xmlns:r="http://schemas.openxmlformats.org/officeDocument/2006/relationships" ref="F209" display="null@null___NORMAL@ATUADO___Custom_S_TS_SA" r:id="rId49"/>
    <hyperlink xmlns:r="http://schemas.openxmlformats.org/officeDocument/2006/relationships" ref="F210" display="null@null___NORMAL@ATUADO___Custom_S_TS_SA" r:id="rId50"/>
    <hyperlink xmlns:r="http://schemas.openxmlformats.org/officeDocument/2006/relationships" ref="F211" display="null@null___NORMAL@ATUADO___Custom_S_TS_SA" r:id="rId51"/>
    <hyperlink xmlns:r="http://schemas.openxmlformats.org/officeDocument/2006/relationships" ref="F212" display="null@null___NORMAL@ATUADO___Custom_S_TS_SA" r:id="rId52"/>
    <hyperlink xmlns:r="http://schemas.openxmlformats.org/officeDocument/2006/relationships" ref="F213" display="null@null___NORMAL@ATUADO___Custom_S_TS_SA" r:id="rId53"/>
    <hyperlink xmlns:r="http://schemas.openxmlformats.org/officeDocument/2006/relationships" ref="F221" r:id="rId54"/>
    <hyperlink xmlns:r="http://schemas.openxmlformats.org/officeDocument/2006/relationships" ref="F222" r:id="rId55"/>
    <hyperlink xmlns:r="http://schemas.openxmlformats.org/officeDocument/2006/relationships" ref="F223" r:id="rId56"/>
    <hyperlink xmlns:r="http://schemas.openxmlformats.org/officeDocument/2006/relationships" ref="F224" r:id="rId57"/>
    <hyperlink xmlns:r="http://schemas.openxmlformats.org/officeDocument/2006/relationships" ref="F226" r:id="rId58"/>
    <hyperlink xmlns:r="http://schemas.openxmlformats.org/officeDocument/2006/relationships" ref="F228" display="null@null___NORMAL@ATUADO___Custom_S_TS_SA" r:id="rId59"/>
    <hyperlink xmlns:r="http://schemas.openxmlformats.org/officeDocument/2006/relationships" ref="F229" display="null@null___NORMAL@ATUADO___Custom_S_TS_SA" r:id="rId60"/>
    <hyperlink xmlns:r="http://schemas.openxmlformats.org/officeDocument/2006/relationships" ref="F230" display="null@null___NORMAL@ATUADO___Custom_S_TS_SA" r:id="rId61"/>
    <hyperlink xmlns:r="http://schemas.openxmlformats.org/officeDocument/2006/relationships" ref="F231" r:id="rId62"/>
    <hyperlink xmlns:r="http://schemas.openxmlformats.org/officeDocument/2006/relationships" ref="F232" display="null@null___NORMAL@ATUADO___Custom_S_TS_SA" r:id="rId63"/>
    <hyperlink xmlns:r="http://schemas.openxmlformats.org/officeDocument/2006/relationships" ref="F233" display="null@null___NORMAL@ATUADO___Custom_S_TS_SA" r:id="rId64"/>
    <hyperlink xmlns:r="http://schemas.openxmlformats.org/officeDocument/2006/relationships" ref="F234" display="null@null___NORMAL@ATUADO___Custom_S_TS_SA" r:id="rId65"/>
    <hyperlink xmlns:r="http://schemas.openxmlformats.org/officeDocument/2006/relationships" ref="F235" display="null@null___NORMAL@ATUADO___Custom_S_TS_SA" r:id="rId66"/>
    <hyperlink xmlns:r="http://schemas.openxmlformats.org/officeDocument/2006/relationships" ref="F236" display="null@null___NORMAL@ATUADO___Custom_S_TS_SA" r:id="rId67"/>
    <hyperlink xmlns:r="http://schemas.openxmlformats.org/officeDocument/2006/relationships" ref="F237" display="null@null___NORMAL@ATUADO___Custom_S_TS_SA" r:id="rId68"/>
    <hyperlink xmlns:r="http://schemas.openxmlformats.org/officeDocument/2006/relationships" ref="F238" display="null@null___NORMAL@ATUADO___Custom_S_TS_SA" r:id="rId69"/>
    <hyperlink xmlns:r="http://schemas.openxmlformats.org/officeDocument/2006/relationships" ref="F244" r:id="rId70"/>
    <hyperlink xmlns:r="http://schemas.openxmlformats.org/officeDocument/2006/relationships" ref="F249" r:id="rId71"/>
    <hyperlink xmlns:r="http://schemas.openxmlformats.org/officeDocument/2006/relationships" ref="F275" r:id="rId72"/>
    <hyperlink xmlns:r="http://schemas.openxmlformats.org/officeDocument/2006/relationships" ref="F280" r:id="rId73"/>
    <hyperlink xmlns:r="http://schemas.openxmlformats.org/officeDocument/2006/relationships" ref="F281" r:id="rId74"/>
    <hyperlink xmlns:r="http://schemas.openxmlformats.org/officeDocument/2006/relationships" ref="F287" r:id="rId75"/>
    <hyperlink xmlns:r="http://schemas.openxmlformats.org/officeDocument/2006/relationships" ref="F288" r:id="rId76"/>
    <hyperlink xmlns:r="http://schemas.openxmlformats.org/officeDocument/2006/relationships" ref="F289" r:id="rId77"/>
    <hyperlink xmlns:r="http://schemas.openxmlformats.org/officeDocument/2006/relationships" ref="F325" r:id="rId78"/>
    <hyperlink xmlns:r="http://schemas.openxmlformats.org/officeDocument/2006/relationships" ref="F327" r:id="rId79"/>
    <hyperlink xmlns:r="http://schemas.openxmlformats.org/officeDocument/2006/relationships" ref="F329" r:id="rId80"/>
    <hyperlink xmlns:r="http://schemas.openxmlformats.org/officeDocument/2006/relationships" ref="F331" r:id="rId81"/>
    <hyperlink xmlns:r="http://schemas.openxmlformats.org/officeDocument/2006/relationships" ref="F333" r:id="rId82"/>
    <hyperlink xmlns:r="http://schemas.openxmlformats.org/officeDocument/2006/relationships" ref="F335" r:id="rId83"/>
    <hyperlink xmlns:r="http://schemas.openxmlformats.org/officeDocument/2006/relationships" ref="F337" r:id="rId84"/>
    <hyperlink xmlns:r="http://schemas.openxmlformats.org/officeDocument/2006/relationships" ref="F338" r:id="rId85"/>
    <hyperlink xmlns:r="http://schemas.openxmlformats.org/officeDocument/2006/relationships" ref="F339" r:id="rId86"/>
    <hyperlink xmlns:r="http://schemas.openxmlformats.org/officeDocument/2006/relationships" ref="F341" r:id="rId87"/>
    <hyperlink xmlns:r="http://schemas.openxmlformats.org/officeDocument/2006/relationships" ref="F342" r:id="rId88"/>
    <hyperlink xmlns:r="http://schemas.openxmlformats.org/officeDocument/2006/relationships" ref="F343" r:id="rId89"/>
    <hyperlink xmlns:r="http://schemas.openxmlformats.org/officeDocument/2006/relationships" ref="F344" r:id="rId90"/>
    <hyperlink xmlns:r="http://schemas.openxmlformats.org/officeDocument/2006/relationships" ref="F345" r:id="rId91"/>
    <hyperlink xmlns:r="http://schemas.openxmlformats.org/officeDocument/2006/relationships" ref="F346" r:id="rId92"/>
    <hyperlink xmlns:r="http://schemas.openxmlformats.org/officeDocument/2006/relationships" ref="F351" r:id="rId93"/>
    <hyperlink xmlns:r="http://schemas.openxmlformats.org/officeDocument/2006/relationships" ref="F352" r:id="rId94"/>
    <hyperlink xmlns:r="http://schemas.openxmlformats.org/officeDocument/2006/relationships" ref="F353" r:id="rId95"/>
    <hyperlink xmlns:r="http://schemas.openxmlformats.org/officeDocument/2006/relationships" ref="F354" r:id="rId96"/>
    <hyperlink xmlns:r="http://schemas.openxmlformats.org/officeDocument/2006/relationships" ref="F355" r:id="rId97"/>
    <hyperlink xmlns:r="http://schemas.openxmlformats.org/officeDocument/2006/relationships" ref="F357" r:id="rId98"/>
    <hyperlink xmlns:r="http://schemas.openxmlformats.org/officeDocument/2006/relationships" ref="F358" r:id="rId99"/>
    <hyperlink xmlns:r="http://schemas.openxmlformats.org/officeDocument/2006/relationships" ref="F359" r:id="rId100"/>
    <hyperlink xmlns:r="http://schemas.openxmlformats.org/officeDocument/2006/relationships" ref="F360" r:id="rId101"/>
    <hyperlink xmlns:r="http://schemas.openxmlformats.org/officeDocument/2006/relationships" ref="F361" r:id="rId102"/>
    <hyperlink xmlns:r="http://schemas.openxmlformats.org/officeDocument/2006/relationships" ref="F362" r:id="rId103"/>
    <hyperlink xmlns:r="http://schemas.openxmlformats.org/officeDocument/2006/relationships" ref="F363" r:id="rId104"/>
    <hyperlink xmlns:r="http://schemas.openxmlformats.org/officeDocument/2006/relationships" ref="F364" r:id="rId105"/>
    <hyperlink xmlns:r="http://schemas.openxmlformats.org/officeDocument/2006/relationships" ref="F365" r:id="rId106"/>
    <hyperlink xmlns:r="http://schemas.openxmlformats.org/officeDocument/2006/relationships" ref="F366" r:id="rId107"/>
    <hyperlink xmlns:r="http://schemas.openxmlformats.org/officeDocument/2006/relationships" ref="F367" r:id="rId108"/>
    <hyperlink xmlns:r="http://schemas.openxmlformats.org/officeDocument/2006/relationships" ref="F368" r:id="rId109"/>
    <hyperlink xmlns:r="http://schemas.openxmlformats.org/officeDocument/2006/relationships" ref="F369" r:id="rId110"/>
    <hyperlink xmlns:r="http://schemas.openxmlformats.org/officeDocument/2006/relationships" ref="F370" r:id="rId111"/>
    <hyperlink xmlns:r="http://schemas.openxmlformats.org/officeDocument/2006/relationships" ref="F383" r:id="rId112"/>
    <hyperlink xmlns:r="http://schemas.openxmlformats.org/officeDocument/2006/relationships" ref="F386" r:id="rId113"/>
    <hyperlink xmlns:r="http://schemas.openxmlformats.org/officeDocument/2006/relationships" ref="F395" r:id="rId114"/>
    <hyperlink xmlns:r="http://schemas.openxmlformats.org/officeDocument/2006/relationships" ref="F396" r:id="rId115"/>
    <hyperlink xmlns:r="http://schemas.openxmlformats.org/officeDocument/2006/relationships" ref="F397" r:id="rId116"/>
    <hyperlink xmlns:r="http://schemas.openxmlformats.org/officeDocument/2006/relationships" ref="F428" r:id="rId117"/>
    <hyperlink xmlns:r="http://schemas.openxmlformats.org/officeDocument/2006/relationships" ref="F430" r:id="rId118"/>
    <hyperlink xmlns:r="http://schemas.openxmlformats.org/officeDocument/2006/relationships" ref="F431" r:id="rId119"/>
    <hyperlink xmlns:r="http://schemas.openxmlformats.org/officeDocument/2006/relationships" ref="F432" r:id="rId120"/>
    <hyperlink xmlns:r="http://schemas.openxmlformats.org/officeDocument/2006/relationships" ref="F433" r:id="rId121"/>
    <hyperlink xmlns:r="http://schemas.openxmlformats.org/officeDocument/2006/relationships" ref="F434" r:id="rId122"/>
    <hyperlink xmlns:r="http://schemas.openxmlformats.org/officeDocument/2006/relationships" ref="F435" r:id="rId123"/>
    <hyperlink xmlns:r="http://schemas.openxmlformats.org/officeDocument/2006/relationships" ref="F436" r:id="rId124"/>
    <hyperlink xmlns:r="http://schemas.openxmlformats.org/officeDocument/2006/relationships" ref="F437" r:id="rId125"/>
    <hyperlink xmlns:r="http://schemas.openxmlformats.org/officeDocument/2006/relationships" ref="F438" r:id="rId126"/>
    <hyperlink xmlns:r="http://schemas.openxmlformats.org/officeDocument/2006/relationships" ref="F439" r:id="rId127"/>
    <hyperlink xmlns:r="http://schemas.openxmlformats.org/officeDocument/2006/relationships" ref="F440" r:id="rId128"/>
    <hyperlink xmlns:r="http://schemas.openxmlformats.org/officeDocument/2006/relationships" ref="F441" r:id="rId129"/>
    <hyperlink xmlns:r="http://schemas.openxmlformats.org/officeDocument/2006/relationships" ref="F442" r:id="rId130"/>
    <hyperlink xmlns:r="http://schemas.openxmlformats.org/officeDocument/2006/relationships" ref="F443" r:id="rId131"/>
    <hyperlink xmlns:r="http://schemas.openxmlformats.org/officeDocument/2006/relationships" ref="F444" r:id="rId132"/>
    <hyperlink xmlns:r="http://schemas.openxmlformats.org/officeDocument/2006/relationships" ref="F445" r:id="rId133"/>
    <hyperlink xmlns:r="http://schemas.openxmlformats.org/officeDocument/2006/relationships" ref="F446" r:id="rId134"/>
    <hyperlink xmlns:r="http://schemas.openxmlformats.org/officeDocument/2006/relationships" ref="F447" r:id="rId135"/>
    <hyperlink xmlns:r="http://schemas.openxmlformats.org/officeDocument/2006/relationships" ref="F448" r:id="rId136"/>
    <hyperlink xmlns:r="http://schemas.openxmlformats.org/officeDocument/2006/relationships" ref="F449" r:id="rId137"/>
    <hyperlink xmlns:r="http://schemas.openxmlformats.org/officeDocument/2006/relationships" ref="F450" r:id="rId138"/>
    <hyperlink xmlns:r="http://schemas.openxmlformats.org/officeDocument/2006/relationships" ref="F451" r:id="rId139"/>
    <hyperlink xmlns:r="http://schemas.openxmlformats.org/officeDocument/2006/relationships" ref="F452" r:id="rId140"/>
    <hyperlink xmlns:r="http://schemas.openxmlformats.org/officeDocument/2006/relationships" ref="F453" r:id="rId141"/>
    <hyperlink xmlns:r="http://schemas.openxmlformats.org/officeDocument/2006/relationships" ref="F454" r:id="rId142"/>
    <hyperlink xmlns:r="http://schemas.openxmlformats.org/officeDocument/2006/relationships" ref="F455" r:id="rId143"/>
    <hyperlink xmlns:r="http://schemas.openxmlformats.org/officeDocument/2006/relationships" ref="F456" r:id="rId144"/>
    <hyperlink xmlns:r="http://schemas.openxmlformats.org/officeDocument/2006/relationships" ref="F457" r:id="rId145"/>
    <hyperlink xmlns:r="http://schemas.openxmlformats.org/officeDocument/2006/relationships" ref="F458" r:id="rId146"/>
    <hyperlink xmlns:r="http://schemas.openxmlformats.org/officeDocument/2006/relationships" ref="F459" r:id="rId147"/>
    <hyperlink xmlns:r="http://schemas.openxmlformats.org/officeDocument/2006/relationships" ref="F460" r:id="rId148"/>
    <hyperlink xmlns:r="http://schemas.openxmlformats.org/officeDocument/2006/relationships" ref="F461" r:id="rId149"/>
    <hyperlink xmlns:r="http://schemas.openxmlformats.org/officeDocument/2006/relationships" ref="F462" r:id="rId150"/>
    <hyperlink xmlns:r="http://schemas.openxmlformats.org/officeDocument/2006/relationships" ref="F463" r:id="rId151"/>
    <hyperlink xmlns:r="http://schemas.openxmlformats.org/officeDocument/2006/relationships" ref="F464" r:id="rId152"/>
    <hyperlink xmlns:r="http://schemas.openxmlformats.org/officeDocument/2006/relationships" ref="F465" r:id="rId153"/>
    <hyperlink xmlns:r="http://schemas.openxmlformats.org/officeDocument/2006/relationships" ref="F466" r:id="rId154"/>
    <hyperlink xmlns:r="http://schemas.openxmlformats.org/officeDocument/2006/relationships" ref="F467" r:id="rId155"/>
    <hyperlink xmlns:r="http://schemas.openxmlformats.org/officeDocument/2006/relationships" ref="F468" r:id="rId156"/>
    <hyperlink xmlns:r="http://schemas.openxmlformats.org/officeDocument/2006/relationships" ref="F469" r:id="rId157"/>
    <hyperlink xmlns:r="http://schemas.openxmlformats.org/officeDocument/2006/relationships" ref="F470" r:id="rId158"/>
    <hyperlink xmlns:r="http://schemas.openxmlformats.org/officeDocument/2006/relationships" ref="F471" r:id="rId159"/>
    <hyperlink xmlns:r="http://schemas.openxmlformats.org/officeDocument/2006/relationships" ref="F472" r:id="rId160"/>
    <hyperlink xmlns:r="http://schemas.openxmlformats.org/officeDocument/2006/relationships" ref="F473" r:id="rId161"/>
    <hyperlink xmlns:r="http://schemas.openxmlformats.org/officeDocument/2006/relationships" ref="F474" r:id="rId162"/>
    <hyperlink xmlns:r="http://schemas.openxmlformats.org/officeDocument/2006/relationships" ref="F475" r:id="rId163"/>
    <hyperlink xmlns:r="http://schemas.openxmlformats.org/officeDocument/2006/relationships" ref="F476" r:id="rId164"/>
    <hyperlink xmlns:r="http://schemas.openxmlformats.org/officeDocument/2006/relationships" ref="F477" r:id="rId165"/>
    <hyperlink xmlns:r="http://schemas.openxmlformats.org/officeDocument/2006/relationships" ref="F478" r:id="rId166"/>
    <hyperlink xmlns:r="http://schemas.openxmlformats.org/officeDocument/2006/relationships" ref="F479" r:id="rId167"/>
    <hyperlink xmlns:r="http://schemas.openxmlformats.org/officeDocument/2006/relationships" ref="F480" r:id="rId168"/>
    <hyperlink xmlns:r="http://schemas.openxmlformats.org/officeDocument/2006/relationships" ref="F481" r:id="rId169"/>
    <hyperlink xmlns:r="http://schemas.openxmlformats.org/officeDocument/2006/relationships" ref="F482" r:id="rId170"/>
    <hyperlink xmlns:r="http://schemas.openxmlformats.org/officeDocument/2006/relationships" ref="F483" r:id="rId171"/>
    <hyperlink xmlns:r="http://schemas.openxmlformats.org/officeDocument/2006/relationships" ref="F484" r:id="rId172"/>
    <hyperlink xmlns:r="http://schemas.openxmlformats.org/officeDocument/2006/relationships" ref="F485" r:id="rId173"/>
    <hyperlink xmlns:r="http://schemas.openxmlformats.org/officeDocument/2006/relationships" ref="F486" r:id="rId174"/>
    <hyperlink xmlns:r="http://schemas.openxmlformats.org/officeDocument/2006/relationships" ref="F487" r:id="rId175"/>
    <hyperlink xmlns:r="http://schemas.openxmlformats.org/officeDocument/2006/relationships" ref="F488" r:id="rId176"/>
    <hyperlink xmlns:r="http://schemas.openxmlformats.org/officeDocument/2006/relationships" ref="F489" r:id="rId177"/>
    <hyperlink xmlns:r="http://schemas.openxmlformats.org/officeDocument/2006/relationships" ref="F490" r:id="rId178"/>
    <hyperlink xmlns:r="http://schemas.openxmlformats.org/officeDocument/2006/relationships" ref="F491" r:id="rId179"/>
    <hyperlink xmlns:r="http://schemas.openxmlformats.org/officeDocument/2006/relationships" ref="F492" r:id="rId180"/>
    <hyperlink xmlns:r="http://schemas.openxmlformats.org/officeDocument/2006/relationships" ref="F493" r:id="rId181"/>
    <hyperlink xmlns:r="http://schemas.openxmlformats.org/officeDocument/2006/relationships" ref="F494" r:id="rId182"/>
    <hyperlink xmlns:r="http://schemas.openxmlformats.org/officeDocument/2006/relationships" ref="F495" r:id="rId183"/>
    <hyperlink xmlns:r="http://schemas.openxmlformats.org/officeDocument/2006/relationships" ref="F496" r:id="rId184"/>
    <hyperlink xmlns:r="http://schemas.openxmlformats.org/officeDocument/2006/relationships" ref="F497" r:id="rId185"/>
    <hyperlink xmlns:r="http://schemas.openxmlformats.org/officeDocument/2006/relationships" ref="F498" r:id="rId186"/>
    <hyperlink xmlns:r="http://schemas.openxmlformats.org/officeDocument/2006/relationships" ref="F499" r:id="rId187"/>
    <hyperlink xmlns:r="http://schemas.openxmlformats.org/officeDocument/2006/relationships" ref="F500" r:id="rId188"/>
    <hyperlink xmlns:r="http://schemas.openxmlformats.org/officeDocument/2006/relationships" ref="F501" r:id="rId189"/>
    <hyperlink xmlns:r="http://schemas.openxmlformats.org/officeDocument/2006/relationships" ref="F502" r:id="rId190"/>
    <hyperlink xmlns:r="http://schemas.openxmlformats.org/officeDocument/2006/relationships" ref="F503" r:id="rId191"/>
    <hyperlink xmlns:r="http://schemas.openxmlformats.org/officeDocument/2006/relationships" ref="F504" r:id="rId192"/>
    <hyperlink xmlns:r="http://schemas.openxmlformats.org/officeDocument/2006/relationships" ref="F505" r:id="rId193"/>
    <hyperlink xmlns:r="http://schemas.openxmlformats.org/officeDocument/2006/relationships" ref="F506" r:id="rId194"/>
    <hyperlink xmlns:r="http://schemas.openxmlformats.org/officeDocument/2006/relationships" ref="F507" r:id="rId195"/>
    <hyperlink xmlns:r="http://schemas.openxmlformats.org/officeDocument/2006/relationships" ref="F508" r:id="rId196"/>
    <hyperlink xmlns:r="http://schemas.openxmlformats.org/officeDocument/2006/relationships" ref="F509" r:id="rId197"/>
    <hyperlink xmlns:r="http://schemas.openxmlformats.org/officeDocument/2006/relationships" ref="F510" r:id="rId198"/>
    <hyperlink xmlns:r="http://schemas.openxmlformats.org/officeDocument/2006/relationships" ref="F511" r:id="rId199"/>
    <hyperlink xmlns:r="http://schemas.openxmlformats.org/officeDocument/2006/relationships" ref="F512" r:id="rId200"/>
    <hyperlink xmlns:r="http://schemas.openxmlformats.org/officeDocument/2006/relationships" ref="F513" r:id="rId201"/>
    <hyperlink xmlns:r="http://schemas.openxmlformats.org/officeDocument/2006/relationships" ref="F514" r:id="rId202"/>
    <hyperlink xmlns:r="http://schemas.openxmlformats.org/officeDocument/2006/relationships" ref="F515" r:id="rId203"/>
    <hyperlink xmlns:r="http://schemas.openxmlformats.org/officeDocument/2006/relationships" ref="F516" r:id="rId204"/>
    <hyperlink xmlns:r="http://schemas.openxmlformats.org/officeDocument/2006/relationships" ref="F517" r:id="rId205"/>
    <hyperlink xmlns:r="http://schemas.openxmlformats.org/officeDocument/2006/relationships" ref="F518" r:id="rId206"/>
    <hyperlink xmlns:r="http://schemas.openxmlformats.org/officeDocument/2006/relationships" ref="F519" r:id="rId207"/>
    <hyperlink xmlns:r="http://schemas.openxmlformats.org/officeDocument/2006/relationships" ref="F520" r:id="rId208"/>
    <hyperlink xmlns:r="http://schemas.openxmlformats.org/officeDocument/2006/relationships" ref="F521" r:id="rId209"/>
    <hyperlink xmlns:r="http://schemas.openxmlformats.org/officeDocument/2006/relationships" ref="F522" r:id="rId210"/>
    <hyperlink xmlns:r="http://schemas.openxmlformats.org/officeDocument/2006/relationships" ref="F523" r:id="rId211"/>
    <hyperlink xmlns:r="http://schemas.openxmlformats.org/officeDocument/2006/relationships" ref="F525" r:id="rId212"/>
    <hyperlink xmlns:r="http://schemas.openxmlformats.org/officeDocument/2006/relationships" ref="F526" r:id="rId213"/>
    <hyperlink xmlns:r="http://schemas.openxmlformats.org/officeDocument/2006/relationships" ref="F527" r:id="rId214"/>
    <hyperlink xmlns:r="http://schemas.openxmlformats.org/officeDocument/2006/relationships" ref="F543" r:id="rId215"/>
    <hyperlink xmlns:r="http://schemas.openxmlformats.org/officeDocument/2006/relationships" ref="F544" display="null@null___NORMAL@ATUADO___RelayTrip_S_TS_SA" r:id="rId216"/>
    <hyperlink xmlns:r="http://schemas.openxmlformats.org/officeDocument/2006/relationships" ref="F545" display="null@null___NORMAL@ATUADO___RelayTrip_S_TS_SA" r:id="rId217"/>
    <hyperlink xmlns:r="http://schemas.openxmlformats.org/officeDocument/2006/relationships" ref="F546" display="null@null___NORMAL@ATUADO___RelayTrip_S_TS_SA" r:id="rId218"/>
    <hyperlink xmlns:r="http://schemas.openxmlformats.org/officeDocument/2006/relationships" ref="F547" display="null@null___NORMAL@ATUADO___RelayTrip_S_TS_SA" r:id="rId219"/>
    <hyperlink xmlns:r="http://schemas.openxmlformats.org/officeDocument/2006/relationships" ref="F556" r:id="rId220"/>
    <hyperlink xmlns:r="http://schemas.openxmlformats.org/officeDocument/2006/relationships" ref="F557" r:id="rId221"/>
    <hyperlink xmlns:r="http://schemas.openxmlformats.org/officeDocument/2006/relationships" ref="F581" r:id="rId222"/>
    <hyperlink xmlns:r="http://schemas.openxmlformats.org/officeDocument/2006/relationships" ref="F585" r:id="rId223"/>
    <hyperlink xmlns:r="http://schemas.openxmlformats.org/officeDocument/2006/relationships" ref="F587" r:id="rId224"/>
    <hyperlink xmlns:r="http://schemas.openxmlformats.org/officeDocument/2006/relationships" ref="F595" r:id="rId225"/>
    <hyperlink xmlns:r="http://schemas.openxmlformats.org/officeDocument/2006/relationships" ref="F596" r:id="rId226"/>
    <hyperlink xmlns:r="http://schemas.openxmlformats.org/officeDocument/2006/relationships" ref="F602" r:id="rId227"/>
    <hyperlink xmlns:r="http://schemas.openxmlformats.org/officeDocument/2006/relationships" ref="F616" r:id="rId228"/>
    <hyperlink xmlns:r="http://schemas.openxmlformats.org/officeDocument/2006/relationships" ref="F617" r:id="rId229"/>
    <hyperlink xmlns:r="http://schemas.openxmlformats.org/officeDocument/2006/relationships" ref="F618" r:id="rId230"/>
    <hyperlink xmlns:r="http://schemas.openxmlformats.org/officeDocument/2006/relationships" ref="F633" r:id="rId231"/>
    <hyperlink xmlns:r="http://schemas.openxmlformats.org/officeDocument/2006/relationships" ref="F634" r:id="rId232"/>
    <hyperlink xmlns:r="http://schemas.openxmlformats.org/officeDocument/2006/relationships" ref="F635" r:id="rId233"/>
    <hyperlink xmlns:r="http://schemas.openxmlformats.org/officeDocument/2006/relationships" ref="F636" r:id="rId234"/>
    <hyperlink xmlns:r="http://schemas.openxmlformats.org/officeDocument/2006/relationships" ref="F637" r:id="rId235"/>
    <hyperlink xmlns:r="http://schemas.openxmlformats.org/officeDocument/2006/relationships" ref="F638" r:id="rId236"/>
    <hyperlink xmlns:r="http://schemas.openxmlformats.org/officeDocument/2006/relationships" ref="F639" r:id="rId237"/>
    <hyperlink xmlns:r="http://schemas.openxmlformats.org/officeDocument/2006/relationships" ref="F640" r:id="rId238"/>
    <hyperlink xmlns:r="http://schemas.openxmlformats.org/officeDocument/2006/relationships" ref="F641" r:id="rId239"/>
    <hyperlink xmlns:r="http://schemas.openxmlformats.org/officeDocument/2006/relationships" ref="F642" r:id="rId240"/>
    <hyperlink xmlns:r="http://schemas.openxmlformats.org/officeDocument/2006/relationships" ref="F651" r:id="rId241"/>
    <hyperlink xmlns:r="http://schemas.openxmlformats.org/officeDocument/2006/relationships" ref="F653" r:id="rId242"/>
    <hyperlink xmlns:r="http://schemas.openxmlformats.org/officeDocument/2006/relationships" ref="F658" r:id="rId243"/>
    <hyperlink xmlns:r="http://schemas.openxmlformats.org/officeDocument/2006/relationships" ref="F659" r:id="rId244"/>
    <hyperlink xmlns:r="http://schemas.openxmlformats.org/officeDocument/2006/relationships" ref="F660" r:id="rId245"/>
    <hyperlink xmlns:r="http://schemas.openxmlformats.org/officeDocument/2006/relationships" ref="F661" r:id="rId246"/>
    <hyperlink xmlns:r="http://schemas.openxmlformats.org/officeDocument/2006/relationships" ref="F662" r:id="rId247"/>
    <hyperlink xmlns:r="http://schemas.openxmlformats.org/officeDocument/2006/relationships" ref="F663" r:id="rId248"/>
    <hyperlink xmlns:r="http://schemas.openxmlformats.org/officeDocument/2006/relationships" ref="F664" r:id="rId249"/>
    <hyperlink xmlns:r="http://schemas.openxmlformats.org/officeDocument/2006/relationships" ref="F665" r:id="rId250"/>
    <hyperlink xmlns:r="http://schemas.openxmlformats.org/officeDocument/2006/relationships" ref="F668" r:id="rId251"/>
    <hyperlink xmlns:r="http://schemas.openxmlformats.org/officeDocument/2006/relationships" ref="F669" display="DESLIGAR@LIGAR___DESLIGADO@LIGADO___Custom_S_TS_SV" r:id="rId252"/>
    <hyperlink xmlns:r="http://schemas.openxmlformats.org/officeDocument/2006/relationships" ref="F670" r:id="rId253"/>
    <hyperlink xmlns:r="http://schemas.openxmlformats.org/officeDocument/2006/relationships" ref="F671" r:id="rId254"/>
    <hyperlink xmlns:r="http://schemas.openxmlformats.org/officeDocument/2006/relationships" ref="F672" r:id="rId255"/>
    <hyperlink xmlns:r="http://schemas.openxmlformats.org/officeDocument/2006/relationships" ref="F673" r:id="rId256"/>
    <hyperlink xmlns:r="http://schemas.openxmlformats.org/officeDocument/2006/relationships" ref="F674" r:id="rId257"/>
    <hyperlink xmlns:r="http://schemas.openxmlformats.org/officeDocument/2006/relationships" ref="F675" r:id="rId258"/>
    <hyperlink xmlns:r="http://schemas.openxmlformats.org/officeDocument/2006/relationships" ref="F676" r:id="rId259"/>
    <hyperlink xmlns:r="http://schemas.openxmlformats.org/officeDocument/2006/relationships" ref="F677" r:id="rId260"/>
    <hyperlink xmlns:r="http://schemas.openxmlformats.org/officeDocument/2006/relationships" ref="F678" r:id="rId261"/>
    <hyperlink xmlns:r="http://schemas.openxmlformats.org/officeDocument/2006/relationships" ref="F679" r:id="rId262"/>
    <hyperlink xmlns:r="http://schemas.openxmlformats.org/officeDocument/2006/relationships" ref="F680" r:id="rId263"/>
    <hyperlink xmlns:r="http://schemas.openxmlformats.org/officeDocument/2006/relationships" ref="F681" r:id="rId264"/>
    <hyperlink xmlns:r="http://schemas.openxmlformats.org/officeDocument/2006/relationships" ref="F682" r:id="rId265"/>
    <hyperlink xmlns:r="http://schemas.openxmlformats.org/officeDocument/2006/relationships" ref="F686" display="null@null___NORMAL@FALHA___Custom_S_TS_SI" r:id="rId266"/>
    <hyperlink xmlns:r="http://schemas.openxmlformats.org/officeDocument/2006/relationships" ref="F687" display="null@null___NORMAL@FALHA___Custom_S_TS_SI" r:id="rId267"/>
    <hyperlink xmlns:r="http://schemas.openxmlformats.org/officeDocument/2006/relationships" ref="F688" display="null@null___NORMAL@FALHA___Custom_S_TS_SI" r:id="rId268"/>
    <hyperlink xmlns:r="http://schemas.openxmlformats.org/officeDocument/2006/relationships" ref="F689" display="null@null___NORMAL@FALHA___Custom_S_TS_SI" r:id="rId269"/>
    <hyperlink xmlns:r="http://schemas.openxmlformats.org/officeDocument/2006/relationships" ref="F690" display="null@null___NORMAL@FALHA___Custom_S_TS_SI" r:id="rId270"/>
    <hyperlink xmlns:r="http://schemas.openxmlformats.org/officeDocument/2006/relationships" ref="F691" display="null@null___NORMAL@FALHA___Custom_S_TS_SI" r:id="rId271"/>
    <hyperlink xmlns:r="http://schemas.openxmlformats.org/officeDocument/2006/relationships" ref="F692" r:id="rId272"/>
    <hyperlink xmlns:r="http://schemas.openxmlformats.org/officeDocument/2006/relationships" ref="F693" r:id="rId273"/>
  </hyperlinks>
  <pageMargins left="0.511811024" right="0.511811024" top="0.787401575" bottom="0.787401575" header="0.31496062" footer="0.31496062"/>
  <headerFooter>
    <oddHeader>&amp;L&amp;"Calibri"&amp;1 &amp;K000000 Uso Público CPFL#_x000d_</oddHeader>
    <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codeName="Planilha3">
    <tabColor theme="8"/>
    <outlinePr summaryBelow="1" summaryRight="1"/>
    <pageSetUpPr/>
  </sheetPr>
  <dimension ref="A1:I251"/>
  <sheetViews>
    <sheetView workbookViewId="0">
      <selection activeCell="A12" sqref="A12"/>
    </sheetView>
  </sheetViews>
  <sheetFormatPr baseColWidth="8" defaultRowHeight="15"/>
  <cols>
    <col width="11.5703125" bestFit="1" customWidth="1" min="1" max="1"/>
    <col width="60.85546875" customWidth="1" min="2" max="2"/>
    <col width="30.5703125" customWidth="1" min="3" max="3"/>
    <col width="17.5703125" bestFit="1" customWidth="1" min="4" max="4"/>
    <col width="21.85546875" bestFit="1" customWidth="1" min="5" max="5"/>
    <col width="11.28515625" customWidth="1" min="6" max="6"/>
    <col width="10.85546875" customWidth="1" min="7" max="7"/>
    <col width="19.28515625" bestFit="1" customWidth="1" min="8" max="9"/>
  </cols>
  <sheetData>
    <row r="1">
      <c r="A1" s="1" t="inlineStr">
        <is>
          <t>SINAL</t>
        </is>
      </c>
      <c r="B1" s="1" t="inlineStr">
        <is>
          <t>DESCRIÇÃO NOVA</t>
        </is>
      </c>
      <c r="C1" s="1" t="inlineStr">
        <is>
          <t>SIGNAL TYPE</t>
        </is>
      </c>
      <c r="D1" s="1" t="inlineStr">
        <is>
          <t>TIPO DE MEDIÇÃO</t>
        </is>
      </c>
      <c r="E1" s="1" t="inlineStr">
        <is>
          <t>UNIDADE DE EXIBIÇÃO</t>
        </is>
      </c>
      <c r="F1" s="1" t="inlineStr">
        <is>
          <t>FASES</t>
        </is>
      </c>
      <c r="G1" s="1" t="inlineStr">
        <is>
          <t>LADO</t>
        </is>
      </c>
      <c r="H1" s="1" t="inlineStr">
        <is>
          <t>DIREÇÃO DO FLUXO</t>
        </is>
      </c>
      <c r="I1" s="1" t="inlineStr">
        <is>
          <t>FUNCIONAMENTO</t>
        </is>
      </c>
    </row>
    <row r="2">
      <c r="A2" s="2" t="inlineStr">
        <is>
          <t>IN61</t>
        </is>
      </c>
      <c r="B2" s="2" t="inlineStr">
        <is>
          <t xml:space="preserve">61 - CORRENTE DE DESEQUILIBRO </t>
        </is>
      </c>
      <c r="C2" s="2" t="inlineStr">
        <is>
          <t>Valor Medido</t>
        </is>
      </c>
      <c r="D2" s="2" t="inlineStr">
        <is>
          <t>Corrente</t>
        </is>
      </c>
      <c r="E2" s="2" t="inlineStr">
        <is>
          <t>A</t>
        </is>
      </c>
      <c r="F2" s="2" t="inlineStr">
        <is>
          <t>N</t>
        </is>
      </c>
      <c r="G2" s="2" t="n"/>
      <c r="H2" s="2" t="n"/>
      <c r="I2" s="2" t="n"/>
    </row>
    <row r="3">
      <c r="A3" s="2" t="inlineStr">
        <is>
          <t>ANG</t>
        </is>
      </c>
      <c r="B3" s="2" t="inlineStr">
        <is>
          <t>ANGULO</t>
        </is>
      </c>
      <c r="C3" s="2" t="inlineStr">
        <is>
          <t>Valor Medido</t>
        </is>
      </c>
      <c r="D3" s="2" t="inlineStr">
        <is>
          <t>Ângulo de Tensão</t>
        </is>
      </c>
      <c r="E3" s="2" t="inlineStr">
        <is>
          <t>Grau</t>
        </is>
      </c>
      <c r="F3" s="2" t="inlineStr">
        <is>
          <t>L1 L2 L3</t>
        </is>
      </c>
      <c r="G3" s="2" t="n"/>
      <c r="H3" s="2" t="n"/>
      <c r="I3" s="2" t="n"/>
    </row>
    <row r="4">
      <c r="A4" s="2" t="inlineStr">
        <is>
          <t>OPER</t>
        </is>
      </c>
      <c r="B4" s="2" t="inlineStr">
        <is>
          <t>CONTAGEM DE OPERACOES</t>
        </is>
      </c>
      <c r="C4" s="2" t="inlineStr">
        <is>
          <t>Contagem de Operação</t>
        </is>
      </c>
      <c r="D4" s="2" t="inlineStr">
        <is>
          <t>Discreto</t>
        </is>
      </c>
      <c r="E4" s="2" t="inlineStr">
        <is>
          <t>-</t>
        </is>
      </c>
      <c r="F4" s="2" t="inlineStr">
        <is>
          <t>L1 L2 L3</t>
        </is>
      </c>
      <c r="G4" s="2" t="n"/>
      <c r="H4" s="2" t="n"/>
      <c r="I4" s="2" t="n"/>
    </row>
    <row r="5">
      <c r="A5" s="2" t="inlineStr">
        <is>
          <t>IOUT</t>
        </is>
      </c>
      <c r="B5" s="2" t="inlineStr">
        <is>
          <t>CORRENTE CARGA</t>
        </is>
      </c>
      <c r="C5" s="2" t="inlineStr">
        <is>
          <t>Valor Medido</t>
        </is>
      </c>
      <c r="D5" s="2" t="inlineStr">
        <is>
          <t>Corrente</t>
        </is>
      </c>
      <c r="E5" s="2" t="inlineStr">
        <is>
          <t>A</t>
        </is>
      </c>
      <c r="F5" s="2" t="inlineStr">
        <is>
          <t>L1 L2 L3</t>
        </is>
      </c>
      <c r="G5" s="2" t="n"/>
      <c r="H5" s="2" t="n"/>
      <c r="I5" s="2" t="n"/>
    </row>
    <row r="6">
      <c r="A6" s="2" t="inlineStr">
        <is>
          <t>IACC</t>
        </is>
      </c>
      <c r="B6" s="2" t="inlineStr">
        <is>
          <t>CORRENTE CURTO CIRCUITO FASE A</t>
        </is>
      </c>
      <c r="C6" s="2" t="inlineStr">
        <is>
          <t>Gravador de Falha</t>
        </is>
      </c>
      <c r="D6" s="2" t="inlineStr">
        <is>
          <t>Corrente</t>
        </is>
      </c>
      <c r="E6" s="2" t="inlineStr">
        <is>
          <t>A</t>
        </is>
      </c>
      <c r="F6" s="2" t="inlineStr">
        <is>
          <t>L1</t>
        </is>
      </c>
      <c r="G6" s="2" t="n"/>
      <c r="H6" s="2" t="n"/>
      <c r="I6" s="2" t="n"/>
    </row>
    <row r="7">
      <c r="A7" s="2" t="inlineStr">
        <is>
          <t>IBCC</t>
        </is>
      </c>
      <c r="B7" s="2" t="inlineStr">
        <is>
          <t>CORRENTE CURTO CIRCUITO FASE B</t>
        </is>
      </c>
      <c r="C7" s="2" t="inlineStr">
        <is>
          <t>Gravador de Falha</t>
        </is>
      </c>
      <c r="D7" s="2" t="inlineStr">
        <is>
          <t>Corrente</t>
        </is>
      </c>
      <c r="E7" s="2" t="inlineStr">
        <is>
          <t>A</t>
        </is>
      </c>
      <c r="F7" s="2" t="inlineStr">
        <is>
          <t>L2</t>
        </is>
      </c>
      <c r="G7" s="2" t="n"/>
      <c r="H7" s="2" t="n"/>
      <c r="I7" s="2" t="n"/>
    </row>
    <row r="8">
      <c r="A8" s="2" t="inlineStr">
        <is>
          <t>ICCC</t>
        </is>
      </c>
      <c r="B8" s="2" t="inlineStr">
        <is>
          <t>CORRENTE CURTO CIRCUITO FASE C</t>
        </is>
      </c>
      <c r="C8" s="2" t="inlineStr">
        <is>
          <t>Gravador de Falha</t>
        </is>
      </c>
      <c r="D8" s="2" t="inlineStr">
        <is>
          <t>Corrente</t>
        </is>
      </c>
      <c r="E8" s="2" t="inlineStr">
        <is>
          <t>A</t>
        </is>
      </c>
      <c r="F8" s="2" t="inlineStr">
        <is>
          <t>L3</t>
        </is>
      </c>
      <c r="G8" s="2" t="n"/>
      <c r="H8" s="2" t="n"/>
      <c r="I8" s="2" t="n"/>
    </row>
    <row r="9">
      <c r="A9" s="2" t="inlineStr">
        <is>
          <t>INCC</t>
        </is>
      </c>
      <c r="B9" s="2" t="inlineStr">
        <is>
          <t>CORRENTE CURTO CIRCUITO NEUTRO</t>
        </is>
      </c>
      <c r="C9" s="2" t="inlineStr">
        <is>
          <t>Gravador de Falha</t>
        </is>
      </c>
      <c r="D9" s="2" t="inlineStr">
        <is>
          <t>Corrente</t>
        </is>
      </c>
      <c r="E9" s="2" t="inlineStr">
        <is>
          <t>A</t>
        </is>
      </c>
      <c r="F9" s="2" t="inlineStr">
        <is>
          <t>N</t>
        </is>
      </c>
      <c r="G9" s="2" t="n"/>
      <c r="H9" s="2" t="n"/>
      <c r="I9" s="2" t="n"/>
    </row>
    <row r="10">
      <c r="A10" s="2" t="inlineStr">
        <is>
          <t>IA</t>
        </is>
      </c>
      <c r="B10" s="2" t="inlineStr">
        <is>
          <t>CORRENTE FASE A</t>
        </is>
      </c>
      <c r="C10" s="2" t="inlineStr">
        <is>
          <t>Valor Medido</t>
        </is>
      </c>
      <c r="D10" s="2" t="inlineStr">
        <is>
          <t>Corrente</t>
        </is>
      </c>
      <c r="E10" s="2" t="inlineStr">
        <is>
          <t>A</t>
        </is>
      </c>
      <c r="F10" s="2" t="inlineStr">
        <is>
          <t>L1</t>
        </is>
      </c>
      <c r="G10" s="2" t="n"/>
      <c r="H10" s="2" t="n"/>
      <c r="I10" s="2" t="n"/>
    </row>
    <row r="11">
      <c r="A11" s="2" t="inlineStr">
        <is>
          <t>IB</t>
        </is>
      </c>
      <c r="B11" s="2" t="inlineStr">
        <is>
          <t>CORRENTE FASE B</t>
        </is>
      </c>
      <c r="C11" s="2" t="inlineStr">
        <is>
          <t>Valor Medido</t>
        </is>
      </c>
      <c r="D11" s="2" t="inlineStr">
        <is>
          <t>Corrente</t>
        </is>
      </c>
      <c r="E11" s="2" t="inlineStr">
        <is>
          <t>A</t>
        </is>
      </c>
      <c r="F11" s="2" t="inlineStr">
        <is>
          <t>L2</t>
        </is>
      </c>
      <c r="G11" s="2" t="n"/>
      <c r="H11" s="2" t="n"/>
      <c r="I11" s="2" t="n"/>
    </row>
    <row r="12">
      <c r="A12" s="2" t="inlineStr">
        <is>
          <t>IC</t>
        </is>
      </c>
      <c r="B12" s="2" t="inlineStr">
        <is>
          <t>CORRENTE FASE C</t>
        </is>
      </c>
      <c r="C12" s="2" t="inlineStr">
        <is>
          <t>Valor Medido</t>
        </is>
      </c>
      <c r="D12" s="2" t="inlineStr">
        <is>
          <t>Corrente</t>
        </is>
      </c>
      <c r="E12" s="2" t="inlineStr">
        <is>
          <t>A</t>
        </is>
      </c>
      <c r="F12" s="2" t="inlineStr">
        <is>
          <t>L3</t>
        </is>
      </c>
      <c r="G12" s="2" t="n"/>
      <c r="H12" s="2" t="n"/>
      <c r="I12" s="2" t="n"/>
    </row>
    <row r="13">
      <c r="A13" s="2" t="inlineStr">
        <is>
          <t>IN</t>
        </is>
      </c>
      <c r="B13" s="2" t="inlineStr">
        <is>
          <t>CORRENTE NEUTRO</t>
        </is>
      </c>
      <c r="C13" s="2" t="inlineStr">
        <is>
          <t>Valor Medido</t>
        </is>
      </c>
      <c r="D13" s="2" t="inlineStr">
        <is>
          <t>Corrente</t>
        </is>
      </c>
      <c r="E13" s="2" t="inlineStr">
        <is>
          <t>A</t>
        </is>
      </c>
      <c r="F13" s="2" t="inlineStr">
        <is>
          <t>N</t>
        </is>
      </c>
      <c r="G13" s="2" t="n"/>
      <c r="H13" s="2" t="n"/>
      <c r="I13" s="2" t="n"/>
    </row>
    <row r="14">
      <c r="A14" s="2" t="inlineStr">
        <is>
          <t>KMDF</t>
        </is>
      </c>
      <c r="B14" s="2" t="inlineStr">
        <is>
          <t>DISTANCIA DEFEITO</t>
        </is>
      </c>
      <c r="C14" s="2" t="inlineStr">
        <is>
          <t>Custom</t>
        </is>
      </c>
      <c r="D14" s="2" t="inlineStr">
        <is>
          <t>Comprimento</t>
        </is>
      </c>
      <c r="E14" s="2" t="inlineStr">
        <is>
          <t>Km</t>
        </is>
      </c>
      <c r="F14" s="2" t="inlineStr">
        <is>
          <t>L1 L2 L3</t>
        </is>
      </c>
      <c r="G14" s="2" t="n"/>
      <c r="H14" s="2" t="n"/>
      <c r="I14" s="2" t="n"/>
    </row>
    <row r="15">
      <c r="A15" s="2" t="inlineStr">
        <is>
          <t>FP</t>
        </is>
      </c>
      <c r="B15" s="2" t="inlineStr">
        <is>
          <t>FATOR DE POTENCIA</t>
        </is>
      </c>
      <c r="C15" s="2" t="inlineStr">
        <is>
          <t>Valor Medido</t>
        </is>
      </c>
      <c r="D15" s="2" t="inlineStr">
        <is>
          <t>Fator de Potência</t>
        </is>
      </c>
      <c r="E15" s="2" t="inlineStr">
        <is>
          <t>Padrão</t>
        </is>
      </c>
      <c r="F15" s="2" t="inlineStr">
        <is>
          <t>L1 L2 L3</t>
        </is>
      </c>
      <c r="G15" s="2" t="n"/>
      <c r="H15" s="2" t="n"/>
      <c r="I15" s="2" t="n"/>
    </row>
    <row r="16">
      <c r="A16" s="2" t="inlineStr">
        <is>
          <t>FREQ</t>
        </is>
      </c>
      <c r="B16" s="2" t="inlineStr">
        <is>
          <t>FREQUENCIA</t>
        </is>
      </c>
      <c r="C16" s="2" t="inlineStr">
        <is>
          <t>Valor Medido</t>
        </is>
      </c>
      <c r="D16" s="2" t="inlineStr">
        <is>
          <t>Frequência</t>
        </is>
      </c>
      <c r="E16" s="2" t="inlineStr">
        <is>
          <t>Hz</t>
        </is>
      </c>
      <c r="F16" s="2" t="inlineStr">
        <is>
          <t>L1 L2 L3</t>
        </is>
      </c>
      <c r="G16" s="2" t="n"/>
      <c r="H16" s="2" t="n"/>
      <c r="I16" s="2" t="n"/>
    </row>
    <row r="17">
      <c r="A17" s="5" t="inlineStr">
        <is>
          <t>FUGA</t>
        </is>
      </c>
      <c r="B17" s="5" t="inlineStr">
        <is>
          <t>FUGA A TERRA</t>
        </is>
      </c>
      <c r="C17" s="2" t="inlineStr">
        <is>
          <t>Valor Medido</t>
        </is>
      </c>
      <c r="D17" s="2" t="inlineStr">
        <is>
          <t>Corrente</t>
        </is>
      </c>
      <c r="E17" s="2" t="inlineStr">
        <is>
          <t>A</t>
        </is>
      </c>
      <c r="F17" s="5" t="inlineStr">
        <is>
          <t>L1 L2 L3</t>
        </is>
      </c>
      <c r="G17" s="5" t="n"/>
      <c r="H17" s="5" t="n"/>
      <c r="I17" s="5" t="n"/>
    </row>
    <row r="18">
      <c r="A18" s="2" t="inlineStr">
        <is>
          <t>S</t>
        </is>
      </c>
      <c r="B18" s="2" t="inlineStr">
        <is>
          <t>POTENCIA APARENTE</t>
        </is>
      </c>
      <c r="C18" s="2" t="inlineStr">
        <is>
          <t>Valor Medido</t>
        </is>
      </c>
      <c r="D18" s="2" t="inlineStr">
        <is>
          <t>Potência Aparente</t>
        </is>
      </c>
      <c r="E18" s="2" t="inlineStr">
        <is>
          <t>MVA</t>
        </is>
      </c>
      <c r="F18" s="2" t="inlineStr">
        <is>
          <t>L1 L2 L3</t>
        </is>
      </c>
      <c r="G18" s="2" t="n"/>
      <c r="H18" s="2" t="n"/>
      <c r="I18" s="2" t="n"/>
    </row>
    <row r="19">
      <c r="A19" s="2" t="inlineStr">
        <is>
          <t>P</t>
        </is>
      </c>
      <c r="B19" s="2" t="inlineStr">
        <is>
          <t>POTENCIA ATIVA</t>
        </is>
      </c>
      <c r="C19" s="2" t="inlineStr">
        <is>
          <t>Valor Medido</t>
        </is>
      </c>
      <c r="D19" s="2" t="inlineStr">
        <is>
          <t>Potência Ativa</t>
        </is>
      </c>
      <c r="E19" s="2" t="inlineStr">
        <is>
          <t>MW</t>
        </is>
      </c>
      <c r="F19" s="2" t="inlineStr">
        <is>
          <t>L1 L2 L3</t>
        </is>
      </c>
      <c r="G19" s="2" t="n"/>
      <c r="H19" s="2" t="n"/>
      <c r="I19" s="2" t="n"/>
    </row>
    <row r="20">
      <c r="A20" s="2" t="inlineStr">
        <is>
          <t>Q</t>
        </is>
      </c>
      <c r="B20" s="2" t="inlineStr">
        <is>
          <t>POTENCIA REATIVA</t>
        </is>
      </c>
      <c r="C20" s="2" t="inlineStr">
        <is>
          <t>Valor Medido</t>
        </is>
      </c>
      <c r="D20" s="2" t="inlineStr">
        <is>
          <t>Potência Reativa</t>
        </is>
      </c>
      <c r="E20" s="2" t="inlineStr">
        <is>
          <t>MVAR</t>
        </is>
      </c>
      <c r="F20" s="2" t="inlineStr">
        <is>
          <t>L1 L2 L3</t>
        </is>
      </c>
      <c r="G20" s="2" t="n"/>
      <c r="H20" s="2" t="n"/>
      <c r="I20" s="2" t="n"/>
    </row>
    <row r="21">
      <c r="A21" s="2" t="inlineStr">
        <is>
          <t>TPAM</t>
        </is>
      </c>
      <c r="B21" s="2" t="inlineStr">
        <is>
          <t>TEMPERATURA AMBIENTE</t>
        </is>
      </c>
      <c r="C21" s="2" t="inlineStr">
        <is>
          <t>Valor Medido</t>
        </is>
      </c>
      <c r="D21" s="2" t="inlineStr">
        <is>
          <t>Temperatura</t>
        </is>
      </c>
      <c r="E21" s="2" t="inlineStr">
        <is>
          <t>C</t>
        </is>
      </c>
      <c r="F21" s="2" t="inlineStr">
        <is>
          <t>L1 L2 L3</t>
        </is>
      </c>
      <c r="G21" s="2" t="n"/>
      <c r="H21" s="2" t="n"/>
      <c r="I21" s="2" t="n"/>
    </row>
    <row r="22">
      <c r="A22" s="2" t="inlineStr">
        <is>
          <t>TPBT</t>
        </is>
      </c>
      <c r="B22" s="2" t="inlineStr">
        <is>
          <t>TEMPERATURA BATERIAS</t>
        </is>
      </c>
      <c r="C22" s="2" t="inlineStr">
        <is>
          <t>Valor Medido</t>
        </is>
      </c>
      <c r="D22" s="2" t="inlineStr">
        <is>
          <t>Temperatura</t>
        </is>
      </c>
      <c r="E22" s="2" t="inlineStr">
        <is>
          <t>C</t>
        </is>
      </c>
      <c r="F22" s="2" t="inlineStr">
        <is>
          <t>L1 L2 L3</t>
        </is>
      </c>
      <c r="G22" s="2" t="n"/>
      <c r="H22" s="2" t="n"/>
      <c r="I22" s="2" t="n"/>
    </row>
    <row r="23">
      <c r="A23" s="2" t="inlineStr">
        <is>
          <t>TENR</t>
        </is>
      </c>
      <c r="B23" s="2" t="inlineStr">
        <is>
          <t>TEMPERATURA ENROLAMENTO</t>
        </is>
      </c>
      <c r="C23" s="2" t="inlineStr">
        <is>
          <t>Valor Medido</t>
        </is>
      </c>
      <c r="D23" s="2" t="inlineStr">
        <is>
          <t>Temperatura</t>
        </is>
      </c>
      <c r="E23" s="2" t="inlineStr">
        <is>
          <t>C</t>
        </is>
      </c>
      <c r="F23" s="2" t="inlineStr">
        <is>
          <t>L1 L2 L3</t>
        </is>
      </c>
      <c r="G23" s="2" t="n"/>
      <c r="H23" s="2" t="n"/>
      <c r="I23" s="2" t="n"/>
    </row>
    <row r="24">
      <c r="A24" s="2" t="inlineStr">
        <is>
          <t>TSCO</t>
        </is>
      </c>
      <c r="B24" s="2" t="inlineStr">
        <is>
          <t>TEMPERATURA SALA DE COMANDO</t>
        </is>
      </c>
      <c r="C24" s="2" t="inlineStr">
        <is>
          <t>Valor Medido</t>
        </is>
      </c>
      <c r="D24" s="2" t="inlineStr">
        <is>
          <t>Temperatura</t>
        </is>
      </c>
      <c r="E24" s="2" t="inlineStr">
        <is>
          <t>C</t>
        </is>
      </c>
      <c r="F24" s="2" t="inlineStr">
        <is>
          <t>L1 L2 L3</t>
        </is>
      </c>
      <c r="G24" s="2" t="n"/>
      <c r="H24" s="2" t="n"/>
      <c r="I24" s="2" t="n"/>
    </row>
    <row r="25">
      <c r="A25" s="2" t="inlineStr">
        <is>
          <t>TOLE</t>
        </is>
      </c>
      <c r="B25" s="59" t="inlineStr">
        <is>
          <t>TEMPERATURA OLEO</t>
        </is>
      </c>
      <c r="C25" s="2" t="inlineStr">
        <is>
          <t>Valor Medido</t>
        </is>
      </c>
      <c r="D25" s="2" t="inlineStr">
        <is>
          <t>Temperatura</t>
        </is>
      </c>
      <c r="E25" s="2" t="inlineStr">
        <is>
          <t>C</t>
        </is>
      </c>
      <c r="F25" s="2" t="inlineStr">
        <is>
          <t>L1 L2 L3</t>
        </is>
      </c>
      <c r="G25" s="2" t="n"/>
      <c r="H25" s="2" t="n"/>
      <c r="I25" s="2" t="n"/>
    </row>
    <row r="26">
      <c r="A26" s="2" t="inlineStr">
        <is>
          <t>TOL2</t>
        </is>
      </c>
      <c r="B26" s="2" t="inlineStr">
        <is>
          <t>TEMPERATURA OLEO 2</t>
        </is>
      </c>
      <c r="C26" s="2" t="inlineStr">
        <is>
          <t>Valor Medido</t>
        </is>
      </c>
      <c r="D26" s="2" t="inlineStr">
        <is>
          <t>Temperatura</t>
        </is>
      </c>
      <c r="E26" s="2" t="inlineStr">
        <is>
          <t>C</t>
        </is>
      </c>
      <c r="F26" s="2" t="inlineStr">
        <is>
          <t>L1 L2 L3</t>
        </is>
      </c>
      <c r="G26" s="2" t="n"/>
      <c r="H26" s="2" t="n"/>
      <c r="I26" s="2" t="n"/>
    </row>
    <row r="27">
      <c r="A27" s="2" t="inlineStr">
        <is>
          <t>V</t>
        </is>
      </c>
      <c r="B27" s="2" t="inlineStr">
        <is>
          <t>TENSAO</t>
        </is>
      </c>
      <c r="C27" s="2" t="inlineStr">
        <is>
          <t>Valor Medido</t>
        </is>
      </c>
      <c r="D27" s="2" t="inlineStr">
        <is>
          <t>Tensão</t>
        </is>
      </c>
      <c r="E27" s="2" t="inlineStr">
        <is>
          <t>kV</t>
        </is>
      </c>
      <c r="F27" s="2" t="inlineStr">
        <is>
          <t>L1 L2 L3</t>
        </is>
      </c>
      <c r="G27" s="2" t="n"/>
      <c r="H27" s="2" t="n"/>
      <c r="I27" s="2" t="n"/>
    </row>
    <row r="28">
      <c r="A28" s="2" t="inlineStr">
        <is>
          <t>V</t>
        </is>
      </c>
      <c r="B28" s="2" t="inlineStr">
        <is>
          <t>TENSAO</t>
        </is>
      </c>
      <c r="C28" s="2" t="inlineStr">
        <is>
          <t>Valor Medido</t>
        </is>
      </c>
      <c r="D28" s="2" t="inlineStr">
        <is>
          <t>Tensão</t>
        </is>
      </c>
      <c r="E28" s="2" t="inlineStr">
        <is>
          <t>V</t>
        </is>
      </c>
      <c r="F28" s="2" t="inlineStr">
        <is>
          <t>L1 L2 L3</t>
        </is>
      </c>
      <c r="G28" s="2" t="n"/>
      <c r="H28" s="2" t="n"/>
      <c r="I28" s="2" t="inlineStr">
        <is>
          <t>Serviço auxiliar</t>
        </is>
      </c>
    </row>
    <row r="29">
      <c r="A29" s="2" t="inlineStr">
        <is>
          <t>VA_B</t>
        </is>
      </c>
      <c r="B29" s="2" t="inlineStr">
        <is>
          <t>TENSAO BARRA FASE A</t>
        </is>
      </c>
      <c r="C29" s="2" t="inlineStr">
        <is>
          <t>Valor Medido</t>
        </is>
      </c>
      <c r="D29" s="2" t="inlineStr">
        <is>
          <t>Tensão</t>
        </is>
      </c>
      <c r="E29" s="2" t="inlineStr">
        <is>
          <t>kV</t>
        </is>
      </c>
      <c r="F29" s="2" t="inlineStr">
        <is>
          <t>L1</t>
        </is>
      </c>
      <c r="G29" s="2" t="n"/>
      <c r="H29" s="2" t="n"/>
      <c r="I29" s="2" t="n"/>
    </row>
    <row r="30">
      <c r="A30" s="2" t="inlineStr">
        <is>
          <t>VB_B</t>
        </is>
      </c>
      <c r="B30" s="2" t="inlineStr">
        <is>
          <t>TENSAO BARRA FASE B</t>
        </is>
      </c>
      <c r="C30" s="2" t="inlineStr">
        <is>
          <t>Valor Medido</t>
        </is>
      </c>
      <c r="D30" s="2" t="inlineStr">
        <is>
          <t>Tensão</t>
        </is>
      </c>
      <c r="E30" s="2" t="inlineStr">
        <is>
          <t>kV</t>
        </is>
      </c>
      <c r="F30" s="2" t="inlineStr">
        <is>
          <t>L2</t>
        </is>
      </c>
      <c r="G30" s="2" t="n"/>
      <c r="H30" s="2" t="n"/>
      <c r="I30" s="2" t="n"/>
    </row>
    <row r="31">
      <c r="A31" s="2" t="inlineStr">
        <is>
          <t>VC_B</t>
        </is>
      </c>
      <c r="B31" s="2" t="inlineStr">
        <is>
          <t>TENSAO BARRA FASE C</t>
        </is>
      </c>
      <c r="C31" s="2" t="inlineStr">
        <is>
          <t>Valor Medido</t>
        </is>
      </c>
      <c r="D31" s="2" t="inlineStr">
        <is>
          <t>Tensão</t>
        </is>
      </c>
      <c r="E31" s="2" t="inlineStr">
        <is>
          <t>kV</t>
        </is>
      </c>
      <c r="F31" s="2" t="inlineStr">
        <is>
          <t>L3</t>
        </is>
      </c>
      <c r="G31" s="2" t="n"/>
      <c r="H31" s="2" t="n"/>
      <c r="I31" s="2" t="n"/>
    </row>
    <row r="32">
      <c r="A32" s="2" t="inlineStr">
        <is>
          <t>VBAT</t>
        </is>
      </c>
      <c r="B32" s="2" t="inlineStr">
        <is>
          <t>TENSAO BATERIAS</t>
        </is>
      </c>
      <c r="C32" s="2" t="inlineStr">
        <is>
          <t>Valor Medido</t>
        </is>
      </c>
      <c r="D32" s="2" t="inlineStr">
        <is>
          <t>Tensão</t>
        </is>
      </c>
      <c r="E32" s="2" t="inlineStr">
        <is>
          <t>V</t>
        </is>
      </c>
      <c r="F32" s="2" t="inlineStr">
        <is>
          <t>L1 L2 L3</t>
        </is>
      </c>
      <c r="G32" s="2" t="n"/>
      <c r="H32" s="2" t="n"/>
      <c r="I32" s="2" t="n"/>
    </row>
    <row r="33">
      <c r="A33" s="2" t="inlineStr">
        <is>
          <t>VCC</t>
        </is>
      </c>
      <c r="B33" s="2" t="inlineStr">
        <is>
          <t>TENSAO CORRENTE CONTINUA</t>
        </is>
      </c>
      <c r="C33" s="2" t="inlineStr">
        <is>
          <t>Valor Medido</t>
        </is>
      </c>
      <c r="D33" s="2" t="inlineStr">
        <is>
          <t>Tensão</t>
        </is>
      </c>
      <c r="E33" s="2" t="inlineStr">
        <is>
          <t>V</t>
        </is>
      </c>
      <c r="F33" s="2" t="inlineStr">
        <is>
          <t>L1 L2 L3</t>
        </is>
      </c>
      <c r="G33" s="2" t="n"/>
      <c r="H33" s="2" t="n"/>
      <c r="I33" s="2" t="n"/>
    </row>
    <row r="34">
      <c r="A34" s="2" t="inlineStr">
        <is>
          <t>VCC1</t>
        </is>
      </c>
      <c r="B34" s="5" t="inlineStr">
        <is>
          <t>TENSAO CORRENTE CONTINUA 1</t>
        </is>
      </c>
      <c r="C34" s="2" t="inlineStr">
        <is>
          <t>Valor Medido</t>
        </is>
      </c>
      <c r="D34" s="2" t="inlineStr">
        <is>
          <t>Tensão</t>
        </is>
      </c>
      <c r="E34" s="2" t="inlineStr">
        <is>
          <t>V</t>
        </is>
      </c>
      <c r="F34" s="2" t="inlineStr">
        <is>
          <t>L1 L2 L3</t>
        </is>
      </c>
      <c r="G34" s="2" t="n"/>
      <c r="H34" s="2" t="n"/>
      <c r="I34" s="2" t="n"/>
    </row>
    <row r="35">
      <c r="A35" s="2" t="inlineStr">
        <is>
          <t>VCC2</t>
        </is>
      </c>
      <c r="B35" s="5" t="inlineStr">
        <is>
          <t>TENSAO CORRENTE CONTINUA 2</t>
        </is>
      </c>
      <c r="C35" s="2" t="inlineStr">
        <is>
          <t>Valor Medido</t>
        </is>
      </c>
      <c r="D35" s="2" t="inlineStr">
        <is>
          <t>Tensão</t>
        </is>
      </c>
      <c r="E35" s="2" t="inlineStr">
        <is>
          <t>V</t>
        </is>
      </c>
      <c r="F35" s="2" t="inlineStr">
        <is>
          <t>L1 L2 L3</t>
        </is>
      </c>
      <c r="G35" s="2" t="n"/>
      <c r="H35" s="2" t="n"/>
      <c r="I35" s="2" t="n"/>
    </row>
    <row r="36">
      <c r="A36" s="2" t="inlineStr">
        <is>
          <t>VIN</t>
        </is>
      </c>
      <c r="B36" s="2" t="inlineStr">
        <is>
          <t>TENSAO DE ENTRADA</t>
        </is>
      </c>
      <c r="C36" s="2" t="inlineStr">
        <is>
          <t>Valor Medido</t>
        </is>
      </c>
      <c r="D36" s="2" t="inlineStr">
        <is>
          <t>Tensão</t>
        </is>
      </c>
      <c r="E36" s="2" t="inlineStr">
        <is>
          <t>V</t>
        </is>
      </c>
      <c r="F36" s="2" t="inlineStr">
        <is>
          <t>L1 L2 L3</t>
        </is>
      </c>
      <c r="G36" s="2" t="n"/>
      <c r="H36" s="2" t="n"/>
      <c r="I36" s="2" t="n"/>
    </row>
    <row r="37">
      <c r="A37" s="2" t="inlineStr">
        <is>
          <t>VABI</t>
        </is>
      </c>
      <c r="B37" s="2" t="inlineStr">
        <is>
          <t>TENSAO FASE AB - LADO FONTE</t>
        </is>
      </c>
      <c r="C37" s="2" t="inlineStr">
        <is>
          <t>Valor Medido</t>
        </is>
      </c>
      <c r="D37" s="2" t="inlineStr">
        <is>
          <t>Tensão</t>
        </is>
      </c>
      <c r="E37" s="2" t="inlineStr">
        <is>
          <t>kV</t>
        </is>
      </c>
      <c r="F37" s="2" t="inlineStr">
        <is>
          <t>L1 L2</t>
        </is>
      </c>
      <c r="G37" s="2" t="n"/>
      <c r="H37" s="2" t="n"/>
      <c r="I37" s="2" t="n"/>
    </row>
    <row r="38">
      <c r="A38" s="2" t="inlineStr">
        <is>
          <t>VBCI</t>
        </is>
      </c>
      <c r="B38" s="2" t="inlineStr">
        <is>
          <t>TENSAO FASE BC - LADO FONTE</t>
        </is>
      </c>
      <c r="C38" s="2" t="inlineStr">
        <is>
          <t>Valor Medido</t>
        </is>
      </c>
      <c r="D38" s="2" t="inlineStr">
        <is>
          <t>Tensão</t>
        </is>
      </c>
      <c r="E38" s="2" t="inlineStr">
        <is>
          <t>kV</t>
        </is>
      </c>
      <c r="F38" s="2" t="inlineStr">
        <is>
          <t>L2 L3</t>
        </is>
      </c>
      <c r="G38" s="2" t="n"/>
      <c r="H38" s="2" t="n"/>
      <c r="I38" s="2" t="n"/>
    </row>
    <row r="39">
      <c r="A39" s="2" t="inlineStr">
        <is>
          <t>VCAI</t>
        </is>
      </c>
      <c r="B39" s="2" t="inlineStr">
        <is>
          <t>TENSAO FASE CA - LADO FONTE</t>
        </is>
      </c>
      <c r="C39" s="2" t="inlineStr">
        <is>
          <t>Valor Medido</t>
        </is>
      </c>
      <c r="D39" s="2" t="inlineStr">
        <is>
          <t>Tensão</t>
        </is>
      </c>
      <c r="E39" s="2" t="inlineStr">
        <is>
          <t>kV</t>
        </is>
      </c>
      <c r="F39" s="2" t="inlineStr">
        <is>
          <t>L1 L3</t>
        </is>
      </c>
      <c r="G39" s="2" t="n"/>
      <c r="H39" s="2" t="n"/>
      <c r="I39" s="2" t="n"/>
    </row>
    <row r="40">
      <c r="A40" s="2" t="inlineStr">
        <is>
          <t>VREF</t>
        </is>
      </c>
      <c r="B40" s="2" t="inlineStr">
        <is>
          <t>TENSAO DE REFERENCIA</t>
        </is>
      </c>
      <c r="C40" s="2" t="inlineStr">
        <is>
          <t>Valor Medido</t>
        </is>
      </c>
      <c r="D40" s="2" t="inlineStr">
        <is>
          <t>Tensão</t>
        </is>
      </c>
      <c r="E40" s="2" t="inlineStr">
        <is>
          <t>V</t>
        </is>
      </c>
      <c r="F40" s="2" t="inlineStr">
        <is>
          <t>L1 L2 L3</t>
        </is>
      </c>
      <c r="G40" s="2" t="n"/>
      <c r="H40" s="2" t="n"/>
      <c r="I40" s="2" t="n"/>
    </row>
    <row r="41">
      <c r="A41" s="2" t="inlineStr">
        <is>
          <t>VOUT</t>
        </is>
      </c>
      <c r="B41" s="2" t="inlineStr">
        <is>
          <t>TENSAO DE SAIDA</t>
        </is>
      </c>
      <c r="C41" s="2" t="inlineStr">
        <is>
          <t>Valor Medido</t>
        </is>
      </c>
      <c r="D41" s="2" t="inlineStr">
        <is>
          <t>Tensão</t>
        </is>
      </c>
      <c r="E41" s="2" t="inlineStr">
        <is>
          <t>V</t>
        </is>
      </c>
      <c r="F41" s="2" t="inlineStr">
        <is>
          <t>L1 L2 L3</t>
        </is>
      </c>
      <c r="G41" s="2" t="n"/>
      <c r="H41" s="2" t="n"/>
      <c r="I41" s="2" t="n"/>
    </row>
    <row r="42">
      <c r="A42" s="2" t="inlineStr">
        <is>
          <t>VA</t>
        </is>
      </c>
      <c r="B42" s="2" t="inlineStr">
        <is>
          <t>TENSAO FASE A</t>
        </is>
      </c>
      <c r="C42" s="2" t="inlineStr">
        <is>
          <t>Valor Medido</t>
        </is>
      </c>
      <c r="D42" s="2" t="inlineStr">
        <is>
          <t>Tensão</t>
        </is>
      </c>
      <c r="E42" s="2" t="inlineStr">
        <is>
          <t>kV</t>
        </is>
      </c>
      <c r="F42" s="2" t="inlineStr">
        <is>
          <t>L1</t>
        </is>
      </c>
      <c r="G42" s="2" t="n"/>
      <c r="H42" s="2" t="n"/>
      <c r="I42" s="2" t="n"/>
    </row>
    <row r="43">
      <c r="A43" s="2" t="inlineStr">
        <is>
          <t>VA</t>
        </is>
      </c>
      <c r="B43" s="2" t="inlineStr">
        <is>
          <t>TENSAO FASE A</t>
        </is>
      </c>
      <c r="C43" s="2" t="inlineStr">
        <is>
          <t>Valor Medido</t>
        </is>
      </c>
      <c r="D43" s="2" t="inlineStr">
        <is>
          <t>Tensão</t>
        </is>
      </c>
      <c r="E43" s="2" t="inlineStr">
        <is>
          <t>V</t>
        </is>
      </c>
      <c r="F43" s="2" t="inlineStr">
        <is>
          <t>L1</t>
        </is>
      </c>
      <c r="G43" s="2" t="n"/>
      <c r="H43" s="2" t="n"/>
      <c r="I43" s="2" t="inlineStr">
        <is>
          <t>Serviço auxiliar</t>
        </is>
      </c>
    </row>
    <row r="44">
      <c r="A44" s="2" t="inlineStr">
        <is>
          <t>VB</t>
        </is>
      </c>
      <c r="B44" s="2" t="inlineStr">
        <is>
          <t>TENSAO FASE B</t>
        </is>
      </c>
      <c r="C44" s="2" t="inlineStr">
        <is>
          <t>Valor Medido</t>
        </is>
      </c>
      <c r="D44" s="2" t="inlineStr">
        <is>
          <t>Tensão</t>
        </is>
      </c>
      <c r="E44" s="2" t="inlineStr">
        <is>
          <t>kV</t>
        </is>
      </c>
      <c r="F44" s="2" t="inlineStr">
        <is>
          <t>L2</t>
        </is>
      </c>
      <c r="G44" s="2" t="n"/>
      <c r="H44" s="2" t="n"/>
      <c r="I44" s="2" t="n"/>
    </row>
    <row r="45">
      <c r="A45" s="2" t="inlineStr">
        <is>
          <t>VB</t>
        </is>
      </c>
      <c r="B45" s="2" t="inlineStr">
        <is>
          <t>TENSAO FASE B</t>
        </is>
      </c>
      <c r="C45" s="2" t="inlineStr">
        <is>
          <t>Valor Medido</t>
        </is>
      </c>
      <c r="D45" s="2" t="inlineStr">
        <is>
          <t>Tensão</t>
        </is>
      </c>
      <c r="E45" s="2" t="inlineStr">
        <is>
          <t>V</t>
        </is>
      </c>
      <c r="F45" s="2" t="inlineStr">
        <is>
          <t>L2</t>
        </is>
      </c>
      <c r="G45" s="2" t="n"/>
      <c r="H45" s="2" t="n"/>
      <c r="I45" s="2" t="inlineStr">
        <is>
          <t>Serviço auxiliar</t>
        </is>
      </c>
    </row>
    <row r="46">
      <c r="A46" s="2" t="inlineStr">
        <is>
          <t>VC</t>
        </is>
      </c>
      <c r="B46" s="2" t="inlineStr">
        <is>
          <t>TENSAO FASE C</t>
        </is>
      </c>
      <c r="C46" s="2" t="inlineStr">
        <is>
          <t>Valor Medido</t>
        </is>
      </c>
      <c r="D46" s="2" t="inlineStr">
        <is>
          <t>Tensão</t>
        </is>
      </c>
      <c r="E46" s="2" t="inlineStr">
        <is>
          <t>kV</t>
        </is>
      </c>
      <c r="F46" s="2" t="inlineStr">
        <is>
          <t>L3</t>
        </is>
      </c>
      <c r="G46" s="2" t="n"/>
      <c r="H46" s="2" t="n"/>
      <c r="I46" s="2" t="n"/>
    </row>
    <row r="47">
      <c r="A47" s="2" t="inlineStr">
        <is>
          <t>VC</t>
        </is>
      </c>
      <c r="B47" s="2" t="inlineStr">
        <is>
          <t>TENSAO FASE C</t>
        </is>
      </c>
      <c r="C47" s="2" t="inlineStr">
        <is>
          <t>Valor Medido</t>
        </is>
      </c>
      <c r="D47" s="2" t="inlineStr">
        <is>
          <t>Tensão</t>
        </is>
      </c>
      <c r="E47" s="2" t="inlineStr">
        <is>
          <t>V</t>
        </is>
      </c>
      <c r="F47" s="2" t="inlineStr">
        <is>
          <t>L3</t>
        </is>
      </c>
      <c r="G47" s="2" t="n"/>
      <c r="H47" s="2" t="n"/>
      <c r="I47" s="2" t="inlineStr">
        <is>
          <t>Serviço auxiliar</t>
        </is>
      </c>
    </row>
    <row r="48">
      <c r="A48" s="2" t="inlineStr">
        <is>
          <t>VAB</t>
        </is>
      </c>
      <c r="B48" s="2" t="inlineStr">
        <is>
          <t>TENSAO FASE AB</t>
        </is>
      </c>
      <c r="C48" s="2" t="inlineStr">
        <is>
          <t>Valor Medido</t>
        </is>
      </c>
      <c r="D48" s="2" t="inlineStr">
        <is>
          <t>Tensão</t>
        </is>
      </c>
      <c r="E48" s="2" t="inlineStr">
        <is>
          <t>kV</t>
        </is>
      </c>
      <c r="F48" s="2" t="inlineStr">
        <is>
          <t>L1 L2</t>
        </is>
      </c>
      <c r="G48" s="2" t="n"/>
      <c r="H48" s="2" t="n"/>
      <c r="I48" s="2" t="n"/>
    </row>
    <row r="49">
      <c r="A49" s="2" t="inlineStr">
        <is>
          <t>VAB</t>
        </is>
      </c>
      <c r="B49" s="2" t="inlineStr">
        <is>
          <t>TENSAO FASE AB</t>
        </is>
      </c>
      <c r="C49" s="2" t="inlineStr">
        <is>
          <t>Valor Medido</t>
        </is>
      </c>
      <c r="D49" s="2" t="inlineStr">
        <is>
          <t>Tensão</t>
        </is>
      </c>
      <c r="E49" s="2" t="inlineStr">
        <is>
          <t>V</t>
        </is>
      </c>
      <c r="F49" s="2" t="inlineStr">
        <is>
          <t>L1 L2</t>
        </is>
      </c>
      <c r="G49" s="2" t="n"/>
      <c r="H49" s="2" t="n"/>
      <c r="I49" s="2" t="inlineStr">
        <is>
          <t>Serviço auxiliar</t>
        </is>
      </c>
    </row>
    <row r="50">
      <c r="A50" s="2" t="inlineStr">
        <is>
          <t>VBC</t>
        </is>
      </c>
      <c r="B50" s="2" t="inlineStr">
        <is>
          <t>TENSAO FASE BC</t>
        </is>
      </c>
      <c r="C50" s="2" t="inlineStr">
        <is>
          <t>Valor Medido</t>
        </is>
      </c>
      <c r="D50" s="2" t="inlineStr">
        <is>
          <t>Tensão</t>
        </is>
      </c>
      <c r="E50" s="2" t="inlineStr">
        <is>
          <t>kV</t>
        </is>
      </c>
      <c r="F50" s="2" t="inlineStr">
        <is>
          <t>L2 L3</t>
        </is>
      </c>
      <c r="G50" s="2" t="n"/>
      <c r="H50" s="2" t="n"/>
      <c r="I50" s="2" t="n"/>
    </row>
    <row r="51">
      <c r="A51" s="2" t="inlineStr">
        <is>
          <t>VBC</t>
        </is>
      </c>
      <c r="B51" s="2" t="inlineStr">
        <is>
          <t>TENSAO FASE BC</t>
        </is>
      </c>
      <c r="C51" s="2" t="inlineStr">
        <is>
          <t>Valor Medido</t>
        </is>
      </c>
      <c r="D51" s="2" t="inlineStr">
        <is>
          <t>Tensão</t>
        </is>
      </c>
      <c r="E51" s="2" t="inlineStr">
        <is>
          <t>V</t>
        </is>
      </c>
      <c r="F51" s="2" t="inlineStr">
        <is>
          <t>L2 L3</t>
        </is>
      </c>
      <c r="G51" s="2" t="n"/>
      <c r="H51" s="2" t="n"/>
      <c r="I51" s="2" t="inlineStr">
        <is>
          <t>Serviço auxiliar</t>
        </is>
      </c>
    </row>
    <row r="52">
      <c r="A52" s="2" t="inlineStr">
        <is>
          <t>VCA</t>
        </is>
      </c>
      <c r="B52" s="2" t="inlineStr">
        <is>
          <t>TENSAO FASE CA</t>
        </is>
      </c>
      <c r="C52" s="2" t="inlineStr">
        <is>
          <t>Valor Medido</t>
        </is>
      </c>
      <c r="D52" s="2" t="inlineStr">
        <is>
          <t>Tensão</t>
        </is>
      </c>
      <c r="E52" s="2" t="inlineStr">
        <is>
          <t>kV</t>
        </is>
      </c>
      <c r="F52" s="2" t="inlineStr">
        <is>
          <t>L1 L3</t>
        </is>
      </c>
      <c r="G52" s="2" t="n"/>
      <c r="H52" s="2" t="n"/>
      <c r="I52" s="2" t="n"/>
    </row>
    <row r="53">
      <c r="A53" s="2" t="inlineStr">
        <is>
          <t>VCA</t>
        </is>
      </c>
      <c r="B53" s="2" t="inlineStr">
        <is>
          <t>TENSAO FASE CA</t>
        </is>
      </c>
      <c r="C53" s="2" t="inlineStr">
        <is>
          <t>Valor Medido</t>
        </is>
      </c>
      <c r="D53" s="2" t="inlineStr">
        <is>
          <t>Tensão</t>
        </is>
      </c>
      <c r="E53" s="2" t="inlineStr">
        <is>
          <t>V</t>
        </is>
      </c>
      <c r="F53" s="2" t="inlineStr">
        <is>
          <t>L1 L3</t>
        </is>
      </c>
      <c r="G53" s="2" t="n"/>
      <c r="H53" s="2" t="n"/>
      <c r="I53" s="2" t="inlineStr">
        <is>
          <t>Serviço auxiliar</t>
        </is>
      </c>
    </row>
    <row r="54">
      <c r="A54" s="2" t="inlineStr">
        <is>
          <t>VA_L</t>
        </is>
      </c>
      <c r="B54" s="2" t="inlineStr">
        <is>
          <t>TENSAO LINHA FASE A</t>
        </is>
      </c>
      <c r="C54" s="2" t="inlineStr">
        <is>
          <t>Valor Medido</t>
        </is>
      </c>
      <c r="D54" s="2" t="inlineStr">
        <is>
          <t>Tensão</t>
        </is>
      </c>
      <c r="E54" s="2" t="inlineStr">
        <is>
          <t>kV</t>
        </is>
      </c>
      <c r="F54" s="2" t="inlineStr">
        <is>
          <t>L1</t>
        </is>
      </c>
      <c r="G54" s="2" t="n"/>
      <c r="H54" s="2" t="n"/>
      <c r="I54" s="2" t="n"/>
    </row>
    <row r="55">
      <c r="A55" s="2" t="inlineStr">
        <is>
          <t>VB_L</t>
        </is>
      </c>
      <c r="B55" s="2" t="inlineStr">
        <is>
          <t>TENSAO LINHA FASE B</t>
        </is>
      </c>
      <c r="C55" s="2" t="inlineStr">
        <is>
          <t>Valor Medido</t>
        </is>
      </c>
      <c r="D55" s="2" t="inlineStr">
        <is>
          <t>Tensão</t>
        </is>
      </c>
      <c r="E55" s="2" t="inlineStr">
        <is>
          <t>kV</t>
        </is>
      </c>
      <c r="F55" s="2" t="inlineStr">
        <is>
          <t>L2</t>
        </is>
      </c>
      <c r="G55" s="2" t="n"/>
      <c r="H55" s="2" t="n"/>
      <c r="I55" s="2" t="n"/>
    </row>
    <row r="56">
      <c r="A56" s="2" t="inlineStr">
        <is>
          <t>VC_L</t>
        </is>
      </c>
      <c r="B56" s="2" t="inlineStr">
        <is>
          <t>TENSAO LINHA FASE C</t>
        </is>
      </c>
      <c r="C56" s="2" t="inlineStr">
        <is>
          <t>Valor Medido</t>
        </is>
      </c>
      <c r="D56" s="2" t="inlineStr">
        <is>
          <t>Tensão</t>
        </is>
      </c>
      <c r="E56" s="2" t="inlineStr">
        <is>
          <t>kV</t>
        </is>
      </c>
      <c r="F56" s="2" t="inlineStr">
        <is>
          <t>L3</t>
        </is>
      </c>
      <c r="G56" s="2" t="n"/>
      <c r="H56" s="2" t="n"/>
      <c r="I56" s="2" t="n"/>
    </row>
    <row r="57">
      <c r="A57" s="2" t="inlineStr">
        <is>
          <t>UMID</t>
        </is>
      </c>
      <c r="B57" s="2" t="inlineStr">
        <is>
          <t>UMIDADE</t>
        </is>
      </c>
      <c r="C57" s="2" t="inlineStr">
        <is>
          <t>Custom</t>
        </is>
      </c>
      <c r="D57" s="2" t="inlineStr">
        <is>
          <t>Umidade</t>
        </is>
      </c>
      <c r="E57" s="2" t="inlineStr">
        <is>
          <t>%</t>
        </is>
      </c>
      <c r="F57" s="2" t="inlineStr">
        <is>
          <t>L1 L2 L3</t>
        </is>
      </c>
      <c r="G57" s="2" t="n"/>
      <c r="H57" s="2" t="n"/>
      <c r="I57" s="2" t="n"/>
    </row>
    <row r="58">
      <c r="A58" s="2" t="inlineStr">
        <is>
          <t>ADIF</t>
        </is>
      </c>
      <c r="B58" s="2" t="inlineStr">
        <is>
          <t>25 - DIFERENCA ANGULO</t>
        </is>
      </c>
      <c r="C58" s="2" t="inlineStr">
        <is>
          <t>Valor Medido</t>
        </is>
      </c>
      <c r="D58" s="2" t="inlineStr">
        <is>
          <t>Ângulo de Tensão</t>
        </is>
      </c>
      <c r="E58" s="2" t="inlineStr">
        <is>
          <t>Grau</t>
        </is>
      </c>
      <c r="F58" s="2" t="inlineStr">
        <is>
          <t>L1 L2 L3</t>
        </is>
      </c>
      <c r="G58" s="2" t="n"/>
      <c r="H58" s="2" t="n"/>
      <c r="I58" s="2" t="n"/>
    </row>
    <row r="59">
      <c r="A59" s="2" t="inlineStr">
        <is>
          <t>VDIF</t>
        </is>
      </c>
      <c r="B59" s="2" t="inlineStr">
        <is>
          <t>25 - DIFERENCA TENSAO</t>
        </is>
      </c>
      <c r="C59" s="2" t="inlineStr">
        <is>
          <t>Valor Medido</t>
        </is>
      </c>
      <c r="D59" s="2" t="inlineStr">
        <is>
          <t>Tensão</t>
        </is>
      </c>
      <c r="E59" s="2" t="inlineStr">
        <is>
          <t>kV</t>
        </is>
      </c>
      <c r="F59" s="2" t="inlineStr">
        <is>
          <t>L1 L2 L3</t>
        </is>
      </c>
      <c r="G59" s="2" t="n"/>
      <c r="H59" s="2" t="n"/>
      <c r="I59" s="2" t="n"/>
    </row>
    <row r="60">
      <c r="A60" s="2" t="inlineStr">
        <is>
          <t>FDIF</t>
        </is>
      </c>
      <c r="B60" s="2" t="inlineStr">
        <is>
          <t>25 - DIFERENCA FREQUENCIA</t>
        </is>
      </c>
      <c r="C60" s="2" t="inlineStr">
        <is>
          <t>Valor Medido</t>
        </is>
      </c>
      <c r="D60" s="2" t="inlineStr">
        <is>
          <t>Frequência</t>
        </is>
      </c>
      <c r="E60" s="2" t="inlineStr">
        <is>
          <t>Hz</t>
        </is>
      </c>
      <c r="F60" s="2" t="inlineStr">
        <is>
          <t>L1 L2 L3</t>
        </is>
      </c>
      <c r="G60" s="2" t="n"/>
      <c r="H60" s="2" t="n"/>
      <c r="I60" s="2" t="n"/>
    </row>
    <row r="61">
      <c r="A61" s="2" t="inlineStr">
        <is>
          <t>VABX</t>
        </is>
      </c>
      <c r="B61" s="2" t="inlineStr">
        <is>
          <t>TENSAO FASE AB - LADO CARGA</t>
        </is>
      </c>
      <c r="C61" s="2" t="inlineStr">
        <is>
          <t>Valor Medido</t>
        </is>
      </c>
      <c r="D61" s="2" t="inlineStr">
        <is>
          <t>Tensão</t>
        </is>
      </c>
      <c r="E61" s="2" t="inlineStr">
        <is>
          <t>kV</t>
        </is>
      </c>
      <c r="F61" s="2" t="inlineStr">
        <is>
          <t>L1 L2</t>
        </is>
      </c>
      <c r="G61" s="2" t="n"/>
      <c r="H61" s="2" t="n"/>
      <c r="I61" s="2" t="n"/>
    </row>
    <row r="62">
      <c r="A62" s="2" t="inlineStr">
        <is>
          <t>VBCX</t>
        </is>
      </c>
      <c r="B62" s="2" t="inlineStr">
        <is>
          <t>TENSAO FASE BC - LADO CARGA</t>
        </is>
      </c>
      <c r="C62" s="2" t="inlineStr">
        <is>
          <t>Valor Medido</t>
        </is>
      </c>
      <c r="D62" s="2" t="inlineStr">
        <is>
          <t>Tensão</t>
        </is>
      </c>
      <c r="E62" s="2" t="inlineStr">
        <is>
          <t>kV</t>
        </is>
      </c>
      <c r="F62" s="2" t="inlineStr">
        <is>
          <t>L2 L3</t>
        </is>
      </c>
      <c r="G62" s="2" t="n"/>
      <c r="H62" s="2" t="n"/>
      <c r="I62" s="2" t="n"/>
    </row>
    <row r="63">
      <c r="A63" s="2" t="inlineStr">
        <is>
          <t>VCAX</t>
        </is>
      </c>
      <c r="B63" s="2" t="inlineStr">
        <is>
          <t>TENSAO FASE CA - LADO CARGA</t>
        </is>
      </c>
      <c r="C63" s="2" t="inlineStr">
        <is>
          <t>Valor Medido</t>
        </is>
      </c>
      <c r="D63" s="2" t="inlineStr">
        <is>
          <t>Tensão</t>
        </is>
      </c>
      <c r="E63" s="2" t="inlineStr">
        <is>
          <t>kV</t>
        </is>
      </c>
      <c r="F63" s="2" t="inlineStr">
        <is>
          <t>L1 L3</t>
        </is>
      </c>
      <c r="G63" s="2" t="n"/>
      <c r="H63" s="2" t="n"/>
      <c r="I63" s="2" t="n"/>
    </row>
    <row r="188">
      <c r="B188" t="n"/>
    </row>
    <row r="190">
      <c r="B190" t="n"/>
    </row>
    <row r="192">
      <c r="B192" t="n"/>
    </row>
    <row r="250">
      <c r="B250" t="n"/>
    </row>
    <row r="251">
      <c r="B251" t="n"/>
    </row>
  </sheetData>
  <autoFilter ref="A1:H1">
    <sortState ref="A2:H51">
      <sortCondition ref="B1"/>
    </sortState>
  </autoFilter>
  <pageMargins left="0.511811024" right="0.511811024" top="0.787401575" bottom="0.787401575" header="0.31496062" footer="0.31496062"/>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SINAL</t>
        </is>
      </c>
      <c r="B1" t="inlineStr">
        <is>
          <t>DESCRIÇÃO NOVA</t>
        </is>
      </c>
      <c r="C1" t="inlineStr">
        <is>
          <t>SIGNAL TYPE</t>
        </is>
      </c>
      <c r="D1" t="inlineStr">
        <is>
          <t>MEASUREMENT TYPE</t>
        </is>
      </c>
      <c r="E1" t="inlineStr">
        <is>
          <t>FASES</t>
        </is>
      </c>
      <c r="F1" t="inlineStr">
        <is>
          <t>DIRECTION</t>
        </is>
      </c>
      <c r="G1" t="inlineStr">
        <is>
          <t>NORMAL VALUE</t>
        </is>
      </c>
      <c r="H1" t="inlineStr">
        <is>
          <t>REMOTE POINT TYPE</t>
        </is>
      </c>
      <c r="I1" t="inlineStr">
        <is>
          <t>OUTPUT DATA TYPE</t>
        </is>
      </c>
      <c r="J1" t="inlineStr">
        <is>
          <t>DEVICE MAPPING REF</t>
        </is>
      </c>
      <c r="K1" t="inlineStr">
        <is>
          <t>APLICABILIDADE</t>
        </is>
      </c>
    </row>
    <row r="2">
      <c r="A2" t="inlineStr">
        <is>
          <t>TAP</t>
        </is>
      </c>
      <c r="B2" t="inlineStr">
        <is>
          <t>POSICAO DO TAP</t>
        </is>
      </c>
      <c r="C2" t="inlineStr">
        <is>
          <t>TapPosition</t>
        </is>
      </c>
      <c r="D2" t="inlineStr">
        <is>
          <t>Discrete</t>
        </is>
      </c>
      <c r="E2" t="inlineStr">
        <is>
          <t>ABC</t>
        </is>
      </c>
      <c r="F2" t="inlineStr">
        <is>
          <t>Read</t>
        </is>
      </c>
      <c r="G2" t="n">
        <v>9</v>
      </c>
      <c r="H2" t="inlineStr">
        <is>
          <t>Analog</t>
        </is>
      </c>
      <c r="I2" t="inlineStr">
        <is>
          <t>Float</t>
        </is>
      </c>
      <c r="J2" t="inlineStr">
        <is>
          <t>COMTAP</t>
        </is>
      </c>
      <c r="K2" t="inlineStr">
        <is>
          <t>TRANSFORMADOR</t>
        </is>
      </c>
    </row>
  </sheetData>
  <pageMargins left="0.75" right="0.75" top="1" bottom="1" header="0.5" footer="0.5"/>
</worksheet>
</file>

<file path=xl/worksheets/sheet4.xml><?xml version="1.0" encoding="utf-8"?>
<worksheet xmlns="http://schemas.openxmlformats.org/spreadsheetml/2006/main">
  <sheetPr codeName="Planilha4">
    <tabColor rgb="FFC00000"/>
    <outlinePr summaryBelow="1" summaryRight="1"/>
    <pageSetUpPr/>
  </sheetPr>
  <dimension ref="A1:B101"/>
  <sheetViews>
    <sheetView topLeftCell="A61" workbookViewId="0">
      <selection activeCell="B101" sqref="B101"/>
    </sheetView>
  </sheetViews>
  <sheetFormatPr baseColWidth="8" defaultRowHeight="15"/>
  <cols>
    <col width="26.140625" customWidth="1" min="1" max="1"/>
    <col width="45.85546875" customWidth="1" min="2" max="2"/>
  </cols>
  <sheetData>
    <row r="1">
      <c r="A1" s="1" t="inlineStr">
        <is>
          <t>SINAL</t>
        </is>
      </c>
      <c r="B1" s="1" t="inlineStr">
        <is>
          <t>DESCRIÇÃO NOVA</t>
        </is>
      </c>
    </row>
    <row r="2">
      <c r="A2" s="99" t="n">
        <v>90</v>
      </c>
      <c r="B2" s="99" t="inlineStr">
        <is>
          <t>R90</t>
        </is>
      </c>
    </row>
    <row r="3">
      <c r="A3" s="99" t="inlineStr">
        <is>
          <t>20T87T</t>
        </is>
      </c>
      <c r="B3" s="99" t="inlineStr">
        <is>
          <t>2087T</t>
        </is>
      </c>
    </row>
    <row r="4">
      <c r="A4" s="99" t="inlineStr">
        <is>
          <t>21_1</t>
        </is>
      </c>
      <c r="B4" s="99" t="inlineStr">
        <is>
          <t>21Z1</t>
        </is>
      </c>
    </row>
    <row r="5">
      <c r="A5" s="99" t="inlineStr">
        <is>
          <t>21_2</t>
        </is>
      </c>
      <c r="B5" s="99" t="inlineStr">
        <is>
          <t>21Z2</t>
        </is>
      </c>
    </row>
    <row r="6">
      <c r="A6" s="99" t="inlineStr">
        <is>
          <t>21_3</t>
        </is>
      </c>
      <c r="B6" s="99" t="inlineStr">
        <is>
          <t>21Z3</t>
        </is>
      </c>
    </row>
    <row r="7">
      <c r="A7" s="99" t="inlineStr">
        <is>
          <t>21_4</t>
        </is>
      </c>
      <c r="B7" s="99" t="inlineStr">
        <is>
          <t>21Z4</t>
        </is>
      </c>
    </row>
    <row r="8">
      <c r="A8" s="99" t="inlineStr">
        <is>
          <t>2646_T</t>
        </is>
      </c>
      <c r="B8" s="99" t="inlineStr">
        <is>
          <t>TOED</t>
        </is>
      </c>
    </row>
    <row r="9">
      <c r="A9" s="99" t="inlineStr">
        <is>
          <t>2649T</t>
        </is>
      </c>
      <c r="B9" s="99" t="inlineStr">
        <is>
          <t>TOED</t>
        </is>
      </c>
    </row>
    <row r="10">
      <c r="A10" s="99" t="inlineStr">
        <is>
          <t>27_1</t>
        </is>
      </c>
      <c r="B10" s="100" t="inlineStr">
        <is>
          <t>27E1</t>
        </is>
      </c>
    </row>
    <row r="11">
      <c r="A11" s="99" t="inlineStr">
        <is>
          <t>27_2</t>
        </is>
      </c>
      <c r="B11" s="100" t="inlineStr">
        <is>
          <t>27E2</t>
        </is>
      </c>
    </row>
    <row r="12">
      <c r="A12" s="99" t="inlineStr">
        <is>
          <t>27_B</t>
        </is>
      </c>
      <c r="B12" s="2" t="inlineStr">
        <is>
          <t>27BR</t>
        </is>
      </c>
    </row>
    <row r="13">
      <c r="A13" s="99" t="inlineStr">
        <is>
          <t>27L</t>
        </is>
      </c>
      <c r="B13" s="2" t="inlineStr">
        <is>
          <t>27LT</t>
        </is>
      </c>
    </row>
    <row r="14">
      <c r="A14" s="99" t="inlineStr">
        <is>
          <t>43CD</t>
        </is>
      </c>
      <c r="B14" s="99" t="inlineStr">
        <is>
          <t>RLCD</t>
        </is>
      </c>
    </row>
    <row r="15">
      <c r="A15" s="99" t="inlineStr">
        <is>
          <t>50B1</t>
        </is>
      </c>
      <c r="B15" s="99" t="inlineStr">
        <is>
          <t>50_1</t>
        </is>
      </c>
    </row>
    <row r="16">
      <c r="A16" s="99" t="inlineStr">
        <is>
          <t>50B2</t>
        </is>
      </c>
      <c r="B16" s="99" t="inlineStr">
        <is>
          <t>50_2</t>
        </is>
      </c>
    </row>
    <row r="17">
      <c r="A17" s="99" t="inlineStr">
        <is>
          <t>59_1</t>
        </is>
      </c>
      <c r="B17" s="100" t="inlineStr">
        <is>
          <t>59E1</t>
        </is>
      </c>
    </row>
    <row r="18">
      <c r="A18" s="99" t="inlineStr">
        <is>
          <t>59_2</t>
        </is>
      </c>
      <c r="B18" s="100" t="inlineStr">
        <is>
          <t>59E2</t>
        </is>
      </c>
    </row>
    <row r="19">
      <c r="A19" s="99" t="inlineStr">
        <is>
          <t>5CDC</t>
        </is>
      </c>
      <c r="B19" s="2" t="inlineStr">
        <is>
          <t>50CD</t>
        </is>
      </c>
    </row>
    <row r="20">
      <c r="A20" s="99" t="inlineStr">
        <is>
          <t>63C</t>
        </is>
      </c>
      <c r="B20" s="2" t="inlineStr">
        <is>
          <t>63CD</t>
        </is>
      </c>
    </row>
    <row r="21">
      <c r="A21" s="99" t="inlineStr">
        <is>
          <t>63CT</t>
        </is>
      </c>
      <c r="B21" s="2" t="inlineStr">
        <is>
          <t>63TC</t>
        </is>
      </c>
    </row>
    <row r="22">
      <c r="A22" s="99" t="inlineStr">
        <is>
          <t>63T</t>
        </is>
      </c>
      <c r="B22" s="2" t="inlineStr">
        <is>
          <t>63TD</t>
        </is>
      </c>
    </row>
    <row r="23">
      <c r="A23" s="99" t="inlineStr">
        <is>
          <t>67EX</t>
        </is>
      </c>
      <c r="B23" s="2" t="n">
        <v>67</v>
      </c>
    </row>
    <row r="24">
      <c r="A24" s="99" t="inlineStr">
        <is>
          <t>67T1</t>
        </is>
      </c>
      <c r="B24" s="2" t="inlineStr">
        <is>
          <t>67FT</t>
        </is>
      </c>
    </row>
    <row r="25">
      <c r="A25" s="99" t="inlineStr">
        <is>
          <t>67T2</t>
        </is>
      </c>
      <c r="B25" s="2" t="inlineStr">
        <is>
          <t>67FT</t>
        </is>
      </c>
    </row>
    <row r="26">
      <c r="A26" s="99" t="inlineStr">
        <is>
          <t>81_1</t>
        </is>
      </c>
      <c r="B26" s="99" t="inlineStr">
        <is>
          <t>81E1</t>
        </is>
      </c>
    </row>
    <row r="27">
      <c r="A27" s="99" t="inlineStr">
        <is>
          <t>81_2</t>
        </is>
      </c>
      <c r="B27" s="99" t="inlineStr">
        <is>
          <t>81E2</t>
        </is>
      </c>
    </row>
    <row r="28">
      <c r="A28" s="99" t="inlineStr">
        <is>
          <t>81_TRIP</t>
        </is>
      </c>
      <c r="B28" s="2" t="inlineStr">
        <is>
          <t>81_T</t>
        </is>
      </c>
    </row>
    <row r="29">
      <c r="A29" s="99" t="inlineStr">
        <is>
          <t>86BFCC</t>
        </is>
      </c>
      <c r="B29" s="2" t="inlineStr">
        <is>
          <t>86CC</t>
        </is>
      </c>
    </row>
    <row r="30">
      <c r="A30" s="99" t="inlineStr">
        <is>
          <t>86T</t>
        </is>
      </c>
      <c r="B30" s="99" t="n">
        <v>86</v>
      </c>
    </row>
    <row r="31">
      <c r="A31" s="99" t="inlineStr">
        <is>
          <t>87RF</t>
        </is>
      </c>
      <c r="B31" s="2" t="inlineStr">
        <is>
          <t>87EF</t>
        </is>
      </c>
    </row>
    <row r="32">
      <c r="A32" s="99" t="inlineStr">
        <is>
          <t>90PI</t>
        </is>
      </c>
      <c r="B32" s="101" t="inlineStr">
        <is>
          <t>MANUT</t>
        </is>
      </c>
    </row>
    <row r="33">
      <c r="A33" s="99" t="inlineStr">
        <is>
          <t>ABRE</t>
        </is>
      </c>
      <c r="B33" s="2" t="inlineStr">
        <is>
          <t>TEXT</t>
        </is>
      </c>
    </row>
    <row r="34">
      <c r="A34" s="99" t="inlineStr">
        <is>
          <t>AJ81U1</t>
        </is>
      </c>
      <c r="B34" s="99" t="inlineStr">
        <is>
          <t>81U1</t>
        </is>
      </c>
    </row>
    <row r="35">
      <c r="A35" s="99" t="inlineStr">
        <is>
          <t>AJ81U2</t>
        </is>
      </c>
      <c r="B35" s="99" t="inlineStr">
        <is>
          <t>81U2</t>
        </is>
      </c>
    </row>
    <row r="36">
      <c r="A36" s="99" t="inlineStr">
        <is>
          <t>AJ81U3</t>
        </is>
      </c>
      <c r="B36" s="99" t="inlineStr">
        <is>
          <t>81U3</t>
        </is>
      </c>
    </row>
    <row r="37">
      <c r="A37" s="99" t="inlineStr">
        <is>
          <t>AJ81U4</t>
        </is>
      </c>
      <c r="B37" s="99" t="inlineStr">
        <is>
          <t>81U4</t>
        </is>
      </c>
    </row>
    <row r="38">
      <c r="A38" s="99" t="inlineStr">
        <is>
          <t>AJ81U5</t>
        </is>
      </c>
      <c r="B38" s="99" t="inlineStr">
        <is>
          <t>81U5</t>
        </is>
      </c>
    </row>
    <row r="39">
      <c r="A39" s="99" t="inlineStr">
        <is>
          <t>AUTC</t>
        </is>
      </c>
      <c r="B39" s="99" t="inlineStr">
        <is>
          <t>AUTO</t>
        </is>
      </c>
    </row>
    <row r="40">
      <c r="A40" s="99" t="inlineStr">
        <is>
          <t>BAFU</t>
        </is>
      </c>
      <c r="B40" s="2" t="inlineStr">
        <is>
          <t>BATA</t>
        </is>
      </c>
    </row>
    <row r="41">
      <c r="A41" s="99" t="inlineStr">
        <is>
          <t>BASD</t>
        </is>
      </c>
      <c r="B41" s="101" t="inlineStr">
        <is>
          <t>MANUT</t>
        </is>
      </c>
    </row>
    <row r="42">
      <c r="A42" s="99" t="inlineStr">
        <is>
          <t>BB</t>
        </is>
      </c>
      <c r="B42" s="2" t="inlineStr">
        <is>
          <t>BBAF</t>
        </is>
      </c>
    </row>
    <row r="43">
      <c r="A43" s="99" t="inlineStr">
        <is>
          <t>BFCC</t>
        </is>
      </c>
      <c r="B43" s="2" t="inlineStr">
        <is>
          <t>86CC</t>
        </is>
      </c>
    </row>
    <row r="44">
      <c r="A44" s="99" t="inlineStr">
        <is>
          <t>BLQR</t>
        </is>
      </c>
      <c r="B44" s="99" t="inlineStr">
        <is>
          <t>79LO</t>
        </is>
      </c>
    </row>
    <row r="45">
      <c r="A45" s="99" t="inlineStr">
        <is>
          <t>CAA2</t>
        </is>
      </c>
      <c r="B45" s="5" t="inlineStr">
        <is>
          <t>CAFL</t>
        </is>
      </c>
    </row>
    <row r="46">
      <c r="A46" s="99" t="inlineStr">
        <is>
          <t>CAA5</t>
        </is>
      </c>
      <c r="B46" s="5" t="inlineStr">
        <is>
          <t>CAFL</t>
        </is>
      </c>
    </row>
    <row r="47">
      <c r="A47" s="99" t="inlineStr">
        <is>
          <t>CCCFA1</t>
        </is>
      </c>
      <c r="B47" s="99" t="inlineStr">
        <is>
          <t>BBAF</t>
        </is>
      </c>
    </row>
    <row r="48">
      <c r="A48" s="99" t="inlineStr">
        <is>
          <t>CDCA</t>
        </is>
      </c>
      <c r="B48" s="2" t="inlineStr">
        <is>
          <t>CACD</t>
        </is>
      </c>
    </row>
    <row r="49">
      <c r="A49" s="99" t="inlineStr">
        <is>
          <t>CDCL</t>
        </is>
      </c>
      <c r="B49" s="2" t="inlineStr">
        <is>
          <t>RLCD</t>
        </is>
      </c>
    </row>
    <row r="50">
      <c r="A50" s="99" t="inlineStr">
        <is>
          <t>CDCO_CTRL</t>
        </is>
      </c>
      <c r="B50" s="99" t="n"/>
    </row>
    <row r="51">
      <c r="A51" s="99" t="inlineStr">
        <is>
          <t>CDMA</t>
        </is>
      </c>
      <c r="B51" s="2" t="inlineStr">
        <is>
          <t>CDAM</t>
        </is>
      </c>
    </row>
    <row r="52">
      <c r="A52" s="99" t="inlineStr">
        <is>
          <t>COMANDADO</t>
        </is>
      </c>
      <c r="B52" s="99" t="inlineStr">
        <is>
          <t>COMA</t>
        </is>
      </c>
    </row>
    <row r="53">
      <c r="A53" s="99" t="inlineStr">
        <is>
          <t>DFT1</t>
        </is>
      </c>
      <c r="B53" s="2" t="inlineStr">
        <is>
          <t>DRT1</t>
        </is>
      </c>
    </row>
    <row r="54">
      <c r="A54" s="99" t="inlineStr">
        <is>
          <t>DJRT</t>
        </is>
      </c>
      <c r="B54" s="2" t="inlineStr">
        <is>
          <t>EST</t>
        </is>
      </c>
    </row>
    <row r="55">
      <c r="A55" s="99" t="inlineStr">
        <is>
          <t>DSA1</t>
        </is>
      </c>
      <c r="B55" s="2" t="inlineStr">
        <is>
          <t>EST</t>
        </is>
      </c>
    </row>
    <row r="56">
      <c r="A56" s="99" t="inlineStr">
        <is>
          <t>DSA2</t>
        </is>
      </c>
      <c r="B56" s="2" t="inlineStr">
        <is>
          <t>EST</t>
        </is>
      </c>
    </row>
    <row r="57">
      <c r="A57" s="2" t="inlineStr">
        <is>
          <t>FCAMB</t>
        </is>
      </c>
      <c r="B57" s="2" t="inlineStr">
        <is>
          <t>FCTA</t>
        </is>
      </c>
    </row>
    <row r="58">
      <c r="A58" s="99" t="inlineStr">
        <is>
          <t>FCM1</t>
        </is>
      </c>
      <c r="B58" s="2" t="inlineStr">
        <is>
          <t>FCT1</t>
        </is>
      </c>
    </row>
    <row r="59">
      <c r="A59" s="99" t="inlineStr">
        <is>
          <t>FCM2</t>
        </is>
      </c>
      <c r="B59" s="2" t="inlineStr">
        <is>
          <t>FCT2</t>
        </is>
      </c>
    </row>
    <row r="60">
      <c r="A60" s="99" t="inlineStr">
        <is>
          <t>FCSPS</t>
        </is>
      </c>
      <c r="B60" s="2" t="inlineStr">
        <is>
          <t>FCSP</t>
        </is>
      </c>
    </row>
    <row r="61">
      <c r="A61" s="99" t="inlineStr">
        <is>
          <t>FUGA</t>
        </is>
      </c>
      <c r="B61" s="99" t="inlineStr">
        <is>
          <t>FGTE</t>
        </is>
      </c>
    </row>
    <row r="62">
      <c r="A62" s="99" t="inlineStr">
        <is>
          <t>INDIVIDUAL</t>
        </is>
      </c>
      <c r="B62" s="99" t="inlineStr">
        <is>
          <t>INDI</t>
        </is>
      </c>
    </row>
    <row r="63">
      <c r="A63" s="99" t="inlineStr">
        <is>
          <t>LDF</t>
        </is>
      </c>
      <c r="B63" s="101" t="inlineStr">
        <is>
          <t>MANUT</t>
        </is>
      </c>
    </row>
    <row r="64">
      <c r="A64" s="99" t="inlineStr">
        <is>
          <t>LDFD</t>
        </is>
      </c>
      <c r="B64" s="5" t="inlineStr">
        <is>
          <t>21D</t>
        </is>
      </c>
    </row>
    <row r="65">
      <c r="A65" s="99" t="inlineStr">
        <is>
          <t>LIBF</t>
        </is>
      </c>
      <c r="B65" s="2" t="inlineStr">
        <is>
          <t>LMFE</t>
        </is>
      </c>
    </row>
    <row r="66">
      <c r="A66" s="99" t="inlineStr">
        <is>
          <t>LMFA</t>
        </is>
      </c>
      <c r="B66" s="2" t="inlineStr">
        <is>
          <t>LMAB</t>
        </is>
      </c>
    </row>
    <row r="67">
      <c r="A67" s="99" t="inlineStr">
        <is>
          <t>M69C</t>
        </is>
      </c>
      <c r="B67" s="99" t="inlineStr">
        <is>
          <t>MDTP</t>
        </is>
      </c>
    </row>
    <row r="68">
      <c r="A68" s="99" t="inlineStr">
        <is>
          <t>MDP1</t>
        </is>
      </c>
      <c r="B68" s="99" t="inlineStr">
        <is>
          <t>MDTP</t>
        </is>
      </c>
    </row>
    <row r="69">
      <c r="A69" s="99" t="inlineStr">
        <is>
          <t>MDP2</t>
        </is>
      </c>
      <c r="B69" s="99" t="inlineStr">
        <is>
          <t>MDTP</t>
        </is>
      </c>
    </row>
    <row r="70">
      <c r="A70" s="99" t="inlineStr">
        <is>
          <t>MDTF</t>
        </is>
      </c>
      <c r="B70" s="2" t="inlineStr">
        <is>
          <t>MTRF</t>
        </is>
      </c>
    </row>
    <row r="71">
      <c r="A71" s="99" t="inlineStr">
        <is>
          <t>MDTP1</t>
        </is>
      </c>
      <c r="B71" s="99" t="inlineStr">
        <is>
          <t>MDTP</t>
        </is>
      </c>
    </row>
    <row r="72">
      <c r="A72" s="99" t="inlineStr">
        <is>
          <t>MDTP2</t>
        </is>
      </c>
      <c r="B72" s="99" t="inlineStr">
        <is>
          <t>MDTP</t>
        </is>
      </c>
    </row>
    <row r="73">
      <c r="A73" s="99" t="inlineStr">
        <is>
          <t>MENB</t>
        </is>
      </c>
      <c r="B73" s="99" t="inlineStr">
        <is>
          <t>MEMB</t>
        </is>
      </c>
    </row>
    <row r="74">
      <c r="A74" s="99" t="inlineStr">
        <is>
          <t>MESTRE</t>
        </is>
      </c>
      <c r="B74" s="99" t="inlineStr">
        <is>
          <t>MEST</t>
        </is>
      </c>
    </row>
    <row r="75">
      <c r="A75" s="99" t="inlineStr">
        <is>
          <t>OIBP</t>
        </is>
      </c>
      <c r="B75" s="99" t="inlineStr">
        <is>
          <t>OI</t>
        </is>
      </c>
    </row>
    <row r="76">
      <c r="A76" s="99" t="inlineStr">
        <is>
          <t>PARALELO</t>
        </is>
      </c>
      <c r="B76" s="101" t="inlineStr">
        <is>
          <t>MANUT</t>
        </is>
      </c>
    </row>
    <row r="77">
      <c r="A77" s="99" t="inlineStr">
        <is>
          <t>PRTA</t>
        </is>
      </c>
      <c r="B77" s="2" t="inlineStr">
        <is>
          <t>TPOK</t>
        </is>
      </c>
    </row>
    <row r="78">
      <c r="A78" s="99" t="inlineStr">
        <is>
          <t>RELD</t>
        </is>
      </c>
      <c r="B78" s="2" t="inlineStr">
        <is>
          <t>DREL</t>
        </is>
      </c>
    </row>
    <row r="79">
      <c r="A79" s="99" t="inlineStr">
        <is>
          <t>RTLG</t>
        </is>
      </c>
      <c r="B79" s="2" t="inlineStr">
        <is>
          <t>MDCA</t>
        </is>
      </c>
    </row>
    <row r="80">
      <c r="A80" s="99" t="inlineStr">
        <is>
          <t>SECPT</t>
        </is>
      </c>
      <c r="B80" s="99" t="inlineStr">
        <is>
          <t>SECT</t>
        </is>
      </c>
    </row>
    <row r="81">
      <c r="A81" s="99" t="inlineStr">
        <is>
          <t>SOBR</t>
        </is>
      </c>
      <c r="B81" s="2" t="inlineStr">
        <is>
          <t>SOBC</t>
        </is>
      </c>
    </row>
    <row r="82">
      <c r="A82" s="99" t="inlineStr">
        <is>
          <t>TOED1</t>
        </is>
      </c>
      <c r="B82" s="101" t="inlineStr">
        <is>
          <t>VERIFICAR</t>
        </is>
      </c>
    </row>
    <row r="83">
      <c r="A83" s="99" t="inlineStr">
        <is>
          <t>TOED2</t>
        </is>
      </c>
      <c r="B83" s="101" t="inlineStr">
        <is>
          <t>VERIFICAR</t>
        </is>
      </c>
    </row>
    <row r="84">
      <c r="A84" s="99" t="inlineStr">
        <is>
          <t>TPEX</t>
        </is>
      </c>
      <c r="B84" s="2" t="inlineStr">
        <is>
          <t>TEXT</t>
        </is>
      </c>
    </row>
    <row r="85">
      <c r="A85" s="99" t="inlineStr">
        <is>
          <t>TR87</t>
        </is>
      </c>
      <c r="B85" s="2" t="inlineStr">
        <is>
          <t>87TT</t>
        </is>
      </c>
    </row>
    <row r="86">
      <c r="A86" s="99" t="inlineStr">
        <is>
          <t>VCAM</t>
        </is>
      </c>
      <c r="B86" s="101" t="inlineStr">
        <is>
          <t>27CA</t>
        </is>
      </c>
    </row>
    <row r="87">
      <c r="A87" s="99" t="n">
        <v>94</v>
      </c>
      <c r="B87" s="99" t="inlineStr">
        <is>
          <t>TEXT</t>
        </is>
      </c>
    </row>
    <row r="88">
      <c r="A88" s="99" t="inlineStr">
        <is>
          <t>TRIPE</t>
        </is>
      </c>
      <c r="B88" s="99" t="inlineStr">
        <is>
          <t>TEXT</t>
        </is>
      </c>
    </row>
    <row r="89">
      <c r="A89" s="99" t="inlineStr">
        <is>
          <t>TRIPEXT</t>
        </is>
      </c>
      <c r="B89" s="99" t="inlineStr">
        <is>
          <t>TEXT</t>
        </is>
      </c>
    </row>
    <row r="90">
      <c r="A90" s="99" t="inlineStr">
        <is>
          <t>CDLR</t>
        </is>
      </c>
      <c r="B90" s="99" t="inlineStr">
        <is>
          <t>RLCD</t>
        </is>
      </c>
    </row>
    <row r="91">
      <c r="A91" s="99" t="inlineStr">
        <is>
          <t>FVBA</t>
        </is>
      </c>
      <c r="B91" s="99" t="inlineStr">
        <is>
          <t>FPBR</t>
        </is>
      </c>
    </row>
    <row r="92">
      <c r="A92" s="99" t="inlineStr">
        <is>
          <t>2649_T</t>
        </is>
      </c>
      <c r="B92" s="99" t="inlineStr">
        <is>
          <t>TOED</t>
        </is>
      </c>
    </row>
    <row r="93">
      <c r="A93" s="99" t="inlineStr">
        <is>
          <t>G1_G2</t>
        </is>
      </c>
      <c r="B93" s="99" t="inlineStr">
        <is>
          <t>AJGP</t>
        </is>
      </c>
    </row>
    <row r="94">
      <c r="A94" s="99" t="inlineStr">
        <is>
          <t>61A</t>
        </is>
      </c>
      <c r="B94" s="99" t="n">
        <v>61</v>
      </c>
    </row>
    <row r="95">
      <c r="A95" s="99" t="inlineStr">
        <is>
          <t>FCRHT</t>
        </is>
      </c>
      <c r="B95" s="94" t="inlineStr">
        <is>
          <t>FCTA</t>
        </is>
      </c>
    </row>
    <row r="96">
      <c r="A96" s="99" t="inlineStr">
        <is>
          <t>BMBO</t>
        </is>
      </c>
      <c r="B96" s="99" t="inlineStr">
        <is>
          <t>BBFL</t>
        </is>
      </c>
    </row>
    <row r="97">
      <c r="A97" s="99" t="inlineStr">
        <is>
          <t>BMB</t>
        </is>
      </c>
      <c r="B97" s="99" t="inlineStr">
        <is>
          <t>BBFL</t>
        </is>
      </c>
    </row>
    <row r="98">
      <c r="A98" s="99" t="inlineStr">
        <is>
          <t>BPLI</t>
        </is>
      </c>
      <c r="B98" s="99" t="inlineStr">
        <is>
          <t>BOMB</t>
        </is>
      </c>
    </row>
    <row r="99">
      <c r="A99" s="99" t="inlineStr">
        <is>
          <t>FLBB</t>
        </is>
      </c>
      <c r="B99" s="99" t="inlineStr">
        <is>
          <t>OLFL</t>
        </is>
      </c>
    </row>
    <row r="100">
      <c r="A100" s="99" t="inlineStr">
        <is>
          <t>OFL</t>
        </is>
      </c>
      <c r="B100" s="99" t="inlineStr">
        <is>
          <t>OLFL</t>
        </is>
      </c>
    </row>
    <row r="101">
      <c r="A101" s="99" t="n"/>
      <c r="B101" s="99" t="n"/>
    </row>
  </sheetData>
  <autoFilter ref="A1:B1"/>
  <pageMargins left="0.511811024" right="0.511811024" top="0.787401575" bottom="0.787401575" header="0.31496062" footer="0.31496062"/>
  <legacyDrawing xmlns:r="http://schemas.openxmlformats.org/officeDocument/2006/relationships" r:id="anysvml"/>
</worksheet>
</file>

<file path=xl/worksheets/sheet5.xml><?xml version="1.0" encoding="utf-8"?>
<worksheet xmlns="http://schemas.openxmlformats.org/spreadsheetml/2006/main">
  <sheetPr codeName="Planilha2">
    <tabColor theme="6"/>
    <outlinePr summaryBelow="1" summaryRight="1"/>
    <pageSetUpPr/>
  </sheetPr>
  <dimension ref="A1:J27"/>
  <sheetViews>
    <sheetView topLeftCell="B1" zoomScaleNormal="100" workbookViewId="0">
      <selection activeCell="B26" sqref="A26:XFD26"/>
    </sheetView>
  </sheetViews>
  <sheetFormatPr baseColWidth="8" defaultRowHeight="15"/>
  <cols>
    <col width="11.85546875" bestFit="1" customWidth="1" style="60" min="1" max="1"/>
    <col width="10.42578125" bestFit="1" customWidth="1" style="60" min="2" max="2"/>
    <col width="19.140625" bestFit="1" customWidth="1" style="60" min="3" max="3"/>
    <col width="62.5703125" bestFit="1" customWidth="1" style="60" min="4" max="4"/>
    <col width="17.85546875" bestFit="1" customWidth="1" style="60" min="5" max="5"/>
    <col width="9.140625" customWidth="1" style="60" min="6" max="6"/>
    <col width="24.7109375" bestFit="1" customWidth="1" style="60" min="7" max="7"/>
    <col width="11.140625" bestFit="1" customWidth="1" style="60" min="8" max="8"/>
    <col width="10.42578125" bestFit="1" customWidth="1" style="60" min="9" max="9"/>
    <col width="19.140625" bestFit="1" customWidth="1" style="60" min="10" max="10"/>
    <col width="9.140625" customWidth="1" style="60" min="11" max="16384"/>
  </cols>
  <sheetData>
    <row r="1">
      <c r="A1" s="118" t="inlineStr">
        <is>
          <t>DETALHADO</t>
        </is>
      </c>
      <c r="B1" s="138" t="n"/>
      <c r="C1" s="138" t="n"/>
      <c r="D1" s="138" t="n"/>
      <c r="E1" s="139" t="n"/>
      <c r="G1" s="104" t="inlineStr">
        <is>
          <t>RESUMIDO</t>
        </is>
      </c>
      <c r="H1" s="140" t="n"/>
      <c r="I1" s="140" t="n"/>
      <c r="J1" s="140" t="n"/>
    </row>
    <row r="2">
      <c r="A2" s="92" t="inlineStr">
        <is>
          <t>MM</t>
        </is>
      </c>
      <c r="B2" s="92" t="inlineStr">
        <is>
          <t>SEVERIDADE</t>
        </is>
      </c>
      <c r="C2" s="92" t="inlineStr">
        <is>
          <t>COLORAÇÃO SUMÁRIO</t>
        </is>
      </c>
      <c r="D2" s="92" t="inlineStr">
        <is>
          <t>USO</t>
        </is>
      </c>
      <c r="E2" s="92" t="inlineStr">
        <is>
          <t>TEXTO</t>
        </is>
      </c>
      <c r="G2" s="92" t="inlineStr">
        <is>
          <t>UTILIZAÇÃO</t>
        </is>
      </c>
      <c r="H2" s="92" t="inlineStr">
        <is>
          <t>SIGLA</t>
        </is>
      </c>
      <c r="I2" s="92" t="inlineStr">
        <is>
          <t>SEVERIDADE</t>
        </is>
      </c>
      <c r="J2" s="92" t="inlineStr">
        <is>
          <t>COLORAÇÃO SUMÁRIO</t>
        </is>
      </c>
    </row>
    <row r="3">
      <c r="A3" s="106" t="n"/>
      <c r="B3" s="106" t="n">
        <v>1</v>
      </c>
      <c r="C3" s="108" t="inlineStr">
        <is>
          <t>SEVERIDADE</t>
        </is>
      </c>
      <c r="D3" s="91" t="inlineStr">
        <is>
          <t>ALARME EMERGENCIAL MUST (105%)</t>
        </is>
      </c>
      <c r="E3" s="91" t="inlineStr">
        <is>
          <t>ALISUP EMER MUST</t>
        </is>
      </c>
      <c r="G3" s="79" t="inlineStr">
        <is>
          <t>DJ</t>
        </is>
      </c>
      <c r="H3" s="79" t="inlineStr">
        <is>
          <t>SE/ST/E2</t>
        </is>
      </c>
      <c r="I3" s="79" t="n">
        <v>2</v>
      </c>
      <c r="J3" s="81" t="inlineStr">
        <is>
          <t>SEVERIDADE</t>
        </is>
      </c>
    </row>
    <row r="4">
      <c r="A4" s="7" t="n"/>
      <c r="B4" s="141" t="n"/>
      <c r="C4" s="141" t="n"/>
      <c r="D4" s="79" t="inlineStr">
        <is>
          <t>ALARME CONTRATADO MUST (100%)</t>
        </is>
      </c>
      <c r="E4" s="79" t="inlineStr">
        <is>
          <t>ALISUP CONTR MUST</t>
        </is>
      </c>
      <c r="G4" s="79" t="inlineStr">
        <is>
          <t>DEFEITOS</t>
        </is>
      </c>
      <c r="H4" s="79" t="inlineStr">
        <is>
          <t>SI</t>
        </is>
      </c>
      <c r="I4" s="79" t="n">
        <v>3</v>
      </c>
      <c r="J4" s="82" t="inlineStr">
        <is>
          <t>SEVERIDADE</t>
        </is>
      </c>
    </row>
    <row r="5">
      <c r="A5" s="7" t="inlineStr">
        <is>
          <t>SE/ST/E2</t>
        </is>
      </c>
      <c r="B5" s="7" t="n">
        <v>2</v>
      </c>
      <c r="C5" s="81" t="inlineStr">
        <is>
          <t>SEVERIDADE</t>
        </is>
      </c>
      <c r="D5" s="79" t="inlineStr">
        <is>
          <t>ESTADO DJs (exceto BC) - EVENTO</t>
        </is>
      </c>
      <c r="E5" s="79" t="inlineStr">
        <is>
          <t>ALESTC</t>
        </is>
      </c>
      <c r="G5" s="79" t="inlineStr">
        <is>
          <t>PROT</t>
        </is>
      </c>
      <c r="H5" s="79" t="inlineStr">
        <is>
          <t>SA/DA/A1</t>
        </is>
      </c>
      <c r="I5" s="79" t="n">
        <v>4</v>
      </c>
      <c r="J5" s="83" t="inlineStr">
        <is>
          <t>SEVERIDADE</t>
        </is>
      </c>
    </row>
    <row r="6">
      <c r="A6" s="7" t="inlineStr">
        <is>
          <t>SI</t>
        </is>
      </c>
      <c r="B6" s="7" t="n">
        <v>3</v>
      </c>
      <c r="C6" s="82" t="inlineStr">
        <is>
          <t>SEVERIDADE</t>
        </is>
      </c>
      <c r="D6" s="79" t="inlineStr">
        <is>
          <t>DRET, DR, Alarmes limites VCC, Bobinas e circuitos de abertura e fechamento</t>
        </is>
      </c>
      <c r="E6" s="79" t="inlineStr">
        <is>
          <t>ALESTS</t>
        </is>
      </c>
      <c r="G6" s="79" t="inlineStr">
        <is>
          <t>ALARMES PREDIAIS/VF/GRUPO</t>
        </is>
      </c>
      <c r="H6" s="79" t="inlineStr">
        <is>
          <t>SV/SP/DV/DP</t>
        </is>
      </c>
      <c r="I6" s="79" t="n">
        <v>5</v>
      </c>
      <c r="J6" s="84" t="inlineStr">
        <is>
          <t>SEVERIDADE</t>
        </is>
      </c>
    </row>
    <row r="7">
      <c r="A7" s="7" t="inlineStr">
        <is>
          <t>SA/DA/A1</t>
        </is>
      </c>
      <c r="B7" s="7" t="n">
        <v>4</v>
      </c>
      <c r="C7" s="83" t="inlineStr">
        <is>
          <t>SEVERIDADE</t>
        </is>
      </c>
      <c r="D7" s="79" t="inlineStr">
        <is>
          <t>TRIP: PROTEÇÕES: 86, 50, 51, 26, 49, 27, 87, 20, 63, ...</t>
        </is>
      </c>
      <c r="E7" s="79" t="inlineStr">
        <is>
          <t>ALESTS/ALESTC</t>
        </is>
      </c>
      <c r="G7" s="79" t="inlineStr">
        <is>
          <t>DJ BC/SEC</t>
        </is>
      </c>
      <c r="H7" s="79" t="inlineStr">
        <is>
          <t>SC/SO</t>
        </is>
      </c>
      <c r="I7" s="79" t="n">
        <v>6</v>
      </c>
      <c r="J7" s="85" t="inlineStr">
        <is>
          <t>SEVERIDADE</t>
        </is>
      </c>
    </row>
    <row r="8">
      <c r="A8" s="7" t="inlineStr">
        <is>
          <t>SV/SP/DV/DP</t>
        </is>
      </c>
      <c r="B8" s="7" t="n">
        <v>5</v>
      </c>
      <c r="C8" s="84" t="inlineStr">
        <is>
          <t>SEVERIDADE</t>
        </is>
      </c>
      <c r="D8" s="79" t="inlineStr">
        <is>
          <t>ALARMES PREDIAIS, PORTAS, SENSOR DE PRESENÇA E DEFUMAÇA; VF</t>
        </is>
      </c>
      <c r="E8" s="79" t="inlineStr">
        <is>
          <t>ALESTS/ALESTC</t>
        </is>
      </c>
      <c r="G8" s="79" t="inlineStr">
        <is>
          <t>FALHAS FCOM/VCA/VCC</t>
        </is>
      </c>
      <c r="H8" s="79" t="inlineStr">
        <is>
          <t>SB/DB</t>
        </is>
      </c>
      <c r="I8" s="79" t="n">
        <v>7</v>
      </c>
      <c r="J8" s="86" t="inlineStr">
        <is>
          <t>SEVERIDADE</t>
        </is>
      </c>
    </row>
    <row r="9">
      <c r="A9" s="7" t="inlineStr">
        <is>
          <t>SC/SO</t>
        </is>
      </c>
      <c r="B9" s="7" t="n">
        <v>6</v>
      </c>
      <c r="C9" s="85" t="inlineStr">
        <is>
          <t>SEVERIDADE</t>
        </is>
      </c>
      <c r="D9" s="79" t="inlineStr">
        <is>
          <t>ESTADO DJs BC / ESTADO SECCIONADORAS</t>
        </is>
      </c>
      <c r="E9" s="79" t="inlineStr">
        <is>
          <t>ALESTS/ALESTC</t>
        </is>
      </c>
      <c r="G9" s="79" t="inlineStr">
        <is>
          <t>FUNCÕES/43/PARALELISMO</t>
        </is>
      </c>
      <c r="H9" s="79" t="inlineStr">
        <is>
          <t>SS/DS</t>
        </is>
      </c>
      <c r="I9" s="79" t="n">
        <v>8</v>
      </c>
      <c r="J9" s="87" t="inlineStr">
        <is>
          <t>SEVERIDADE</t>
        </is>
      </c>
    </row>
    <row r="10">
      <c r="A10" s="7" t="inlineStr">
        <is>
          <t>SB/DB</t>
        </is>
      </c>
      <c r="B10" s="7" t="n">
        <v>7</v>
      </c>
      <c r="C10" s="86" t="inlineStr">
        <is>
          <t>SEVERIDADE</t>
        </is>
      </c>
      <c r="D10" s="79" t="inlineStr">
        <is>
          <t>FALHA DE COMUNICAÇÃO (RELÉS); FALHA VF; FALHA VCC</t>
        </is>
      </c>
      <c r="E10" s="79" t="inlineStr">
        <is>
          <t>ALESTS</t>
        </is>
      </c>
    </row>
    <row r="11">
      <c r="A11" s="7" t="inlineStr">
        <is>
          <t>SS/DS</t>
        </is>
      </c>
      <c r="B11" s="7" t="n">
        <v>8</v>
      </c>
      <c r="C11" s="87" t="inlineStr">
        <is>
          <t>SEVERIDADE</t>
        </is>
      </c>
      <c r="D11" s="79" t="inlineStr">
        <is>
          <t>43TC, 43LR, PERMISSÃO DE PARALELISMO</t>
        </is>
      </c>
      <c r="E11" s="79" t="inlineStr">
        <is>
          <t>ALESTS/ALESTC</t>
        </is>
      </c>
    </row>
    <row r="12">
      <c r="A12" s="7" t="inlineStr">
        <is>
          <t>ST</t>
        </is>
      </c>
      <c r="B12" s="7" t="n">
        <v>9</v>
      </c>
      <c r="C12" s="142" t="inlineStr">
        <is>
          <t>SEVERIDADE</t>
        </is>
      </c>
      <c r="D12" s="79" t="inlineStr">
        <is>
          <t>FALHA DE COMUNICAÇÃO (UTR)</t>
        </is>
      </c>
      <c r="E12" s="79" t="inlineStr">
        <is>
          <t>UTRRES</t>
        </is>
      </c>
    </row>
    <row r="13">
      <c r="A13" s="143" t="n"/>
      <c r="B13" s="143" t="n"/>
      <c r="C13" s="143" t="n"/>
      <c r="D13" s="79" t="inlineStr">
        <is>
          <t>COMANDO VARREDURA</t>
        </is>
      </c>
      <c r="E13" s="79" t="inlineStr">
        <is>
          <t>CNEXEC</t>
        </is>
      </c>
    </row>
    <row r="14">
      <c r="A14" s="141" t="n"/>
      <c r="B14" s="141" t="n"/>
      <c r="C14" s="141" t="n"/>
      <c r="D14" s="79" t="inlineStr">
        <is>
          <t>FALHA DE CONEXÃO (LINK)</t>
        </is>
      </c>
      <c r="E14" s="79" t="inlineStr">
        <is>
          <t>LNKNR</t>
        </is>
      </c>
    </row>
    <row r="15">
      <c r="A15" s="7" t="inlineStr">
        <is>
          <t>-</t>
        </is>
      </c>
      <c r="B15" s="7" t="n">
        <v>10</v>
      </c>
      <c r="C15" s="144" t="inlineStr">
        <is>
          <t>SEVERIDADE</t>
        </is>
      </c>
      <c r="D15" s="79" t="inlineStr">
        <is>
          <t>COMANDOS</t>
        </is>
      </c>
      <c r="E15" s="79" t="inlineStr">
        <is>
          <t>COPER</t>
        </is>
      </c>
    </row>
    <row r="16">
      <c r="A16" s="7" t="inlineStr">
        <is>
          <t>-</t>
        </is>
      </c>
      <c r="B16" s="143" t="n"/>
      <c r="C16" s="143" t="n"/>
      <c r="D16" s="79" t="inlineStr">
        <is>
          <t>LIMITE DE DADOS EMERGENCIAL (Tensões/Corrente)</t>
        </is>
      </c>
      <c r="E16" s="79" t="inlineStr">
        <is>
          <t>ALISUP EMER/CEXSIM</t>
        </is>
      </c>
    </row>
    <row r="17">
      <c r="A17" s="7" t="inlineStr">
        <is>
          <t>-</t>
        </is>
      </c>
      <c r="B17" s="143" t="n"/>
      <c r="C17" s="143" t="n"/>
      <c r="D17" s="79" t="inlineStr">
        <is>
          <t>LIMITE DE DADOS OPERACIONAL (Tensões/Corrente)</t>
        </is>
      </c>
      <c r="E17" s="79" t="inlineStr">
        <is>
          <t>ALISUP OPER/CEXSIM</t>
        </is>
      </c>
    </row>
    <row r="18">
      <c r="A18" s="7" t="inlineStr">
        <is>
          <t>-</t>
        </is>
      </c>
      <c r="B18" s="141" t="n"/>
      <c r="C18" s="141" t="n"/>
      <c r="D18" s="79" t="inlineStr">
        <is>
          <t>ATUALIZAÇÃO DE EQUIPES E PLANOS DE MANOBRAS</t>
        </is>
      </c>
      <c r="E18" s="79" t="inlineStr">
        <is>
          <t>-</t>
        </is>
      </c>
    </row>
    <row r="19">
      <c r="A19" s="7" t="n"/>
      <c r="B19" s="7" t="n">
        <v>11</v>
      </c>
      <c r="C19" s="145" t="inlineStr">
        <is>
          <t>SEVERIDADE</t>
        </is>
      </c>
      <c r="D19" s="79" t="inlineStr">
        <is>
          <t>EXECUÇÃO DE COMANDOS COM SUCESSO</t>
        </is>
      </c>
      <c r="E19" s="79" t="inlineStr">
        <is>
          <t>CEXEC</t>
        </is>
      </c>
    </row>
    <row r="20">
      <c r="A20" s="7" t="n"/>
      <c r="B20" s="143" t="n"/>
      <c r="C20" s="143" t="n"/>
      <c r="D20" s="79" t="inlineStr">
        <is>
          <t>LIMITE DE DADOS OPERACIONAL (Tensões)</t>
        </is>
      </c>
      <c r="E20" s="79" t="inlineStr">
        <is>
          <t>ALISUP EMER</t>
        </is>
      </c>
    </row>
    <row r="21">
      <c r="A21" s="7" t="n"/>
      <c r="B21" s="141" t="n"/>
      <c r="C21" s="141" t="n"/>
      <c r="D21" s="79" t="inlineStr">
        <is>
          <t>LIMITE DE DADOS EMERGENCIAL (Tensões)</t>
        </is>
      </c>
      <c r="E21" s="79" t="inlineStr">
        <is>
          <t>ALISUP OPER</t>
        </is>
      </c>
    </row>
    <row r="22">
      <c r="A22" s="7" t="n"/>
      <c r="B22" s="7" t="n">
        <v>12</v>
      </c>
      <c r="C22" s="146" t="inlineStr">
        <is>
          <t>SEVERIDADE</t>
        </is>
      </c>
      <c r="D22" s="79" t="inlineStr">
        <is>
          <t>ALARME OPERACIONAL MUST (95%)</t>
        </is>
      </c>
      <c r="E22" s="79" t="inlineStr">
        <is>
          <t>ALISUP OPER MUST</t>
        </is>
      </c>
    </row>
    <row r="23">
      <c r="A23" s="7" t="n"/>
      <c r="B23" s="141" t="n"/>
      <c r="C23" s="141" t="n"/>
      <c r="D23" s="79" t="inlineStr">
        <is>
          <t>ALARME DE FATOR DE POTÊNCIA</t>
        </is>
      </c>
      <c r="E23" s="79" t="inlineStr">
        <is>
          <t>ALIFP</t>
        </is>
      </c>
    </row>
    <row r="24">
      <c r="A24" s="7" t="inlineStr">
        <is>
          <t>-</t>
        </is>
      </c>
      <c r="B24" s="7" t="n">
        <v>13</v>
      </c>
      <c r="C24" s="88" t="inlineStr">
        <is>
          <t>SEVERIDADE</t>
        </is>
      </c>
      <c r="D24" s="79" t="inlineStr">
        <is>
          <t>ALARME DE POTÊNCIA (Sobrecarga)</t>
        </is>
      </c>
      <c r="E24" s="79" t="inlineStr">
        <is>
          <t>ALISUP EMER/OPER</t>
        </is>
      </c>
    </row>
    <row r="25">
      <c r="A25" s="7" t="n"/>
      <c r="B25" s="7" t="n">
        <v>14</v>
      </c>
      <c r="C25" s="89" t="inlineStr">
        <is>
          <t>SEVERIDADE</t>
        </is>
      </c>
      <c r="D25" s="79" t="inlineStr">
        <is>
          <t>Informações dos servidores e máquinas</t>
        </is>
      </c>
      <c r="E25" s="79" t="n"/>
    </row>
    <row r="26">
      <c r="A26" s="7" t="n"/>
      <c r="B26" s="7" t="n">
        <v>15</v>
      </c>
      <c r="C26" s="89" t="inlineStr">
        <is>
          <t>SEVERIDADE</t>
        </is>
      </c>
      <c r="D26" s="79" t="n"/>
      <c r="E26" s="79" t="n"/>
    </row>
    <row r="27">
      <c r="A27" s="7" t="inlineStr">
        <is>
          <t>-</t>
        </is>
      </c>
      <c r="B27" s="7" t="n">
        <v>16</v>
      </c>
      <c r="C27" s="90" t="inlineStr">
        <is>
          <t>SEVERIDADE</t>
        </is>
      </c>
      <c r="D27" s="79" t="inlineStr">
        <is>
          <t>RECONHECIMENTO/ARQUIVAMENTO ALARMES</t>
        </is>
      </c>
      <c r="E27" s="79" t="n"/>
    </row>
  </sheetData>
  <mergeCells count="13">
    <mergeCell ref="A12:A14"/>
    <mergeCell ref="C12:C14"/>
    <mergeCell ref="B22:B23"/>
    <mergeCell ref="C3:C4"/>
    <mergeCell ref="B3:B4"/>
    <mergeCell ref="B12:B14"/>
    <mergeCell ref="A1:E1"/>
    <mergeCell ref="C19:C21"/>
    <mergeCell ref="B15:B18"/>
    <mergeCell ref="G1:J1"/>
    <mergeCell ref="B19:B21"/>
    <mergeCell ref="C15:C18"/>
    <mergeCell ref="C22:C23"/>
  </mergeCells>
  <conditionalFormatting sqref="A2:E2">
    <cfRule type="duplicateValues" priority="80" dxfId="0"/>
  </conditionalFormatting>
  <conditionalFormatting sqref="G2:J2">
    <cfRule type="duplicateValues" priority="1" dxfId="0"/>
  </conditionalFormatting>
  <pageMargins left="0.511811024" right="0.511811024" top="0.787401575" bottom="0.787401575" header="0.31496062" footer="0.31496062"/>
</worksheet>
</file>

<file path=xl/worksheets/sheet6.xml><?xml version="1.0" encoding="utf-8"?>
<worksheet xmlns="http://schemas.openxmlformats.org/spreadsheetml/2006/main">
  <sheetPr codeName="Planilha5">
    <tabColor rgb="FFFFC000"/>
    <outlinePr summaryBelow="1" summaryRight="1"/>
    <pageSetUpPr/>
  </sheetPr>
  <dimension ref="A1:D110"/>
  <sheetViews>
    <sheetView workbookViewId="0">
      <selection activeCell="C836" sqref="C836"/>
    </sheetView>
  </sheetViews>
  <sheetFormatPr baseColWidth="8" defaultRowHeight="14.25"/>
  <cols>
    <col width="23" bestFit="1" customWidth="1" style="11" min="1" max="1"/>
    <col width="13.28515625" bestFit="1" customWidth="1" style="11" min="2" max="2"/>
    <col width="42.85546875" bestFit="1" customWidth="1" style="11" min="3" max="3"/>
    <col width="73.7109375" customWidth="1" style="11" min="4" max="4"/>
    <col width="12.7109375" customWidth="1" style="11" min="5" max="5"/>
    <col width="20.7109375" customWidth="1" style="11" min="6" max="6"/>
    <col width="23" customWidth="1" style="11" min="7" max="7"/>
    <col width="9.140625" customWidth="1" style="11" min="8" max="8"/>
    <col width="22.140625" bestFit="1" customWidth="1" style="11" min="9" max="9"/>
    <col width="23.5703125" bestFit="1" customWidth="1" style="11" min="10" max="10"/>
    <col width="9.140625" customWidth="1" style="11" min="11" max="16384"/>
  </cols>
  <sheetData>
    <row r="1" ht="15.75" customHeight="1" thickBot="1">
      <c r="A1" s="9" t="inlineStr">
        <is>
          <t>Signal type</t>
        </is>
      </c>
      <c r="B1" s="10" t="inlineStr">
        <is>
          <t>Meas. type</t>
        </is>
      </c>
      <c r="C1" s="10" t="inlineStr">
        <is>
          <t>Element</t>
        </is>
      </c>
      <c r="D1" s="10" t="inlineStr">
        <is>
          <t>Notes</t>
        </is>
      </c>
    </row>
    <row r="2" ht="27.75" customHeight="1">
      <c r="A2" s="12" t="inlineStr">
        <is>
          <t>Custom</t>
        </is>
      </c>
      <c r="B2" s="147" t="inlineStr">
        <is>
          <t>(any)</t>
        </is>
      </c>
      <c r="C2" s="148" t="inlineStr">
        <is>
          <t>PowerSystemResource</t>
        </is>
      </c>
      <c r="D2" s="149" t="inlineStr">
        <is>
          <t>Custom signal types (none of the ADMS-recognized types). Additional enumerations can be used for project-specific purposes, as well as for different message mappings.</t>
        </is>
      </c>
    </row>
    <row r="3" ht="15" customHeight="1" thickBot="1">
      <c r="A3" s="13" t="inlineStr">
        <is>
          <t>Custom1... Custom100</t>
        </is>
      </c>
      <c r="B3" s="150" t="n"/>
      <c r="C3" s="150" t="n"/>
      <c r="D3" s="151" t="n"/>
    </row>
    <row r="4">
      <c r="A4" s="12" t="inlineStr">
        <is>
          <t>SwitchStatus</t>
        </is>
      </c>
      <c r="B4" s="147" t="inlineStr">
        <is>
          <t>SwitchStatus</t>
        </is>
      </c>
      <c r="C4" s="15" t="inlineStr">
        <is>
          <t>Switch</t>
        </is>
      </c>
      <c r="D4" s="149" t="inlineStr">
        <is>
          <t>Switch or rack status  (1=Open, 2=Closed). Initial=Switch.normalValue</t>
        </is>
      </c>
    </row>
    <row r="5" ht="15.75" customHeight="1" thickBot="1">
      <c r="A5" s="16" t="inlineStr">
        <is>
          <t>Read/Write</t>
        </is>
      </c>
      <c r="B5" s="150" t="n"/>
      <c r="C5" s="17" t="inlineStr">
        <is>
          <t>PortableCell</t>
        </is>
      </c>
      <c r="D5" s="151" t="n"/>
    </row>
    <row r="6">
      <c r="A6" s="12" t="inlineStr">
        <is>
          <t>Local/Remote</t>
        </is>
      </c>
      <c r="B6" s="147" t="inlineStr">
        <is>
          <t>Status</t>
        </is>
      </c>
      <c r="C6" s="18" t="inlineStr">
        <is>
          <t>Switch</t>
        </is>
      </c>
      <c r="D6" s="149" t="inlineStr">
        <is>
          <t>A switch, tap changer or RTU is switched into local manual control, and cannot be remotely operated (however, its status can be read). (2=Closed=Local, 1=Open=Remote)</t>
        </is>
      </c>
    </row>
    <row r="7">
      <c r="A7" s="19" t="inlineStr">
        <is>
          <t>Read</t>
        </is>
      </c>
      <c r="B7" s="152" t="n"/>
      <c r="C7" s="135" t="inlineStr">
        <is>
          <t>CompositeSwitch</t>
        </is>
      </c>
      <c r="D7" s="153" t="n"/>
    </row>
    <row r="8">
      <c r="A8" s="21" t="n"/>
      <c r="B8" s="152" t="n"/>
      <c r="C8" s="135" t="inlineStr">
        <is>
          <t>TapChanger</t>
        </is>
      </c>
      <c r="D8" s="153" t="n"/>
    </row>
    <row r="9">
      <c r="A9" s="21" t="n"/>
      <c r="B9" s="152" t="n"/>
      <c r="C9" s="135" t="inlineStr">
        <is>
          <t>RemoteUnit</t>
        </is>
      </c>
      <c r="D9" s="153" t="n"/>
    </row>
    <row r="10">
      <c r="A10" s="21" t="n"/>
      <c r="B10" s="152" t="n"/>
      <c r="C10" s="135" t="inlineStr">
        <is>
          <t>PortableCell</t>
        </is>
      </c>
      <c r="D10" s="153" t="n"/>
    </row>
    <row r="11" ht="15" customHeight="1" thickBot="1">
      <c r="A11" s="22" t="n"/>
      <c r="B11" s="150" t="n"/>
      <c r="C11" s="133" t="inlineStr">
        <is>
          <t>RegulatingControl</t>
        </is>
      </c>
      <c r="D11" s="151" t="n"/>
    </row>
    <row r="12">
      <c r="A12" s="12" t="inlineStr">
        <is>
          <t>OperationCount</t>
        </is>
      </c>
      <c r="B12" s="147" t="inlineStr">
        <is>
          <t>Discrete</t>
        </is>
      </c>
      <c r="C12" s="18" t="inlineStr">
        <is>
          <t>Switch</t>
        </is>
      </c>
      <c r="D12" s="149" t="inlineStr">
        <is>
          <t>Total count of switch or tap changer operations since last reset. Initial=0</t>
        </is>
      </c>
    </row>
    <row r="13" ht="15" customHeight="1" thickBot="1">
      <c r="A13" s="16" t="inlineStr">
        <is>
          <t>Read</t>
        </is>
      </c>
      <c r="B13" s="150" t="n"/>
      <c r="C13" s="133" t="inlineStr">
        <is>
          <t>TapChanger</t>
        </is>
      </c>
      <c r="D13" s="151" t="n"/>
    </row>
    <row r="14" ht="15" customHeight="1">
      <c r="A14" s="12" t="inlineStr">
        <is>
          <t>TapPosition</t>
        </is>
      </c>
      <c r="B14" s="147" t="inlineStr">
        <is>
          <t>Discrete</t>
        </is>
      </c>
      <c r="C14" s="23" t="inlineStr">
        <is>
          <t>TapChanger</t>
        </is>
      </c>
      <c r="D14" s="149" t="inlineStr">
        <is>
          <t>Absolute tap position. Initial=TapChanger.neutralStep</t>
        </is>
      </c>
    </row>
    <row r="15" ht="15" customHeight="1" thickBot="1">
      <c r="A15" s="16" t="inlineStr">
        <is>
          <t>Read/Write</t>
        </is>
      </c>
      <c r="B15" s="150" t="n"/>
      <c r="C15" s="133" t="inlineStr">
        <is>
          <t>PetersenCoil</t>
        </is>
      </c>
      <c r="D15" s="151" t="n"/>
    </row>
    <row r="16">
      <c r="A16" s="12" t="inlineStr">
        <is>
          <t>TapIncrement</t>
        </is>
      </c>
      <c r="B16" s="147" t="inlineStr">
        <is>
          <t>Status</t>
        </is>
      </c>
      <c r="C16" s="135" t="inlineStr">
        <is>
          <t>TapChanger</t>
        </is>
      </c>
      <c r="D16" s="149" t="inlineStr">
        <is>
          <t>Tap position increment: 1/Open=Lower, 2/Close=Raise. Initial=Error=0.</t>
        </is>
      </c>
    </row>
    <row r="17" ht="15" customHeight="1" thickBot="1">
      <c r="A17" s="16" t="inlineStr">
        <is>
          <t>Write</t>
        </is>
      </c>
      <c r="B17" s="150" t="n"/>
      <c r="C17" s="133" t="inlineStr">
        <is>
          <t>PetersenCoil</t>
        </is>
      </c>
      <c r="D17" s="151" t="n"/>
    </row>
    <row r="18" ht="15" customHeight="1">
      <c r="A18" s="12" t="inlineStr">
        <is>
          <t>Enabled</t>
        </is>
      </c>
      <c r="B18" s="147" t="inlineStr">
        <is>
          <t>Status</t>
        </is>
      </c>
      <c r="C18" s="23" t="inlineStr">
        <is>
          <t>RegulatingControl</t>
        </is>
      </c>
      <c r="D18" s="149" t="inlineStr">
        <is>
          <t xml:space="preserve">Enabled operation of  Sectionalizer, RegulatingControl or RelayStage. (2=Closed=Auto, 1=Open=Manual). </t>
        </is>
      </c>
    </row>
    <row r="19">
      <c r="A19" s="19" t="inlineStr">
        <is>
          <t>Read/Write</t>
        </is>
      </c>
      <c r="B19" s="152" t="n"/>
      <c r="C19" s="135" t="inlineStr">
        <is>
          <t>ControlLimit</t>
        </is>
      </c>
      <c r="D19" s="153" t="n"/>
    </row>
    <row r="20">
      <c r="A20" s="21" t="n"/>
      <c r="B20" s="152" t="n"/>
      <c r="C20" s="135" t="inlineStr">
        <is>
          <t>ControlSettings</t>
        </is>
      </c>
      <c r="D20" s="153" t="n"/>
    </row>
    <row r="21" ht="15" customHeight="1">
      <c r="A21" s="21" t="n"/>
      <c r="B21" s="152" t="n"/>
      <c r="C21" s="23" t="inlineStr">
        <is>
          <t xml:space="preserve">ProtectionEquipment </t>
        </is>
      </c>
      <c r="D21" s="153" t="n"/>
    </row>
    <row r="22">
      <c r="A22" s="21" t="n"/>
      <c r="B22" s="152" t="n"/>
      <c r="C22" s="135" t="inlineStr">
        <is>
          <t>RelayStage</t>
        </is>
      </c>
      <c r="D22" s="153" t="n"/>
    </row>
    <row r="23">
      <c r="A23" s="21" t="n"/>
      <c r="B23" s="152" t="n"/>
      <c r="C23" s="135" t="inlineStr">
        <is>
          <t>RecloseStage</t>
        </is>
      </c>
      <c r="D23" s="153" t="n"/>
    </row>
    <row r="24">
      <c r="A24" s="21" t="n"/>
      <c r="B24" s="152" t="n"/>
      <c r="C24" s="135" t="inlineStr">
        <is>
          <t>DistanceRelayStage</t>
        </is>
      </c>
      <c r="D24" s="153" t="n"/>
    </row>
    <row r="25">
      <c r="A25" s="21" t="n"/>
      <c r="B25" s="152" t="n"/>
      <c r="C25" s="135" t="inlineStr">
        <is>
          <t>Sectionalizer</t>
        </is>
      </c>
      <c r="D25" s="153" t="n"/>
    </row>
    <row r="26">
      <c r="A26" s="21" t="n"/>
      <c r="B26" s="152" t="n"/>
      <c r="C26" s="135" t="inlineStr">
        <is>
          <t>InterlockingScheme</t>
        </is>
      </c>
      <c r="D26" s="153" t="n"/>
    </row>
    <row r="27">
      <c r="A27" s="21" t="n"/>
      <c r="B27" s="152" t="n"/>
      <c r="C27" s="135" t="inlineStr">
        <is>
          <t>RegulatingControlGroup</t>
        </is>
      </c>
      <c r="D27" s="153" t="n"/>
    </row>
    <row r="28" ht="15" customHeight="1" thickBot="1">
      <c r="A28" s="22" t="n"/>
      <c r="B28" s="150" t="n"/>
      <c r="C28" s="133" t="inlineStr">
        <is>
          <t>ProtectionGroup</t>
        </is>
      </c>
      <c r="D28" s="151" t="n"/>
    </row>
    <row r="29" ht="28.5" customHeight="1">
      <c r="A29" s="12" t="inlineStr">
        <is>
          <t>LoadBonus</t>
        </is>
      </c>
      <c r="B29" s="147" t="inlineStr">
        <is>
          <t>Status</t>
        </is>
      </c>
      <c r="C29" s="147" t="inlineStr">
        <is>
          <t>RegulatingControl</t>
        </is>
      </c>
      <c r="D29" s="149" t="inlineStr">
        <is>
          <t>Load bonus activated (2=Closed=On, 1=Open=Off) on a voltage regulator's RegulatingControl. Applicable only when a ControlLimit of type LoadBonus exists.</t>
        </is>
      </c>
    </row>
    <row r="30" ht="15" customHeight="1" thickBot="1">
      <c r="A30" s="16" t="inlineStr">
        <is>
          <t>Read/Write</t>
        </is>
      </c>
      <c r="B30" s="150" t="n"/>
      <c r="C30" s="150" t="n"/>
      <c r="D30" s="151" t="n"/>
    </row>
    <row r="31" ht="15" customHeight="1">
      <c r="A31" s="12" t="inlineStr">
        <is>
          <t>ReclosingEnabled</t>
        </is>
      </c>
      <c r="B31" s="147" t="inlineStr">
        <is>
          <t>Status</t>
        </is>
      </c>
      <c r="C31" s="23" t="inlineStr">
        <is>
          <t>ProtectionEquipment (only reclosing)</t>
        </is>
      </c>
      <c r="D31" s="149" t="inlineStr">
        <is>
          <t xml:space="preserve">Enabled (2=Closed) reclosing operation of a  ProtectionEquipment which models a reclosing relay. </t>
        </is>
      </c>
    </row>
    <row r="32">
      <c r="A32" s="19" t="inlineStr">
        <is>
          <t>Read/Write</t>
        </is>
      </c>
      <c r="B32" s="152" t="n"/>
      <c r="C32" s="135" t="inlineStr">
        <is>
          <t>Breaker</t>
        </is>
      </c>
      <c r="D32" s="153" t="n"/>
    </row>
    <row r="33" ht="15" customHeight="1" thickBot="1">
      <c r="A33" s="22" t="n"/>
      <c r="B33" s="150" t="n"/>
      <c r="C33" s="133" t="inlineStr">
        <is>
          <t>(only reclosing)</t>
        </is>
      </c>
      <c r="D33" s="151" t="n"/>
    </row>
    <row r="34">
      <c r="A34" s="12" t="inlineStr">
        <is>
          <t>RecloserLockout</t>
        </is>
      </c>
      <c r="B34" s="147" t="inlineStr">
        <is>
          <t>Status</t>
        </is>
      </c>
      <c r="C34" s="135" t="inlineStr">
        <is>
          <t>ProtectionEquipment</t>
        </is>
      </c>
      <c r="D34" s="149" t="inlineStr">
        <is>
          <t xml:space="preserve">Recloser locked out. (1=Open=Not locked, 2=Closed=Locked) </t>
        </is>
      </c>
    </row>
    <row r="35" ht="15" customHeight="1" thickBot="1">
      <c r="A35" s="16" t="inlineStr">
        <is>
          <t>Read</t>
        </is>
      </c>
      <c r="B35" s="150" t="n"/>
      <c r="C35" s="133" t="inlineStr">
        <is>
          <t>(only reclosing)</t>
        </is>
      </c>
      <c r="D35" s="151" t="n"/>
    </row>
    <row r="36">
      <c r="A36" s="12" t="inlineStr">
        <is>
          <t>ControlActiveSetting</t>
        </is>
      </c>
      <c r="B36" s="147" t="inlineStr">
        <is>
          <t>Discrete</t>
        </is>
      </c>
      <c r="C36" s="135" t="inlineStr">
        <is>
          <t>RegulatingControl</t>
        </is>
      </c>
      <c r="D36" s="149" t="inlineStr">
        <is>
          <t>1-based index of active relay settings, control settings, or regulating control within a group. Initial=1, except for RegulatingControl where Initial=0 (=ControlSettingType.Normal).</t>
        </is>
      </c>
    </row>
    <row r="37">
      <c r="A37" s="19" t="inlineStr">
        <is>
          <t>Read/Write</t>
        </is>
      </c>
      <c r="B37" s="152" t="n"/>
      <c r="C37" s="135" t="inlineStr">
        <is>
          <t>RelayStage</t>
        </is>
      </c>
      <c r="D37" s="153" t="n"/>
    </row>
    <row r="38">
      <c r="A38" s="21" t="n"/>
      <c r="B38" s="152" t="n"/>
      <c r="C38" s="135" t="inlineStr">
        <is>
          <t>RecloseStage</t>
        </is>
      </c>
      <c r="D38" s="153" t="n"/>
    </row>
    <row r="39">
      <c r="A39" s="21" t="n"/>
      <c r="B39" s="152" t="n"/>
      <c r="C39" s="135" t="inlineStr">
        <is>
          <t>DistanceRelayStage</t>
        </is>
      </c>
      <c r="D39" s="153" t="n"/>
    </row>
    <row r="40">
      <c r="A40" s="21" t="n"/>
      <c r="B40" s="152" t="n"/>
      <c r="C40" s="135" t="inlineStr">
        <is>
          <t>ProtectionEquipment</t>
        </is>
      </c>
      <c r="D40" s="153" t="n"/>
    </row>
    <row r="41">
      <c r="A41" s="21" t="n"/>
      <c r="B41" s="152" t="n"/>
      <c r="C41" s="135" t="inlineStr">
        <is>
          <t>ProtectionGroup</t>
        </is>
      </c>
      <c r="D41" s="153" t="n"/>
    </row>
    <row r="42" ht="15" customHeight="1" thickBot="1">
      <c r="A42" s="22" t="n"/>
      <c r="B42" s="150" t="n"/>
      <c r="C42" s="133" t="inlineStr">
        <is>
          <t>RegulatingControlGroup</t>
        </is>
      </c>
      <c r="D42" s="151" t="n"/>
    </row>
    <row r="43">
      <c r="A43" s="12" t="inlineStr">
        <is>
          <t>Refresh</t>
        </is>
      </c>
      <c r="B43" s="135" t="inlineStr">
        <is>
          <t>Status</t>
        </is>
      </c>
      <c r="C43" s="147" t="inlineStr">
        <is>
          <t>RegulatingControl</t>
        </is>
      </c>
      <c r="D43" s="149" t="inlineStr">
        <is>
          <t>Refreshes the value of a regulator setting (write-only). Introduced for closed loop control.</t>
        </is>
      </c>
    </row>
    <row r="44" ht="15" customHeight="1" thickBot="1">
      <c r="A44" s="16" t="inlineStr">
        <is>
          <t>Read/Write; Manual only</t>
        </is>
      </c>
      <c r="B44" s="133" t="inlineStr">
        <is>
          <t>Discrete</t>
        </is>
      </c>
      <c r="C44" s="150" t="n"/>
      <c r="D44" s="151" t="n"/>
    </row>
    <row r="45">
      <c r="A45" s="12" t="inlineStr">
        <is>
          <t>VoltageIndex1</t>
        </is>
      </c>
      <c r="B45" s="147" t="inlineStr">
        <is>
          <t>Discrete</t>
        </is>
      </c>
      <c r="C45" s="147" t="inlineStr">
        <is>
          <t>PowerTransformer</t>
        </is>
      </c>
      <c r="D45" s="149" t="inlineStr">
        <is>
          <t>For dual-voltage transformers: 1-based index of the selected voltage  at the primary side (1) or secondary side (2). Initial=1</t>
        </is>
      </c>
    </row>
    <row r="46">
      <c r="A46" s="12" t="inlineStr">
        <is>
          <t>VoltageIndex2</t>
        </is>
      </c>
      <c r="B46" s="152" t="n"/>
      <c r="C46" s="152" t="n"/>
      <c r="D46" s="153" t="n"/>
    </row>
    <row r="47" ht="15" customHeight="1" thickBot="1">
      <c r="A47" s="16" t="inlineStr">
        <is>
          <t>Read/Write; Manual only</t>
        </is>
      </c>
      <c r="B47" s="150" t="n"/>
      <c r="C47" s="150" t="n"/>
      <c r="D47" s="151" t="n"/>
    </row>
    <row r="48" ht="28.5" customHeight="1">
      <c r="A48" s="12" t="inlineStr">
        <is>
          <t>LoadFlowEnabled</t>
        </is>
      </c>
      <c r="B48" s="147" t="inlineStr">
        <is>
          <t>Discrete</t>
        </is>
      </c>
      <c r="C48" s="135" t="inlineStr">
        <is>
          <t>Substation</t>
        </is>
      </c>
      <c r="D48" s="149" t="inlineStr">
        <is>
          <t>Specifies if state estimation is enabled for all sources within the substation or transmission network (2), load flow only (1), or none (0). If absent, State Estimation is enabled.</t>
        </is>
      </c>
    </row>
    <row r="49" ht="15" customHeight="1" thickBot="1">
      <c r="A49" s="24" t="inlineStr">
        <is>
          <t>Read/Write; Manual only</t>
        </is>
      </c>
      <c r="B49" s="150" t="n"/>
      <c r="C49" s="133" t="inlineStr">
        <is>
          <t>TransmissionNetwork</t>
        </is>
      </c>
      <c r="D49" s="151" t="n"/>
    </row>
    <row r="50">
      <c r="A50" s="12" t="inlineStr">
        <is>
          <t>TemporaryFault</t>
        </is>
      </c>
      <c r="B50" s="147" t="inlineStr">
        <is>
          <t>Status</t>
        </is>
      </c>
      <c r="C50" s="135" t="inlineStr">
        <is>
          <t>Switch</t>
        </is>
      </c>
      <c r="D50" s="149" t="inlineStr">
        <is>
          <t>A temporary fault current flow had been detected (2=Closed) by a fault recorder or fault indicator, but the condition was reset. Initial=Open</t>
        </is>
      </c>
    </row>
    <row r="51">
      <c r="A51" s="19" t="inlineStr">
        <is>
          <t>Read/Write</t>
        </is>
      </c>
      <c r="B51" s="152" t="n"/>
      <c r="C51" s="135" t="inlineStr">
        <is>
          <t>FaultIndicator</t>
        </is>
      </c>
      <c r="D51" s="153" t="n"/>
    </row>
    <row r="52">
      <c r="A52" s="21" t="n"/>
      <c r="B52" s="152" t="n"/>
      <c r="C52" s="135" t="inlineStr">
        <is>
          <t>ACLineSegment</t>
        </is>
      </c>
      <c r="D52" s="153" t="n"/>
    </row>
    <row r="53">
      <c r="A53" s="21" t="n"/>
      <c r="B53" s="152" t="n"/>
      <c r="C53" s="25" t="inlineStr">
        <is>
          <t>CurrentTransformer</t>
        </is>
      </c>
      <c r="D53" s="153" t="n"/>
    </row>
    <row r="54">
      <c r="A54" s="21" t="n"/>
      <c r="B54" s="152" t="n"/>
      <c r="C54" s="135" t="n"/>
      <c r="D54" s="153" t="n"/>
    </row>
    <row r="55" ht="15" customHeight="1" thickBot="1">
      <c r="A55" s="22" t="n"/>
      <c r="B55" s="150" t="n"/>
      <c r="C55" s="133" t="n"/>
      <c r="D55" s="151" t="n"/>
    </row>
    <row r="56">
      <c r="A56" s="12" t="inlineStr">
        <is>
          <t>FaultStatus</t>
        </is>
      </c>
      <c r="B56" s="147" t="inlineStr">
        <is>
          <t>Status</t>
        </is>
      </c>
      <c r="C56" s="135" t="inlineStr">
        <is>
          <t>Switch</t>
        </is>
      </c>
      <c r="D56" s="149" t="inlineStr">
        <is>
          <t>A permanent fault current flow has been detected (2=Closed) by a fault recorder or fault indicator. Attribute phases describes the measured phases. Initial=Open</t>
        </is>
      </c>
    </row>
    <row r="57" ht="15" customHeight="1">
      <c r="A57" s="19" t="inlineStr">
        <is>
          <t>Read/Write</t>
        </is>
      </c>
      <c r="B57" s="152" t="n"/>
      <c r="C57" s="23" t="inlineStr">
        <is>
          <t>FaultIndicator</t>
        </is>
      </c>
      <c r="D57" s="153" t="n"/>
    </row>
    <row r="58">
      <c r="A58" s="21" t="n"/>
      <c r="B58" s="152" t="n"/>
      <c r="C58" s="135" t="inlineStr">
        <is>
          <t>ACLineSegment</t>
        </is>
      </c>
      <c r="D58" s="153" t="n"/>
    </row>
    <row r="59">
      <c r="A59" s="21" t="n"/>
      <c r="B59" s="152" t="n"/>
      <c r="C59" s="25" t="inlineStr">
        <is>
          <t>CurrentTransformer</t>
        </is>
      </c>
      <c r="D59" s="153" t="n"/>
    </row>
    <row r="60">
      <c r="A60" s="21" t="n"/>
      <c r="B60" s="152" t="n"/>
      <c r="C60" s="135" t="n"/>
      <c r="D60" s="153" t="n"/>
    </row>
    <row r="61" ht="15" customHeight="1" thickBot="1">
      <c r="A61" s="22" t="n"/>
      <c r="B61" s="150" t="n"/>
      <c r="C61" s="133" t="n"/>
      <c r="D61" s="151" t="n"/>
    </row>
    <row r="62">
      <c r="A62" s="12" t="inlineStr">
        <is>
          <t>FanStatus</t>
        </is>
      </c>
      <c r="B62" s="147" t="inlineStr">
        <is>
          <t>Status</t>
        </is>
      </c>
      <c r="C62" s="147" t="inlineStr">
        <is>
          <t>PowerTransformer</t>
        </is>
      </c>
      <c r="D62" s="149" t="inlineStr">
        <is>
          <t xml:space="preserve">Status of transformer's cooling fan. (2=Closed=On) </t>
        </is>
      </c>
    </row>
    <row r="63" ht="15" customHeight="1" thickBot="1">
      <c r="A63" s="26" t="inlineStr">
        <is>
          <t>Read/Write</t>
        </is>
      </c>
      <c r="B63" s="150" t="n"/>
      <c r="C63" s="150" t="n"/>
      <c r="D63" s="151" t="n"/>
    </row>
    <row r="64">
      <c r="A64" s="12" t="inlineStr">
        <is>
          <t>OilPumpStatus</t>
        </is>
      </c>
      <c r="B64" s="147" t="inlineStr">
        <is>
          <t>Status</t>
        </is>
      </c>
      <c r="C64" s="147" t="inlineStr">
        <is>
          <t>Transformer</t>
        </is>
      </c>
      <c r="D64" s="149" t="inlineStr">
        <is>
          <t xml:space="preserve">Status of transformer's cooling oil pump. (2=Closed=On) </t>
        </is>
      </c>
    </row>
    <row r="65" ht="15" customHeight="1" thickBot="1">
      <c r="A65" s="26" t="inlineStr">
        <is>
          <t>Read/Write</t>
        </is>
      </c>
      <c r="B65" s="150" t="n"/>
      <c r="C65" s="150" t="n"/>
      <c r="D65" s="151" t="n"/>
    </row>
    <row r="66" ht="14.25" customHeight="1">
      <c r="A66" s="12" t="inlineStr">
        <is>
          <t>HotLineTag</t>
        </is>
      </c>
      <c r="B66" s="154" t="inlineStr">
        <is>
          <t>Status</t>
        </is>
      </c>
      <c r="C66" s="27" t="inlineStr">
        <is>
          <t>Breaker (with reclosing relay)</t>
        </is>
      </c>
      <c r="D66" s="155" t="inlineStr">
        <is>
          <t>Hot line tag (both automatic and manual reclosing disabled) 2=Closed=tag placed (reclosing disabled), 1=Open=tag off</t>
        </is>
      </c>
    </row>
    <row r="67" ht="15" customHeight="1" thickBot="1">
      <c r="A67" s="26" t="inlineStr">
        <is>
          <t>Read/Write</t>
        </is>
      </c>
      <c r="B67" s="156" t="n"/>
      <c r="C67" s="28" t="inlineStr">
        <is>
          <t>CompositeSwitch</t>
        </is>
      </c>
      <c r="D67" s="157" t="n"/>
    </row>
    <row r="68" ht="28.5" customHeight="1">
      <c r="A68" s="12" t="inlineStr">
        <is>
          <t>MaxOpCount</t>
        </is>
      </c>
      <c r="B68" s="154" t="inlineStr">
        <is>
          <t>Discrete</t>
        </is>
      </c>
      <c r="C68" s="27" t="inlineStr">
        <is>
          <t>Switch</t>
        </is>
      </c>
      <c r="D68" s="155" t="inlineStr">
        <is>
          <t>Maximum user-specified allowed daily count of switch or tap changer operations. If the signal is absent or has value of zero, VVO uses value specified in the profile.</t>
        </is>
      </c>
    </row>
    <row r="69" ht="15" customHeight="1" thickBot="1">
      <c r="A69" s="26" t="inlineStr">
        <is>
          <t>Read/Write, Manual only</t>
        </is>
      </c>
      <c r="B69" s="156" t="n"/>
      <c r="C69" s="28" t="inlineStr">
        <is>
          <t>TapChanger</t>
        </is>
      </c>
      <c r="D69" s="157" t="n"/>
    </row>
    <row r="70">
      <c r="A70" s="12" t="inlineStr">
        <is>
          <t>HourlyOpCount</t>
        </is>
      </c>
      <c r="B70" s="154" t="inlineStr">
        <is>
          <t>Discrete</t>
        </is>
      </c>
      <c r="C70" s="27" t="inlineStr">
        <is>
          <t>Switch</t>
        </is>
      </c>
      <c r="D70" s="155" t="inlineStr">
        <is>
          <t>Hourly count (since x:00 min) of switch or tap changer operations. Initial=0</t>
        </is>
      </c>
    </row>
    <row r="71" ht="15" customHeight="1" thickBot="1">
      <c r="A71" s="26" t="inlineStr">
        <is>
          <t>Read</t>
        </is>
      </c>
      <c r="B71" s="156" t="n"/>
      <c r="C71" s="28" t="inlineStr">
        <is>
          <t>TapChanger</t>
        </is>
      </c>
      <c r="D71" s="157" t="n"/>
    </row>
    <row r="72">
      <c r="A72" s="12" t="inlineStr">
        <is>
          <t>DailyOpCount</t>
        </is>
      </c>
      <c r="B72" s="154" t="inlineStr">
        <is>
          <t>Discrete</t>
        </is>
      </c>
      <c r="C72" s="27" t="inlineStr">
        <is>
          <t>Switch</t>
        </is>
      </c>
      <c r="D72" s="155" t="inlineStr">
        <is>
          <t>Daily count (since midnight) of switch or tap changer operations. Initial=0</t>
        </is>
      </c>
    </row>
    <row r="73" ht="15" customHeight="1" thickBot="1">
      <c r="A73" s="26" t="inlineStr">
        <is>
          <t>Read</t>
        </is>
      </c>
      <c r="B73" s="156" t="n"/>
      <c r="C73" s="28" t="inlineStr">
        <is>
          <t>TapChanger</t>
        </is>
      </c>
      <c r="D73" s="157" t="n"/>
    </row>
    <row r="74">
      <c r="A74" s="12" t="inlineStr">
        <is>
          <t>MonthlyOpCount</t>
        </is>
      </c>
      <c r="B74" s="154" t="inlineStr">
        <is>
          <t>Discrete</t>
        </is>
      </c>
      <c r="C74" s="27" t="inlineStr">
        <is>
          <t>Switch</t>
        </is>
      </c>
      <c r="D74" s="155" t="inlineStr">
        <is>
          <t>Monthly count (since 1st) of switch or tap changer operations. Initial=0</t>
        </is>
      </c>
    </row>
    <row r="75" ht="15" customHeight="1" thickBot="1">
      <c r="A75" s="26" t="inlineStr">
        <is>
          <t>Read</t>
        </is>
      </c>
      <c r="B75" s="156" t="n"/>
      <c r="C75" s="28" t="inlineStr">
        <is>
          <t>TapChanger</t>
        </is>
      </c>
      <c r="D75" s="157" t="n"/>
    </row>
    <row r="76" ht="14.25" customHeight="1">
      <c r="A76" s="12" t="inlineStr">
        <is>
          <t>UnderFrequencyAlarm</t>
        </is>
      </c>
      <c r="B76" s="154" t="inlineStr">
        <is>
          <t>Status</t>
        </is>
      </c>
      <c r="C76" s="27" t="inlineStr">
        <is>
          <t>Substation</t>
        </is>
      </c>
      <c r="D76" s="155" t="inlineStr">
        <is>
          <t>An underfrequency alarm is raised for the substation. (1=Open=Alarm off 2=Closed=Alarm on)</t>
        </is>
      </c>
    </row>
    <row r="77" ht="15" customHeight="1" thickBot="1">
      <c r="A77" s="26" t="inlineStr">
        <is>
          <t>Read, Remote only</t>
        </is>
      </c>
      <c r="B77" s="156" t="n"/>
      <c r="C77" s="28" t="inlineStr">
        <is>
          <t>ProtectingEquipment (Underfrequency only)</t>
        </is>
      </c>
      <c r="D77" s="157" t="n"/>
    </row>
    <row r="78">
      <c r="A78" s="12" t="inlineStr">
        <is>
          <t>Forward</t>
        </is>
      </c>
      <c r="B78" s="154" t="inlineStr">
        <is>
          <t>Status</t>
        </is>
      </c>
      <c r="C78" s="27" t="inlineStr">
        <is>
          <t>ProtectedSwitch</t>
        </is>
      </c>
      <c r="D78" s="155" t="inlineStr">
        <is>
          <t>For directable devices, specifies that the current or power flows in "forward" (2=Closed) (usually, downstream) or 1=Open=reverse direction.</t>
        </is>
      </c>
    </row>
    <row r="79">
      <c r="A79" s="19" t="inlineStr">
        <is>
          <t>Read</t>
        </is>
      </c>
      <c r="B79" s="158" t="n"/>
      <c r="C79" s="27" t="inlineStr">
        <is>
          <t>FaultIndicator</t>
        </is>
      </c>
      <c r="D79" s="159" t="n"/>
    </row>
    <row r="80" ht="15" customHeight="1" thickBot="1">
      <c r="A80" s="29" t="n"/>
      <c r="B80" s="156" t="n"/>
      <c r="C80" s="28" t="inlineStr">
        <is>
          <t>RegulatingControl</t>
        </is>
      </c>
      <c r="D80" s="157" t="n"/>
    </row>
    <row r="81">
      <c r="A81" s="12" t="inlineStr">
        <is>
          <t>RelayTrip</t>
        </is>
      </c>
      <c r="B81" s="154" t="inlineStr">
        <is>
          <t>Status</t>
        </is>
      </c>
      <c r="C81" s="27" t="inlineStr">
        <is>
          <t>RelayStage</t>
        </is>
      </c>
      <c r="D81" s="155" t="inlineStr">
        <is>
          <t>Indicates that a particular relay or protection recorded a fault (2=Closed=trip) and caused the breaker to trip. Initial=Open</t>
        </is>
      </c>
    </row>
    <row r="82">
      <c r="A82" s="19" t="inlineStr">
        <is>
          <t>Read</t>
        </is>
      </c>
      <c r="B82" s="158" t="n"/>
      <c r="C82" s="27" t="inlineStr">
        <is>
          <t>RecloseStage</t>
        </is>
      </c>
      <c r="D82" s="159" t="n"/>
    </row>
    <row r="83">
      <c r="A83" s="30" t="n"/>
      <c r="B83" s="158" t="n"/>
      <c r="C83" s="27" t="inlineStr">
        <is>
          <t>DistanceRelayStage</t>
        </is>
      </c>
      <c r="D83" s="159" t="n"/>
    </row>
    <row r="84" ht="15" customHeight="1" thickBot="1">
      <c r="A84" s="29" t="n"/>
      <c r="B84" s="156" t="n"/>
      <c r="C84" s="28" t="inlineStr">
        <is>
          <t>ProtectingEquipment</t>
        </is>
      </c>
      <c r="D84" s="157" t="n"/>
    </row>
    <row r="85" ht="14.25" customHeight="1">
      <c r="A85" s="12" t="inlineStr">
        <is>
          <t>ReverseMode</t>
        </is>
      </c>
      <c r="B85" s="154" t="inlineStr">
        <is>
          <t>Discrete</t>
        </is>
      </c>
      <c r="C85" s="154" t="inlineStr">
        <is>
          <t>RegulatingControl</t>
        </is>
      </c>
      <c r="D85" s="155" t="inlineStr">
        <is>
          <t>Voltage regulators only: Indicates how the regulator behaves in case of reverse power flow (ReverseOperation enum) (Initial=Block=0)</t>
        </is>
      </c>
    </row>
    <row r="86" ht="15" customHeight="1" thickBot="1">
      <c r="A86" s="26" t="inlineStr">
        <is>
          <t>Read/Write</t>
        </is>
      </c>
      <c r="B86" s="156" t="n"/>
      <c r="C86" s="156" t="n"/>
      <c r="D86" s="157" t="n"/>
    </row>
    <row r="87" ht="14.25" customHeight="1">
      <c r="A87" s="12" t="inlineStr">
        <is>
          <t>SourceStatus</t>
        </is>
      </c>
      <c r="B87" s="154" t="inlineStr">
        <is>
          <t>Status</t>
        </is>
      </c>
      <c r="C87" s="27" t="inlineStr">
        <is>
          <t>EnergySource</t>
        </is>
      </c>
      <c r="D87" s="155" t="inlineStr">
        <is>
          <t>Energization status of an energy source (1=Open=Passive, 2=Closed=Active) (type=Status)</t>
        </is>
      </c>
    </row>
    <row r="88" ht="15" customHeight="1" thickBot="1">
      <c r="A88" s="26" t="inlineStr">
        <is>
          <t>Read/Write</t>
        </is>
      </c>
      <c r="B88" s="156" t="n"/>
      <c r="C88" s="28" t="inlineStr">
        <is>
          <t>Interconnection</t>
        </is>
      </c>
      <c r="D88" s="157" t="n"/>
    </row>
    <row r="89" ht="28.5" customHeight="1">
      <c r="A89" s="12" t="inlineStr">
        <is>
          <t>GroupStatus</t>
        </is>
      </c>
      <c r="B89" s="154" t="inlineStr">
        <is>
          <t>Status</t>
        </is>
      </c>
      <c r="C89" s="160" t="inlineStr">
        <is>
          <t>DERGroup</t>
        </is>
      </c>
      <c r="D89" s="155" t="inlineStr">
        <is>
          <t>Energization status of a DERGroup (1=Open=Disonnected, 2=Closed=Connected). If generators within the group have mixed status, it does not affect the group status. (type=Status)</t>
        </is>
      </c>
    </row>
    <row r="90" ht="15" customHeight="1" thickBot="1">
      <c r="A90" s="26" t="inlineStr">
        <is>
          <t>Read/Write</t>
        </is>
      </c>
      <c r="B90" s="156" t="n"/>
      <c r="C90" s="156" t="n"/>
      <c r="D90" s="157" t="n"/>
    </row>
    <row r="91" ht="28.5" customHeight="1">
      <c r="A91" s="12" t="inlineStr">
        <is>
          <t>Parallel</t>
        </is>
      </c>
      <c r="B91" s="154" t="inlineStr">
        <is>
          <t>Status</t>
        </is>
      </c>
      <c r="C91" s="154" t="inlineStr">
        <is>
          <t>RegulatingControl</t>
        </is>
      </c>
      <c r="D91" s="155" t="inlineStr">
        <is>
          <t>Voltage regulators only: when 1=Open . indicates that the regulator is not in slave (parallel) operation in respect to the RegulatingControlGroup it belongs to. When the signal is 2=Closed or absent, the regulator acts in slave mode.</t>
        </is>
      </c>
    </row>
    <row r="92" ht="15" customHeight="1" thickBot="1">
      <c r="A92" s="31" t="inlineStr">
        <is>
          <t>Read/Write</t>
        </is>
      </c>
      <c r="B92" s="156" t="n"/>
      <c r="C92" s="156" t="n"/>
      <c r="D92" s="157" t="n"/>
    </row>
    <row r="93">
      <c r="A93" s="12" t="inlineStr">
        <is>
          <t>PowerOn</t>
        </is>
      </c>
      <c r="B93" s="154" t="inlineStr">
        <is>
          <t>Status</t>
        </is>
      </c>
      <c r="C93" s="27" t="inlineStr">
        <is>
          <t>ACLineSegment</t>
        </is>
      </c>
      <c r="D93" s="155" t="inlineStr">
        <is>
          <t>Indicates presence (Closed=2) or absence (Open=1) of voltage at the sensor location.</t>
        </is>
      </c>
    </row>
    <row r="94">
      <c r="A94" s="32" t="inlineStr">
        <is>
          <t>Read</t>
        </is>
      </c>
      <c r="B94" s="158" t="n"/>
      <c r="C94" s="27" t="inlineStr">
        <is>
          <t>PowerTransformer2W</t>
        </is>
      </c>
      <c r="D94" s="159" t="n"/>
    </row>
    <row r="95">
      <c r="A95" s="30" t="n"/>
      <c r="B95" s="158" t="n"/>
      <c r="C95" s="27" t="inlineStr">
        <is>
          <t xml:space="preserve">CurrentTransformer </t>
        </is>
      </c>
      <c r="D95" s="159" t="n"/>
    </row>
    <row r="96">
      <c r="A96" s="30" t="n"/>
      <c r="B96" s="158" t="n"/>
      <c r="C96" s="33" t="inlineStr">
        <is>
          <t>Switch</t>
        </is>
      </c>
      <c r="D96" s="159" t="n"/>
    </row>
    <row r="97">
      <c r="A97" s="30" t="n"/>
      <c r="B97" s="158" t="n"/>
      <c r="C97" s="27" t="inlineStr">
        <is>
          <t>ServiceDeliveryPoint</t>
        </is>
      </c>
      <c r="D97" s="159" t="n"/>
    </row>
    <row r="98">
      <c r="A98" s="30" t="n"/>
      <c r="B98" s="158" t="n"/>
      <c r="C98" s="27" t="inlineStr">
        <is>
          <t>ServiceLocation</t>
        </is>
      </c>
      <c r="D98" s="159" t="n"/>
    </row>
    <row r="99" ht="15" customHeight="1" thickBot="1">
      <c r="A99" s="29" t="n"/>
      <c r="B99" s="156" t="n"/>
      <c r="C99" s="28" t="inlineStr">
        <is>
          <t>FaultIndicator</t>
        </is>
      </c>
      <c r="D99" s="157" t="n"/>
    </row>
    <row r="100">
      <c r="A100" s="12" t="inlineStr">
        <is>
          <t>Manageable</t>
        </is>
      </c>
      <c r="B100" s="154" t="inlineStr">
        <is>
          <t>Status</t>
        </is>
      </c>
      <c r="C100" s="27" t="inlineStr">
        <is>
          <t>EnergyConsumer</t>
        </is>
      </c>
      <c r="D100" s="155" t="inlineStr">
        <is>
          <t>Specifies that the customer (Yes=Closed=2) may be disconnected by the utility.</t>
        </is>
      </c>
    </row>
    <row r="101">
      <c r="A101" s="32" t="inlineStr">
        <is>
          <t>Read/Write</t>
        </is>
      </c>
      <c r="B101" s="158" t="n"/>
      <c r="C101" s="27" t="inlineStr">
        <is>
          <t>ServiceDeliveryPoint</t>
        </is>
      </c>
      <c r="D101" s="159" t="n"/>
    </row>
    <row r="102" ht="15" customHeight="1" thickBot="1">
      <c r="A102" s="29" t="n"/>
      <c r="B102" s="156" t="n"/>
      <c r="C102" s="28" t="inlineStr">
        <is>
          <t>ServiceLocation</t>
        </is>
      </c>
      <c r="D102" s="157" t="n"/>
    </row>
    <row r="103">
      <c r="A103" s="12" t="inlineStr">
        <is>
          <t>Malfunctioning</t>
        </is>
      </c>
      <c r="B103" s="154" t="inlineStr">
        <is>
          <t>Status</t>
        </is>
      </c>
      <c r="C103" s="33" t="inlineStr">
        <is>
          <t>PowerTransformer</t>
        </is>
      </c>
      <c r="D103" s="155" t="inlineStr">
        <is>
          <t>Indicates an alarm/failure (Closed=2) of a piece of equipment that renders it unsuitable for normal operation. (Motor failure, Buchholz relay operation etc.)</t>
        </is>
      </c>
    </row>
    <row r="104">
      <c r="A104" s="32" t="inlineStr">
        <is>
          <t>Read</t>
        </is>
      </c>
      <c r="B104" s="158" t="n"/>
      <c r="C104" s="33" t="inlineStr">
        <is>
          <t>Switch</t>
        </is>
      </c>
      <c r="D104" s="159" t="n"/>
    </row>
    <row r="105">
      <c r="A105" s="30" t="n"/>
      <c r="B105" s="158" t="n"/>
      <c r="C105" s="27" t="inlineStr">
        <is>
          <t>TapChanger</t>
        </is>
      </c>
      <c r="D105" s="159" t="n"/>
    </row>
    <row r="106">
      <c r="A106" s="30" t="n"/>
      <c r="B106" s="158" t="n"/>
      <c r="C106" s="27" t="inlineStr">
        <is>
          <t>ProtectionEquipment</t>
        </is>
      </c>
      <c r="D106" s="159" t="n"/>
    </row>
    <row r="107">
      <c r="A107" s="30" t="n"/>
      <c r="B107" s="158" t="n"/>
      <c r="C107" s="27" t="inlineStr">
        <is>
          <t>Capacitor</t>
        </is>
      </c>
      <c r="D107" s="159" t="n"/>
    </row>
    <row r="108" ht="15" customHeight="1" thickBot="1">
      <c r="A108" s="29" t="n"/>
      <c r="B108" s="156" t="n"/>
      <c r="C108" s="28" t="inlineStr">
        <is>
          <t>CompositeSwitch</t>
        </is>
      </c>
      <c r="D108" s="157" t="n"/>
    </row>
    <row r="109">
      <c r="A109" s="12" t="inlineStr">
        <is>
          <t>WeightingFactor</t>
        </is>
      </c>
      <c r="B109" s="154" t="inlineStr">
        <is>
          <t>Discrete</t>
        </is>
      </c>
      <c r="C109" s="27" t="inlineStr">
        <is>
          <t>Capacitor</t>
        </is>
      </c>
      <c r="D109" s="155" t="inlineStr">
        <is>
          <t xml:space="preserve">Specifies preferred priority of the Capacitor for operation by Var control algorithm. Capacitors with greatest weight are operated first. </t>
        </is>
      </c>
    </row>
    <row r="110" ht="15" customHeight="1" thickBot="1">
      <c r="A110" s="31" t="inlineStr">
        <is>
          <t>Read/Write, Manual only</t>
        </is>
      </c>
      <c r="B110" s="156" t="n"/>
      <c r="C110" s="28" t="inlineStr">
        <is>
          <t>CapacitorBank</t>
        </is>
      </c>
      <c r="D110" s="157" t="n"/>
    </row>
  </sheetData>
  <mergeCells count="76">
    <mergeCell ref="B50:B55"/>
    <mergeCell ref="B78:B80"/>
    <mergeCell ref="B18:B28"/>
    <mergeCell ref="D50:D55"/>
    <mergeCell ref="B62:B63"/>
    <mergeCell ref="D78:D80"/>
    <mergeCell ref="B109:B110"/>
    <mergeCell ref="B12:B13"/>
    <mergeCell ref="D109:D110"/>
    <mergeCell ref="B70:B71"/>
    <mergeCell ref="C89:C90"/>
    <mergeCell ref="C29:C30"/>
    <mergeCell ref="D70:D71"/>
    <mergeCell ref="D81:D84"/>
    <mergeCell ref="B2:B3"/>
    <mergeCell ref="D6:D11"/>
    <mergeCell ref="C85:C86"/>
    <mergeCell ref="D2:D3"/>
    <mergeCell ref="B14:B15"/>
    <mergeCell ref="B29:B30"/>
    <mergeCell ref="D76:D77"/>
    <mergeCell ref="B45:B47"/>
    <mergeCell ref="B56:B61"/>
    <mergeCell ref="B48:B49"/>
    <mergeCell ref="D36:D42"/>
    <mergeCell ref="D48:D49"/>
    <mergeCell ref="D66:D67"/>
    <mergeCell ref="D4:D5"/>
    <mergeCell ref="D91:D92"/>
    <mergeCell ref="D72:D73"/>
    <mergeCell ref="B100:B102"/>
    <mergeCell ref="D16:D17"/>
    <mergeCell ref="D93:D99"/>
    <mergeCell ref="D12:D13"/>
    <mergeCell ref="B34:B35"/>
    <mergeCell ref="C2:C3"/>
    <mergeCell ref="D87:D88"/>
    <mergeCell ref="B36:B42"/>
    <mergeCell ref="B68:B69"/>
    <mergeCell ref="D62:D63"/>
    <mergeCell ref="D68:D69"/>
    <mergeCell ref="B31:B33"/>
    <mergeCell ref="D18:D28"/>
    <mergeCell ref="C43:C44"/>
    <mergeCell ref="D31:D33"/>
    <mergeCell ref="D43:D44"/>
    <mergeCell ref="C45:C47"/>
    <mergeCell ref="B87:B88"/>
    <mergeCell ref="D100:D102"/>
    <mergeCell ref="B74:B75"/>
    <mergeCell ref="D56:D61"/>
    <mergeCell ref="D74:D75"/>
    <mergeCell ref="B64:B65"/>
    <mergeCell ref="C91:C92"/>
    <mergeCell ref="D64:D65"/>
    <mergeCell ref="B103:B108"/>
    <mergeCell ref="D103:D108"/>
    <mergeCell ref="B89:B90"/>
    <mergeCell ref="D89:D90"/>
    <mergeCell ref="D14:D15"/>
    <mergeCell ref="D29:D30"/>
    <mergeCell ref="C62:C63"/>
    <mergeCell ref="B76:B77"/>
    <mergeCell ref="D85:D86"/>
    <mergeCell ref="D45:D47"/>
    <mergeCell ref="B4:B5"/>
    <mergeCell ref="B66:B67"/>
    <mergeCell ref="B6:B11"/>
    <mergeCell ref="B91:B92"/>
    <mergeCell ref="C64:C65"/>
    <mergeCell ref="B85:B86"/>
    <mergeCell ref="B16:B17"/>
    <mergeCell ref="D34:D35"/>
    <mergeCell ref="B93:B99"/>
    <mergeCell ref="B72:B73"/>
    <mergeCell ref="B81:B84"/>
  </mergeCells>
  <pageMargins left="0.511811024" right="0.511811024" top="0.787401575" bottom="0.787401575" header="0.31496062" footer="0.31496062"/>
  <pageSetup orientation="portrait"/>
  <headerFooter>
    <oddHeader>&amp;L&amp;"Calibri"&amp;1 &amp;K0000FF Uso Interno CPFL#_x000d_</oddHeader>
    <oddFooter/>
    <evenHeader/>
    <evenFooter/>
    <firstHeader/>
    <firstFooter/>
  </headerFooter>
</worksheet>
</file>

<file path=xl/worksheets/sheet7.xml><?xml version="1.0" encoding="utf-8"?>
<worksheet xmlns="http://schemas.openxmlformats.org/spreadsheetml/2006/main">
  <sheetPr codeName="Planilha6">
    <tabColor rgb="FFFFC000"/>
    <outlinePr summaryBelow="1" summaryRight="1"/>
    <pageSetUpPr/>
  </sheetPr>
  <dimension ref="A1:AE1141"/>
  <sheetViews>
    <sheetView topLeftCell="G37" workbookViewId="0">
      <selection activeCell="K45" sqref="K45"/>
    </sheetView>
  </sheetViews>
  <sheetFormatPr baseColWidth="8" defaultRowHeight="14.25"/>
  <cols>
    <col hidden="1" width="33.85546875" customWidth="1" style="11" min="1" max="1"/>
    <col hidden="1" width="29.85546875" customWidth="1" style="11" min="2" max="2"/>
    <col hidden="1" width="19.5703125" customWidth="1" style="11" min="3" max="3"/>
    <col hidden="1" width="25.28515625" customWidth="1" style="11" min="4" max="4"/>
    <col hidden="1" width="28.140625" customWidth="1" style="11" min="5" max="5"/>
    <col hidden="1" width="13" customWidth="1" style="11" min="6" max="6"/>
    <col width="31.85546875" customWidth="1" style="11" min="7" max="7"/>
    <col width="64.5703125" customWidth="1" style="11" min="8" max="8"/>
    <col width="9.140625" customWidth="1" style="11" min="9" max="9"/>
    <col width="24.28515625" customWidth="1" style="11" min="10" max="10"/>
    <col width="64.7109375" customWidth="1" style="11" min="11" max="11"/>
    <col width="12.5703125" customWidth="1" style="11" min="12" max="12"/>
    <col width="20" customWidth="1" style="11" min="13" max="13"/>
    <col width="79.5703125" customWidth="1" style="11" min="14" max="14"/>
    <col width="21.5703125" customWidth="1" style="11" min="15" max="15"/>
    <col width="12" bestFit="1" customWidth="1" style="41" min="16" max="16"/>
    <col width="11.7109375" bestFit="1" customWidth="1" style="41" min="17" max="17"/>
    <col width="19.28515625" customWidth="1" style="11" min="18" max="18"/>
    <col width="21.7109375" customWidth="1" style="11" min="19" max="21"/>
    <col width="14.5703125" customWidth="1" style="11" min="22" max="23"/>
    <col width="21.7109375" customWidth="1" style="11" min="24" max="24"/>
    <col width="42" customWidth="1" style="11" min="25" max="25"/>
    <col width="32.140625" customWidth="1" style="11" min="26" max="26"/>
    <col width="12" customWidth="1" style="11" min="27" max="27"/>
    <col width="21.7109375" customWidth="1" style="11" min="28" max="28"/>
    <col width="12" customWidth="1" style="11" min="29" max="29"/>
    <col width="19.7109375" customWidth="1" style="11" min="30" max="30"/>
    <col width="21.7109375" customWidth="1" style="11" min="31" max="31"/>
    <col width="9.140625" customWidth="1" style="11" min="32" max="16384"/>
  </cols>
  <sheetData>
    <row r="1" ht="49.7" customHeight="1" thickBot="1" thickTop="1">
      <c r="A1" s="34" t="inlineStr">
        <is>
          <t>MatchingString</t>
        </is>
      </c>
      <c r="B1" s="35" t="inlineStr">
        <is>
          <t>DMS Matching template</t>
        </is>
      </c>
      <c r="C1" s="35" t="inlineStr">
        <is>
          <t xml:space="preserve"> signalType</t>
        </is>
      </c>
      <c r="D1" s="35" t="inlineStr">
        <is>
          <t>measurementType</t>
        </is>
      </c>
      <c r="E1" s="36" t="inlineStr">
        <is>
          <t>phaseCode &amp; sideMeasured</t>
        </is>
      </c>
      <c r="G1" s="37" t="inlineStr">
        <is>
          <t xml:space="preserve"> signalType</t>
        </is>
      </c>
      <c r="H1" s="38" t="inlineStr">
        <is>
          <t>Description</t>
        </is>
      </c>
      <c r="J1" s="37" t="inlineStr">
        <is>
          <t>measurementType</t>
        </is>
      </c>
      <c r="K1" s="39" t="inlineStr">
        <is>
          <t>Description</t>
        </is>
      </c>
      <c r="M1" s="37" t="inlineStr">
        <is>
          <t>PhaseCode</t>
        </is>
      </c>
      <c r="N1" s="39" t="inlineStr">
        <is>
          <t>Description</t>
        </is>
      </c>
      <c r="P1" s="40" t="inlineStr">
        <is>
          <t>Error Report</t>
        </is>
      </c>
      <c r="S1" s="42" t="inlineStr">
        <is>
          <t>Protocols</t>
        </is>
      </c>
      <c r="T1" s="42" t="inlineStr">
        <is>
          <t>Unique device</t>
        </is>
      </c>
      <c r="U1" s="42" t="inlineStr">
        <is>
          <t>Unique identifier</t>
        </is>
      </c>
      <c r="V1" s="42" t="inlineStr">
        <is>
          <t>Choice of Unique device</t>
        </is>
      </c>
      <c r="W1" s="42" t="inlineStr">
        <is>
          <t>Choice of Unique identifier</t>
        </is>
      </c>
      <c r="X1" s="42" t="inlineStr">
        <is>
          <t>ICCP Point Role</t>
        </is>
      </c>
      <c r="Y1" s="42" t="inlineStr">
        <is>
          <t>ICCP INPUT Point Type</t>
        </is>
      </c>
      <c r="Z1" s="42" t="inlineStr">
        <is>
          <t>ICCP OUTPUT Point Type</t>
        </is>
      </c>
      <c r="AA1" s="42" t="inlineStr">
        <is>
          <t>ICCP Point Scope</t>
        </is>
      </c>
      <c r="AB1" s="42" t="inlineStr">
        <is>
          <t>Delete</t>
        </is>
      </c>
      <c r="AC1" s="42" t="inlineStr">
        <is>
          <t>Invert In/Out bits</t>
        </is>
      </c>
      <c r="AD1" s="42" t="inlineStr">
        <is>
          <t>Point type</t>
        </is>
      </c>
      <c r="AE1" s="42" t="inlineStr">
        <is>
          <t>Point category</t>
        </is>
      </c>
    </row>
    <row r="2" ht="15.75" customHeight="1" thickBot="1">
      <c r="A2" s="43">
        <f>CONCATENATE(C2,D2,E2)</f>
        <v/>
      </c>
      <c r="B2" s="44" t="inlineStr">
        <is>
          <t>SWSABC</t>
        </is>
      </c>
      <c r="C2" s="44" t="inlineStr">
        <is>
          <t>SwitchStatus</t>
        </is>
      </c>
      <c r="D2" s="44" t="inlineStr">
        <is>
          <t>SwitchStatus</t>
        </is>
      </c>
      <c r="E2" s="44" t="inlineStr">
        <is>
          <t>ABC</t>
        </is>
      </c>
      <c r="G2" s="44" t="inlineStr">
        <is>
          <t>SwitchStatus</t>
        </is>
      </c>
      <c r="H2" s="44" t="inlineStr">
        <is>
          <t>Switch or rack status</t>
        </is>
      </c>
      <c r="J2" s="44" t="inlineStr">
        <is>
          <t>SwitchStatus</t>
        </is>
      </c>
      <c r="K2" s="44" t="inlineStr">
        <is>
          <t>A discrete signal describing switch status -- open/close/error/transit.</t>
        </is>
      </c>
      <c r="M2" s="44" t="inlineStr">
        <is>
          <t>ABC</t>
        </is>
      </c>
      <c r="N2" s="44" t="inlineStr">
        <is>
          <t>Phases ABC, side measured : None (No winding is applicable)</t>
        </is>
      </c>
      <c r="P2" s="45" t="inlineStr">
        <is>
          <t>Sheet name</t>
        </is>
      </c>
      <c r="Q2" s="45" t="inlineStr">
        <is>
          <t>No of errors</t>
        </is>
      </c>
      <c r="S2" s="46" t="inlineStr">
        <is>
          <t>DNP_V3.0</t>
        </is>
      </c>
      <c r="T2" s="47" t="inlineStr">
        <is>
          <t>Substation</t>
        </is>
      </c>
      <c r="U2" s="47" t="inlineStr">
        <is>
          <t>Name</t>
        </is>
      </c>
      <c r="V2" s="48" t="n">
        <v>1</v>
      </c>
      <c r="W2" s="48" t="n">
        <v>1</v>
      </c>
      <c r="X2" s="11" t="inlineStr">
        <is>
          <t>client</t>
        </is>
      </c>
      <c r="Y2" s="49" t="inlineStr">
        <is>
          <t xml:space="preserve">DV_Real </t>
        </is>
      </c>
      <c r="Z2" s="11" t="inlineStr">
        <is>
          <t xml:space="preserve">DEV_Real </t>
        </is>
      </c>
      <c r="AA2" s="11" t="inlineStr">
        <is>
          <t>ICC</t>
        </is>
      </c>
      <c r="AC2" s="11" t="inlineStr">
        <is>
          <t>yes</t>
        </is>
      </c>
      <c r="AD2" s="11" t="inlineStr">
        <is>
          <t>telemetered</t>
        </is>
      </c>
      <c r="AE2" s="11" t="inlineStr">
        <is>
          <t>analog</t>
        </is>
      </c>
    </row>
    <row r="3" ht="44.25" customHeight="1" thickTop="1">
      <c r="A3" s="50">
        <f>CONCATENATE(C3,D3,E3)</f>
        <v/>
      </c>
      <c r="B3" s="51" t="inlineStr">
        <is>
          <t>SWSA</t>
        </is>
      </c>
      <c r="C3" s="51" t="inlineStr">
        <is>
          <t>SwitchStatus</t>
        </is>
      </c>
      <c r="D3" s="51" t="inlineStr">
        <is>
          <t>SwitchStatus</t>
        </is>
      </c>
      <c r="E3" s="51" t="inlineStr">
        <is>
          <t>A</t>
        </is>
      </c>
      <c r="G3" s="51" t="inlineStr">
        <is>
          <t>Local</t>
        </is>
      </c>
      <c r="H3" s="52" t="inlineStr">
        <is>
          <t>A switch, tap changer or RTU is switched into local manual control, and cannot be remotely operated (however, its status can be read).</t>
        </is>
      </c>
      <c r="J3" s="44" t="inlineStr">
        <is>
          <t>Status</t>
        </is>
      </c>
      <c r="K3" s="44" t="inlineStr">
        <is>
          <t xml:space="preserve"> A discrete signal with on/off (true/false) value.</t>
        </is>
      </c>
      <c r="M3" s="44" t="inlineStr">
        <is>
          <t>A</t>
        </is>
      </c>
      <c r="N3" s="44" t="inlineStr">
        <is>
          <t>Phases A, side measured : None (No winding is applicable)</t>
        </is>
      </c>
      <c r="P3" s="53">
        <f>HYPERLINK("#RTU_IEC104!A1", "RTU_IEC104")</f>
        <v/>
      </c>
      <c r="Q3" s="41" t="n">
        <v>1</v>
      </c>
      <c r="S3" s="46" t="inlineStr">
        <is>
          <t>IEC 104</t>
        </is>
      </c>
      <c r="T3" s="47" t="inlineStr">
        <is>
          <t>Feeder</t>
        </is>
      </c>
      <c r="U3" s="47" t="inlineStr">
        <is>
          <t>Alias</t>
        </is>
      </c>
      <c r="V3" s="54" t="n"/>
      <c r="W3" s="54" t="n"/>
      <c r="X3" s="11" t="inlineStr">
        <is>
          <t>server</t>
        </is>
      </c>
      <c r="Y3" s="49" t="inlineStr">
        <is>
          <t xml:space="preserve">DV_State </t>
        </is>
      </c>
      <c r="Z3" s="11" t="inlineStr">
        <is>
          <t xml:space="preserve">DEV_Command </t>
        </is>
      </c>
      <c r="AA3" s="11" t="inlineStr">
        <is>
          <t>VCC</t>
        </is>
      </c>
      <c r="AB3" s="11" t="inlineStr">
        <is>
          <t>DELETE</t>
        </is>
      </c>
      <c r="AC3" s="11" t="inlineStr">
        <is>
          <t>no</t>
        </is>
      </c>
      <c r="AD3" s="11" t="inlineStr">
        <is>
          <t>calculated</t>
        </is>
      </c>
      <c r="AE3" s="11" t="inlineStr">
        <is>
          <t>status</t>
        </is>
      </c>
    </row>
    <row r="4" ht="15" customHeight="1">
      <c r="A4" s="50">
        <f>CONCATENATE(C4,D4,E4)</f>
        <v/>
      </c>
      <c r="B4" s="51" t="inlineStr">
        <is>
          <t>SWSB</t>
        </is>
      </c>
      <c r="C4" s="51" t="inlineStr">
        <is>
          <t>SwitchStatus</t>
        </is>
      </c>
      <c r="D4" s="51" t="inlineStr">
        <is>
          <t>SwitchStatus</t>
        </is>
      </c>
      <c r="E4" s="51" t="inlineStr">
        <is>
          <t>B</t>
        </is>
      </c>
      <c r="G4" s="51" t="inlineStr">
        <is>
          <t>OperationCount</t>
        </is>
      </c>
      <c r="H4" s="44" t="inlineStr">
        <is>
          <t>Total count of switch or tap changer operations since last reset.</t>
        </is>
      </c>
      <c r="J4" s="44" t="inlineStr">
        <is>
          <t>Discrete</t>
        </is>
      </c>
      <c r="K4" s="44" t="inlineStr">
        <is>
          <t>A discrete signal with a range of integer values</t>
        </is>
      </c>
      <c r="M4" s="44" t="inlineStr">
        <is>
          <t>B</t>
        </is>
      </c>
      <c r="N4" s="44" t="inlineStr">
        <is>
          <t>Phases B, side measured : None (No winding is applicable)</t>
        </is>
      </c>
      <c r="S4" s="46" t="inlineStr">
        <is>
          <t>ICCP</t>
        </is>
      </c>
      <c r="T4" s="47" t="inlineStr">
        <is>
          <t>Feeder Object</t>
        </is>
      </c>
      <c r="U4" s="47" t="n"/>
      <c r="V4" s="54" t="n"/>
      <c r="W4" s="54" t="n"/>
      <c r="X4" s="11" t="inlineStr">
        <is>
          <t>client/server</t>
        </is>
      </c>
      <c r="Y4" s="49" t="inlineStr">
        <is>
          <t xml:space="preserve">DV_Discrete </t>
        </is>
      </c>
      <c r="Z4" s="11" t="inlineStr">
        <is>
          <t xml:space="preserve">DEV_Discrete </t>
        </is>
      </c>
      <c r="AD4" s="11" t="inlineStr">
        <is>
          <t>manual entry</t>
        </is>
      </c>
    </row>
    <row r="5" ht="29.25" customHeight="1">
      <c r="A5" s="50">
        <f>CONCATENATE(C5,D5,E5)</f>
        <v/>
      </c>
      <c r="B5" s="51" t="inlineStr">
        <is>
          <t>SWSC</t>
        </is>
      </c>
      <c r="C5" s="51" t="inlineStr">
        <is>
          <t>SwitchStatus</t>
        </is>
      </c>
      <c r="D5" s="51" t="inlineStr">
        <is>
          <t>SwitchStatus</t>
        </is>
      </c>
      <c r="E5" s="51" t="inlineStr">
        <is>
          <t>C</t>
        </is>
      </c>
      <c r="G5" s="51" t="inlineStr">
        <is>
          <t>FaultStatus</t>
        </is>
      </c>
      <c r="H5" s="52" t="inlineStr">
        <is>
          <t>Fault current flow is detected (2=Closed) by a fault recorder or fault indicator.</t>
        </is>
      </c>
      <c r="J5" s="44" t="inlineStr">
        <is>
          <t>Voltage</t>
        </is>
      </c>
      <c r="K5" s="44" t="inlineStr">
        <is>
          <t>Voltage</t>
        </is>
      </c>
      <c r="M5" s="44" t="inlineStr">
        <is>
          <t>C</t>
        </is>
      </c>
      <c r="N5" s="44" t="inlineStr">
        <is>
          <t>Phases C, side measured : None (No winding is applicable)</t>
        </is>
      </c>
      <c r="T5" s="47" t="inlineStr">
        <is>
          <t>Bank</t>
        </is>
      </c>
      <c r="U5" s="47" t="n"/>
      <c r="V5" s="54" t="n"/>
      <c r="W5" s="54" t="n"/>
      <c r="X5" s="11" t="inlineStr">
        <is>
          <t>none</t>
        </is>
      </c>
      <c r="Y5" s="49" t="inlineStr">
        <is>
          <t xml:space="preserve">DV_StateSupp </t>
        </is>
      </c>
      <c r="AD5" s="11" t="inlineStr">
        <is>
          <t>remote param</t>
        </is>
      </c>
    </row>
    <row r="6" ht="29.25" customHeight="1">
      <c r="A6" s="50">
        <f>CONCATENATE(C6,D6,E6)</f>
        <v/>
      </c>
      <c r="B6" s="51" t="inlineStr">
        <is>
          <t>LOCREMABC</t>
        </is>
      </c>
      <c r="C6" s="51" t="inlineStr">
        <is>
          <t>Local</t>
        </is>
      </c>
      <c r="D6" s="51" t="inlineStr">
        <is>
          <t>Status</t>
        </is>
      </c>
      <c r="E6" s="51" t="inlineStr">
        <is>
          <t>ABC</t>
        </is>
      </c>
      <c r="G6" s="51" t="inlineStr">
        <is>
          <t>MaxOpCount</t>
        </is>
      </c>
      <c r="H6" s="52" t="inlineStr">
        <is>
          <t>Maximal allowed daily count of switch or tap changer operations. If zero, VVO uses value specified in the profile.</t>
        </is>
      </c>
      <c r="J6" s="44" t="inlineStr">
        <is>
          <t>VoltageAngle</t>
        </is>
      </c>
      <c r="K6" s="52" t="inlineStr">
        <is>
          <t>Voltage angle. Typically, this is not a physical measurement but a pseudo-measurement imported from e.g. EMS estimator.</t>
        </is>
      </c>
      <c r="M6" s="44" t="inlineStr">
        <is>
          <t>AB</t>
        </is>
      </c>
      <c r="N6" s="44" t="inlineStr">
        <is>
          <t>Phases AB, side measured : None (No winding is applicable)</t>
        </is>
      </c>
      <c r="T6" s="47" t="inlineStr">
        <is>
          <t>Bay</t>
        </is>
      </c>
      <c r="U6" s="47" t="n"/>
      <c r="V6" s="54" t="n"/>
      <c r="W6" s="54" t="n"/>
      <c r="Y6" s="49" t="inlineStr">
        <is>
          <t xml:space="preserve">DV_RealQuality </t>
        </is>
      </c>
    </row>
    <row r="7" ht="28.5" customHeight="1">
      <c r="A7" s="50">
        <f>CONCATENATE(C7,D7,E7)</f>
        <v/>
      </c>
      <c r="B7" s="51" t="inlineStr">
        <is>
          <t>LOCREMA</t>
        </is>
      </c>
      <c r="C7" s="51" t="inlineStr">
        <is>
          <t>Local</t>
        </is>
      </c>
      <c r="D7" s="51" t="inlineStr">
        <is>
          <t>Status</t>
        </is>
      </c>
      <c r="E7" s="51" t="inlineStr">
        <is>
          <t>A</t>
        </is>
      </c>
      <c r="G7" s="51" t="inlineStr">
        <is>
          <t>HourlyOpCount</t>
        </is>
      </c>
      <c r="H7" s="52" t="inlineStr">
        <is>
          <t>Hourly count (since x:00 min) of switch or tap changer operations. Initial=0</t>
        </is>
      </c>
      <c r="J7" s="44" t="inlineStr">
        <is>
          <t>Frequency</t>
        </is>
      </c>
      <c r="K7" s="44" t="inlineStr">
        <is>
          <t>Frequency</t>
        </is>
      </c>
      <c r="M7" s="44" t="inlineStr">
        <is>
          <t>BC</t>
        </is>
      </c>
      <c r="N7" s="44" t="inlineStr">
        <is>
          <t>Phases BC, side measured : None (No winding is applicable)</t>
        </is>
      </c>
      <c r="V7" s="55" t="n"/>
      <c r="W7" s="55" t="n"/>
      <c r="Y7" s="49" t="inlineStr">
        <is>
          <t xml:space="preserve">DV_StateQuality </t>
        </is>
      </c>
    </row>
    <row r="8" ht="28.5" customHeight="1">
      <c r="A8" s="50">
        <f>CONCATENATE(C8,D8,E8)</f>
        <v/>
      </c>
      <c r="B8" s="51" t="inlineStr">
        <is>
          <t>LOCREMB</t>
        </is>
      </c>
      <c r="C8" s="51" t="inlineStr">
        <is>
          <t>Local</t>
        </is>
      </c>
      <c r="D8" s="51" t="inlineStr">
        <is>
          <t>Status</t>
        </is>
      </c>
      <c r="E8" s="51" t="inlineStr">
        <is>
          <t>B</t>
        </is>
      </c>
      <c r="G8" s="51" t="inlineStr">
        <is>
          <t>DailyOpCount</t>
        </is>
      </c>
      <c r="H8" s="52" t="inlineStr">
        <is>
          <t>Daily count (since midnight) of switch or tap changer operations. Initial=0</t>
        </is>
      </c>
      <c r="J8" s="44" t="inlineStr">
        <is>
          <t>RelativeVoltage</t>
        </is>
      </c>
      <c r="K8" s="52" t="inlineStr">
        <is>
          <t>Voltage expressed as relative value of base voltage. Default unit is %, other applicable units are p.u and base 120</t>
        </is>
      </c>
      <c r="M8" s="44" t="inlineStr">
        <is>
          <t>AC</t>
        </is>
      </c>
      <c r="N8" s="44" t="inlineStr">
        <is>
          <t>Phases AC, side measured : None (No winding is applicable)</t>
        </is>
      </c>
      <c r="V8" s="55" t="n"/>
      <c r="W8" s="55" t="n"/>
      <c r="Y8" s="49" t="inlineStr">
        <is>
          <t xml:space="preserve">DV_DiscreteQuality </t>
        </is>
      </c>
    </row>
    <row r="9" ht="28.5" customHeight="1">
      <c r="A9" s="50">
        <f>CONCATENATE(C9,D9,E9)</f>
        <v/>
      </c>
      <c r="B9" s="51" t="inlineStr">
        <is>
          <t>LOCREMC</t>
        </is>
      </c>
      <c r="C9" s="51" t="inlineStr">
        <is>
          <t>Local</t>
        </is>
      </c>
      <c r="D9" s="51" t="inlineStr">
        <is>
          <t>Status</t>
        </is>
      </c>
      <c r="E9" s="51" t="inlineStr">
        <is>
          <t>C</t>
        </is>
      </c>
      <c r="G9" s="51" t="inlineStr">
        <is>
          <t>MonthlyOpCount</t>
        </is>
      </c>
      <c r="H9" s="52" t="inlineStr">
        <is>
          <t>Monthly count (since 1st) of switch or tap changer operations. Initial=0</t>
        </is>
      </c>
      <c r="J9" s="44" t="inlineStr">
        <is>
          <t>Current</t>
        </is>
      </c>
      <c r="K9" s="52" t="inlineStr">
        <is>
          <t>Current</t>
        </is>
      </c>
      <c r="M9" s="44" t="inlineStr">
        <is>
          <t>ABCPrimary</t>
        </is>
      </c>
      <c r="N9" s="44" t="inlineStr">
        <is>
          <t>Phases ABC, side measured : Primary  (first terminal)</t>
        </is>
      </c>
      <c r="V9" s="55" t="n"/>
      <c r="W9" s="55" t="n"/>
      <c r="Y9" s="49" t="inlineStr">
        <is>
          <t xml:space="preserve">DV_StateSuppQuality </t>
        </is>
      </c>
    </row>
    <row r="10" ht="28.5" customHeight="1">
      <c r="A10" s="50">
        <f>CONCATENATE(C10,D10,E10)</f>
        <v/>
      </c>
      <c r="B10" s="51" t="inlineStr">
        <is>
          <t>OPCNTABC</t>
        </is>
      </c>
      <c r="C10" s="51" t="inlineStr">
        <is>
          <t>OperationCount</t>
        </is>
      </c>
      <c r="D10" s="51" t="inlineStr">
        <is>
          <t>Discrete</t>
        </is>
      </c>
      <c r="E10" s="51" t="inlineStr">
        <is>
          <t>ABC</t>
        </is>
      </c>
      <c r="G10" s="51" t="inlineStr">
        <is>
          <t>PowerOn</t>
        </is>
      </c>
      <c r="H10" s="52" t="inlineStr">
        <is>
          <t xml:space="preserve">Indicates presence or absence of voltage at the sensor location.
</t>
        </is>
      </c>
      <c r="J10" s="44" t="inlineStr">
        <is>
          <t>ActivePower</t>
        </is>
      </c>
      <c r="K10" s="52" t="inlineStr">
        <is>
          <t>Active power</t>
        </is>
      </c>
      <c r="M10" s="44" t="inlineStr">
        <is>
          <t>ABPrimary</t>
        </is>
      </c>
      <c r="N10" s="44" t="inlineStr">
        <is>
          <t>Phases AB, side measured : Primary  (first terminal)</t>
        </is>
      </c>
      <c r="V10" s="55" t="n"/>
      <c r="W10" s="55" t="n"/>
      <c r="Y10" s="49" t="inlineStr">
        <is>
          <t xml:space="preserve">DV_RealQualityTimeTag </t>
        </is>
      </c>
    </row>
    <row r="11" ht="28.5" customHeight="1">
      <c r="A11" s="50">
        <f>CONCATENATE(C11,D11,E11)</f>
        <v/>
      </c>
      <c r="B11" s="51" t="inlineStr">
        <is>
          <t>OPCNTA</t>
        </is>
      </c>
      <c r="C11" s="51" t="inlineStr">
        <is>
          <t>OperationCount</t>
        </is>
      </c>
      <c r="D11" s="51" t="inlineStr">
        <is>
          <t>Discrete</t>
        </is>
      </c>
      <c r="E11" s="51" t="inlineStr">
        <is>
          <t>A</t>
        </is>
      </c>
      <c r="G11" s="51" t="inlineStr">
        <is>
          <t>Forward</t>
        </is>
      </c>
      <c r="H11" s="52" t="inlineStr">
        <is>
          <t>For directable devices, specifies that the current or power flows in "forward" (usually, downstream) direction.</t>
        </is>
      </c>
      <c r="J11" s="44" t="inlineStr">
        <is>
          <t>ApparentPower</t>
        </is>
      </c>
      <c r="K11" s="52" t="inlineStr">
        <is>
          <t xml:space="preserve">Apparent power </t>
        </is>
      </c>
      <c r="M11" s="44" t="inlineStr">
        <is>
          <t>BCPrimary</t>
        </is>
      </c>
      <c r="N11" s="44" t="inlineStr">
        <is>
          <t>Phases BC, side measured : Primary  (first terminal)</t>
        </is>
      </c>
      <c r="V11" s="55" t="n"/>
      <c r="W11" s="55" t="n"/>
      <c r="Y11" s="49" t="inlineStr">
        <is>
          <t xml:space="preserve">DV_StateQualityTimeTag </t>
        </is>
      </c>
    </row>
    <row r="12" ht="28.5" customHeight="1">
      <c r="A12" s="50">
        <f>CONCATENATE(C12,D12,E12)</f>
        <v/>
      </c>
      <c r="B12" s="51" t="inlineStr">
        <is>
          <t>OPCNTB</t>
        </is>
      </c>
      <c r="C12" s="51" t="inlineStr">
        <is>
          <t>OperationCount</t>
        </is>
      </c>
      <c r="D12" s="51" t="inlineStr">
        <is>
          <t>Discrete</t>
        </is>
      </c>
      <c r="E12" s="51" t="inlineStr">
        <is>
          <t>B</t>
        </is>
      </c>
      <c r="G12" s="51" t="inlineStr">
        <is>
          <t>HotLineTag</t>
        </is>
      </c>
      <c r="H12" s="52" t="inlineStr">
        <is>
          <t>For reclosers, specifies that both automatic and manual reclosing are disabled</t>
        </is>
      </c>
      <c r="J12" s="44" t="inlineStr">
        <is>
          <t>CosPhi</t>
        </is>
      </c>
      <c r="K12" s="52" t="inlineStr">
        <is>
          <t>Power factor (cos(phi))</t>
        </is>
      </c>
      <c r="M12" s="44" t="inlineStr">
        <is>
          <t>ACPrimary</t>
        </is>
      </c>
      <c r="N12" s="44" t="inlineStr">
        <is>
          <t>Phases AC, side measured : Primary  (first terminal)</t>
        </is>
      </c>
      <c r="V12" s="55" t="n"/>
      <c r="W12" s="55" t="n"/>
      <c r="Y12" s="49" t="inlineStr">
        <is>
          <t xml:space="preserve">DV_DiscreteQualityTimeTag </t>
        </is>
      </c>
    </row>
    <row r="13" ht="15" customHeight="1">
      <c r="A13" s="50">
        <f>CONCATENATE(C13,D13,E13)</f>
        <v/>
      </c>
      <c r="B13" s="51" t="inlineStr">
        <is>
          <t>OPCNTC</t>
        </is>
      </c>
      <c r="C13" s="51" t="inlineStr">
        <is>
          <t>OperationCount</t>
        </is>
      </c>
      <c r="D13" s="51" t="inlineStr">
        <is>
          <t>Discrete</t>
        </is>
      </c>
      <c r="E13" s="51" t="inlineStr">
        <is>
          <t>C</t>
        </is>
      </c>
      <c r="G13" s="51" t="inlineStr">
        <is>
          <t>DiscreteSignalType.Custom</t>
        </is>
      </c>
      <c r="H13" s="52" t="inlineStr">
        <is>
          <t>A custom type (none of the DMS recognized types)</t>
        </is>
      </c>
      <c r="J13" s="44" t="inlineStr">
        <is>
          <t>ActiveEnergy</t>
        </is>
      </c>
      <c r="K13" s="52" t="inlineStr">
        <is>
          <t>Active energy</t>
        </is>
      </c>
      <c r="M13" s="44" t="inlineStr">
        <is>
          <t>APrimary</t>
        </is>
      </c>
      <c r="N13" s="44" t="inlineStr">
        <is>
          <t>Phases A, side measured : Primary  (first terminal)</t>
        </is>
      </c>
      <c r="V13" s="55" t="n"/>
      <c r="W13" s="55" t="n"/>
      <c r="Y13" s="49" t="inlineStr">
        <is>
          <t xml:space="preserve">DV_StateSuppQualityTimeTag </t>
        </is>
      </c>
    </row>
    <row r="14" ht="15" customHeight="1">
      <c r="A14" s="50">
        <f>CONCATENATE(C14,D14,E14)</f>
        <v/>
      </c>
      <c r="B14" s="51" t="inlineStr">
        <is>
          <t>FLTSTABC</t>
        </is>
      </c>
      <c r="C14" s="51" t="inlineStr">
        <is>
          <t>FaultStatus</t>
        </is>
      </c>
      <c r="D14" s="51" t="inlineStr">
        <is>
          <t>Status</t>
        </is>
      </c>
      <c r="E14" s="51" t="inlineStr">
        <is>
          <t>ABC</t>
        </is>
      </c>
      <c r="G14" s="56" t="inlineStr">
        <is>
          <t>MeasuredValue</t>
        </is>
      </c>
      <c r="H14" s="52" t="inlineStr">
        <is>
          <t>An analog measured value.</t>
        </is>
      </c>
      <c r="J14" s="44" t="inlineStr">
        <is>
          <t>ReactiveEnergy</t>
        </is>
      </c>
      <c r="K14" s="52" t="inlineStr">
        <is>
          <t>Reactive energy</t>
        </is>
      </c>
      <c r="M14" s="44" t="inlineStr">
        <is>
          <t>BPrimary</t>
        </is>
      </c>
      <c r="N14" s="44" t="inlineStr">
        <is>
          <t>Phases B, side measured : Primary  (first terminal)</t>
        </is>
      </c>
      <c r="V14" s="55" t="n"/>
      <c r="W14" s="55" t="n"/>
      <c r="Y14" s="49" t="inlineStr">
        <is>
          <t xml:space="preserve">DV_RealExtended </t>
        </is>
      </c>
    </row>
    <row r="15" ht="28.5" customHeight="1">
      <c r="A15" s="50">
        <f>CONCATENATE(C15,D15,E15)</f>
        <v/>
      </c>
      <c r="B15" s="51" t="inlineStr">
        <is>
          <t>FLTSTA</t>
        </is>
      </c>
      <c r="C15" s="51" t="inlineStr">
        <is>
          <t>FaultStatus</t>
        </is>
      </c>
      <c r="D15" s="51" t="inlineStr">
        <is>
          <t>Status</t>
        </is>
      </c>
      <c r="E15" s="51" t="inlineStr">
        <is>
          <t>A</t>
        </is>
      </c>
      <c r="G15" s="51" t="inlineStr">
        <is>
          <t>FaultRecorder</t>
        </is>
      </c>
      <c r="H15" s="52" t="inlineStr">
        <is>
          <t>Recorded value of fault current or voltage</t>
        </is>
      </c>
      <c r="J15" s="44" t="inlineStr">
        <is>
          <t>CurrentAngle</t>
        </is>
      </c>
      <c r="K15" s="52" t="inlineStr">
        <is>
          <t>Current angle provided from fault recorder or IEDs. Default unit is degree.</t>
        </is>
      </c>
      <c r="M15" s="44" t="inlineStr">
        <is>
          <t>CPrimary</t>
        </is>
      </c>
      <c r="N15" s="44" t="inlineStr">
        <is>
          <t>Phases C, side measured : Primary  (first terminal)</t>
        </is>
      </c>
      <c r="V15" s="55" t="n"/>
      <c r="W15" s="55" t="n"/>
      <c r="Y15" s="49" t="inlineStr">
        <is>
          <t xml:space="preserve">DV_StateExtended </t>
        </is>
      </c>
    </row>
    <row r="16" ht="28.5" customHeight="1">
      <c r="A16" s="50">
        <f>CONCATENATE(C16,D16,E16)</f>
        <v/>
      </c>
      <c r="B16" s="51" t="inlineStr">
        <is>
          <t>FLTSTB</t>
        </is>
      </c>
      <c r="C16" s="51" t="inlineStr">
        <is>
          <t>FaultStatus</t>
        </is>
      </c>
      <c r="D16" s="51" t="inlineStr">
        <is>
          <t>Status</t>
        </is>
      </c>
      <c r="E16" s="51" t="inlineStr">
        <is>
          <t>B</t>
        </is>
      </c>
      <c r="G16" s="51" t="inlineStr">
        <is>
          <t>AnalogSignalType.Custom</t>
        </is>
      </c>
      <c r="H16" s="52" t="inlineStr">
        <is>
          <t>A custom type (none of the DMS recognized types)</t>
        </is>
      </c>
      <c r="J16" s="44" t="inlineStr">
        <is>
          <t>Temperature</t>
        </is>
      </c>
      <c r="K16" s="52" t="inlineStr">
        <is>
          <t>Temperature [°C] of an element (for equipment) or of air (for a weather region)</t>
        </is>
      </c>
      <c r="M16" s="44" t="inlineStr">
        <is>
          <t>ABCSecondary</t>
        </is>
      </c>
      <c r="N16" s="44" t="inlineStr">
        <is>
          <t>Phases ABC, side measured : Secondary  (second terminal)</t>
        </is>
      </c>
      <c r="V16" s="55" t="n"/>
      <c r="W16" s="55" t="n"/>
      <c r="Y16" s="49" t="inlineStr">
        <is>
          <t xml:space="preserve">DV_DiscreteExtended </t>
        </is>
      </c>
    </row>
    <row r="17" ht="28.5" customHeight="1">
      <c r="A17" s="50">
        <f>CONCATENATE(C17,D17,E17)</f>
        <v/>
      </c>
      <c r="B17" s="51" t="inlineStr">
        <is>
          <t>FLTSTC</t>
        </is>
      </c>
      <c r="C17" s="51" t="inlineStr">
        <is>
          <t>FaultStatus</t>
        </is>
      </c>
      <c r="D17" s="51" t="inlineStr">
        <is>
          <t>Status</t>
        </is>
      </c>
      <c r="E17" s="51" t="inlineStr">
        <is>
          <t>C</t>
        </is>
      </c>
      <c r="G17" s="51" t="inlineStr">
        <is>
          <t>Enabled</t>
        </is>
      </c>
      <c r="H17" s="52" t="inlineStr">
        <is>
          <t>Enabled operation of  Sectionalizer, RegulatingControl or RelayStage</t>
        </is>
      </c>
      <c r="J17" s="44" t="inlineStr">
        <is>
          <t>Unitless</t>
        </is>
      </c>
      <c r="K17" s="52" t="inlineStr">
        <is>
          <t>An analog quantity which is unitless, or not otherwise in the list of supported types</t>
        </is>
      </c>
      <c r="M17" s="44" t="inlineStr">
        <is>
          <t>ABSecondary</t>
        </is>
      </c>
      <c r="N17" s="44" t="inlineStr">
        <is>
          <t>Phases AB, side measured : Secondary  (second terminal)</t>
        </is>
      </c>
      <c r="V17" s="55" t="n"/>
      <c r="W17" s="55" t="n"/>
      <c r="Y17" s="49" t="inlineStr">
        <is>
          <t xml:space="preserve">DV_StateSuppExtended </t>
        </is>
      </c>
    </row>
    <row r="18" ht="15" customHeight="1">
      <c r="A18" s="50">
        <f>CONCATENATE(C18,D18,E18)</f>
        <v/>
      </c>
      <c r="B18" s="51" t="inlineStr">
        <is>
          <t>MAXOPCNTABC</t>
        </is>
      </c>
      <c r="C18" s="51" t="inlineStr">
        <is>
          <t>MaxOpCount</t>
        </is>
      </c>
      <c r="D18" s="51" t="inlineStr">
        <is>
          <t>Discrete</t>
        </is>
      </c>
      <c r="E18" s="51" t="inlineStr">
        <is>
          <t>ABC</t>
        </is>
      </c>
      <c r="G18" s="51" t="inlineStr">
        <is>
          <t>TapPosition</t>
        </is>
      </c>
      <c r="H18" s="52" t="inlineStr">
        <is>
          <t>Absolute tap position</t>
        </is>
      </c>
      <c r="J18" s="44" t="inlineStr">
        <is>
          <t>ReactivePower</t>
        </is>
      </c>
      <c r="K18" s="52" t="inlineStr">
        <is>
          <t>Reactive power</t>
        </is>
      </c>
      <c r="M18" s="44" t="inlineStr">
        <is>
          <t>BCSecondary</t>
        </is>
      </c>
      <c r="N18" s="44" t="inlineStr">
        <is>
          <t>Phases BC, side measured : Secondary  (second terminal)</t>
        </is>
      </c>
      <c r="V18" s="55" t="n"/>
      <c r="W18" s="55" t="n"/>
      <c r="Y18" s="49" t="inlineStr">
        <is>
          <t xml:space="preserve">DV_RealQualityTimeTagExtended </t>
        </is>
      </c>
    </row>
    <row r="19" ht="15" customHeight="1">
      <c r="A19" s="50">
        <f>CONCATENATE(C19,D19,E19)</f>
        <v/>
      </c>
      <c r="B19" s="51" t="inlineStr">
        <is>
          <t>MAXOPCNTA</t>
        </is>
      </c>
      <c r="C19" s="51" t="inlineStr">
        <is>
          <t>MaxOpCount</t>
        </is>
      </c>
      <c r="D19" s="51" t="inlineStr">
        <is>
          <t>Discrete</t>
        </is>
      </c>
      <c r="E19" s="51" t="inlineStr">
        <is>
          <t>A</t>
        </is>
      </c>
      <c r="G19" s="51" t="inlineStr">
        <is>
          <t>TapIncrement</t>
        </is>
      </c>
      <c r="H19" s="52" t="inlineStr">
        <is>
          <t>Tap raise/lower: Tap position increment (commanding only)</t>
        </is>
      </c>
      <c r="J19" s="44" t="inlineStr">
        <is>
          <t>Time</t>
        </is>
      </c>
      <c r="K19" s="52" t="inlineStr">
        <is>
          <t>Time period</t>
        </is>
      </c>
      <c r="M19" s="44" t="inlineStr">
        <is>
          <t>ACSecondary</t>
        </is>
      </c>
      <c r="N19" s="44" t="inlineStr">
        <is>
          <t>Phases AC, side measured : Secondary  (second terminal)</t>
        </is>
      </c>
      <c r="V19" s="55" t="n"/>
      <c r="W19" s="55" t="n"/>
      <c r="Y19" s="49" t="inlineStr">
        <is>
          <t xml:space="preserve">DV_StateQualityTimeTagExtended </t>
        </is>
      </c>
    </row>
    <row r="20" ht="15" customHeight="1">
      <c r="A20" s="50">
        <f>CONCATENATE(C20,D20,E20)</f>
        <v/>
      </c>
      <c r="B20" s="51" t="inlineStr">
        <is>
          <t>MAXOPCNTB</t>
        </is>
      </c>
      <c r="C20" s="51" t="inlineStr">
        <is>
          <t>MaxOpCount</t>
        </is>
      </c>
      <c r="D20" s="51" t="inlineStr">
        <is>
          <t>Discrete</t>
        </is>
      </c>
      <c r="E20" s="51" t="inlineStr">
        <is>
          <t>B</t>
        </is>
      </c>
      <c r="G20" s="51" t="inlineStr">
        <is>
          <t>PhaseShift</t>
        </is>
      </c>
      <c r="H20" s="52" t="inlineStr">
        <is>
          <t>Measured or set phase angle on a phase-shifting tap changer</t>
        </is>
      </c>
      <c r="J20" s="44" t="inlineStr">
        <is>
          <t>Humidity</t>
        </is>
      </c>
      <c r="K20" s="52" t="inlineStr">
        <is>
          <t>Relative humidity [%]</t>
        </is>
      </c>
      <c r="M20" s="44" t="inlineStr">
        <is>
          <t>ASecondary</t>
        </is>
      </c>
      <c r="N20" s="44" t="inlineStr">
        <is>
          <t>Phases A, side measured : Secondary  (second terminal)</t>
        </is>
      </c>
      <c r="V20" s="55" t="n"/>
      <c r="W20" s="55" t="n"/>
      <c r="Y20" s="49" t="inlineStr">
        <is>
          <t xml:space="preserve">DV_DiscreteQualityTimeTagExtended </t>
        </is>
      </c>
    </row>
    <row r="21" ht="28.5" customHeight="1">
      <c r="A21" s="50">
        <f>CONCATENATE(C21,D21,E21)</f>
        <v/>
      </c>
      <c r="B21" s="51" t="inlineStr">
        <is>
          <t>MAXOPCNTC</t>
        </is>
      </c>
      <c r="C21" s="51" t="inlineStr">
        <is>
          <t>MaxOpCount</t>
        </is>
      </c>
      <c r="D21" s="51" t="inlineStr">
        <is>
          <t>Discrete</t>
        </is>
      </c>
      <c r="E21" s="51" t="inlineStr">
        <is>
          <t>C</t>
        </is>
      </c>
      <c r="G21" s="51" t="inlineStr">
        <is>
          <t>ReverseMode</t>
        </is>
      </c>
      <c r="H21" s="52" t="inlineStr">
        <is>
          <t xml:space="preserve">Voltage regulators only: Indicates how the regulator behaves in case of reverse power flow </t>
        </is>
      </c>
      <c r="J21" s="44" t="inlineStr">
        <is>
          <t>WindSpeed</t>
        </is>
      </c>
      <c r="K21" s="52" t="inlineStr">
        <is>
          <t>Wind speed [km/h]</t>
        </is>
      </c>
      <c r="M21" s="44" t="inlineStr">
        <is>
          <t>BSecondary</t>
        </is>
      </c>
      <c r="N21" s="44" t="inlineStr">
        <is>
          <t>Phases B, side measured : Secondary  (second terminal)</t>
        </is>
      </c>
      <c r="V21" s="55" t="n"/>
      <c r="W21" s="55" t="n"/>
      <c r="Y21" s="11" t="inlineStr">
        <is>
          <t xml:space="preserve">DV_StateSuppQualityTimeTagExtended </t>
        </is>
      </c>
    </row>
    <row r="22" ht="28.5" customHeight="1">
      <c r="A22" s="50">
        <f>CONCATENATE(C22,D22,E22)</f>
        <v/>
      </c>
      <c r="B22" s="51" t="inlineStr">
        <is>
          <t>HOUROPCNTABC</t>
        </is>
      </c>
      <c r="C22" s="51" t="inlineStr">
        <is>
          <t>HourlyOpCount</t>
        </is>
      </c>
      <c r="D22" s="51" t="inlineStr">
        <is>
          <t>Discrete</t>
        </is>
      </c>
      <c r="E22" s="51" t="inlineStr">
        <is>
          <t>ABC</t>
        </is>
      </c>
      <c r="G22" s="51" t="inlineStr">
        <is>
          <t>Parallel</t>
        </is>
      </c>
      <c r="H22" s="52" t="inlineStr">
        <is>
          <t>A voltage regulator is in parallel (slave) operation with another regulator</t>
        </is>
      </c>
      <c r="J22" s="44" t="inlineStr">
        <is>
          <t>FeelsLike</t>
        </is>
      </c>
      <c r="K22" s="52" t="inlineStr">
        <is>
          <t>Feels like: Equivalent temperature [°C]</t>
        </is>
      </c>
      <c r="M22" s="44" t="inlineStr">
        <is>
          <t>CSecondary</t>
        </is>
      </c>
      <c r="N22" s="44" t="inlineStr">
        <is>
          <t>Phases C, side measured : Secondary  (second terminal)</t>
        </is>
      </c>
      <c r="S22" s="57" t="n"/>
      <c r="T22" s="57" t="n"/>
      <c r="U22" s="57" t="n"/>
      <c r="V22" s="57" t="n"/>
      <c r="W22" s="57" t="n"/>
      <c r="X22" s="57" t="n"/>
      <c r="Y22" s="57" t="n"/>
      <c r="Z22" s="57" t="n"/>
      <c r="AA22" s="57" t="n"/>
      <c r="AB22" s="57" t="n"/>
      <c r="AC22" s="57" t="n"/>
      <c r="AD22" s="57" t="n"/>
      <c r="AE22" s="57" t="n"/>
    </row>
    <row r="23" ht="28.5" customHeight="1">
      <c r="A23" s="50">
        <f>CONCATENATE(C23,D23,E23)</f>
        <v/>
      </c>
      <c r="B23" s="51" t="inlineStr">
        <is>
          <t>HOUROPCNTA</t>
        </is>
      </c>
      <c r="C23" s="51" t="inlineStr">
        <is>
          <t>HourlyOpCount</t>
        </is>
      </c>
      <c r="D23" s="51" t="inlineStr">
        <is>
          <t>Discrete</t>
        </is>
      </c>
      <c r="E23" s="51" t="inlineStr">
        <is>
          <t>A</t>
        </is>
      </c>
      <c r="G23" s="51" t="inlineStr">
        <is>
          <t>ControlActiveSetting</t>
        </is>
      </c>
      <c r="H23" s="52" t="inlineStr">
        <is>
          <t>Active setting of a relay stage or regulating control.</t>
        </is>
      </c>
      <c r="J23" s="44" t="inlineStr">
        <is>
          <t>SunshineMinutes</t>
        </is>
      </c>
      <c r="K23" s="52" t="inlineStr">
        <is>
          <t xml:space="preserve">Sunshine minutes per hour </t>
        </is>
      </c>
      <c r="M23" s="44" t="inlineStr">
        <is>
          <t>ABCTertiary</t>
        </is>
      </c>
      <c r="N23" s="52" t="inlineStr">
        <is>
          <t>Phases ABC, side measured : Tertiary  (applicable on three winding transformer only)</t>
        </is>
      </c>
      <c r="S23" s="57" t="n"/>
      <c r="T23" s="57" t="n"/>
      <c r="U23" s="57" t="n"/>
      <c r="V23" s="57" t="n"/>
      <c r="W23" s="57" t="n"/>
      <c r="X23" s="57" t="n"/>
      <c r="Y23" s="57" t="n"/>
      <c r="Z23" s="57" t="n"/>
      <c r="AA23" s="57" t="n"/>
      <c r="AB23" s="57" t="n"/>
      <c r="AC23" s="57" t="n"/>
      <c r="AD23" s="57" t="n"/>
      <c r="AE23" s="57" t="n"/>
    </row>
    <row r="24" ht="15" customHeight="1">
      <c r="A24" s="50">
        <f>CONCATENATE(C24,D24,E24)</f>
        <v/>
      </c>
      <c r="B24" s="51" t="inlineStr">
        <is>
          <t>HOUROPCNTB</t>
        </is>
      </c>
      <c r="C24" s="51" t="inlineStr">
        <is>
          <t>HourlyOpCount</t>
        </is>
      </c>
      <c r="D24" s="51" t="inlineStr">
        <is>
          <t>Discrete</t>
        </is>
      </c>
      <c r="E24" s="51" t="inlineStr">
        <is>
          <t>B</t>
        </is>
      </c>
      <c r="G24" s="51" t="inlineStr">
        <is>
          <t>ControlDelay</t>
        </is>
      </c>
      <c r="H24" s="52" t="inlineStr">
        <is>
          <t>Initial delay of a regulating control or relay stage</t>
        </is>
      </c>
      <c r="J24" s="44" t="inlineStr">
        <is>
          <t>SkyCover</t>
        </is>
      </c>
      <c r="K24" s="52" t="inlineStr">
        <is>
          <t>Sky cover [%]</t>
        </is>
      </c>
      <c r="M24" s="44" t="inlineStr">
        <is>
          <t>ATertiary</t>
        </is>
      </c>
      <c r="N24" s="52" t="inlineStr">
        <is>
          <t>Phases A, side measured : Tertiary  (applicable on three winding transformer only)</t>
        </is>
      </c>
    </row>
    <row r="25" ht="15" customHeight="1">
      <c r="A25" s="50">
        <f>CONCATENATE(C25,D25,E25)</f>
        <v/>
      </c>
      <c r="B25" s="51" t="inlineStr">
        <is>
          <t>HOUROPCNTC</t>
        </is>
      </c>
      <c r="C25" s="51" t="inlineStr">
        <is>
          <t>HourlyOpCount</t>
        </is>
      </c>
      <c r="D25" s="51" t="inlineStr">
        <is>
          <t>Discrete</t>
        </is>
      </c>
      <c r="E25" s="51" t="inlineStr">
        <is>
          <t>C</t>
        </is>
      </c>
      <c r="G25" s="51" t="inlineStr">
        <is>
          <t>ControlLimitHigh</t>
        </is>
      </c>
      <c r="H25" s="52" t="inlineStr">
        <is>
          <t xml:space="preserve">High value of a ControlLimit </t>
        </is>
      </c>
      <c r="J25" s="44" t="inlineStr">
        <is>
          <t>Length</t>
        </is>
      </c>
      <c r="K25" s="52" t="inlineStr">
        <is>
          <t>Physical length</t>
        </is>
      </c>
      <c r="M25" s="44" t="inlineStr">
        <is>
          <t>BTertiary</t>
        </is>
      </c>
      <c r="N25" s="52" t="inlineStr">
        <is>
          <t>Phases B, side measured : Tertiary  (applicable on three winding transformer only)</t>
        </is>
      </c>
    </row>
    <row r="26" ht="28.5" customHeight="1">
      <c r="A26" s="50">
        <f>CONCATENATE(C26,D26,E26)</f>
        <v/>
      </c>
      <c r="B26" s="51" t="inlineStr">
        <is>
          <t>DAILYPCNTABC</t>
        </is>
      </c>
      <c r="C26" s="51" t="inlineStr">
        <is>
          <t>DailyOpCount</t>
        </is>
      </c>
      <c r="D26" s="51" t="inlineStr">
        <is>
          <t>Discrete</t>
        </is>
      </c>
      <c r="E26" s="51" t="inlineStr">
        <is>
          <t>ABC</t>
        </is>
      </c>
      <c r="G26" s="51" t="inlineStr">
        <is>
          <t>ControlLimitLow</t>
        </is>
      </c>
      <c r="H26" s="52" t="inlineStr">
        <is>
          <t xml:space="preserve">Low value of a ControlLimit </t>
        </is>
      </c>
      <c r="J26" s="44" t="inlineStr">
        <is>
          <t>CrossSection</t>
        </is>
      </c>
      <c r="K26" s="52" t="inlineStr">
        <is>
          <t>CrossSection</t>
        </is>
      </c>
      <c r="M26" s="44" t="inlineStr">
        <is>
          <t>CTertiary</t>
        </is>
      </c>
      <c r="N26" s="52" t="inlineStr">
        <is>
          <t>Phases C, side measured : Tertiary  (applicable on three winding transformer only)</t>
        </is>
      </c>
    </row>
    <row r="27" ht="28.5" customHeight="1">
      <c r="A27" s="50">
        <f>CONCATENATE(C27,D27,E27)</f>
        <v/>
      </c>
      <c r="B27" s="51" t="inlineStr">
        <is>
          <t>DAILYOPCNTA</t>
        </is>
      </c>
      <c r="C27" s="51" t="inlineStr">
        <is>
          <t>DailyOpCount</t>
        </is>
      </c>
      <c r="D27" s="51" t="inlineStr">
        <is>
          <t>Discrete</t>
        </is>
      </c>
      <c r="E27" s="51" t="inlineStr">
        <is>
          <t>A</t>
        </is>
      </c>
      <c r="G27" s="51" t="inlineStr">
        <is>
          <t>ControlSetValue</t>
        </is>
      </c>
      <c r="H27" s="52" t="inlineStr">
        <is>
          <t xml:space="preserve">Set point (target) of a RegulatingControl or RelayStage. 
</t>
        </is>
      </c>
      <c r="J27" s="44" t="inlineStr">
        <is>
          <t>Impedance</t>
        </is>
      </c>
      <c r="K27" s="52" t="inlineStr">
        <is>
          <t>Impedance, resistance or reactance [Ω]</t>
        </is>
      </c>
      <c r="M27" s="51" t="inlineStr">
        <is>
          <t>N</t>
        </is>
      </c>
      <c r="N27" s="58" t="inlineStr">
        <is>
          <t>Neutral</t>
        </is>
      </c>
    </row>
    <row r="28" ht="28.5" customHeight="1">
      <c r="A28" s="50">
        <f>CONCATENATE(C28,D28,E28)</f>
        <v/>
      </c>
      <c r="B28" s="51" t="inlineStr">
        <is>
          <t>DAILYOPCNTB</t>
        </is>
      </c>
      <c r="C28" s="51" t="inlineStr">
        <is>
          <t>DailyOpCount</t>
        </is>
      </c>
      <c r="D28" s="51" t="inlineStr">
        <is>
          <t>Discrete</t>
        </is>
      </c>
      <c r="E28" s="51" t="inlineStr">
        <is>
          <t>B</t>
        </is>
      </c>
      <c r="G28" s="51" t="inlineStr">
        <is>
          <t>ControlBandwidth</t>
        </is>
      </c>
      <c r="H28" s="52" t="inlineStr">
        <is>
          <t xml:space="preserve"> Bandwidth of a regulating control. The type must be the same as in the corresponding ControlSetValue signal </t>
        </is>
      </c>
      <c r="J28" s="44" t="inlineStr">
        <is>
          <t>Admittance</t>
        </is>
      </c>
      <c r="K28" s="52" t="inlineStr">
        <is>
          <t>Admittance, conductance or susceptance [S]</t>
        </is>
      </c>
      <c r="M28" s="51" t="inlineStr">
        <is>
          <t>NPrimary</t>
        </is>
      </c>
      <c r="N28" s="51" t="inlineStr">
        <is>
          <t>Neutral, side measured : Primary  (first terminal)</t>
        </is>
      </c>
    </row>
    <row r="29" ht="15" customHeight="1">
      <c r="A29" s="50">
        <f>CONCATENATE(C29,D29,E29)</f>
        <v/>
      </c>
      <c r="B29" s="51" t="inlineStr">
        <is>
          <t>DAILYOPCNTC</t>
        </is>
      </c>
      <c r="C29" s="51" t="inlineStr">
        <is>
          <t>DailyOpCount</t>
        </is>
      </c>
      <c r="D29" s="51" t="inlineStr">
        <is>
          <t>Discrete</t>
        </is>
      </c>
      <c r="E29" s="51" t="inlineStr">
        <is>
          <t>C</t>
        </is>
      </c>
      <c r="G29" s="51" t="inlineStr">
        <is>
          <t>ControlSubDelay</t>
        </is>
      </c>
      <c r="H29" s="52" t="inlineStr">
        <is>
          <t>Subsequent delay of  a regulating control</t>
        </is>
      </c>
      <c r="J29" s="44" t="inlineStr">
        <is>
          <t>ImpedancePerLength</t>
        </is>
      </c>
      <c r="K29" s="52" t="inlineStr">
        <is>
          <t>Impedance, resistance or reactance per unit length [Ω/km]</t>
        </is>
      </c>
      <c r="M29" s="51" t="inlineStr">
        <is>
          <t>NSecondary</t>
        </is>
      </c>
      <c r="N29" s="51" t="inlineStr">
        <is>
          <t>Neutral, side measured : Secondary  (second terminal)</t>
        </is>
      </c>
    </row>
    <row r="30" ht="15" customHeight="1">
      <c r="A30" s="50">
        <f>CONCATENATE(C30,D30,E30)</f>
        <v/>
      </c>
      <c r="B30" s="51" t="inlineStr">
        <is>
          <t>MONTOPCNTABC</t>
        </is>
      </c>
      <c r="C30" s="51" t="inlineStr">
        <is>
          <t>MonthlyOpCount</t>
        </is>
      </c>
      <c r="D30" s="51" t="inlineStr">
        <is>
          <t>Discrete</t>
        </is>
      </c>
      <c r="E30" s="51" t="inlineStr">
        <is>
          <t>ABC</t>
        </is>
      </c>
      <c r="G30" s="51" t="inlineStr">
        <is>
          <t>ControlSlopeReal</t>
        </is>
      </c>
      <c r="H30" s="52" t="inlineStr">
        <is>
          <t>Real compensation</t>
        </is>
      </c>
      <c r="J30" s="44" t="inlineStr">
        <is>
          <t>AdmittancePerLength</t>
        </is>
      </c>
      <c r="K30" s="52" t="inlineStr">
        <is>
          <t>Admittance, conductance or susceptance per unit length [S/km]</t>
        </is>
      </c>
      <c r="M30" s="51" t="inlineStr">
        <is>
          <t>Ntertiary</t>
        </is>
      </c>
      <c r="N30" s="51" t="inlineStr">
        <is>
          <t>Neutral, side measured : Tertiary  (applicable on three winding transformer only)</t>
        </is>
      </c>
    </row>
    <row r="31" ht="15" customHeight="1">
      <c r="A31" s="50">
        <f>CONCATENATE(C31,D31,E31)</f>
        <v/>
      </c>
      <c r="B31" s="51" t="inlineStr">
        <is>
          <t>MONTOPCNTA</t>
        </is>
      </c>
      <c r="C31" s="51" t="inlineStr">
        <is>
          <t>MonthlyOpCount</t>
        </is>
      </c>
      <c r="D31" s="51" t="inlineStr">
        <is>
          <t>Discrete</t>
        </is>
      </c>
      <c r="E31" s="51" t="inlineStr">
        <is>
          <t>A</t>
        </is>
      </c>
      <c r="G31" s="51" t="inlineStr">
        <is>
          <t>ControlSlopeImag</t>
        </is>
      </c>
      <c r="H31" s="52" t="inlineStr">
        <is>
          <t>Imaginary compensation</t>
        </is>
      </c>
      <c r="J31" s="44" t="inlineStr">
        <is>
          <t>Percent</t>
        </is>
      </c>
      <c r="K31" s="52" t="inlineStr">
        <is>
          <t>A percentage value</t>
        </is>
      </c>
    </row>
    <row r="32" ht="28.5" customHeight="1">
      <c r="A32" s="50">
        <f>CONCATENATE(C32,D32,E32)</f>
        <v/>
      </c>
      <c r="B32" s="51" t="inlineStr">
        <is>
          <t>MONTOPCNTB</t>
        </is>
      </c>
      <c r="C32" s="51" t="inlineStr">
        <is>
          <t>MonthlyOpCount</t>
        </is>
      </c>
      <c r="D32" s="51" t="inlineStr">
        <is>
          <t>Discrete</t>
        </is>
      </c>
      <c r="E32" s="51" t="inlineStr">
        <is>
          <t>B</t>
        </is>
      </c>
      <c r="G32" s="51" t="inlineStr">
        <is>
          <t>RelayTrip</t>
        </is>
      </c>
      <c r="H32" s="52" t="inlineStr">
        <is>
          <t xml:space="preserve">Indicates that a particular relay recorded a fault and caused the breaker to trip </t>
        </is>
      </c>
      <c r="J32" s="44" t="inlineStr">
        <is>
          <t>Money</t>
        </is>
      </c>
      <c r="K32" s="52" t="inlineStr">
        <is>
          <t>Money unit. The unit symbol is taken from system locale information.</t>
        </is>
      </c>
    </row>
    <row r="33" ht="15" customHeight="1">
      <c r="A33" s="50">
        <f>CONCATENATE(C33,D33,E33)</f>
        <v/>
      </c>
      <c r="B33" s="51" t="inlineStr">
        <is>
          <t>MONTOPCNTC</t>
        </is>
      </c>
      <c r="C33" s="51" t="inlineStr">
        <is>
          <t>MonthlyOpCount</t>
        </is>
      </c>
      <c r="D33" s="51" t="inlineStr">
        <is>
          <t>Discrete</t>
        </is>
      </c>
      <c r="E33" s="51" t="inlineStr">
        <is>
          <t>C</t>
        </is>
      </c>
      <c r="G33" s="51" t="inlineStr">
        <is>
          <t>ReclosingEnabled</t>
        </is>
      </c>
      <c r="H33" s="52" t="inlineStr">
        <is>
          <t>Enabled reclosing operation on a ProtectionEquipment</t>
        </is>
      </c>
      <c r="J33" s="44" t="inlineStr">
        <is>
          <t>Insolation</t>
        </is>
      </c>
      <c r="K33" s="52" t="inlineStr">
        <is>
          <t xml:space="preserve"> Insolation</t>
        </is>
      </c>
    </row>
    <row r="34" ht="15" customHeight="1">
      <c r="A34" s="50">
        <f>CONCATENATE(C34,D34,E34)</f>
        <v/>
      </c>
      <c r="B34" s="51" t="inlineStr">
        <is>
          <t>PWRONABC</t>
        </is>
      </c>
      <c r="C34" s="51" t="inlineStr">
        <is>
          <t>PowerOn</t>
        </is>
      </c>
      <c r="D34" s="51" t="inlineStr">
        <is>
          <t>Status</t>
        </is>
      </c>
      <c r="E34" s="51" t="inlineStr">
        <is>
          <t>ABC</t>
        </is>
      </c>
      <c r="G34" s="51" t="inlineStr">
        <is>
          <t>RecloserLockout</t>
        </is>
      </c>
      <c r="H34" s="52" t="inlineStr">
        <is>
          <t>Recloser locked out</t>
        </is>
      </c>
      <c r="J34" s="44" t="inlineStr">
        <is>
          <t>RotationSpeed</t>
        </is>
      </c>
      <c r="K34" s="52" t="inlineStr">
        <is>
          <t>Speed of a rotational machine</t>
        </is>
      </c>
    </row>
    <row r="35" ht="15" customHeight="1">
      <c r="A35" s="50">
        <f>CONCATENATE(C35,D35,E35)</f>
        <v/>
      </c>
      <c r="B35" s="51" t="inlineStr">
        <is>
          <t>PWRONA</t>
        </is>
      </c>
      <c r="C35" s="51" t="inlineStr">
        <is>
          <t>PowerOn</t>
        </is>
      </c>
      <c r="D35" s="51" t="inlineStr">
        <is>
          <t>Status</t>
        </is>
      </c>
      <c r="E35" s="51" t="inlineStr">
        <is>
          <t>A</t>
        </is>
      </c>
      <c r="G35" s="51" t="inlineStr">
        <is>
          <t>RecloseDelay</t>
        </is>
      </c>
      <c r="H35" s="52" t="inlineStr">
        <is>
          <t>Reclosing delay of a reclosing relay stage</t>
        </is>
      </c>
      <c r="J35" s="44" t="inlineStr">
        <is>
          <t>Mass</t>
        </is>
      </c>
      <c r="K35" s="52" t="inlineStr">
        <is>
          <t>Mass</t>
        </is>
      </c>
    </row>
    <row r="36" ht="15" customHeight="1">
      <c r="A36" s="50">
        <f>CONCATENATE(C36,D36,E36)</f>
        <v/>
      </c>
      <c r="B36" s="51" t="inlineStr">
        <is>
          <t>PWRONB</t>
        </is>
      </c>
      <c r="C36" s="51" t="inlineStr">
        <is>
          <t>PowerOn</t>
        </is>
      </c>
      <c r="D36" s="51" t="inlineStr">
        <is>
          <t>Status</t>
        </is>
      </c>
      <c r="E36" s="51" t="inlineStr">
        <is>
          <t>B</t>
        </is>
      </c>
      <c r="G36" s="51" t="inlineStr">
        <is>
          <t>UnderFrequencyAlarm</t>
        </is>
      </c>
      <c r="H36" s="52" t="inlineStr">
        <is>
          <t>An underfrequency alarm was issued for the substation.</t>
        </is>
      </c>
      <c r="J36" s="44" t="inlineStr">
        <is>
          <t>FailureRate</t>
        </is>
      </c>
      <c r="K36" s="52" t="inlineStr">
        <is>
          <t xml:space="preserve">Annual number of faults </t>
        </is>
      </c>
    </row>
    <row r="37" ht="28.5" customHeight="1">
      <c r="A37" s="50">
        <f>CONCATENATE(C37,D37,E37)</f>
        <v/>
      </c>
      <c r="B37" s="51" t="inlineStr">
        <is>
          <t>PWRONC</t>
        </is>
      </c>
      <c r="C37" s="51" t="inlineStr">
        <is>
          <t>PowerOn</t>
        </is>
      </c>
      <c r="D37" s="51" t="inlineStr">
        <is>
          <t>Status</t>
        </is>
      </c>
      <c r="E37" s="51" t="inlineStr">
        <is>
          <t>C</t>
        </is>
      </c>
      <c r="G37" s="51" t="inlineStr">
        <is>
          <t>FanStatus</t>
        </is>
      </c>
      <c r="H37" s="52" t="inlineStr">
        <is>
          <t>Status of transformer's cooling fan</t>
        </is>
      </c>
      <c r="J37" s="44" t="inlineStr">
        <is>
          <t>SoilTemperature</t>
        </is>
      </c>
      <c r="K37" s="52" t="inlineStr">
        <is>
          <t>Soil temperature [°C] at 1m depth. Used for default weather on WeatherRegion.</t>
        </is>
      </c>
    </row>
    <row r="38" ht="21.75" customHeight="1">
      <c r="A38" s="50">
        <f>CONCATENATE(C38,D38,E38)</f>
        <v/>
      </c>
      <c r="B38" s="51" t="inlineStr">
        <is>
          <t>FRWRDABC</t>
        </is>
      </c>
      <c r="C38" s="51" t="inlineStr">
        <is>
          <t>Forward</t>
        </is>
      </c>
      <c r="D38" s="51" t="inlineStr">
        <is>
          <t>Status</t>
        </is>
      </c>
      <c r="E38" s="51" t="inlineStr">
        <is>
          <t>ABC</t>
        </is>
      </c>
      <c r="G38" s="51" t="inlineStr">
        <is>
          <t>OilPumpStatus</t>
        </is>
      </c>
      <c r="H38" s="52" t="inlineStr">
        <is>
          <t>Status of transformer's cooling oil pump</t>
        </is>
      </c>
      <c r="J38" s="44" t="inlineStr">
        <is>
          <t>OilTemperature</t>
        </is>
      </c>
      <c r="K38" s="52" t="inlineStr">
        <is>
          <t>Oil temperature [°C] of a PowerTransformer.</t>
        </is>
      </c>
    </row>
    <row r="39" ht="15" customHeight="1">
      <c r="A39" s="50">
        <f>CONCATENATE(C39,D39,E39)</f>
        <v/>
      </c>
      <c r="B39" s="51" t="inlineStr">
        <is>
          <t>FRWRDA</t>
        </is>
      </c>
      <c r="C39" s="51" t="inlineStr">
        <is>
          <t>Forward</t>
        </is>
      </c>
      <c r="D39" s="51" t="inlineStr">
        <is>
          <t>Status</t>
        </is>
      </c>
      <c r="E39" s="51" t="inlineStr">
        <is>
          <t>A</t>
        </is>
      </c>
      <c r="G39" s="51" t="inlineStr">
        <is>
          <t>SourceStatus</t>
        </is>
      </c>
      <c r="H39" s="52" t="inlineStr">
        <is>
          <t>Energization status of an EnergySource or Interconnection</t>
        </is>
      </c>
      <c r="J39" s="44" t="inlineStr">
        <is>
          <t>HotSpotTemperature</t>
        </is>
      </c>
      <c r="K39" s="52" t="inlineStr">
        <is>
          <t>Temperature [°C] of a hotspot on a PowerTransformer winding.</t>
        </is>
      </c>
    </row>
    <row r="40" ht="42.75" customHeight="1">
      <c r="A40" s="50">
        <f>CONCATENATE(C40,D40,E40)</f>
        <v/>
      </c>
      <c r="B40" s="51" t="inlineStr">
        <is>
          <t>FRWRDB</t>
        </is>
      </c>
      <c r="C40" s="51" t="inlineStr">
        <is>
          <t>Forward</t>
        </is>
      </c>
      <c r="D40" s="51" t="inlineStr">
        <is>
          <t>Status</t>
        </is>
      </c>
      <c r="E40" s="51" t="inlineStr">
        <is>
          <t>B</t>
        </is>
      </c>
      <c r="G40" s="51" t="inlineStr">
        <is>
          <t>FaultCurrentSub</t>
        </is>
      </c>
      <c r="H40" s="52" t="inlineStr">
        <is>
          <t>Value of subtransient fault current at source, calculated by an external (EMS) system.</t>
        </is>
      </c>
      <c r="J40" s="44" t="inlineStr">
        <is>
          <t>AbsoluteDateTime</t>
        </is>
      </c>
      <c r="K40" s="52" t="inlineStr">
        <is>
          <t>Date and time expressed in absolute terms. Internally stored as Windows filetime (number of 100-nanosecond since midnight, January 1, 1601 UTC)</t>
        </is>
      </c>
    </row>
    <row r="41" ht="28.5" customHeight="1">
      <c r="A41" s="50">
        <f>CONCATENATE(C41,D41,E41)</f>
        <v/>
      </c>
      <c r="B41" s="51" t="inlineStr">
        <is>
          <t>FRWRDC</t>
        </is>
      </c>
      <c r="C41" s="51" t="inlineStr">
        <is>
          <t>Forward</t>
        </is>
      </c>
      <c r="D41" s="51" t="inlineStr">
        <is>
          <t>Status</t>
        </is>
      </c>
      <c r="E41" s="51" t="inlineStr">
        <is>
          <t>C</t>
        </is>
      </c>
      <c r="G41" s="51" t="inlineStr">
        <is>
          <t>FaultAngleSub</t>
        </is>
      </c>
      <c r="H41" s="52" t="inlineStr">
        <is>
          <t>Angle of subtransient fault current at source, calculated by an external (EMS) system.</t>
        </is>
      </c>
      <c r="J41" s="44" t="inlineStr">
        <is>
          <t>LatLong</t>
        </is>
      </c>
      <c r="K41" s="52" t="inlineStr">
        <is>
          <t>A pair of latitude/longitude coordinates expressed in degrees</t>
        </is>
      </c>
    </row>
    <row r="42" ht="28.5" customHeight="1">
      <c r="A42" s="50">
        <f>CONCATENATE(C42,D42,E42)</f>
        <v/>
      </c>
      <c r="B42" s="51" t="inlineStr">
        <is>
          <t>HLTAGABC</t>
        </is>
      </c>
      <c r="C42" s="51" t="inlineStr">
        <is>
          <t>HotLineTag</t>
        </is>
      </c>
      <c r="D42" s="51" t="inlineStr">
        <is>
          <t>Status</t>
        </is>
      </c>
      <c r="E42" s="51" t="inlineStr">
        <is>
          <t>ABC</t>
        </is>
      </c>
      <c r="G42" s="51" t="inlineStr">
        <is>
          <t>FaultCurrentTrans</t>
        </is>
      </c>
      <c r="H42" s="52" t="inlineStr">
        <is>
          <t>Value of subtransient fault current at source, calculated by an external (EMS) system.</t>
        </is>
      </c>
    </row>
    <row r="43" ht="28.5" customHeight="1">
      <c r="A43" s="50">
        <f>CONCATENATE(C43,D43,E43)</f>
        <v/>
      </c>
      <c r="B43" s="51" t="inlineStr">
        <is>
          <t>HLTAGA</t>
        </is>
      </c>
      <c r="C43" s="51" t="inlineStr">
        <is>
          <t>HotLineTag</t>
        </is>
      </c>
      <c r="D43" s="51" t="inlineStr">
        <is>
          <t>Status</t>
        </is>
      </c>
      <c r="E43" s="51" t="inlineStr">
        <is>
          <t>A</t>
        </is>
      </c>
      <c r="G43" s="51" t="inlineStr">
        <is>
          <t>FaultAngleTrans</t>
        </is>
      </c>
      <c r="H43" s="52" t="inlineStr">
        <is>
          <t>Angle of subtransient fault current at source, calculated by an external (EMS) system.</t>
        </is>
      </c>
    </row>
    <row r="44" ht="28.5" customHeight="1">
      <c r="A44" s="50">
        <f>CONCATENATE(C44,D44,E44)</f>
        <v/>
      </c>
      <c r="B44" s="51" t="inlineStr">
        <is>
          <t>HLTAGB</t>
        </is>
      </c>
      <c r="C44" s="51" t="inlineStr">
        <is>
          <t>HotLineTag</t>
        </is>
      </c>
      <c r="D44" s="51" t="inlineStr">
        <is>
          <t>Status</t>
        </is>
      </c>
      <c r="E44" s="51" t="inlineStr">
        <is>
          <t>B</t>
        </is>
      </c>
      <c r="G44" s="51" t="inlineStr">
        <is>
          <t>BellwetherMeter</t>
        </is>
      </c>
      <c r="H44" s="52" t="inlineStr">
        <is>
          <t xml:space="preserve">A meter remotely accessed through AMI, used for average measurement on consumers (ServicePoint). </t>
        </is>
      </c>
    </row>
    <row r="45" ht="28.5" customHeight="1">
      <c r="A45" s="50">
        <f>CONCATENATE(C45,D45,E45)</f>
        <v/>
      </c>
      <c r="B45" s="51" t="inlineStr">
        <is>
          <t>HLTAGC</t>
        </is>
      </c>
      <c r="C45" s="51" t="inlineStr">
        <is>
          <t>HotLineTag</t>
        </is>
      </c>
      <c r="D45" s="51" t="inlineStr">
        <is>
          <t>Status</t>
        </is>
      </c>
      <c r="E45" s="51" t="inlineStr">
        <is>
          <t>C</t>
        </is>
      </c>
      <c r="G45" s="51" t="inlineStr">
        <is>
          <t>WeatherData</t>
        </is>
      </c>
      <c r="H45" s="52" t="inlineStr">
        <is>
          <t>Weather measurement. Must be associated with a WeatherRegion</t>
        </is>
      </c>
    </row>
    <row r="46" ht="30" customHeight="1">
      <c r="A46" s="50">
        <f>CONCATENATE(C46,D46,E46)</f>
        <v/>
      </c>
      <c r="B46" s="51" t="inlineStr">
        <is>
          <t>CUSTDISABC</t>
        </is>
      </c>
      <c r="C46" s="51" t="inlineStr">
        <is>
          <t>DiscreteSignalType.Custom</t>
        </is>
      </c>
      <c r="D46" s="51" t="inlineStr">
        <is>
          <t>Status</t>
        </is>
      </c>
      <c r="E46" s="51" t="inlineStr">
        <is>
          <t>ABC</t>
        </is>
      </c>
    </row>
    <row r="47" ht="15" customHeight="1">
      <c r="A47" s="50">
        <f>CONCATENATE(C47,D47,E47)</f>
        <v/>
      </c>
      <c r="B47" s="51" t="inlineStr">
        <is>
          <t>CUSTDISA</t>
        </is>
      </c>
      <c r="C47" s="51" t="inlineStr">
        <is>
          <t>DiscreteSignalType.Custom</t>
        </is>
      </c>
      <c r="D47" s="51" t="inlineStr">
        <is>
          <t>Status</t>
        </is>
      </c>
      <c r="E47" s="51" t="inlineStr">
        <is>
          <t>A</t>
        </is>
      </c>
    </row>
    <row r="48" ht="15" customHeight="1">
      <c r="A48" s="50">
        <f>CONCATENATE(C48,D48,E48)</f>
        <v/>
      </c>
      <c r="B48" s="51" t="inlineStr">
        <is>
          <t>CUSTDISB</t>
        </is>
      </c>
      <c r="C48" s="51" t="inlineStr">
        <is>
          <t>DiscreteSignalType.Custom</t>
        </is>
      </c>
      <c r="D48" s="51" t="inlineStr">
        <is>
          <t>Status</t>
        </is>
      </c>
      <c r="E48" s="51" t="inlineStr">
        <is>
          <t>B</t>
        </is>
      </c>
    </row>
    <row r="49" ht="15" customHeight="1">
      <c r="A49" s="50">
        <f>CONCATENATE(C49,D49,E49)</f>
        <v/>
      </c>
      <c r="B49" s="51" t="inlineStr">
        <is>
          <t>CUSTDISC</t>
        </is>
      </c>
      <c r="C49" s="51" t="inlineStr">
        <is>
          <t>DiscreteSignalType.Custom</t>
        </is>
      </c>
      <c r="D49" s="51" t="inlineStr">
        <is>
          <t>Status</t>
        </is>
      </c>
      <c r="E49" s="51" t="inlineStr">
        <is>
          <t>C</t>
        </is>
      </c>
    </row>
    <row r="50" ht="15" customHeight="1">
      <c r="A50" s="50">
        <f>CONCATENATE(C50,D50,E50)</f>
        <v/>
      </c>
      <c r="B50" s="51" t="inlineStr">
        <is>
          <t>VOLTABC</t>
        </is>
      </c>
      <c r="C50" s="51" t="inlineStr">
        <is>
          <t>MeasuredValue</t>
        </is>
      </c>
      <c r="D50" s="51" t="inlineStr">
        <is>
          <t>Voltage</t>
        </is>
      </c>
      <c r="E50" s="51" t="inlineStr">
        <is>
          <t>ABC</t>
        </is>
      </c>
    </row>
    <row r="51" ht="15" customHeight="1">
      <c r="A51" s="50">
        <f>CONCATENATE(C51,D51,E51)</f>
        <v/>
      </c>
      <c r="B51" s="51" t="inlineStr">
        <is>
          <t>VOLTAB</t>
        </is>
      </c>
      <c r="C51" s="51" t="inlineStr">
        <is>
          <t>MeasuredValue</t>
        </is>
      </c>
      <c r="D51" s="51" t="inlineStr">
        <is>
          <t>Voltage</t>
        </is>
      </c>
      <c r="E51" s="51" t="inlineStr">
        <is>
          <t>AB</t>
        </is>
      </c>
    </row>
    <row r="52" ht="15" customHeight="1">
      <c r="A52" s="50">
        <f>CONCATENATE(C52,D52,E52)</f>
        <v/>
      </c>
      <c r="B52" s="51" t="inlineStr">
        <is>
          <t>VOLTBC</t>
        </is>
      </c>
      <c r="C52" s="51" t="inlineStr">
        <is>
          <t>MeasuredValue</t>
        </is>
      </c>
      <c r="D52" s="51" t="inlineStr">
        <is>
          <t>Voltage</t>
        </is>
      </c>
      <c r="E52" s="51" t="inlineStr">
        <is>
          <t>BC</t>
        </is>
      </c>
    </row>
    <row r="53" ht="15" customHeight="1">
      <c r="A53" s="50">
        <f>CONCATENATE(C53,D53,E53)</f>
        <v/>
      </c>
      <c r="B53" s="51" t="inlineStr">
        <is>
          <t>VOLTAC</t>
        </is>
      </c>
      <c r="C53" s="51" t="inlineStr">
        <is>
          <t>MeasuredValue</t>
        </is>
      </c>
      <c r="D53" s="51" t="inlineStr">
        <is>
          <t>Voltage</t>
        </is>
      </c>
      <c r="E53" s="51" t="inlineStr">
        <is>
          <t>AC</t>
        </is>
      </c>
    </row>
    <row r="54" ht="15" customHeight="1">
      <c r="A54" s="50">
        <f>CONCATENATE(C54,D54,E54)</f>
        <v/>
      </c>
      <c r="B54" s="51" t="inlineStr">
        <is>
          <t>VOLTA</t>
        </is>
      </c>
      <c r="C54" s="51" t="inlineStr">
        <is>
          <t>MeasuredValue</t>
        </is>
      </c>
      <c r="D54" s="51" t="inlineStr">
        <is>
          <t>Voltage</t>
        </is>
      </c>
      <c r="E54" s="51" t="inlineStr">
        <is>
          <t>A</t>
        </is>
      </c>
    </row>
    <row r="55" ht="15" customHeight="1">
      <c r="A55" s="50">
        <f>CONCATENATE(C55,D55,E55)</f>
        <v/>
      </c>
      <c r="B55" s="51" t="inlineStr">
        <is>
          <t>VOLTB</t>
        </is>
      </c>
      <c r="C55" s="51" t="inlineStr">
        <is>
          <t>MeasuredValue</t>
        </is>
      </c>
      <c r="D55" s="51" t="inlineStr">
        <is>
          <t>Voltage</t>
        </is>
      </c>
      <c r="E55" s="51" t="inlineStr">
        <is>
          <t>B</t>
        </is>
      </c>
    </row>
    <row r="56" ht="15" customHeight="1">
      <c r="A56" s="50">
        <f>CONCATENATE(C56,D56,E56)</f>
        <v/>
      </c>
      <c r="B56" s="51" t="inlineStr">
        <is>
          <t>VOLTC</t>
        </is>
      </c>
      <c r="C56" s="51" t="inlineStr">
        <is>
          <t>MeasuredValue</t>
        </is>
      </c>
      <c r="D56" s="51" t="inlineStr">
        <is>
          <t>Voltage</t>
        </is>
      </c>
      <c r="E56" s="51" t="inlineStr">
        <is>
          <t>C</t>
        </is>
      </c>
    </row>
    <row r="57" ht="15" customHeight="1">
      <c r="A57" s="50">
        <f>CONCATENATE(C57,D57,E57)</f>
        <v/>
      </c>
      <c r="B57" s="51" t="inlineStr">
        <is>
          <t>VOLTANGABC</t>
        </is>
      </c>
      <c r="C57" s="51" t="inlineStr">
        <is>
          <t>MeasuredValue</t>
        </is>
      </c>
      <c r="D57" s="51" t="inlineStr">
        <is>
          <t>VoltageAngle</t>
        </is>
      </c>
      <c r="E57" s="51" t="inlineStr">
        <is>
          <t>ABC</t>
        </is>
      </c>
    </row>
    <row r="58" ht="15" customHeight="1">
      <c r="A58" s="50">
        <f>CONCATENATE(C58,D58,E58)</f>
        <v/>
      </c>
      <c r="B58" s="51" t="inlineStr">
        <is>
          <t>VOLTANGAB</t>
        </is>
      </c>
      <c r="C58" s="51" t="inlineStr">
        <is>
          <t>MeasuredValue</t>
        </is>
      </c>
      <c r="D58" s="51" t="inlineStr">
        <is>
          <t>VoltageAngle</t>
        </is>
      </c>
      <c r="E58" s="51" t="inlineStr">
        <is>
          <t>AB</t>
        </is>
      </c>
    </row>
    <row r="59" ht="15" customHeight="1">
      <c r="A59" s="50">
        <f>CONCATENATE(C59,D59,E59)</f>
        <v/>
      </c>
      <c r="B59" s="51" t="inlineStr">
        <is>
          <t>VOLTANGBC</t>
        </is>
      </c>
      <c r="C59" s="51" t="inlineStr">
        <is>
          <t>MeasuredValue</t>
        </is>
      </c>
      <c r="D59" s="51" t="inlineStr">
        <is>
          <t>VoltageAngle</t>
        </is>
      </c>
      <c r="E59" s="51" t="inlineStr">
        <is>
          <t>BC</t>
        </is>
      </c>
    </row>
    <row r="60" ht="15" customHeight="1">
      <c r="A60" s="50">
        <f>CONCATENATE(C60,D60,E60)</f>
        <v/>
      </c>
      <c r="B60" s="51" t="inlineStr">
        <is>
          <t>VOLTANGAC</t>
        </is>
      </c>
      <c r="C60" s="51" t="inlineStr">
        <is>
          <t>MeasuredValue</t>
        </is>
      </c>
      <c r="D60" s="51" t="inlineStr">
        <is>
          <t>VoltageAngle</t>
        </is>
      </c>
      <c r="E60" s="51" t="inlineStr">
        <is>
          <t>AC</t>
        </is>
      </c>
    </row>
    <row r="61" ht="15" customHeight="1">
      <c r="A61" s="50">
        <f>CONCATENATE(C61,D61,E61)</f>
        <v/>
      </c>
      <c r="B61" s="51" t="inlineStr">
        <is>
          <t>VOLTANGA</t>
        </is>
      </c>
      <c r="C61" s="51" t="inlineStr">
        <is>
          <t>MeasuredValue</t>
        </is>
      </c>
      <c r="D61" s="51" t="inlineStr">
        <is>
          <t>VoltageAngle</t>
        </is>
      </c>
      <c r="E61" s="51" t="inlineStr">
        <is>
          <t>A</t>
        </is>
      </c>
    </row>
    <row r="62" ht="15" customHeight="1">
      <c r="A62" s="50">
        <f>CONCATENATE(C62,D62,E62)</f>
        <v/>
      </c>
      <c r="B62" s="51" t="inlineStr">
        <is>
          <t>VOLTANGB</t>
        </is>
      </c>
      <c r="C62" s="51" t="inlineStr">
        <is>
          <t>MeasuredValue</t>
        </is>
      </c>
      <c r="D62" s="51" t="inlineStr">
        <is>
          <t>VoltageAngle</t>
        </is>
      </c>
      <c r="E62" s="51" t="inlineStr">
        <is>
          <t>B</t>
        </is>
      </c>
    </row>
    <row r="63" ht="15" customHeight="1">
      <c r="A63" s="50">
        <f>CONCATENATE(C63,D63,E63)</f>
        <v/>
      </c>
      <c r="B63" s="51" t="inlineStr">
        <is>
          <t>VOLTANGC</t>
        </is>
      </c>
      <c r="C63" s="51" t="inlineStr">
        <is>
          <t>MeasuredValue</t>
        </is>
      </c>
      <c r="D63" s="51" t="inlineStr">
        <is>
          <t>VoltageAngle</t>
        </is>
      </c>
      <c r="E63" s="51" t="inlineStr">
        <is>
          <t>C</t>
        </is>
      </c>
    </row>
    <row r="64" ht="15" customHeight="1">
      <c r="A64" s="50">
        <f>CONCATENATE(C64,D64,E64)</f>
        <v/>
      </c>
      <c r="B64" s="51" t="inlineStr">
        <is>
          <t>FREQ</t>
        </is>
      </c>
      <c r="C64" s="51" t="inlineStr">
        <is>
          <t>MeasuredValue</t>
        </is>
      </c>
      <c r="D64" s="51" t="inlineStr">
        <is>
          <t>Frequency</t>
        </is>
      </c>
      <c r="E64" s="51" t="inlineStr">
        <is>
          <t>ABC</t>
        </is>
      </c>
    </row>
    <row r="65" ht="15" customHeight="1">
      <c r="A65" s="50">
        <f>CONCATENATE(C65,D65,E65)</f>
        <v/>
      </c>
      <c r="B65" s="51" t="inlineStr">
        <is>
          <t>RELVOLTABC</t>
        </is>
      </c>
      <c r="C65" s="51" t="inlineStr">
        <is>
          <t>MeasuredValue</t>
        </is>
      </c>
      <c r="D65" s="51" t="inlineStr">
        <is>
          <t>RelativeVoltage</t>
        </is>
      </c>
      <c r="E65" s="51" t="inlineStr">
        <is>
          <t>ABC</t>
        </is>
      </c>
    </row>
    <row r="66" ht="15" customHeight="1">
      <c r="A66" s="50">
        <f>CONCATENATE(C66,D66,E66)</f>
        <v/>
      </c>
      <c r="B66" s="51" t="inlineStr">
        <is>
          <t>RELVOLTAB</t>
        </is>
      </c>
      <c r="C66" s="51" t="inlineStr">
        <is>
          <t>MeasuredValue</t>
        </is>
      </c>
      <c r="D66" s="51" t="inlineStr">
        <is>
          <t>RelativeVoltage</t>
        </is>
      </c>
      <c r="E66" s="51" t="inlineStr">
        <is>
          <t>AB</t>
        </is>
      </c>
    </row>
    <row r="67" ht="15" customHeight="1">
      <c r="A67" s="50">
        <f>CONCATENATE(C67,D67,E67)</f>
        <v/>
      </c>
      <c r="B67" s="51" t="inlineStr">
        <is>
          <t>RELVOLTAC</t>
        </is>
      </c>
      <c r="C67" s="51" t="inlineStr">
        <is>
          <t>MeasuredValue</t>
        </is>
      </c>
      <c r="D67" s="51" t="inlineStr">
        <is>
          <t>RelativeVoltage</t>
        </is>
      </c>
      <c r="E67" s="51" t="inlineStr">
        <is>
          <t>BC</t>
        </is>
      </c>
    </row>
    <row r="68" ht="15" customHeight="1">
      <c r="A68" s="50">
        <f>CONCATENATE(C68,D68,E68)</f>
        <v/>
      </c>
      <c r="B68" s="51" t="inlineStr">
        <is>
          <t>RELVOLTBC</t>
        </is>
      </c>
      <c r="C68" s="51" t="inlineStr">
        <is>
          <t>MeasuredValue</t>
        </is>
      </c>
      <c r="D68" s="51" t="inlineStr">
        <is>
          <t>RelativeVoltage</t>
        </is>
      </c>
      <c r="E68" s="51" t="inlineStr">
        <is>
          <t>AC</t>
        </is>
      </c>
    </row>
    <row r="69" ht="15" customHeight="1">
      <c r="A69" s="50">
        <f>CONCATENATE(C69,D69,E69)</f>
        <v/>
      </c>
      <c r="B69" s="51" t="inlineStr">
        <is>
          <t>RELVOLTA</t>
        </is>
      </c>
      <c r="C69" s="51" t="inlineStr">
        <is>
          <t>MeasuredValue</t>
        </is>
      </c>
      <c r="D69" s="51" t="inlineStr">
        <is>
          <t>RelativeVoltage</t>
        </is>
      </c>
      <c r="E69" s="51" t="inlineStr">
        <is>
          <t>A</t>
        </is>
      </c>
    </row>
    <row r="70" ht="15" customHeight="1">
      <c r="A70" s="50">
        <f>CONCATENATE(C70,D70,E70)</f>
        <v/>
      </c>
      <c r="B70" s="51" t="inlineStr">
        <is>
          <t>RELVOLTB</t>
        </is>
      </c>
      <c r="C70" s="51" t="inlineStr">
        <is>
          <t>MeasuredValue</t>
        </is>
      </c>
      <c r="D70" s="51" t="inlineStr">
        <is>
          <t>RelativeVoltage</t>
        </is>
      </c>
      <c r="E70" s="51" t="inlineStr">
        <is>
          <t>B</t>
        </is>
      </c>
    </row>
    <row r="71" ht="15" customHeight="1">
      <c r="A71" s="50">
        <f>CONCATENATE(C71,D71,E71)</f>
        <v/>
      </c>
      <c r="B71" s="51" t="inlineStr">
        <is>
          <t>RELVOLTC</t>
        </is>
      </c>
      <c r="C71" s="51" t="inlineStr">
        <is>
          <t>MeasuredValue</t>
        </is>
      </c>
      <c r="D71" s="51" t="inlineStr">
        <is>
          <t>RelativeVoltage</t>
        </is>
      </c>
      <c r="E71" s="51" t="inlineStr">
        <is>
          <t>C</t>
        </is>
      </c>
    </row>
    <row r="72" ht="15" customHeight="1">
      <c r="A72" s="50">
        <f>CONCATENATE(C72,D72,E72)</f>
        <v/>
      </c>
      <c r="B72" s="51" t="inlineStr">
        <is>
          <t>AMPABC</t>
        </is>
      </c>
      <c r="C72" s="51" t="inlineStr">
        <is>
          <t>MeasuredValue</t>
        </is>
      </c>
      <c r="D72" s="51" t="inlineStr">
        <is>
          <t>Current</t>
        </is>
      </c>
      <c r="E72" s="51" t="inlineStr">
        <is>
          <t>ABC</t>
        </is>
      </c>
    </row>
    <row r="73" ht="15" customHeight="1">
      <c r="A73" s="50">
        <f>CONCATENATE(C73,D73,E73)</f>
        <v/>
      </c>
      <c r="B73" s="51" t="inlineStr">
        <is>
          <t>AMPA</t>
        </is>
      </c>
      <c r="C73" s="51" t="inlineStr">
        <is>
          <t>MeasuredValue</t>
        </is>
      </c>
      <c r="D73" s="51" t="inlineStr">
        <is>
          <t>Current</t>
        </is>
      </c>
      <c r="E73" s="51" t="inlineStr">
        <is>
          <t>A</t>
        </is>
      </c>
    </row>
    <row r="74" ht="15" customHeight="1">
      <c r="A74" s="50">
        <f>CONCATENATE(C74,D74,E74)</f>
        <v/>
      </c>
      <c r="B74" s="51" t="inlineStr">
        <is>
          <t>AMPB</t>
        </is>
      </c>
      <c r="C74" s="51" t="inlineStr">
        <is>
          <t>MeasuredValue</t>
        </is>
      </c>
      <c r="D74" s="51" t="inlineStr">
        <is>
          <t>Current</t>
        </is>
      </c>
      <c r="E74" s="51" t="inlineStr">
        <is>
          <t>B</t>
        </is>
      </c>
    </row>
    <row r="75" ht="15" customHeight="1">
      <c r="A75" s="50">
        <f>CONCATENATE(C75,D75,E75)</f>
        <v/>
      </c>
      <c r="B75" s="51" t="inlineStr">
        <is>
          <t>AMPC</t>
        </is>
      </c>
      <c r="C75" s="51" t="inlineStr">
        <is>
          <t>MeasuredValue</t>
        </is>
      </c>
      <c r="D75" s="51" t="inlineStr">
        <is>
          <t>Current</t>
        </is>
      </c>
      <c r="E75" s="51" t="inlineStr">
        <is>
          <t>C</t>
        </is>
      </c>
    </row>
    <row r="76" ht="15" customHeight="1">
      <c r="A76" s="50">
        <f>CONCATENATE(C76,D76,E76)</f>
        <v/>
      </c>
      <c r="B76" s="51" t="inlineStr">
        <is>
          <t>AMPN</t>
        </is>
      </c>
      <c r="C76" s="51" t="inlineStr">
        <is>
          <t>MeasuredValue</t>
        </is>
      </c>
      <c r="D76" s="51" t="inlineStr">
        <is>
          <t>Current</t>
        </is>
      </c>
      <c r="E76" s="51" t="inlineStr">
        <is>
          <t>N</t>
        </is>
      </c>
    </row>
    <row r="77" ht="15" customHeight="1">
      <c r="A77" s="50">
        <f>CONCATENATE(C77,D77,E77)</f>
        <v/>
      </c>
      <c r="B77" s="51" t="inlineStr">
        <is>
          <t>MWABC</t>
        </is>
      </c>
      <c r="C77" s="51" t="inlineStr">
        <is>
          <t>MeasuredValue</t>
        </is>
      </c>
      <c r="D77" s="51" t="inlineStr">
        <is>
          <t>ActivePower</t>
        </is>
      </c>
      <c r="E77" s="51" t="inlineStr">
        <is>
          <t>ABC</t>
        </is>
      </c>
    </row>
    <row r="78" ht="15" customHeight="1">
      <c r="A78" s="50">
        <f>CONCATENATE(C78,D78,E78)</f>
        <v/>
      </c>
      <c r="B78" s="51" t="inlineStr">
        <is>
          <t>MWA</t>
        </is>
      </c>
      <c r="C78" s="51" t="inlineStr">
        <is>
          <t>MeasuredValue</t>
        </is>
      </c>
      <c r="D78" s="51" t="inlineStr">
        <is>
          <t>ActivePower</t>
        </is>
      </c>
      <c r="E78" s="51" t="inlineStr">
        <is>
          <t>A</t>
        </is>
      </c>
    </row>
    <row r="79" ht="15" customHeight="1">
      <c r="A79" s="50">
        <f>CONCATENATE(C79,D79,E79)</f>
        <v/>
      </c>
      <c r="B79" s="51" t="inlineStr">
        <is>
          <t>MWB</t>
        </is>
      </c>
      <c r="C79" s="51" t="inlineStr">
        <is>
          <t>MeasuredValue</t>
        </is>
      </c>
      <c r="D79" s="51" t="inlineStr">
        <is>
          <t>ActivePower</t>
        </is>
      </c>
      <c r="E79" s="51" t="inlineStr">
        <is>
          <t>B</t>
        </is>
      </c>
    </row>
    <row r="80" ht="15" customHeight="1">
      <c r="A80" s="50">
        <f>CONCATENATE(C80,D80,E80)</f>
        <v/>
      </c>
      <c r="B80" s="51" t="inlineStr">
        <is>
          <t>MWC</t>
        </is>
      </c>
      <c r="C80" s="51" t="inlineStr">
        <is>
          <t>MeasuredValue</t>
        </is>
      </c>
      <c r="D80" s="51" t="inlineStr">
        <is>
          <t>ActivePower</t>
        </is>
      </c>
      <c r="E80" s="51" t="inlineStr">
        <is>
          <t>C</t>
        </is>
      </c>
    </row>
    <row r="81" ht="15" customHeight="1">
      <c r="A81" s="50">
        <f>CONCATENATE(C81,D81,E81)</f>
        <v/>
      </c>
      <c r="B81" s="51" t="inlineStr">
        <is>
          <t>MVARABC</t>
        </is>
      </c>
      <c r="C81" s="51" t="inlineStr">
        <is>
          <t>MeasuredValue</t>
        </is>
      </c>
      <c r="D81" s="51" t="inlineStr">
        <is>
          <t>ReactivePower</t>
        </is>
      </c>
      <c r="E81" s="51" t="inlineStr">
        <is>
          <t>ABC</t>
        </is>
      </c>
    </row>
    <row r="82" ht="15" customHeight="1">
      <c r="A82" s="50">
        <f>CONCATENATE(C82,D82,E82)</f>
        <v/>
      </c>
      <c r="B82" s="51" t="inlineStr">
        <is>
          <t>MVARA</t>
        </is>
      </c>
      <c r="C82" s="51" t="inlineStr">
        <is>
          <t>MeasuredValue</t>
        </is>
      </c>
      <c r="D82" s="51" t="inlineStr">
        <is>
          <t>ReactivePower</t>
        </is>
      </c>
      <c r="E82" s="51" t="inlineStr">
        <is>
          <t>A</t>
        </is>
      </c>
    </row>
    <row r="83" ht="15" customHeight="1">
      <c r="A83" s="50">
        <f>CONCATENATE(C83,D83,E83)</f>
        <v/>
      </c>
      <c r="B83" s="51" t="inlineStr">
        <is>
          <t>MVARB</t>
        </is>
      </c>
      <c r="C83" s="51" t="inlineStr">
        <is>
          <t>MeasuredValue</t>
        </is>
      </c>
      <c r="D83" s="51" t="inlineStr">
        <is>
          <t>ReactivePower</t>
        </is>
      </c>
      <c r="E83" s="51" t="inlineStr">
        <is>
          <t>B</t>
        </is>
      </c>
    </row>
    <row r="84" ht="15" customHeight="1">
      <c r="A84" s="50">
        <f>CONCATENATE(C84,D84,E84)</f>
        <v/>
      </c>
      <c r="B84" s="51" t="inlineStr">
        <is>
          <t>MVARC</t>
        </is>
      </c>
      <c r="C84" s="51" t="inlineStr">
        <is>
          <t>MeasuredValue</t>
        </is>
      </c>
      <c r="D84" s="51" t="inlineStr">
        <is>
          <t>ReactivePower</t>
        </is>
      </c>
      <c r="E84" s="51" t="inlineStr">
        <is>
          <t>C</t>
        </is>
      </c>
    </row>
    <row r="85" ht="15" customHeight="1">
      <c r="A85" s="50">
        <f>CONCATENATE(C85,D85,E85)</f>
        <v/>
      </c>
      <c r="B85" s="51" t="inlineStr">
        <is>
          <t>MVAABC</t>
        </is>
      </c>
      <c r="C85" s="51" t="inlineStr">
        <is>
          <t>MeasuredValue</t>
        </is>
      </c>
      <c r="D85" s="51" t="inlineStr">
        <is>
          <t>ApparentPower</t>
        </is>
      </c>
      <c r="E85" s="51" t="inlineStr">
        <is>
          <t>ABC</t>
        </is>
      </c>
    </row>
    <row r="86" ht="15" customHeight="1">
      <c r="A86" s="50">
        <f>CONCATENATE(C86,D86,E86)</f>
        <v/>
      </c>
      <c r="B86" s="51" t="inlineStr">
        <is>
          <t>COSPHIABC</t>
        </is>
      </c>
      <c r="C86" s="51" t="inlineStr">
        <is>
          <t>MeasuredValue</t>
        </is>
      </c>
      <c r="D86" s="51" t="inlineStr">
        <is>
          <t>CosPhi</t>
        </is>
      </c>
      <c r="E86" s="51" t="inlineStr">
        <is>
          <t>ABC</t>
        </is>
      </c>
    </row>
    <row r="87" ht="15" customHeight="1">
      <c r="A87" s="50">
        <f>CONCATENATE(C87,D87,E87)</f>
        <v/>
      </c>
      <c r="B87" s="51" t="inlineStr">
        <is>
          <t>COSPHIA</t>
        </is>
      </c>
      <c r="C87" s="51" t="inlineStr">
        <is>
          <t>MeasuredValue</t>
        </is>
      </c>
      <c r="D87" s="51" t="inlineStr">
        <is>
          <t>CosPhi</t>
        </is>
      </c>
      <c r="E87" s="51" t="inlineStr">
        <is>
          <t>A</t>
        </is>
      </c>
    </row>
    <row r="88" ht="15" customHeight="1">
      <c r="A88" s="50">
        <f>CONCATENATE(C88,D88,E88)</f>
        <v/>
      </c>
      <c r="B88" s="51" t="inlineStr">
        <is>
          <t>COSPHIB</t>
        </is>
      </c>
      <c r="C88" s="51" t="inlineStr">
        <is>
          <t>MeasuredValue</t>
        </is>
      </c>
      <c r="D88" s="51" t="inlineStr">
        <is>
          <t>CosPhi</t>
        </is>
      </c>
      <c r="E88" s="51" t="inlineStr">
        <is>
          <t>B</t>
        </is>
      </c>
    </row>
    <row r="89" ht="15" customHeight="1">
      <c r="A89" s="50">
        <f>CONCATENATE(C89,D89,E89)</f>
        <v/>
      </c>
      <c r="B89" s="51" t="inlineStr">
        <is>
          <t>COSPHIC</t>
        </is>
      </c>
      <c r="C89" s="51" t="inlineStr">
        <is>
          <t>MeasuredValue</t>
        </is>
      </c>
      <c r="D89" s="51" t="inlineStr">
        <is>
          <t>CosPhi</t>
        </is>
      </c>
      <c r="E89" s="51" t="inlineStr">
        <is>
          <t>C</t>
        </is>
      </c>
    </row>
    <row r="90" ht="15" customHeight="1">
      <c r="A90" s="50">
        <f>CONCATENATE(C90,D90,E90)</f>
        <v/>
      </c>
      <c r="B90" s="51" t="inlineStr">
        <is>
          <t>MWHABC</t>
        </is>
      </c>
      <c r="C90" s="51" t="inlineStr">
        <is>
          <t>MeasuredValue</t>
        </is>
      </c>
      <c r="D90" s="51" t="inlineStr">
        <is>
          <t>ActiveEnergy</t>
        </is>
      </c>
      <c r="E90" s="51" t="inlineStr">
        <is>
          <t>ABC</t>
        </is>
      </c>
    </row>
    <row r="91" ht="15" customHeight="1">
      <c r="A91" s="50">
        <f>CONCATENATE(C91,D91,E91)</f>
        <v/>
      </c>
      <c r="B91" s="51" t="inlineStr">
        <is>
          <t>MWHA</t>
        </is>
      </c>
      <c r="C91" s="51" t="inlineStr">
        <is>
          <t>MeasuredValue</t>
        </is>
      </c>
      <c r="D91" s="51" t="inlineStr">
        <is>
          <t>ActiveEnergy</t>
        </is>
      </c>
      <c r="E91" s="51" t="inlineStr">
        <is>
          <t>A</t>
        </is>
      </c>
    </row>
    <row r="92" ht="15" customHeight="1">
      <c r="A92" s="50">
        <f>CONCATENATE(C92,D92,E92)</f>
        <v/>
      </c>
      <c r="B92" s="51" t="inlineStr">
        <is>
          <t>MWHB</t>
        </is>
      </c>
      <c r="C92" s="51" t="inlineStr">
        <is>
          <t>MeasuredValue</t>
        </is>
      </c>
      <c r="D92" s="51" t="inlineStr">
        <is>
          <t>ActiveEnergy</t>
        </is>
      </c>
      <c r="E92" s="51" t="inlineStr">
        <is>
          <t>B</t>
        </is>
      </c>
    </row>
    <row r="93" ht="15" customHeight="1">
      <c r="A93" s="50">
        <f>CONCATENATE(C93,D93,E93)</f>
        <v/>
      </c>
      <c r="B93" s="51" t="inlineStr">
        <is>
          <t>MWHC</t>
        </is>
      </c>
      <c r="C93" s="51" t="inlineStr">
        <is>
          <t>MeasuredValue</t>
        </is>
      </c>
      <c r="D93" s="51" t="inlineStr">
        <is>
          <t>ActiveEnergy</t>
        </is>
      </c>
      <c r="E93" s="51" t="inlineStr">
        <is>
          <t>C</t>
        </is>
      </c>
    </row>
    <row r="94" ht="15" customHeight="1">
      <c r="A94" s="50">
        <f>CONCATENATE(C94,D94,E94)</f>
        <v/>
      </c>
      <c r="B94" s="51" t="inlineStr">
        <is>
          <t>MVARHABC</t>
        </is>
      </c>
      <c r="C94" s="51" t="inlineStr">
        <is>
          <t>MeasuredValue</t>
        </is>
      </c>
      <c r="D94" s="51" t="inlineStr">
        <is>
          <t>ReactiveEnergy</t>
        </is>
      </c>
      <c r="E94" s="51" t="inlineStr">
        <is>
          <t>ABC</t>
        </is>
      </c>
    </row>
    <row r="95" ht="15" customHeight="1">
      <c r="A95" s="50">
        <f>CONCATENATE(C95,D95,E95)</f>
        <v/>
      </c>
      <c r="B95" s="51" t="inlineStr">
        <is>
          <t>MVARHA</t>
        </is>
      </c>
      <c r="C95" s="51" t="inlineStr">
        <is>
          <t>MeasuredValue</t>
        </is>
      </c>
      <c r="D95" s="51" t="inlineStr">
        <is>
          <t>ReactiveEnergy</t>
        </is>
      </c>
      <c r="E95" s="51" t="inlineStr">
        <is>
          <t>A</t>
        </is>
      </c>
    </row>
    <row r="96" ht="15" customHeight="1">
      <c r="A96" s="50">
        <f>CONCATENATE(C96,D96,E96)</f>
        <v/>
      </c>
      <c r="B96" s="51" t="inlineStr">
        <is>
          <t>MVARHB</t>
        </is>
      </c>
      <c r="C96" s="51" t="inlineStr">
        <is>
          <t>MeasuredValue</t>
        </is>
      </c>
      <c r="D96" s="51" t="inlineStr">
        <is>
          <t>ReactiveEnergy</t>
        </is>
      </c>
      <c r="E96" s="51" t="inlineStr">
        <is>
          <t>B</t>
        </is>
      </c>
    </row>
    <row r="97" ht="15" customHeight="1">
      <c r="A97" s="50">
        <f>CONCATENATE(C97,D97,E97)</f>
        <v/>
      </c>
      <c r="B97" s="51" t="inlineStr">
        <is>
          <t>MVARHC</t>
        </is>
      </c>
      <c r="C97" s="51" t="inlineStr">
        <is>
          <t>MeasuredValue</t>
        </is>
      </c>
      <c r="D97" s="51" t="inlineStr">
        <is>
          <t>ReactiveEnergy</t>
        </is>
      </c>
      <c r="E97" s="51" t="inlineStr">
        <is>
          <t>C</t>
        </is>
      </c>
    </row>
    <row r="98" ht="15" customHeight="1">
      <c r="A98" s="50">
        <f>CONCATENATE(C98,D98,E98)</f>
        <v/>
      </c>
      <c r="B98" s="51" t="inlineStr">
        <is>
          <t>FLTRCDRVOLTABC</t>
        </is>
      </c>
      <c r="C98" s="51" t="inlineStr">
        <is>
          <t>FaultRecorder</t>
        </is>
      </c>
      <c r="D98" s="51" t="inlineStr">
        <is>
          <t>Voltage</t>
        </is>
      </c>
      <c r="E98" s="51" t="inlineStr">
        <is>
          <t>ABC</t>
        </is>
      </c>
    </row>
    <row r="99" ht="15" customHeight="1">
      <c r="A99" s="50">
        <f>CONCATENATE(C99,D99,E99)</f>
        <v/>
      </c>
      <c r="B99" s="51" t="inlineStr">
        <is>
          <t>FLTRCDRVOLTA</t>
        </is>
      </c>
      <c r="C99" s="51" t="inlineStr">
        <is>
          <t>FaultRecorder</t>
        </is>
      </c>
      <c r="D99" s="51" t="inlineStr">
        <is>
          <t>Voltage</t>
        </is>
      </c>
      <c r="E99" s="51" t="inlineStr">
        <is>
          <t>A</t>
        </is>
      </c>
    </row>
    <row r="100" ht="15" customHeight="1">
      <c r="A100" s="50">
        <f>CONCATENATE(C100,D100,E100)</f>
        <v/>
      </c>
      <c r="B100" s="51" t="inlineStr">
        <is>
          <t>FLTRCDRVOLTB</t>
        </is>
      </c>
      <c r="C100" s="51" t="inlineStr">
        <is>
          <t>FaultRecorder</t>
        </is>
      </c>
      <c r="D100" s="51" t="inlineStr">
        <is>
          <t>Voltage</t>
        </is>
      </c>
      <c r="E100" s="51" t="inlineStr">
        <is>
          <t>B</t>
        </is>
      </c>
    </row>
    <row r="101" ht="15" customHeight="1">
      <c r="A101" s="50">
        <f>CONCATENATE(C101,D101,E101)</f>
        <v/>
      </c>
      <c r="B101" s="51" t="inlineStr">
        <is>
          <t>FLTRCDRVOLTC</t>
        </is>
      </c>
      <c r="C101" s="51" t="inlineStr">
        <is>
          <t>FaultRecorder</t>
        </is>
      </c>
      <c r="D101" s="51" t="inlineStr">
        <is>
          <t>Voltage</t>
        </is>
      </c>
      <c r="E101" s="51" t="inlineStr">
        <is>
          <t>C</t>
        </is>
      </c>
    </row>
    <row r="102" ht="15" customHeight="1">
      <c r="A102" s="50">
        <f>CONCATENATE(C102,D102,E102)</f>
        <v/>
      </c>
      <c r="B102" s="51" t="inlineStr">
        <is>
          <t>FLTRCDRAMPABC</t>
        </is>
      </c>
      <c r="C102" s="51" t="inlineStr">
        <is>
          <t>FaultRecorder</t>
        </is>
      </c>
      <c r="D102" s="51" t="inlineStr">
        <is>
          <t>Current</t>
        </is>
      </c>
      <c r="E102" s="51" t="inlineStr">
        <is>
          <t>ABC</t>
        </is>
      </c>
    </row>
    <row r="103" ht="15" customHeight="1">
      <c r="A103" s="50">
        <f>CONCATENATE(C103,D103,E103)</f>
        <v/>
      </c>
      <c r="B103" s="51" t="inlineStr">
        <is>
          <t>FLTRCDRAMPA</t>
        </is>
      </c>
      <c r="C103" s="51" t="inlineStr">
        <is>
          <t>FaultRecorder</t>
        </is>
      </c>
      <c r="D103" s="51" t="inlineStr">
        <is>
          <t>Current</t>
        </is>
      </c>
      <c r="E103" s="51" t="inlineStr">
        <is>
          <t>A</t>
        </is>
      </c>
    </row>
    <row r="104" ht="15" customHeight="1">
      <c r="A104" s="50">
        <f>CONCATENATE(C104,D104,E104)</f>
        <v/>
      </c>
      <c r="B104" s="51" t="inlineStr">
        <is>
          <t>FLTRCDRAMPB</t>
        </is>
      </c>
      <c r="C104" s="51" t="inlineStr">
        <is>
          <t>FaultRecorder</t>
        </is>
      </c>
      <c r="D104" s="51" t="inlineStr">
        <is>
          <t>Current</t>
        </is>
      </c>
      <c r="E104" s="51" t="inlineStr">
        <is>
          <t>B</t>
        </is>
      </c>
    </row>
    <row r="105" ht="15" customHeight="1">
      <c r="A105" s="50">
        <f>CONCATENATE(C105,D105,E105)</f>
        <v/>
      </c>
      <c r="B105" s="51" t="inlineStr">
        <is>
          <t>FLTRCDRAMPC</t>
        </is>
      </c>
      <c r="C105" s="51" t="inlineStr">
        <is>
          <t>FaultRecorder</t>
        </is>
      </c>
      <c r="D105" s="51" t="inlineStr">
        <is>
          <t>Current</t>
        </is>
      </c>
      <c r="E105" s="51" t="inlineStr">
        <is>
          <t>C</t>
        </is>
      </c>
    </row>
    <row r="106" ht="15" customHeight="1">
      <c r="A106" s="50">
        <f>CONCATENATE(C106,D106,E106)</f>
        <v/>
      </c>
      <c r="B106" s="51" t="inlineStr">
        <is>
          <t>FLTRCDRVOLTANGABC</t>
        </is>
      </c>
      <c r="C106" s="51" t="inlineStr">
        <is>
          <t>FaultRecorder</t>
        </is>
      </c>
      <c r="D106" s="51" t="inlineStr">
        <is>
          <t>VoltageAngle</t>
        </is>
      </c>
      <c r="E106" s="51" t="inlineStr">
        <is>
          <t>ABC</t>
        </is>
      </c>
    </row>
    <row r="107" ht="15" customHeight="1">
      <c r="A107" s="50">
        <f>CONCATENATE(C107,D107,E107)</f>
        <v/>
      </c>
      <c r="B107" s="51" t="inlineStr">
        <is>
          <t>FLTRCDRVOLTANGA</t>
        </is>
      </c>
      <c r="C107" s="51" t="inlineStr">
        <is>
          <t>FaultRecorder</t>
        </is>
      </c>
      <c r="D107" s="51" t="inlineStr">
        <is>
          <t>VoltageAngle</t>
        </is>
      </c>
      <c r="E107" s="51" t="inlineStr">
        <is>
          <t>A</t>
        </is>
      </c>
    </row>
    <row r="108" ht="15" customHeight="1">
      <c r="A108" s="50">
        <f>CONCATENATE(C108,D108,E108)</f>
        <v/>
      </c>
      <c r="B108" s="51" t="inlineStr">
        <is>
          <t>FLTRCDRVOLTANGB</t>
        </is>
      </c>
      <c r="C108" s="51" t="inlineStr">
        <is>
          <t>FaultRecorder</t>
        </is>
      </c>
      <c r="D108" s="51" t="inlineStr">
        <is>
          <t>VoltageAngle</t>
        </is>
      </c>
      <c r="E108" s="51" t="inlineStr">
        <is>
          <t>B</t>
        </is>
      </c>
    </row>
    <row r="109" ht="15" customHeight="1">
      <c r="A109" s="50">
        <f>CONCATENATE(C109,D109,E109)</f>
        <v/>
      </c>
      <c r="B109" s="51" t="inlineStr">
        <is>
          <t>FLTRCDRVOLTANGC</t>
        </is>
      </c>
      <c r="C109" s="51" t="inlineStr">
        <is>
          <t>FaultRecorder</t>
        </is>
      </c>
      <c r="D109" s="51" t="inlineStr">
        <is>
          <t>VoltageAngle</t>
        </is>
      </c>
      <c r="E109" s="51" t="inlineStr">
        <is>
          <t>C</t>
        </is>
      </c>
    </row>
    <row r="110" ht="15" customHeight="1">
      <c r="A110" s="50">
        <f>CONCATENATE(C110,D110,E110)</f>
        <v/>
      </c>
      <c r="B110" s="51" t="inlineStr">
        <is>
          <t>FLTRCDRAMPANGABC</t>
        </is>
      </c>
      <c r="C110" s="51" t="inlineStr">
        <is>
          <t>FaultRecorder</t>
        </is>
      </c>
      <c r="D110" s="51" t="inlineStr">
        <is>
          <t>CurrentAngle</t>
        </is>
      </c>
      <c r="E110" s="51" t="inlineStr">
        <is>
          <t>ABC</t>
        </is>
      </c>
    </row>
    <row r="111" ht="15" customHeight="1">
      <c r="A111" s="50">
        <f>CONCATENATE(C111,D111,E111)</f>
        <v/>
      </c>
      <c r="B111" s="51" t="inlineStr">
        <is>
          <t>FLTRCDRAMPANGA</t>
        </is>
      </c>
      <c r="C111" s="51" t="inlineStr">
        <is>
          <t>FaultRecorder</t>
        </is>
      </c>
      <c r="D111" s="51" t="inlineStr">
        <is>
          <t>CurrentAngle</t>
        </is>
      </c>
      <c r="E111" s="51" t="inlineStr">
        <is>
          <t>A</t>
        </is>
      </c>
    </row>
    <row r="112" ht="15" customHeight="1">
      <c r="A112" s="50">
        <f>CONCATENATE(C112,D112,E112)</f>
        <v/>
      </c>
      <c r="B112" s="51" t="inlineStr">
        <is>
          <t>FLTRCDRAMPANGB</t>
        </is>
      </c>
      <c r="C112" s="51" t="inlineStr">
        <is>
          <t>FaultRecorder</t>
        </is>
      </c>
      <c r="D112" s="51" t="inlineStr">
        <is>
          <t>CurrentAngle</t>
        </is>
      </c>
      <c r="E112" s="51" t="inlineStr">
        <is>
          <t>B</t>
        </is>
      </c>
    </row>
    <row r="113" ht="15" customHeight="1">
      <c r="A113" s="50">
        <f>CONCATENATE(C113,D113,E113)</f>
        <v/>
      </c>
      <c r="B113" s="51" t="inlineStr">
        <is>
          <t>FLTRCDRAMPANGC</t>
        </is>
      </c>
      <c r="C113" s="51" t="inlineStr">
        <is>
          <t>FaultRecorder</t>
        </is>
      </c>
      <c r="D113" s="51" t="inlineStr">
        <is>
          <t>CurrentAngle</t>
        </is>
      </c>
      <c r="E113" s="51" t="inlineStr">
        <is>
          <t>C</t>
        </is>
      </c>
    </row>
    <row r="114" ht="15" customHeight="1">
      <c r="A114" s="50">
        <f>CONCATENATE(C114,D114,E114)</f>
        <v/>
      </c>
      <c r="B114" s="51" t="inlineStr">
        <is>
          <t>TMPABC</t>
        </is>
      </c>
      <c r="C114" s="51" t="inlineStr">
        <is>
          <t>MeasuredValue</t>
        </is>
      </c>
      <c r="D114" s="51" t="inlineStr">
        <is>
          <t>Temperature</t>
        </is>
      </c>
      <c r="E114" s="51" t="inlineStr">
        <is>
          <t>ABC</t>
        </is>
      </c>
    </row>
    <row r="115" ht="15" customHeight="1">
      <c r="A115" s="50">
        <f>CONCATENATE(C115,D115,E115)</f>
        <v/>
      </c>
      <c r="B115" s="51" t="inlineStr">
        <is>
          <t>TMPA</t>
        </is>
      </c>
      <c r="C115" s="51" t="inlineStr">
        <is>
          <t>MeasuredValue</t>
        </is>
      </c>
      <c r="D115" s="51" t="inlineStr">
        <is>
          <t>Temperature</t>
        </is>
      </c>
      <c r="E115" s="51" t="inlineStr">
        <is>
          <t>A</t>
        </is>
      </c>
    </row>
    <row r="116" ht="15" customHeight="1">
      <c r="A116" s="50">
        <f>CONCATENATE(C116,D116,E116)</f>
        <v/>
      </c>
      <c r="B116" s="51" t="inlineStr">
        <is>
          <t>TMPB</t>
        </is>
      </c>
      <c r="C116" s="51" t="inlineStr">
        <is>
          <t>MeasuredValue</t>
        </is>
      </c>
      <c r="D116" s="51" t="inlineStr">
        <is>
          <t>Temperature</t>
        </is>
      </c>
      <c r="E116" s="51" t="inlineStr">
        <is>
          <t>B</t>
        </is>
      </c>
    </row>
    <row r="117" ht="15" customHeight="1">
      <c r="A117" s="50">
        <f>CONCATENATE(C117,D117,E117)</f>
        <v/>
      </c>
      <c r="B117" s="51" t="inlineStr">
        <is>
          <t>TMPC</t>
        </is>
      </c>
      <c r="C117" s="51" t="inlineStr">
        <is>
          <t>MeasuredValue</t>
        </is>
      </c>
      <c r="D117" s="51" t="inlineStr">
        <is>
          <t>Temperature</t>
        </is>
      </c>
      <c r="E117" s="51" t="inlineStr">
        <is>
          <t>C</t>
        </is>
      </c>
    </row>
    <row r="118" ht="30" customHeight="1">
      <c r="A118" s="50">
        <f>CONCATENATE(C118,D118,E118)</f>
        <v/>
      </c>
      <c r="B118" s="51" t="inlineStr">
        <is>
          <t>CUSTANLM1ABC</t>
        </is>
      </c>
      <c r="C118" s="51" t="inlineStr">
        <is>
          <t>AnalogSignalType.Custom</t>
        </is>
      </c>
      <c r="D118" s="51" t="inlineStr">
        <is>
          <t>Unitless</t>
        </is>
      </c>
      <c r="E118" s="51" t="inlineStr">
        <is>
          <t>ABC</t>
        </is>
      </c>
    </row>
    <row r="119" ht="15" customHeight="1">
      <c r="A119" s="50">
        <f>CONCATENATE(C119,D119,E119)</f>
        <v/>
      </c>
      <c r="B119" s="51" t="inlineStr">
        <is>
          <t>CUSTANLM1A</t>
        </is>
      </c>
      <c r="C119" s="51" t="inlineStr">
        <is>
          <t>AnalogSignalType.Custom</t>
        </is>
      </c>
      <c r="D119" s="51" t="inlineStr">
        <is>
          <t>Unitless</t>
        </is>
      </c>
      <c r="E119" s="51" t="inlineStr">
        <is>
          <t>A</t>
        </is>
      </c>
    </row>
    <row r="120" ht="15" customHeight="1">
      <c r="A120" s="50">
        <f>CONCATENATE(C120,D120,E120)</f>
        <v/>
      </c>
      <c r="B120" s="51" t="inlineStr">
        <is>
          <t>CUSTANLM1B</t>
        </is>
      </c>
      <c r="C120" s="51" t="inlineStr">
        <is>
          <t>AnalogSignalType.Custom</t>
        </is>
      </c>
      <c r="D120" s="51" t="inlineStr">
        <is>
          <t>Unitless</t>
        </is>
      </c>
      <c r="E120" s="51" t="inlineStr">
        <is>
          <t>B</t>
        </is>
      </c>
    </row>
    <row r="121" ht="15" customHeight="1">
      <c r="A121" s="50">
        <f>CONCATENATE(C121,D121,E121)</f>
        <v/>
      </c>
      <c r="B121" s="51" t="inlineStr">
        <is>
          <t>CUSTANLM1C</t>
        </is>
      </c>
      <c r="C121" s="51" t="inlineStr">
        <is>
          <t>AnalogSignalType.Custom</t>
        </is>
      </c>
      <c r="D121" s="51" t="inlineStr">
        <is>
          <t>Unitless</t>
        </is>
      </c>
      <c r="E121" s="51" t="inlineStr">
        <is>
          <t>C</t>
        </is>
      </c>
    </row>
    <row r="122" ht="30" customHeight="1">
      <c r="A122" s="50">
        <f>CONCATENATE(C122,D122,E122)</f>
        <v/>
      </c>
      <c r="B122" s="51" t="inlineStr">
        <is>
          <t>CUSTANLM2ABC</t>
        </is>
      </c>
      <c r="C122" s="51" t="inlineStr">
        <is>
          <t>AnalogSignalType.Custom</t>
        </is>
      </c>
      <c r="D122" s="51" t="inlineStr">
        <is>
          <t>Voltage</t>
        </is>
      </c>
      <c r="E122" s="51" t="inlineStr">
        <is>
          <t>ABC</t>
        </is>
      </c>
    </row>
    <row r="123" ht="15" customHeight="1">
      <c r="A123" s="50">
        <f>CONCATENATE(C123,D123,E123)</f>
        <v/>
      </c>
      <c r="B123" s="51" t="inlineStr">
        <is>
          <t>CUSTANLM2A</t>
        </is>
      </c>
      <c r="C123" s="51" t="inlineStr">
        <is>
          <t>AnalogSignalType.Custom</t>
        </is>
      </c>
      <c r="D123" s="51" t="inlineStr">
        <is>
          <t>Voltage</t>
        </is>
      </c>
      <c r="E123" s="51" t="inlineStr">
        <is>
          <t>A</t>
        </is>
      </c>
    </row>
    <row r="124" ht="15" customHeight="1">
      <c r="A124" s="50">
        <f>CONCATENATE(C124,D124,E124)</f>
        <v/>
      </c>
      <c r="B124" s="51" t="inlineStr">
        <is>
          <t>CUSTANLM2B</t>
        </is>
      </c>
      <c r="C124" s="51" t="inlineStr">
        <is>
          <t>AnalogSignalType.Custom</t>
        </is>
      </c>
      <c r="D124" s="51" t="inlineStr">
        <is>
          <t>Voltage</t>
        </is>
      </c>
      <c r="E124" s="51" t="inlineStr">
        <is>
          <t>B</t>
        </is>
      </c>
    </row>
    <row r="125" ht="15" customHeight="1">
      <c r="A125" s="50">
        <f>CONCATENATE(C125,D125,E125)</f>
        <v/>
      </c>
      <c r="B125" s="51" t="inlineStr">
        <is>
          <t>CUSTANLM2C</t>
        </is>
      </c>
      <c r="C125" s="51" t="inlineStr">
        <is>
          <t>AnalogSignalType.Custom</t>
        </is>
      </c>
      <c r="D125" s="51" t="inlineStr">
        <is>
          <t>Voltage</t>
        </is>
      </c>
      <c r="E125" s="51" t="inlineStr">
        <is>
          <t>C</t>
        </is>
      </c>
    </row>
    <row r="126" ht="30" customHeight="1">
      <c r="A126" s="50">
        <f>CONCATENATE(C126,D126,E126)</f>
        <v/>
      </c>
      <c r="B126" s="51" t="inlineStr">
        <is>
          <t>CUSTANLM3ABC</t>
        </is>
      </c>
      <c r="C126" s="51" t="inlineStr">
        <is>
          <t>AnalogSignalType.Custom</t>
        </is>
      </c>
      <c r="D126" s="51" t="inlineStr">
        <is>
          <t>Current</t>
        </is>
      </c>
      <c r="E126" s="51" t="inlineStr">
        <is>
          <t>ABC</t>
        </is>
      </c>
    </row>
    <row r="127" ht="15" customHeight="1">
      <c r="A127" s="50">
        <f>CONCATENATE(C127,D127,E127)</f>
        <v/>
      </c>
      <c r="B127" s="51" t="inlineStr">
        <is>
          <t>CUSTANLM3A</t>
        </is>
      </c>
      <c r="C127" s="51" t="inlineStr">
        <is>
          <t>AnalogSignalType.Custom</t>
        </is>
      </c>
      <c r="D127" s="51" t="inlineStr">
        <is>
          <t>Current</t>
        </is>
      </c>
      <c r="E127" s="51" t="inlineStr">
        <is>
          <t>A</t>
        </is>
      </c>
    </row>
    <row r="128" ht="15" customHeight="1">
      <c r="A128" s="50">
        <f>CONCATENATE(C128,D128,E128)</f>
        <v/>
      </c>
      <c r="B128" s="51" t="inlineStr">
        <is>
          <t>CUSTANLM3B</t>
        </is>
      </c>
      <c r="C128" s="51" t="inlineStr">
        <is>
          <t>AnalogSignalType.Custom</t>
        </is>
      </c>
      <c r="D128" s="51" t="inlineStr">
        <is>
          <t>Current</t>
        </is>
      </c>
      <c r="E128" s="51" t="inlineStr">
        <is>
          <t>B</t>
        </is>
      </c>
    </row>
    <row r="129" ht="15" customHeight="1">
      <c r="A129" s="50">
        <f>CONCATENATE(C129,D129,E129)</f>
        <v/>
      </c>
      <c r="B129" s="51" t="inlineStr">
        <is>
          <t>CUSTANLM3C</t>
        </is>
      </c>
      <c r="C129" s="51" t="inlineStr">
        <is>
          <t>AnalogSignalType.Custom</t>
        </is>
      </c>
      <c r="D129" s="51" t="inlineStr">
        <is>
          <t>Current</t>
        </is>
      </c>
      <c r="E129" s="51" t="inlineStr">
        <is>
          <t>C</t>
        </is>
      </c>
    </row>
    <row r="130" ht="15" customHeight="1">
      <c r="A130" s="50">
        <f>CONCATENATE(C130,D130,E130)</f>
        <v/>
      </c>
      <c r="B130" s="51" t="inlineStr">
        <is>
          <t>CUSTANLM3N</t>
        </is>
      </c>
      <c r="C130" s="51" t="inlineStr">
        <is>
          <t>AnalogSignalType.Custom</t>
        </is>
      </c>
      <c r="D130" s="51" t="inlineStr">
        <is>
          <t>Current</t>
        </is>
      </c>
      <c r="E130" s="51" t="inlineStr">
        <is>
          <t>N</t>
        </is>
      </c>
    </row>
    <row r="131" ht="30" customHeight="1">
      <c r="A131" s="50">
        <f>CONCATENATE(C131,D131,E131)</f>
        <v/>
      </c>
      <c r="B131" s="51" t="inlineStr">
        <is>
          <t>CUSTANLM4ABC</t>
        </is>
      </c>
      <c r="C131" s="51" t="inlineStr">
        <is>
          <t>AnalogSignalType.Custom</t>
        </is>
      </c>
      <c r="D131" s="51" t="inlineStr">
        <is>
          <t>ActivePower</t>
        </is>
      </c>
      <c r="E131" s="51" t="inlineStr">
        <is>
          <t>ABC</t>
        </is>
      </c>
    </row>
    <row r="132" ht="30" customHeight="1">
      <c r="A132" s="50">
        <f>CONCATENATE(C132,D132,E132)</f>
        <v/>
      </c>
      <c r="B132" s="51" t="inlineStr">
        <is>
          <t>CUSTANLM4A</t>
        </is>
      </c>
      <c r="C132" s="51" t="inlineStr">
        <is>
          <t>AnalogSignalType.Custom</t>
        </is>
      </c>
      <c r="D132" s="51" t="inlineStr">
        <is>
          <t>ActivePower</t>
        </is>
      </c>
      <c r="E132" s="51" t="inlineStr">
        <is>
          <t>A</t>
        </is>
      </c>
    </row>
    <row r="133" ht="30" customHeight="1">
      <c r="A133" s="50">
        <f>CONCATENATE(C133,D133,E133)</f>
        <v/>
      </c>
      <c r="B133" s="51" t="inlineStr">
        <is>
          <t>CUSTANLM4B</t>
        </is>
      </c>
      <c r="C133" s="51" t="inlineStr">
        <is>
          <t>AnalogSignalType.Custom</t>
        </is>
      </c>
      <c r="D133" s="51" t="inlineStr">
        <is>
          <t>ActivePower</t>
        </is>
      </c>
      <c r="E133" s="51" t="inlineStr">
        <is>
          <t>B</t>
        </is>
      </c>
    </row>
    <row r="134" ht="30" customHeight="1">
      <c r="A134" s="50">
        <f>CONCATENATE(C134,D134,E134)</f>
        <v/>
      </c>
      <c r="B134" s="51" t="inlineStr">
        <is>
          <t>CUSTANLM4C</t>
        </is>
      </c>
      <c r="C134" s="51" t="inlineStr">
        <is>
          <t>AnalogSignalType.Custom</t>
        </is>
      </c>
      <c r="D134" s="51" t="inlineStr">
        <is>
          <t>ActivePower</t>
        </is>
      </c>
      <c r="E134" s="51" t="inlineStr">
        <is>
          <t>C</t>
        </is>
      </c>
    </row>
    <row r="135" ht="30" customHeight="1">
      <c r="A135" s="50">
        <f>CONCATENATE(C135,D135,E135)</f>
        <v/>
      </c>
      <c r="B135" s="51" t="inlineStr">
        <is>
          <t>CUSTANLM5ABC</t>
        </is>
      </c>
      <c r="C135" s="51" t="inlineStr">
        <is>
          <t>AnalogSignalType.Custom</t>
        </is>
      </c>
      <c r="D135" s="51" t="inlineStr">
        <is>
          <t>ReactivePower</t>
        </is>
      </c>
      <c r="E135" s="51" t="inlineStr">
        <is>
          <t>ABC</t>
        </is>
      </c>
    </row>
    <row r="136" ht="30" customHeight="1">
      <c r="A136" s="50">
        <f>CONCATENATE(C136,D136,E136)</f>
        <v/>
      </c>
      <c r="B136" s="51" t="inlineStr">
        <is>
          <t>CUSTANLM5A</t>
        </is>
      </c>
      <c r="C136" s="51" t="inlineStr">
        <is>
          <t>AnalogSignalType.Custom</t>
        </is>
      </c>
      <c r="D136" s="51" t="inlineStr">
        <is>
          <t>ReactivePower</t>
        </is>
      </c>
      <c r="E136" s="51" t="inlineStr">
        <is>
          <t>A</t>
        </is>
      </c>
    </row>
    <row r="137" ht="30" customHeight="1">
      <c r="A137" s="50">
        <f>CONCATENATE(C137,D137,E137)</f>
        <v/>
      </c>
      <c r="B137" s="51" t="inlineStr">
        <is>
          <t>CUSTANLM5B</t>
        </is>
      </c>
      <c r="C137" s="51" t="inlineStr">
        <is>
          <t>AnalogSignalType.Custom</t>
        </is>
      </c>
      <c r="D137" s="51" t="inlineStr">
        <is>
          <t>ReactivePower</t>
        </is>
      </c>
      <c r="E137" s="51" t="inlineStr">
        <is>
          <t>B</t>
        </is>
      </c>
    </row>
    <row r="138" ht="30" customHeight="1">
      <c r="A138" s="50">
        <f>CONCATENATE(C138,D138,E138)</f>
        <v/>
      </c>
      <c r="B138" s="51" t="inlineStr">
        <is>
          <t>CUSTANLM5C</t>
        </is>
      </c>
      <c r="C138" s="51" t="inlineStr">
        <is>
          <t>AnalogSignalType.Custom</t>
        </is>
      </c>
      <c r="D138" s="51" t="inlineStr">
        <is>
          <t>ReactivePower</t>
        </is>
      </c>
      <c r="E138" s="51" t="inlineStr">
        <is>
          <t>C</t>
        </is>
      </c>
    </row>
    <row r="139" ht="30" customHeight="1">
      <c r="A139" s="50">
        <f>CONCATENATE(C139,D139,E139)</f>
        <v/>
      </c>
      <c r="B139" s="51" t="inlineStr">
        <is>
          <t>CUSTANLM6ABC</t>
        </is>
      </c>
      <c r="C139" s="51" t="inlineStr">
        <is>
          <t>AnalogSignalType.Custom</t>
        </is>
      </c>
      <c r="D139" s="51" t="inlineStr">
        <is>
          <t>Frequency</t>
        </is>
      </c>
      <c r="E139" s="51" t="inlineStr">
        <is>
          <t>ABC</t>
        </is>
      </c>
    </row>
    <row r="140" ht="30" customHeight="1">
      <c r="A140" s="50">
        <f>CONCATENATE(C140,D140,E140)</f>
        <v/>
      </c>
      <c r="B140" s="51" t="inlineStr">
        <is>
          <t>CUSTANLM6A</t>
        </is>
      </c>
      <c r="C140" s="51" t="inlineStr">
        <is>
          <t>AnalogSignalType.Custom</t>
        </is>
      </c>
      <c r="D140" s="51" t="inlineStr">
        <is>
          <t>Frequency</t>
        </is>
      </c>
      <c r="E140" s="51" t="inlineStr">
        <is>
          <t>A</t>
        </is>
      </c>
    </row>
    <row r="141" ht="30" customHeight="1">
      <c r="A141" s="50">
        <f>CONCATENATE(C141,D141,E141)</f>
        <v/>
      </c>
      <c r="B141" s="51" t="inlineStr">
        <is>
          <t>CUSTANLM6B</t>
        </is>
      </c>
      <c r="C141" s="51" t="inlineStr">
        <is>
          <t>AnalogSignalType.Custom</t>
        </is>
      </c>
      <c r="D141" s="51" t="inlineStr">
        <is>
          <t>Frequency</t>
        </is>
      </c>
      <c r="E141" s="51" t="inlineStr">
        <is>
          <t>B</t>
        </is>
      </c>
    </row>
    <row r="142" ht="30" customHeight="1">
      <c r="A142" s="50">
        <f>CONCATENATE(C142,D142,E142)</f>
        <v/>
      </c>
      <c r="B142" s="51" t="inlineStr">
        <is>
          <t>CUSTANLM6C</t>
        </is>
      </c>
      <c r="C142" s="51" t="inlineStr">
        <is>
          <t>AnalogSignalType.Custom</t>
        </is>
      </c>
      <c r="D142" s="51" t="inlineStr">
        <is>
          <t>Frequency</t>
        </is>
      </c>
      <c r="E142" s="51" t="inlineStr">
        <is>
          <t>C</t>
        </is>
      </c>
    </row>
    <row r="143" ht="30" customHeight="1">
      <c r="A143" s="50">
        <f>CONCATENATE(C143,D143,E143)</f>
        <v/>
      </c>
      <c r="B143" s="51" t="inlineStr">
        <is>
          <t>CUSTANLM7ABC</t>
        </is>
      </c>
      <c r="C143" s="51" t="inlineStr">
        <is>
          <t>AnalogSignalType.Custom</t>
        </is>
      </c>
      <c r="D143" s="51" t="inlineStr">
        <is>
          <t>Temperature</t>
        </is>
      </c>
      <c r="E143" s="51" t="inlineStr">
        <is>
          <t>ABC</t>
        </is>
      </c>
    </row>
    <row r="144" ht="30" customHeight="1">
      <c r="A144" s="50">
        <f>CONCATENATE(C144,D144,E144)</f>
        <v/>
      </c>
      <c r="B144" s="51" t="inlineStr">
        <is>
          <t>CUSTANLM7A</t>
        </is>
      </c>
      <c r="C144" s="51" t="inlineStr">
        <is>
          <t>AnalogSignalType.Custom</t>
        </is>
      </c>
      <c r="D144" s="51" t="inlineStr">
        <is>
          <t>Temperature</t>
        </is>
      </c>
      <c r="E144" s="51" t="inlineStr">
        <is>
          <t>A</t>
        </is>
      </c>
    </row>
    <row r="145" ht="30" customHeight="1">
      <c r="A145" s="50">
        <f>CONCATENATE(C145,D145,E145)</f>
        <v/>
      </c>
      <c r="B145" s="51" t="inlineStr">
        <is>
          <t>CUSTANLM7B</t>
        </is>
      </c>
      <c r="C145" s="51" t="inlineStr">
        <is>
          <t>AnalogSignalType.Custom</t>
        </is>
      </c>
      <c r="D145" s="51" t="inlineStr">
        <is>
          <t>Temperature</t>
        </is>
      </c>
      <c r="E145" s="51" t="inlineStr">
        <is>
          <t>B</t>
        </is>
      </c>
    </row>
    <row r="146" ht="30" customHeight="1">
      <c r="A146" s="50">
        <f>CONCATENATE(C146,D146,E146)</f>
        <v/>
      </c>
      <c r="B146" s="51" t="inlineStr">
        <is>
          <t>CUSTANLM7C</t>
        </is>
      </c>
      <c r="C146" s="51" t="inlineStr">
        <is>
          <t>AnalogSignalType.Custom</t>
        </is>
      </c>
      <c r="D146" s="51" t="inlineStr">
        <is>
          <t>Temperature</t>
        </is>
      </c>
      <c r="E146" s="51" t="inlineStr">
        <is>
          <t>C</t>
        </is>
      </c>
    </row>
    <row r="147" ht="30" customHeight="1">
      <c r="A147" s="50">
        <f>CONCATENATE(C147,D147,E147)</f>
        <v/>
      </c>
      <c r="B147" s="51" t="inlineStr">
        <is>
          <t>CUSTANLM8ABC</t>
        </is>
      </c>
      <c r="C147" s="51" t="inlineStr">
        <is>
          <t>AnalogSignalType.Custom</t>
        </is>
      </c>
      <c r="D147" s="51" t="inlineStr">
        <is>
          <t>ActiveEnergy</t>
        </is>
      </c>
      <c r="E147" s="51" t="inlineStr">
        <is>
          <t>ABC</t>
        </is>
      </c>
    </row>
    <row r="148" ht="30" customHeight="1">
      <c r="A148" s="50">
        <f>CONCATENATE(C148,D148,E148)</f>
        <v/>
      </c>
      <c r="B148" s="51" t="inlineStr">
        <is>
          <t>CUSTANLM8A</t>
        </is>
      </c>
      <c r="C148" s="51" t="inlineStr">
        <is>
          <t>AnalogSignalType.Custom</t>
        </is>
      </c>
      <c r="D148" s="51" t="inlineStr">
        <is>
          <t>ActiveEnergy</t>
        </is>
      </c>
      <c r="E148" s="51" t="inlineStr">
        <is>
          <t>A</t>
        </is>
      </c>
    </row>
    <row r="149" ht="30" customHeight="1">
      <c r="A149" s="50">
        <f>CONCATENATE(C149,D149,E149)</f>
        <v/>
      </c>
      <c r="B149" s="51" t="inlineStr">
        <is>
          <t>CUSTANLM8B</t>
        </is>
      </c>
      <c r="C149" s="51" t="inlineStr">
        <is>
          <t>AnalogSignalType.Custom</t>
        </is>
      </c>
      <c r="D149" s="51" t="inlineStr">
        <is>
          <t>ActiveEnergy</t>
        </is>
      </c>
      <c r="E149" s="51" t="inlineStr">
        <is>
          <t>B</t>
        </is>
      </c>
    </row>
    <row r="150" ht="30" customHeight="1">
      <c r="A150" s="50">
        <f>CONCATENATE(C150,D150,E150)</f>
        <v/>
      </c>
      <c r="B150" s="51" t="inlineStr">
        <is>
          <t>CUSTANLM8C</t>
        </is>
      </c>
      <c r="C150" s="51" t="inlineStr">
        <is>
          <t>AnalogSignalType.Custom</t>
        </is>
      </c>
      <c r="D150" s="51" t="inlineStr">
        <is>
          <t>ActiveEnergy</t>
        </is>
      </c>
      <c r="E150" s="51" t="inlineStr">
        <is>
          <t>C</t>
        </is>
      </c>
    </row>
    <row r="151" ht="30" customHeight="1">
      <c r="A151" s="50">
        <f>CONCATENATE(C151,D151,E151)</f>
        <v/>
      </c>
      <c r="B151" s="51" t="inlineStr">
        <is>
          <t>CUSTANLM9ABC</t>
        </is>
      </c>
      <c r="C151" s="51" t="inlineStr">
        <is>
          <t>AnalogSignalType.Custom</t>
        </is>
      </c>
      <c r="D151" s="51" t="inlineStr">
        <is>
          <t>ReactiveEnergy</t>
        </is>
      </c>
      <c r="E151" s="51" t="inlineStr">
        <is>
          <t>ABC</t>
        </is>
      </c>
    </row>
    <row r="152" ht="30" customHeight="1">
      <c r="A152" s="50">
        <f>CONCATENATE(C152,D152,E152)</f>
        <v/>
      </c>
      <c r="B152" s="51" t="inlineStr">
        <is>
          <t>CUSTANLM9A</t>
        </is>
      </c>
      <c r="C152" s="51" t="inlineStr">
        <is>
          <t>AnalogSignalType.Custom</t>
        </is>
      </c>
      <c r="D152" s="51" t="inlineStr">
        <is>
          <t>ReactiveEnergy</t>
        </is>
      </c>
      <c r="E152" s="51" t="inlineStr">
        <is>
          <t>A</t>
        </is>
      </c>
    </row>
    <row r="153" ht="30" customHeight="1">
      <c r="A153" s="50">
        <f>CONCATENATE(C153,D153,E153)</f>
        <v/>
      </c>
      <c r="B153" s="51" t="inlineStr">
        <is>
          <t>CUSTANLM9B</t>
        </is>
      </c>
      <c r="C153" s="51" t="inlineStr">
        <is>
          <t>AnalogSignalType.Custom</t>
        </is>
      </c>
      <c r="D153" s="51" t="inlineStr">
        <is>
          <t>ReactiveEnergy</t>
        </is>
      </c>
      <c r="E153" s="51" t="inlineStr">
        <is>
          <t>B</t>
        </is>
      </c>
    </row>
    <row r="154" ht="30" customHeight="1">
      <c r="A154" s="50">
        <f>CONCATENATE(C154,D154,E154)</f>
        <v/>
      </c>
      <c r="B154" s="51" t="inlineStr">
        <is>
          <t>CUSTANLM9C</t>
        </is>
      </c>
      <c r="C154" s="51" t="inlineStr">
        <is>
          <t>AnalogSignalType.Custom</t>
        </is>
      </c>
      <c r="D154" s="51" t="inlineStr">
        <is>
          <t>ReactiveEnergy</t>
        </is>
      </c>
      <c r="E154" s="51" t="inlineStr">
        <is>
          <t>C</t>
        </is>
      </c>
    </row>
    <row r="155" ht="30" customHeight="1">
      <c r="A155" s="50">
        <f>CONCATENATE(C155,D155,E155)</f>
        <v/>
      </c>
      <c r="B155" s="51" t="inlineStr">
        <is>
          <t>CUSTANLM10ABC</t>
        </is>
      </c>
      <c r="C155" s="51" t="inlineStr">
        <is>
          <t>AnalogSignalType.Custom</t>
        </is>
      </c>
      <c r="D155" s="51" t="inlineStr">
        <is>
          <t>ApparentPower</t>
        </is>
      </c>
      <c r="E155" s="51" t="inlineStr">
        <is>
          <t>ABC</t>
        </is>
      </c>
    </row>
    <row r="156" ht="30" customHeight="1">
      <c r="A156" s="50">
        <f>CONCATENATE(C156,D156,E156)</f>
        <v/>
      </c>
      <c r="B156" s="51" t="inlineStr">
        <is>
          <t>CUSTANLM10A</t>
        </is>
      </c>
      <c r="C156" s="51" t="inlineStr">
        <is>
          <t>AnalogSignalType.Custom</t>
        </is>
      </c>
      <c r="D156" s="51" t="inlineStr">
        <is>
          <t>ApparentPower</t>
        </is>
      </c>
      <c r="E156" s="51" t="inlineStr">
        <is>
          <t>A</t>
        </is>
      </c>
    </row>
    <row r="157" ht="30" customHeight="1">
      <c r="A157" s="50">
        <f>CONCATENATE(C157,D157,E157)</f>
        <v/>
      </c>
      <c r="B157" s="51" t="inlineStr">
        <is>
          <t>CUSTANLM10B</t>
        </is>
      </c>
      <c r="C157" s="51" t="inlineStr">
        <is>
          <t>AnalogSignalType.Custom</t>
        </is>
      </c>
      <c r="D157" s="51" t="inlineStr">
        <is>
          <t>ApparentPower</t>
        </is>
      </c>
      <c r="E157" s="51" t="inlineStr">
        <is>
          <t>B</t>
        </is>
      </c>
    </row>
    <row r="158" ht="30" customHeight="1">
      <c r="A158" s="50">
        <f>CONCATENATE(C158,D158,E158)</f>
        <v/>
      </c>
      <c r="B158" s="51" t="inlineStr">
        <is>
          <t>CUSTANLM10C</t>
        </is>
      </c>
      <c r="C158" s="51" t="inlineStr">
        <is>
          <t>AnalogSignalType.Custom</t>
        </is>
      </c>
      <c r="D158" s="51" t="inlineStr">
        <is>
          <t>ApparentPower</t>
        </is>
      </c>
      <c r="E158" s="51" t="inlineStr">
        <is>
          <t>C</t>
        </is>
      </c>
    </row>
    <row r="159" ht="30" customHeight="1">
      <c r="A159" s="50">
        <f>CONCATENATE(C159,D159,E159)</f>
        <v/>
      </c>
      <c r="B159" s="51" t="inlineStr">
        <is>
          <t>CUSTANLM11ABC</t>
        </is>
      </c>
      <c r="C159" s="51" t="inlineStr">
        <is>
          <t>AnalogSignalType.Custom</t>
        </is>
      </c>
      <c r="D159" s="51" t="inlineStr">
        <is>
          <t>VoltageAngle</t>
        </is>
      </c>
      <c r="E159" s="51" t="inlineStr">
        <is>
          <t>ABC</t>
        </is>
      </c>
    </row>
    <row r="160" ht="30" customHeight="1">
      <c r="A160" s="50">
        <f>CONCATENATE(C160,D160,E160)</f>
        <v/>
      </c>
      <c r="B160" s="51" t="inlineStr">
        <is>
          <t>CUSTANLM11A</t>
        </is>
      </c>
      <c r="C160" s="51" t="inlineStr">
        <is>
          <t>AnalogSignalType.Custom</t>
        </is>
      </c>
      <c r="D160" s="51" t="inlineStr">
        <is>
          <t>VoltageAngle</t>
        </is>
      </c>
      <c r="E160" s="51" t="inlineStr">
        <is>
          <t>A</t>
        </is>
      </c>
    </row>
    <row r="161" ht="30" customHeight="1">
      <c r="A161" s="50">
        <f>CONCATENATE(C161,D161,E161)</f>
        <v/>
      </c>
      <c r="B161" s="51" t="inlineStr">
        <is>
          <t>CUSTANLM11B</t>
        </is>
      </c>
      <c r="C161" s="51" t="inlineStr">
        <is>
          <t>AnalogSignalType.Custom</t>
        </is>
      </c>
      <c r="D161" s="51" t="inlineStr">
        <is>
          <t>VoltageAngle</t>
        </is>
      </c>
      <c r="E161" s="51" t="inlineStr">
        <is>
          <t>B</t>
        </is>
      </c>
    </row>
    <row r="162" ht="30" customHeight="1">
      <c r="A162" s="50">
        <f>CONCATENATE(C162,D162,E162)</f>
        <v/>
      </c>
      <c r="B162" s="51" t="inlineStr">
        <is>
          <t>CUSTANLM11C</t>
        </is>
      </c>
      <c r="C162" s="51" t="inlineStr">
        <is>
          <t>AnalogSignalType.Custom</t>
        </is>
      </c>
      <c r="D162" s="51" t="inlineStr">
        <is>
          <t>VoltageAngle</t>
        </is>
      </c>
      <c r="E162" s="51" t="inlineStr">
        <is>
          <t>C</t>
        </is>
      </c>
    </row>
    <row r="163" ht="15" customHeight="1">
      <c r="A163" s="50">
        <f>CONCATENATE(C163,D163,E163)</f>
        <v/>
      </c>
      <c r="B163" s="51" t="inlineStr">
        <is>
          <t>CUSTANLM12ABC</t>
        </is>
      </c>
      <c r="C163" s="51" t="inlineStr">
        <is>
          <t>AnalogSignalType.Custom</t>
        </is>
      </c>
      <c r="D163" s="51" t="inlineStr">
        <is>
          <t>Time</t>
        </is>
      </c>
      <c r="E163" s="51" t="inlineStr">
        <is>
          <t>ABC</t>
        </is>
      </c>
    </row>
    <row r="164" ht="15" customHeight="1">
      <c r="A164" s="50">
        <f>CONCATENATE(C164,D164,E164)</f>
        <v/>
      </c>
      <c r="B164" s="51" t="inlineStr">
        <is>
          <t>CUSTANLM12A</t>
        </is>
      </c>
      <c r="C164" s="51" t="inlineStr">
        <is>
          <t>AnalogSignalType.Custom</t>
        </is>
      </c>
      <c r="D164" s="51" t="inlineStr">
        <is>
          <t>Time</t>
        </is>
      </c>
      <c r="E164" s="51" t="inlineStr">
        <is>
          <t>A</t>
        </is>
      </c>
    </row>
    <row r="165" ht="15" customHeight="1">
      <c r="A165" s="50">
        <f>CONCATENATE(C165,D165,E165)</f>
        <v/>
      </c>
      <c r="B165" s="51" t="inlineStr">
        <is>
          <t>CUSTANLM12B</t>
        </is>
      </c>
      <c r="C165" s="51" t="inlineStr">
        <is>
          <t>AnalogSignalType.Custom</t>
        </is>
      </c>
      <c r="D165" s="51" t="inlineStr">
        <is>
          <t>Time</t>
        </is>
      </c>
      <c r="E165" s="51" t="inlineStr">
        <is>
          <t>B</t>
        </is>
      </c>
    </row>
    <row r="166" ht="15" customHeight="1">
      <c r="A166" s="50">
        <f>CONCATENATE(C166,D166,E166)</f>
        <v/>
      </c>
      <c r="B166" s="51" t="inlineStr">
        <is>
          <t>CUSTANLM12C</t>
        </is>
      </c>
      <c r="C166" s="51" t="inlineStr">
        <is>
          <t>AnalogSignalType.Custom</t>
        </is>
      </c>
      <c r="D166" s="51" t="inlineStr">
        <is>
          <t>Time</t>
        </is>
      </c>
      <c r="E166" s="51" t="inlineStr">
        <is>
          <t>C</t>
        </is>
      </c>
    </row>
    <row r="167" ht="30" customHeight="1">
      <c r="A167" s="50">
        <f>CONCATENATE(C167,D167,E167)</f>
        <v/>
      </c>
      <c r="B167" s="51" t="inlineStr">
        <is>
          <t>CUSTANLM13ABC</t>
        </is>
      </c>
      <c r="C167" s="51" t="inlineStr">
        <is>
          <t>AnalogSignalType.Custom</t>
        </is>
      </c>
      <c r="D167" s="51" t="inlineStr">
        <is>
          <t>Humidity</t>
        </is>
      </c>
      <c r="E167" s="51" t="inlineStr">
        <is>
          <t>ABC</t>
        </is>
      </c>
    </row>
    <row r="168" ht="15" customHeight="1">
      <c r="A168" s="50">
        <f>CONCATENATE(C168,D168,E168)</f>
        <v/>
      </c>
      <c r="B168" s="51" t="inlineStr">
        <is>
          <t>CUSTANLM13A</t>
        </is>
      </c>
      <c r="C168" s="51" t="inlineStr">
        <is>
          <t>AnalogSignalType.Custom</t>
        </is>
      </c>
      <c r="D168" s="51" t="inlineStr">
        <is>
          <t>Humidity</t>
        </is>
      </c>
      <c r="E168" s="51" t="inlineStr">
        <is>
          <t>A</t>
        </is>
      </c>
    </row>
    <row r="169" ht="15" customHeight="1">
      <c r="A169" s="50">
        <f>CONCATENATE(C169,D169,E169)</f>
        <v/>
      </c>
      <c r="B169" s="51" t="inlineStr">
        <is>
          <t>CUSTANLM13B</t>
        </is>
      </c>
      <c r="C169" s="51" t="inlineStr">
        <is>
          <t>AnalogSignalType.Custom</t>
        </is>
      </c>
      <c r="D169" s="51" t="inlineStr">
        <is>
          <t>Humidity</t>
        </is>
      </c>
      <c r="E169" s="51" t="inlineStr">
        <is>
          <t>B</t>
        </is>
      </c>
    </row>
    <row r="170" ht="15" customHeight="1">
      <c r="A170" s="50">
        <f>CONCATENATE(C170,D170,E170)</f>
        <v/>
      </c>
      <c r="B170" s="51" t="inlineStr">
        <is>
          <t>CUSTANLM13C</t>
        </is>
      </c>
      <c r="C170" s="51" t="inlineStr">
        <is>
          <t>AnalogSignalType.Custom</t>
        </is>
      </c>
      <c r="D170" s="51" t="inlineStr">
        <is>
          <t>Humidity</t>
        </is>
      </c>
      <c r="E170" s="51" t="inlineStr">
        <is>
          <t>C</t>
        </is>
      </c>
    </row>
    <row r="171" ht="30" customHeight="1">
      <c r="A171" s="50">
        <f>CONCATENATE(C171,D171,E171)</f>
        <v/>
      </c>
      <c r="B171" s="51" t="inlineStr">
        <is>
          <t>CUSTANLM14ABC</t>
        </is>
      </c>
      <c r="C171" s="51" t="inlineStr">
        <is>
          <t>AnalogSignalType.Custom</t>
        </is>
      </c>
      <c r="D171" s="51" t="inlineStr">
        <is>
          <t>WindSpeed</t>
        </is>
      </c>
      <c r="E171" s="51" t="inlineStr">
        <is>
          <t>ABC</t>
        </is>
      </c>
    </row>
    <row r="172" ht="30" customHeight="1">
      <c r="A172" s="50">
        <f>CONCATENATE(C172,D172,E172)</f>
        <v/>
      </c>
      <c r="B172" s="51" t="inlineStr">
        <is>
          <t>CUSTANLM14A</t>
        </is>
      </c>
      <c r="C172" s="51" t="inlineStr">
        <is>
          <t>AnalogSignalType.Custom</t>
        </is>
      </c>
      <c r="D172" s="51" t="inlineStr">
        <is>
          <t>WindSpeed</t>
        </is>
      </c>
      <c r="E172" s="51" t="inlineStr">
        <is>
          <t>A</t>
        </is>
      </c>
    </row>
    <row r="173" ht="30" customHeight="1">
      <c r="A173" s="50">
        <f>CONCATENATE(C173,D173,E173)</f>
        <v/>
      </c>
      <c r="B173" s="51" t="inlineStr">
        <is>
          <t>CUSTANLM14B</t>
        </is>
      </c>
      <c r="C173" s="51" t="inlineStr">
        <is>
          <t>AnalogSignalType.Custom</t>
        </is>
      </c>
      <c r="D173" s="51" t="inlineStr">
        <is>
          <t>WindSpeed</t>
        </is>
      </c>
      <c r="E173" s="51" t="inlineStr">
        <is>
          <t>B</t>
        </is>
      </c>
    </row>
    <row r="174" ht="30" customHeight="1">
      <c r="A174" s="50">
        <f>CONCATENATE(C174,D174,E174)</f>
        <v/>
      </c>
      <c r="B174" s="51" t="inlineStr">
        <is>
          <t>CUSTANLM14C</t>
        </is>
      </c>
      <c r="C174" s="51" t="inlineStr">
        <is>
          <t>AnalogSignalType.Custom</t>
        </is>
      </c>
      <c r="D174" s="51" t="inlineStr">
        <is>
          <t>WindSpeed</t>
        </is>
      </c>
      <c r="E174" s="51" t="inlineStr">
        <is>
          <t>C</t>
        </is>
      </c>
    </row>
    <row r="175" ht="30" customHeight="1">
      <c r="A175" s="50">
        <f>CONCATENATE(C175,D175,E175)</f>
        <v/>
      </c>
      <c r="B175" s="51" t="inlineStr">
        <is>
          <t>CUSTANLM15ABC</t>
        </is>
      </c>
      <c r="C175" s="51" t="inlineStr">
        <is>
          <t>AnalogSignalType.Custom</t>
        </is>
      </c>
      <c r="D175" s="51" t="inlineStr">
        <is>
          <t>FeelsLike</t>
        </is>
      </c>
      <c r="E175" s="51" t="inlineStr">
        <is>
          <t>ABC</t>
        </is>
      </c>
    </row>
    <row r="176" ht="15" customHeight="1">
      <c r="A176" s="50">
        <f>CONCATENATE(C176,D176,E176)</f>
        <v/>
      </c>
      <c r="B176" s="51" t="inlineStr">
        <is>
          <t>CUSTANLM15A</t>
        </is>
      </c>
      <c r="C176" s="51" t="inlineStr">
        <is>
          <t>AnalogSignalType.Custom</t>
        </is>
      </c>
      <c r="D176" s="51" t="inlineStr">
        <is>
          <t>FeelsLike</t>
        </is>
      </c>
      <c r="E176" s="51" t="inlineStr">
        <is>
          <t>A</t>
        </is>
      </c>
    </row>
    <row r="177" ht="15" customHeight="1">
      <c r="A177" s="50">
        <f>CONCATENATE(C177,D177,E177)</f>
        <v/>
      </c>
      <c r="B177" s="51" t="inlineStr">
        <is>
          <t>CUSTANLM15B</t>
        </is>
      </c>
      <c r="C177" s="51" t="inlineStr">
        <is>
          <t>AnalogSignalType.Custom</t>
        </is>
      </c>
      <c r="D177" s="51" t="inlineStr">
        <is>
          <t>FeelsLike</t>
        </is>
      </c>
      <c r="E177" s="51" t="inlineStr">
        <is>
          <t>B</t>
        </is>
      </c>
    </row>
    <row r="178" ht="15" customHeight="1">
      <c r="A178" s="50">
        <f>CONCATENATE(C178,D178,E178)</f>
        <v/>
      </c>
      <c r="B178" s="51" t="inlineStr">
        <is>
          <t>CUSTANLM15C</t>
        </is>
      </c>
      <c r="C178" s="51" t="inlineStr">
        <is>
          <t>AnalogSignalType.Custom</t>
        </is>
      </c>
      <c r="D178" s="51" t="inlineStr">
        <is>
          <t>FeelsLike</t>
        </is>
      </c>
      <c r="E178" s="51" t="inlineStr">
        <is>
          <t>C</t>
        </is>
      </c>
    </row>
    <row r="179" ht="30" customHeight="1">
      <c r="A179" s="50">
        <f>CONCATENATE(C179,D179,E179)</f>
        <v/>
      </c>
      <c r="B179" s="51" t="inlineStr">
        <is>
          <t>CUSTANLM16ABC</t>
        </is>
      </c>
      <c r="C179" s="51" t="inlineStr">
        <is>
          <t>AnalogSignalType.Custom</t>
        </is>
      </c>
      <c r="D179" s="51" t="inlineStr">
        <is>
          <t>SunshineMinutes</t>
        </is>
      </c>
      <c r="E179" s="51" t="inlineStr">
        <is>
          <t>ABC</t>
        </is>
      </c>
    </row>
    <row r="180" ht="30" customHeight="1">
      <c r="A180" s="50">
        <f>CONCATENATE(C180,D180,E180)</f>
        <v/>
      </c>
      <c r="B180" s="51" t="inlineStr">
        <is>
          <t>CUSTANLM16A</t>
        </is>
      </c>
      <c r="C180" s="51" t="inlineStr">
        <is>
          <t>AnalogSignalType.Custom</t>
        </is>
      </c>
      <c r="D180" s="51" t="inlineStr">
        <is>
          <t>SunshineMinutes</t>
        </is>
      </c>
      <c r="E180" s="51" t="inlineStr">
        <is>
          <t>A</t>
        </is>
      </c>
    </row>
    <row r="181" ht="30" customHeight="1">
      <c r="A181" s="50">
        <f>CONCATENATE(C181,D181,E181)</f>
        <v/>
      </c>
      <c r="B181" s="51" t="inlineStr">
        <is>
          <t>CUSTANLM16B</t>
        </is>
      </c>
      <c r="C181" s="51" t="inlineStr">
        <is>
          <t>AnalogSignalType.Custom</t>
        </is>
      </c>
      <c r="D181" s="51" t="inlineStr">
        <is>
          <t>SunshineMinutes</t>
        </is>
      </c>
      <c r="E181" s="51" t="inlineStr">
        <is>
          <t>B</t>
        </is>
      </c>
    </row>
    <row r="182" ht="30" customHeight="1">
      <c r="A182" s="50">
        <f>CONCATENATE(C182,D182,E182)</f>
        <v/>
      </c>
      <c r="B182" s="51" t="inlineStr">
        <is>
          <t>CUSTANLM16C</t>
        </is>
      </c>
      <c r="C182" s="51" t="inlineStr">
        <is>
          <t>AnalogSignalType.Custom</t>
        </is>
      </c>
      <c r="D182" s="51" t="inlineStr">
        <is>
          <t>SunshineMinutes</t>
        </is>
      </c>
      <c r="E182" s="51" t="inlineStr">
        <is>
          <t>C</t>
        </is>
      </c>
    </row>
    <row r="183" ht="30" customHeight="1">
      <c r="A183" s="50">
        <f>CONCATENATE(C183,D183,E183)</f>
        <v/>
      </c>
      <c r="B183" s="51" t="inlineStr">
        <is>
          <t>CUSTANLM17ABC</t>
        </is>
      </c>
      <c r="C183" s="51" t="inlineStr">
        <is>
          <t>AnalogSignalType.Custom</t>
        </is>
      </c>
      <c r="D183" s="51" t="inlineStr">
        <is>
          <t>SkyCover</t>
        </is>
      </c>
      <c r="E183" s="51" t="inlineStr">
        <is>
          <t>ABC</t>
        </is>
      </c>
    </row>
    <row r="184" ht="15" customHeight="1">
      <c r="A184" s="50">
        <f>CONCATENATE(C184,D184,E184)</f>
        <v/>
      </c>
      <c r="B184" s="51" t="inlineStr">
        <is>
          <t>CUSTANLM17A</t>
        </is>
      </c>
      <c r="C184" s="51" t="inlineStr">
        <is>
          <t>AnalogSignalType.Custom</t>
        </is>
      </c>
      <c r="D184" s="51" t="inlineStr">
        <is>
          <t>SkyCover</t>
        </is>
      </c>
      <c r="E184" s="51" t="inlineStr">
        <is>
          <t>A</t>
        </is>
      </c>
    </row>
    <row r="185" ht="15" customHeight="1">
      <c r="A185" s="50">
        <f>CONCATENATE(C185,D185,E185)</f>
        <v/>
      </c>
      <c r="B185" s="51" t="inlineStr">
        <is>
          <t>CUSTANLM17B</t>
        </is>
      </c>
      <c r="C185" s="51" t="inlineStr">
        <is>
          <t>AnalogSignalType.Custom</t>
        </is>
      </c>
      <c r="D185" s="51" t="inlineStr">
        <is>
          <t>SkyCover</t>
        </is>
      </c>
      <c r="E185" s="51" t="inlineStr">
        <is>
          <t>B</t>
        </is>
      </c>
    </row>
    <row r="186" ht="15" customHeight="1">
      <c r="A186" s="50">
        <f>CONCATENATE(C186,D186,E186)</f>
        <v/>
      </c>
      <c r="B186" s="51" t="inlineStr">
        <is>
          <t>CUSTANLM17C</t>
        </is>
      </c>
      <c r="C186" s="51" t="inlineStr">
        <is>
          <t>AnalogSignalType.Custom</t>
        </is>
      </c>
      <c r="D186" s="51" t="inlineStr">
        <is>
          <t>SkyCover</t>
        </is>
      </c>
      <c r="E186" s="51" t="inlineStr">
        <is>
          <t>C</t>
        </is>
      </c>
    </row>
    <row r="187" ht="15" customHeight="1">
      <c r="A187" s="50">
        <f>CONCATENATE(C187,D187,E187)</f>
        <v/>
      </c>
      <c r="B187" s="51" t="inlineStr">
        <is>
          <t>CUSTANLM18ABC</t>
        </is>
      </c>
      <c r="C187" s="51" t="inlineStr">
        <is>
          <t>AnalogSignalType.Custom</t>
        </is>
      </c>
      <c r="D187" s="51" t="inlineStr">
        <is>
          <t>Length</t>
        </is>
      </c>
      <c r="E187" s="51" t="inlineStr">
        <is>
          <t>ABC</t>
        </is>
      </c>
    </row>
    <row r="188" ht="15" customHeight="1">
      <c r="A188" s="50">
        <f>CONCATENATE(C188,D188,E188)</f>
        <v/>
      </c>
      <c r="B188" s="51" t="inlineStr">
        <is>
          <t>CUSTANLM18A</t>
        </is>
      </c>
      <c r="C188" s="51" t="inlineStr">
        <is>
          <t>AnalogSignalType.Custom</t>
        </is>
      </c>
      <c r="D188" s="51" t="inlineStr">
        <is>
          <t>Length</t>
        </is>
      </c>
      <c r="E188" s="51" t="inlineStr">
        <is>
          <t>A</t>
        </is>
      </c>
    </row>
    <row r="189" ht="15" customHeight="1">
      <c r="A189" s="50">
        <f>CONCATENATE(C189,D189,E189)</f>
        <v/>
      </c>
      <c r="B189" s="51" t="inlineStr">
        <is>
          <t>CUSTANLM18B</t>
        </is>
      </c>
      <c r="C189" s="51" t="inlineStr">
        <is>
          <t>AnalogSignalType.Custom</t>
        </is>
      </c>
      <c r="D189" s="51" t="inlineStr">
        <is>
          <t>Length</t>
        </is>
      </c>
      <c r="E189" s="51" t="inlineStr">
        <is>
          <t>B</t>
        </is>
      </c>
    </row>
    <row r="190" ht="15" customHeight="1">
      <c r="A190" s="50">
        <f>CONCATENATE(C190,D190,E190)</f>
        <v/>
      </c>
      <c r="B190" s="51" t="inlineStr">
        <is>
          <t>CUSTANLM18C</t>
        </is>
      </c>
      <c r="C190" s="51" t="inlineStr">
        <is>
          <t>AnalogSignalType.Custom</t>
        </is>
      </c>
      <c r="D190" s="51" t="inlineStr">
        <is>
          <t>Length</t>
        </is>
      </c>
      <c r="E190" s="51" t="inlineStr">
        <is>
          <t>C</t>
        </is>
      </c>
    </row>
    <row r="191" ht="30" customHeight="1">
      <c r="A191" s="50">
        <f>CONCATENATE(C191,D191,E191)</f>
        <v/>
      </c>
      <c r="B191" s="51" t="inlineStr">
        <is>
          <t>CUSTANLM19ABC</t>
        </is>
      </c>
      <c r="C191" s="51" t="inlineStr">
        <is>
          <t>AnalogSignalType.Custom</t>
        </is>
      </c>
      <c r="D191" s="51" t="inlineStr">
        <is>
          <t>CrossSection</t>
        </is>
      </c>
      <c r="E191" s="51" t="inlineStr">
        <is>
          <t>ABC</t>
        </is>
      </c>
    </row>
    <row r="192" ht="30" customHeight="1">
      <c r="A192" s="50">
        <f>CONCATENATE(C192,D192,E192)</f>
        <v/>
      </c>
      <c r="B192" s="51" t="inlineStr">
        <is>
          <t>CUSTANLM19A</t>
        </is>
      </c>
      <c r="C192" s="51" t="inlineStr">
        <is>
          <t>AnalogSignalType.Custom</t>
        </is>
      </c>
      <c r="D192" s="51" t="inlineStr">
        <is>
          <t>CrossSection</t>
        </is>
      </c>
      <c r="E192" s="51" t="inlineStr">
        <is>
          <t>A</t>
        </is>
      </c>
    </row>
    <row r="193" ht="30" customHeight="1">
      <c r="A193" s="50">
        <f>CONCATENATE(C193,D193,E193)</f>
        <v/>
      </c>
      <c r="B193" s="51" t="inlineStr">
        <is>
          <t>CUSTANLM19B</t>
        </is>
      </c>
      <c r="C193" s="51" t="inlineStr">
        <is>
          <t>AnalogSignalType.Custom</t>
        </is>
      </c>
      <c r="D193" s="51" t="inlineStr">
        <is>
          <t>CrossSection</t>
        </is>
      </c>
      <c r="E193" s="51" t="inlineStr">
        <is>
          <t>B</t>
        </is>
      </c>
    </row>
    <row r="194" ht="30" customHeight="1">
      <c r="A194" s="50">
        <f>CONCATENATE(C194,D194,E194)</f>
        <v/>
      </c>
      <c r="B194" s="51" t="inlineStr">
        <is>
          <t>CUSTANLM19C</t>
        </is>
      </c>
      <c r="C194" s="51" t="inlineStr">
        <is>
          <t>AnalogSignalType.Custom</t>
        </is>
      </c>
      <c r="D194" s="51" t="inlineStr">
        <is>
          <t>CrossSection</t>
        </is>
      </c>
      <c r="E194" s="51" t="inlineStr">
        <is>
          <t>C</t>
        </is>
      </c>
    </row>
    <row r="195" ht="30" customHeight="1">
      <c r="A195" s="50">
        <f>CONCATENATE(C195,D195,E195)</f>
        <v/>
      </c>
      <c r="B195" s="51" t="inlineStr">
        <is>
          <t>CUSTANLM20ABC</t>
        </is>
      </c>
      <c r="C195" s="51" t="inlineStr">
        <is>
          <t>AnalogSignalType.Custom</t>
        </is>
      </c>
      <c r="D195" s="51" t="inlineStr">
        <is>
          <t>Impedance</t>
        </is>
      </c>
      <c r="E195" s="51" t="inlineStr">
        <is>
          <t>ABC</t>
        </is>
      </c>
    </row>
    <row r="196" ht="30" customHeight="1">
      <c r="A196" s="50">
        <f>CONCATENATE(C196,D196,E196)</f>
        <v/>
      </c>
      <c r="B196" s="51" t="inlineStr">
        <is>
          <t>CUSTANLM20A</t>
        </is>
      </c>
      <c r="C196" s="51" t="inlineStr">
        <is>
          <t>AnalogSignalType.Custom</t>
        </is>
      </c>
      <c r="D196" s="51" t="inlineStr">
        <is>
          <t>Impedance</t>
        </is>
      </c>
      <c r="E196" s="51" t="inlineStr">
        <is>
          <t>A</t>
        </is>
      </c>
    </row>
    <row r="197" ht="30" customHeight="1">
      <c r="A197" s="50">
        <f>CONCATENATE(C197,D197,E197)</f>
        <v/>
      </c>
      <c r="B197" s="51" t="inlineStr">
        <is>
          <t>CUSTANLM20B</t>
        </is>
      </c>
      <c r="C197" s="51" t="inlineStr">
        <is>
          <t>AnalogSignalType.Custom</t>
        </is>
      </c>
      <c r="D197" s="51" t="inlineStr">
        <is>
          <t>Impedance</t>
        </is>
      </c>
      <c r="E197" s="51" t="inlineStr">
        <is>
          <t>B</t>
        </is>
      </c>
    </row>
    <row r="198" ht="30" customHeight="1">
      <c r="A198" s="50">
        <f>CONCATENATE(C198,D198,E198)</f>
        <v/>
      </c>
      <c r="B198" s="51" t="inlineStr">
        <is>
          <t>CUSTANLM20C</t>
        </is>
      </c>
      <c r="C198" s="51" t="inlineStr">
        <is>
          <t>AnalogSignalType.Custom</t>
        </is>
      </c>
      <c r="D198" s="51" t="inlineStr">
        <is>
          <t>Impedance</t>
        </is>
      </c>
      <c r="E198" s="51" t="inlineStr">
        <is>
          <t>C</t>
        </is>
      </c>
    </row>
    <row r="199" ht="30" customHeight="1">
      <c r="A199" s="50">
        <f>CONCATENATE(C199,D199,E199)</f>
        <v/>
      </c>
      <c r="B199" s="51" t="inlineStr">
        <is>
          <t>CUSTANLM21ABC</t>
        </is>
      </c>
      <c r="C199" s="51" t="inlineStr">
        <is>
          <t>AnalogSignalType.Custom</t>
        </is>
      </c>
      <c r="D199" s="51" t="inlineStr">
        <is>
          <t>Admittance</t>
        </is>
      </c>
      <c r="E199" s="51" t="inlineStr">
        <is>
          <t>ABC</t>
        </is>
      </c>
    </row>
    <row r="200" ht="30" customHeight="1">
      <c r="A200" s="50">
        <f>CONCATENATE(C200,D200,E200)</f>
        <v/>
      </c>
      <c r="B200" s="51" t="inlineStr">
        <is>
          <t>CUSTANLM21A</t>
        </is>
      </c>
      <c r="C200" s="51" t="inlineStr">
        <is>
          <t>AnalogSignalType.Custom</t>
        </is>
      </c>
      <c r="D200" s="51" t="inlineStr">
        <is>
          <t>Admittance</t>
        </is>
      </c>
      <c r="E200" s="51" t="inlineStr">
        <is>
          <t>A</t>
        </is>
      </c>
    </row>
    <row r="201" ht="30" customHeight="1">
      <c r="A201" s="50">
        <f>CONCATENATE(C201,D201,E201)</f>
        <v/>
      </c>
      <c r="B201" s="51" t="inlineStr">
        <is>
          <t>CUSTANLM21B</t>
        </is>
      </c>
      <c r="C201" s="51" t="inlineStr">
        <is>
          <t>AnalogSignalType.Custom</t>
        </is>
      </c>
      <c r="D201" s="51" t="inlineStr">
        <is>
          <t>Admittance</t>
        </is>
      </c>
      <c r="E201" s="51" t="inlineStr">
        <is>
          <t>B</t>
        </is>
      </c>
    </row>
    <row r="202" ht="30" customHeight="1">
      <c r="A202" s="50">
        <f>CONCATENATE(C202,D202,E202)</f>
        <v/>
      </c>
      <c r="B202" s="51" t="inlineStr">
        <is>
          <t>CUSTANLM21C</t>
        </is>
      </c>
      <c r="C202" s="51" t="inlineStr">
        <is>
          <t>AnalogSignalType.Custom</t>
        </is>
      </c>
      <c r="D202" s="51" t="inlineStr">
        <is>
          <t>Admittance</t>
        </is>
      </c>
      <c r="E202" s="51" t="inlineStr">
        <is>
          <t>C</t>
        </is>
      </c>
    </row>
    <row r="203" ht="30" customHeight="1">
      <c r="A203" s="50">
        <f>CONCATENATE(C203,D203,E203)</f>
        <v/>
      </c>
      <c r="B203" s="51" t="inlineStr">
        <is>
          <t>CUSTANLM22ABC</t>
        </is>
      </c>
      <c r="C203" s="51" t="inlineStr">
        <is>
          <t>AnalogSignalType.Custom</t>
        </is>
      </c>
      <c r="D203" s="51" t="inlineStr">
        <is>
          <t>ImpedancePerLength</t>
        </is>
      </c>
      <c r="E203" s="51" t="inlineStr">
        <is>
          <t>ABC</t>
        </is>
      </c>
    </row>
    <row r="204" ht="30" customHeight="1">
      <c r="A204" s="50">
        <f>CONCATENATE(C204,D204,E204)</f>
        <v/>
      </c>
      <c r="B204" s="51" t="inlineStr">
        <is>
          <t>CUSTANLM22A</t>
        </is>
      </c>
      <c r="C204" s="51" t="inlineStr">
        <is>
          <t>AnalogSignalType.Custom</t>
        </is>
      </c>
      <c r="D204" s="51" t="inlineStr">
        <is>
          <t>ImpedancePerLength</t>
        </is>
      </c>
      <c r="E204" s="51" t="inlineStr">
        <is>
          <t>A</t>
        </is>
      </c>
    </row>
    <row r="205" ht="30" customHeight="1">
      <c r="A205" s="50">
        <f>CONCATENATE(C205,D205,E205)</f>
        <v/>
      </c>
      <c r="B205" s="51" t="inlineStr">
        <is>
          <t>CUSTANLM22B</t>
        </is>
      </c>
      <c r="C205" s="51" t="inlineStr">
        <is>
          <t>AnalogSignalType.Custom</t>
        </is>
      </c>
      <c r="D205" s="51" t="inlineStr">
        <is>
          <t>ImpedancePerLength</t>
        </is>
      </c>
      <c r="E205" s="51" t="inlineStr">
        <is>
          <t>B</t>
        </is>
      </c>
    </row>
    <row r="206" ht="30" customHeight="1">
      <c r="A206" s="50">
        <f>CONCATENATE(C206,D206,E206)</f>
        <v/>
      </c>
      <c r="B206" s="51" t="inlineStr">
        <is>
          <t>CUSTANLM22C</t>
        </is>
      </c>
      <c r="C206" s="51" t="inlineStr">
        <is>
          <t>AnalogSignalType.Custom</t>
        </is>
      </c>
      <c r="D206" s="51" t="inlineStr">
        <is>
          <t>ImpedancePerLength</t>
        </is>
      </c>
      <c r="E206" s="51" t="inlineStr">
        <is>
          <t>C</t>
        </is>
      </c>
    </row>
    <row r="207" ht="30" customHeight="1">
      <c r="A207" s="50">
        <f>CONCATENATE(C207,D207,E207)</f>
        <v/>
      </c>
      <c r="B207" s="51" t="inlineStr">
        <is>
          <t>CUSTANLM23ABC</t>
        </is>
      </c>
      <c r="C207" s="51" t="inlineStr">
        <is>
          <t>AnalogSignalType.Custom</t>
        </is>
      </c>
      <c r="D207" s="51" t="inlineStr">
        <is>
          <t>AdmittancePerLength</t>
        </is>
      </c>
      <c r="E207" s="51" t="inlineStr">
        <is>
          <t>ABC</t>
        </is>
      </c>
    </row>
    <row r="208" ht="30" customHeight="1">
      <c r="A208" s="50">
        <f>CONCATENATE(C208,D208,E208)</f>
        <v/>
      </c>
      <c r="B208" s="51" t="inlineStr">
        <is>
          <t>CUSTANLM23A</t>
        </is>
      </c>
      <c r="C208" s="51" t="inlineStr">
        <is>
          <t>AnalogSignalType.Custom</t>
        </is>
      </c>
      <c r="D208" s="51" t="inlineStr">
        <is>
          <t>AdmittancePerLength</t>
        </is>
      </c>
      <c r="E208" s="51" t="inlineStr">
        <is>
          <t>A</t>
        </is>
      </c>
    </row>
    <row r="209" ht="30" customHeight="1">
      <c r="A209" s="50">
        <f>CONCATENATE(C209,D209,E209)</f>
        <v/>
      </c>
      <c r="B209" s="51" t="inlineStr">
        <is>
          <t>CUSTANLM23B</t>
        </is>
      </c>
      <c r="C209" s="51" t="inlineStr">
        <is>
          <t>AnalogSignalType.Custom</t>
        </is>
      </c>
      <c r="D209" s="51" t="inlineStr">
        <is>
          <t>AdmittancePerLength</t>
        </is>
      </c>
      <c r="E209" s="51" t="inlineStr">
        <is>
          <t>B</t>
        </is>
      </c>
    </row>
    <row r="210" ht="30" customHeight="1">
      <c r="A210" s="50">
        <f>CONCATENATE(C210,D210,E210)</f>
        <v/>
      </c>
      <c r="B210" s="51" t="inlineStr">
        <is>
          <t>CUSTANLM23C</t>
        </is>
      </c>
      <c r="C210" s="51" t="inlineStr">
        <is>
          <t>AnalogSignalType.Custom</t>
        </is>
      </c>
      <c r="D210" s="51" t="inlineStr">
        <is>
          <t>AdmittancePerLength</t>
        </is>
      </c>
      <c r="E210" s="51" t="inlineStr">
        <is>
          <t>C</t>
        </is>
      </c>
    </row>
    <row r="211" ht="30" customHeight="1">
      <c r="A211" s="50">
        <f>CONCATENATE(C211,D211,E211)</f>
        <v/>
      </c>
      <c r="B211" s="51" t="inlineStr">
        <is>
          <t>CUSTANLM24ABC</t>
        </is>
      </c>
      <c r="C211" s="51" t="inlineStr">
        <is>
          <t>AnalogSignalType.Custom</t>
        </is>
      </c>
      <c r="D211" s="51" t="inlineStr">
        <is>
          <t>Percent</t>
        </is>
      </c>
      <c r="E211" s="51" t="inlineStr">
        <is>
          <t>ABC</t>
        </is>
      </c>
    </row>
    <row r="212" ht="15" customHeight="1">
      <c r="A212" s="50">
        <f>CONCATENATE(C212,D212,E212)</f>
        <v/>
      </c>
      <c r="B212" s="51" t="inlineStr">
        <is>
          <t>CUSTANLM24A</t>
        </is>
      </c>
      <c r="C212" s="51" t="inlineStr">
        <is>
          <t>AnalogSignalType.Custom</t>
        </is>
      </c>
      <c r="D212" s="51" t="inlineStr">
        <is>
          <t>Percent</t>
        </is>
      </c>
      <c r="E212" s="51" t="inlineStr">
        <is>
          <t>A</t>
        </is>
      </c>
    </row>
    <row r="213" ht="15" customHeight="1">
      <c r="A213" s="50">
        <f>CONCATENATE(C213,D213,E213)</f>
        <v/>
      </c>
      <c r="B213" s="51" t="inlineStr">
        <is>
          <t>CUSTANLM24B</t>
        </is>
      </c>
      <c r="C213" s="51" t="inlineStr">
        <is>
          <t>AnalogSignalType.Custom</t>
        </is>
      </c>
      <c r="D213" s="51" t="inlineStr">
        <is>
          <t>Percent</t>
        </is>
      </c>
      <c r="E213" s="51" t="inlineStr">
        <is>
          <t>B</t>
        </is>
      </c>
    </row>
    <row r="214" ht="15" customHeight="1">
      <c r="A214" s="50">
        <f>CONCATENATE(C214,D214,E214)</f>
        <v/>
      </c>
      <c r="B214" s="51" t="inlineStr">
        <is>
          <t>CUSTANLM24C</t>
        </is>
      </c>
      <c r="C214" s="51" t="inlineStr">
        <is>
          <t>AnalogSignalType.Custom</t>
        </is>
      </c>
      <c r="D214" s="51" t="inlineStr">
        <is>
          <t>Percent</t>
        </is>
      </c>
      <c r="E214" s="51" t="inlineStr">
        <is>
          <t>C</t>
        </is>
      </c>
    </row>
    <row r="215" ht="15" customHeight="1">
      <c r="A215" s="50">
        <f>CONCATENATE(C215,D215,E215)</f>
        <v/>
      </c>
      <c r="B215" s="51" t="inlineStr">
        <is>
          <t>CUSTANLM25ABC</t>
        </is>
      </c>
      <c r="C215" s="51" t="inlineStr">
        <is>
          <t>AnalogSignalType.Custom</t>
        </is>
      </c>
      <c r="D215" s="51" t="inlineStr">
        <is>
          <t>Money</t>
        </is>
      </c>
      <c r="E215" s="51" t="inlineStr">
        <is>
          <t>ABC</t>
        </is>
      </c>
    </row>
    <row r="216" ht="15" customHeight="1">
      <c r="A216" s="50">
        <f>CONCATENATE(C216,D216,E216)</f>
        <v/>
      </c>
      <c r="B216" s="51" t="inlineStr">
        <is>
          <t>CUSTANLM25A</t>
        </is>
      </c>
      <c r="C216" s="51" t="inlineStr">
        <is>
          <t>AnalogSignalType.Custom</t>
        </is>
      </c>
      <c r="D216" s="51" t="inlineStr">
        <is>
          <t>Money</t>
        </is>
      </c>
      <c r="E216" s="51" t="inlineStr">
        <is>
          <t>A</t>
        </is>
      </c>
    </row>
    <row r="217" ht="15" customHeight="1">
      <c r="A217" s="50">
        <f>CONCATENATE(C217,D217,E217)</f>
        <v/>
      </c>
      <c r="B217" s="51" t="inlineStr">
        <is>
          <t>CUSTANLM25B</t>
        </is>
      </c>
      <c r="C217" s="51" t="inlineStr">
        <is>
          <t>AnalogSignalType.Custom</t>
        </is>
      </c>
      <c r="D217" s="51" t="inlineStr">
        <is>
          <t>Money</t>
        </is>
      </c>
      <c r="E217" s="51" t="inlineStr">
        <is>
          <t>B</t>
        </is>
      </c>
    </row>
    <row r="218" ht="15" customHeight="1">
      <c r="A218" s="50">
        <f>CONCATENATE(C218,D218,E218)</f>
        <v/>
      </c>
      <c r="B218" s="51" t="inlineStr">
        <is>
          <t>CUSTANLM25C</t>
        </is>
      </c>
      <c r="C218" s="51" t="inlineStr">
        <is>
          <t>AnalogSignalType.Custom</t>
        </is>
      </c>
      <c r="D218" s="51" t="inlineStr">
        <is>
          <t>Money</t>
        </is>
      </c>
      <c r="E218" s="51" t="inlineStr">
        <is>
          <t>C</t>
        </is>
      </c>
    </row>
    <row r="219" ht="30" customHeight="1">
      <c r="A219" s="50">
        <f>CONCATENATE(C219,D219,E219)</f>
        <v/>
      </c>
      <c r="B219" s="51" t="inlineStr">
        <is>
          <t>CUSTANLM26ABC</t>
        </is>
      </c>
      <c r="C219" s="51" t="inlineStr">
        <is>
          <t>AnalogSignalType.Custom</t>
        </is>
      </c>
      <c r="D219" s="51" t="inlineStr">
        <is>
          <t>RelativeVoltage</t>
        </is>
      </c>
      <c r="E219" s="51" t="inlineStr">
        <is>
          <t>ABC</t>
        </is>
      </c>
    </row>
    <row r="220" ht="30" customHeight="1">
      <c r="A220" s="50">
        <f>CONCATENATE(C220,D220,E220)</f>
        <v/>
      </c>
      <c r="B220" s="51" t="inlineStr">
        <is>
          <t>CUSTANLM26A</t>
        </is>
      </c>
      <c r="C220" s="51" t="inlineStr">
        <is>
          <t>AnalogSignalType.Custom</t>
        </is>
      </c>
      <c r="D220" s="51" t="inlineStr">
        <is>
          <t>RelativeVoltage</t>
        </is>
      </c>
      <c r="E220" s="51" t="inlineStr">
        <is>
          <t>A</t>
        </is>
      </c>
    </row>
    <row r="221" ht="30" customHeight="1">
      <c r="A221" s="50">
        <f>CONCATENATE(C221,D221,E221)</f>
        <v/>
      </c>
      <c r="B221" s="51" t="inlineStr">
        <is>
          <t>CUSTANLM26B</t>
        </is>
      </c>
      <c r="C221" s="51" t="inlineStr">
        <is>
          <t>AnalogSignalType.Custom</t>
        </is>
      </c>
      <c r="D221" s="51" t="inlineStr">
        <is>
          <t>RelativeVoltage</t>
        </is>
      </c>
      <c r="E221" s="51" t="inlineStr">
        <is>
          <t>B</t>
        </is>
      </c>
    </row>
    <row r="222" ht="30" customHeight="1">
      <c r="A222" s="50">
        <f>CONCATENATE(C222,D222,E222)</f>
        <v/>
      </c>
      <c r="B222" s="51" t="inlineStr">
        <is>
          <t>CUSTANLM26C</t>
        </is>
      </c>
      <c r="C222" s="51" t="inlineStr">
        <is>
          <t>AnalogSignalType.Custom</t>
        </is>
      </c>
      <c r="D222" s="51" t="inlineStr">
        <is>
          <t>RelativeVoltage</t>
        </is>
      </c>
      <c r="E222" s="51" t="inlineStr">
        <is>
          <t>C</t>
        </is>
      </c>
    </row>
    <row r="223" ht="30" customHeight="1">
      <c r="A223" s="50">
        <f>CONCATENATE(C223,D223,E223)</f>
        <v/>
      </c>
      <c r="B223" s="51" t="inlineStr">
        <is>
          <t>CUSTANLM27ABC</t>
        </is>
      </c>
      <c r="C223" s="51" t="inlineStr">
        <is>
          <t>AnalogSignalType.Custom</t>
        </is>
      </c>
      <c r="D223" s="51" t="inlineStr">
        <is>
          <t>Insolation</t>
        </is>
      </c>
      <c r="E223" s="51" t="inlineStr">
        <is>
          <t>ABC</t>
        </is>
      </c>
    </row>
    <row r="224" ht="30" customHeight="1">
      <c r="A224" s="50">
        <f>CONCATENATE(C224,D224,E224)</f>
        <v/>
      </c>
      <c r="B224" s="51" t="inlineStr">
        <is>
          <t>CUSTANLM27A</t>
        </is>
      </c>
      <c r="C224" s="51" t="inlineStr">
        <is>
          <t>AnalogSignalType.Custom</t>
        </is>
      </c>
      <c r="D224" s="51" t="inlineStr">
        <is>
          <t>Insolation</t>
        </is>
      </c>
      <c r="E224" s="51" t="inlineStr">
        <is>
          <t>A</t>
        </is>
      </c>
    </row>
    <row r="225" ht="30" customHeight="1">
      <c r="A225" s="50">
        <f>CONCATENATE(C225,D225,E225)</f>
        <v/>
      </c>
      <c r="B225" s="51" t="inlineStr">
        <is>
          <t>CUSTANLM27B</t>
        </is>
      </c>
      <c r="C225" s="51" t="inlineStr">
        <is>
          <t>AnalogSignalType.Custom</t>
        </is>
      </c>
      <c r="D225" s="51" t="inlineStr">
        <is>
          <t>Insolation</t>
        </is>
      </c>
      <c r="E225" s="51" t="inlineStr">
        <is>
          <t>B</t>
        </is>
      </c>
    </row>
    <row r="226" ht="30" customHeight="1">
      <c r="A226" s="50">
        <f>CONCATENATE(C226,D226,E226)</f>
        <v/>
      </c>
      <c r="B226" s="51" t="inlineStr">
        <is>
          <t>CUSTANLM27C</t>
        </is>
      </c>
      <c r="C226" s="51" t="inlineStr">
        <is>
          <t>AnalogSignalType.Custom</t>
        </is>
      </c>
      <c r="D226" s="51" t="inlineStr">
        <is>
          <t>Insolation</t>
        </is>
      </c>
      <c r="E226" s="51" t="inlineStr">
        <is>
          <t>C</t>
        </is>
      </c>
    </row>
    <row r="227" ht="30" customHeight="1">
      <c r="A227" s="50">
        <f>CONCATENATE(C227,D227,E227)</f>
        <v/>
      </c>
      <c r="B227" s="51" t="inlineStr">
        <is>
          <t>CUSTANLM28ABC</t>
        </is>
      </c>
      <c r="C227" s="51" t="inlineStr">
        <is>
          <t>AnalogSignalType.Custom</t>
        </is>
      </c>
      <c r="D227" s="51" t="inlineStr">
        <is>
          <t>CurrentAngle</t>
        </is>
      </c>
      <c r="E227" s="51" t="inlineStr">
        <is>
          <t>ABC</t>
        </is>
      </c>
    </row>
    <row r="228" ht="30" customHeight="1">
      <c r="A228" s="50">
        <f>CONCATENATE(C228,D228,E228)</f>
        <v/>
      </c>
      <c r="B228" s="51" t="inlineStr">
        <is>
          <t>CUSTANLM28A</t>
        </is>
      </c>
      <c r="C228" s="51" t="inlineStr">
        <is>
          <t>AnalogSignalType.Custom</t>
        </is>
      </c>
      <c r="D228" s="51" t="inlineStr">
        <is>
          <t>CurrentAngle</t>
        </is>
      </c>
      <c r="E228" s="51" t="inlineStr">
        <is>
          <t>A</t>
        </is>
      </c>
    </row>
    <row r="229" ht="30" customHeight="1">
      <c r="A229" s="50">
        <f>CONCATENATE(C229,D229,E229)</f>
        <v/>
      </c>
      <c r="B229" s="51" t="inlineStr">
        <is>
          <t>CUSTANLM28B</t>
        </is>
      </c>
      <c r="C229" s="51" t="inlineStr">
        <is>
          <t>AnalogSignalType.Custom</t>
        </is>
      </c>
      <c r="D229" s="51" t="inlineStr">
        <is>
          <t>CurrentAngle</t>
        </is>
      </c>
      <c r="E229" s="51" t="inlineStr">
        <is>
          <t>B</t>
        </is>
      </c>
    </row>
    <row r="230" ht="30" customHeight="1">
      <c r="A230" s="50">
        <f>CONCATENATE(C230,D230,E230)</f>
        <v/>
      </c>
      <c r="B230" s="51" t="inlineStr">
        <is>
          <t>CUSTANLM28C</t>
        </is>
      </c>
      <c r="C230" s="51" t="inlineStr">
        <is>
          <t>AnalogSignalType.Custom</t>
        </is>
      </c>
      <c r="D230" s="51" t="inlineStr">
        <is>
          <t>CurrentAngle</t>
        </is>
      </c>
      <c r="E230" s="51" t="inlineStr">
        <is>
          <t>C</t>
        </is>
      </c>
    </row>
    <row r="231" ht="30" customHeight="1">
      <c r="A231" s="50">
        <f>CONCATENATE(C231,D231,E231)</f>
        <v/>
      </c>
      <c r="B231" s="51" t="inlineStr">
        <is>
          <t>CUSTANLM29ABC</t>
        </is>
      </c>
      <c r="C231" s="51" t="inlineStr">
        <is>
          <t>AnalogSignalType.Custom</t>
        </is>
      </c>
      <c r="D231" s="51" t="inlineStr">
        <is>
          <t>RotationSpeed</t>
        </is>
      </c>
      <c r="E231" s="51" t="inlineStr">
        <is>
          <t>ABC</t>
        </is>
      </c>
    </row>
    <row r="232" ht="30" customHeight="1">
      <c r="A232" s="50">
        <f>CONCATENATE(C232,D232,E232)</f>
        <v/>
      </c>
      <c r="B232" s="51" t="inlineStr">
        <is>
          <t>CUSTANLM29A</t>
        </is>
      </c>
      <c r="C232" s="51" t="inlineStr">
        <is>
          <t>AnalogSignalType.Custom</t>
        </is>
      </c>
      <c r="D232" s="51" t="inlineStr">
        <is>
          <t>RotationSpeed</t>
        </is>
      </c>
      <c r="E232" s="51" t="inlineStr">
        <is>
          <t>A</t>
        </is>
      </c>
    </row>
    <row r="233" ht="30" customHeight="1">
      <c r="A233" s="50">
        <f>CONCATENATE(C233,D233,E233)</f>
        <v/>
      </c>
      <c r="B233" s="51" t="inlineStr">
        <is>
          <t>CUSTANLM29B</t>
        </is>
      </c>
      <c r="C233" s="51" t="inlineStr">
        <is>
          <t>AnalogSignalType.Custom</t>
        </is>
      </c>
      <c r="D233" s="51" t="inlineStr">
        <is>
          <t>RotationSpeed</t>
        </is>
      </c>
      <c r="E233" s="51" t="inlineStr">
        <is>
          <t>B</t>
        </is>
      </c>
    </row>
    <row r="234" ht="30" customHeight="1">
      <c r="A234" s="50">
        <f>CONCATENATE(C234,D234,E234)</f>
        <v/>
      </c>
      <c r="B234" s="51" t="inlineStr">
        <is>
          <t>CUSTANLM29C</t>
        </is>
      </c>
      <c r="C234" s="51" t="inlineStr">
        <is>
          <t>AnalogSignalType.Custom</t>
        </is>
      </c>
      <c r="D234" s="51" t="inlineStr">
        <is>
          <t>RotationSpeed</t>
        </is>
      </c>
      <c r="E234" s="51" t="inlineStr">
        <is>
          <t>C</t>
        </is>
      </c>
    </row>
    <row r="235" ht="15" customHeight="1">
      <c r="A235" s="50">
        <f>CONCATENATE(C235,D235,E235)</f>
        <v/>
      </c>
      <c r="B235" s="51" t="inlineStr">
        <is>
          <t>CUSTANLM30ABC</t>
        </is>
      </c>
      <c r="C235" s="51" t="inlineStr">
        <is>
          <t>AnalogSignalType.Custom</t>
        </is>
      </c>
      <c r="D235" s="51" t="inlineStr">
        <is>
          <t>Mass</t>
        </is>
      </c>
      <c r="E235" s="51" t="inlineStr">
        <is>
          <t>ABC</t>
        </is>
      </c>
    </row>
    <row r="236" ht="15" customHeight="1">
      <c r="A236" s="50">
        <f>CONCATENATE(C236,D236,E236)</f>
        <v/>
      </c>
      <c r="B236" s="51" t="inlineStr">
        <is>
          <t>CUSTANLM30A</t>
        </is>
      </c>
      <c r="C236" s="51" t="inlineStr">
        <is>
          <t>AnalogSignalType.Custom</t>
        </is>
      </c>
      <c r="D236" s="51" t="inlineStr">
        <is>
          <t>Mass</t>
        </is>
      </c>
      <c r="E236" s="51" t="inlineStr">
        <is>
          <t>A</t>
        </is>
      </c>
    </row>
    <row r="237" ht="15" customHeight="1">
      <c r="A237" s="50">
        <f>CONCATENATE(C237,D237,E237)</f>
        <v/>
      </c>
      <c r="B237" s="51" t="inlineStr">
        <is>
          <t>CUSTANLM30B</t>
        </is>
      </c>
      <c r="C237" s="51" t="inlineStr">
        <is>
          <t>AnalogSignalType.Custom</t>
        </is>
      </c>
      <c r="D237" s="51" t="inlineStr">
        <is>
          <t>Mass</t>
        </is>
      </c>
      <c r="E237" s="51" t="inlineStr">
        <is>
          <t>B</t>
        </is>
      </c>
    </row>
    <row r="238" ht="15" customHeight="1">
      <c r="A238" s="50">
        <f>CONCATENATE(C238,D238,E238)</f>
        <v/>
      </c>
      <c r="B238" s="51" t="inlineStr">
        <is>
          <t>CUSTANLM30C</t>
        </is>
      </c>
      <c r="C238" s="51" t="inlineStr">
        <is>
          <t>AnalogSignalType.Custom</t>
        </is>
      </c>
      <c r="D238" s="51" t="inlineStr">
        <is>
          <t>Mass</t>
        </is>
      </c>
      <c r="E238" s="51" t="inlineStr">
        <is>
          <t>C</t>
        </is>
      </c>
    </row>
    <row r="239" ht="30" customHeight="1">
      <c r="A239" s="50">
        <f>CONCATENATE(C239,D239,E239)</f>
        <v/>
      </c>
      <c r="B239" s="51" t="inlineStr">
        <is>
          <t>CUSTANLM31ABC</t>
        </is>
      </c>
      <c r="C239" s="51" t="inlineStr">
        <is>
          <t>AnalogSignalType.Custom</t>
        </is>
      </c>
      <c r="D239" s="51" t="inlineStr">
        <is>
          <t>FailureRate</t>
        </is>
      </c>
      <c r="E239" s="51" t="inlineStr">
        <is>
          <t>ABC</t>
        </is>
      </c>
    </row>
    <row r="240" ht="30" customHeight="1">
      <c r="A240" s="50">
        <f>CONCATENATE(C240,D240,E240)</f>
        <v/>
      </c>
      <c r="B240" s="51" t="inlineStr">
        <is>
          <t>CUSTANLM31A</t>
        </is>
      </c>
      <c r="C240" s="51" t="inlineStr">
        <is>
          <t>AnalogSignalType.Custom</t>
        </is>
      </c>
      <c r="D240" s="51" t="inlineStr">
        <is>
          <t>FailureRate</t>
        </is>
      </c>
      <c r="E240" s="51" t="inlineStr">
        <is>
          <t>A</t>
        </is>
      </c>
    </row>
    <row r="241" ht="30" customHeight="1">
      <c r="A241" s="50">
        <f>CONCATENATE(C241,D241,E241)</f>
        <v/>
      </c>
      <c r="B241" s="51" t="inlineStr">
        <is>
          <t>CUSTANLM31B</t>
        </is>
      </c>
      <c r="C241" s="51" t="inlineStr">
        <is>
          <t>AnalogSignalType.Custom</t>
        </is>
      </c>
      <c r="D241" s="51" t="inlineStr">
        <is>
          <t>FailureRate</t>
        </is>
      </c>
      <c r="E241" s="51" t="inlineStr">
        <is>
          <t>B</t>
        </is>
      </c>
    </row>
    <row r="242" ht="30" customHeight="1">
      <c r="A242" s="50">
        <f>CONCATENATE(C242,D242,E242)</f>
        <v/>
      </c>
      <c r="B242" s="51" t="inlineStr">
        <is>
          <t>CUSTANLM31C</t>
        </is>
      </c>
      <c r="C242" s="51" t="inlineStr">
        <is>
          <t>AnalogSignalType.Custom</t>
        </is>
      </c>
      <c r="D242" s="51" t="inlineStr">
        <is>
          <t>FailureRate</t>
        </is>
      </c>
      <c r="E242" s="51" t="inlineStr">
        <is>
          <t>C</t>
        </is>
      </c>
    </row>
    <row r="243" ht="30" customHeight="1">
      <c r="A243" s="50">
        <f>CONCATENATE(C243,D243,E243)</f>
        <v/>
      </c>
      <c r="B243" s="51" t="inlineStr">
        <is>
          <t>CUSTANLM32ABC</t>
        </is>
      </c>
      <c r="C243" s="51" t="inlineStr">
        <is>
          <t>AnalogSignalType.Custom</t>
        </is>
      </c>
      <c r="D243" s="51" t="inlineStr">
        <is>
          <t>SoilTemperature</t>
        </is>
      </c>
      <c r="E243" s="51" t="inlineStr">
        <is>
          <t>ABC</t>
        </is>
      </c>
    </row>
    <row r="244" ht="30" customHeight="1">
      <c r="A244" s="50">
        <f>CONCATENATE(C244,D244,E244)</f>
        <v/>
      </c>
      <c r="B244" s="51" t="inlineStr">
        <is>
          <t>CUSTANLM32A</t>
        </is>
      </c>
      <c r="C244" s="51" t="inlineStr">
        <is>
          <t>AnalogSignalType.Custom</t>
        </is>
      </c>
      <c r="D244" s="51" t="inlineStr">
        <is>
          <t>SoilTemperature</t>
        </is>
      </c>
      <c r="E244" s="51" t="inlineStr">
        <is>
          <t>A</t>
        </is>
      </c>
    </row>
    <row r="245" ht="30" customHeight="1">
      <c r="A245" s="50">
        <f>CONCATENATE(C245,D245,E245)</f>
        <v/>
      </c>
      <c r="B245" s="51" t="inlineStr">
        <is>
          <t>CUSTANLM32B</t>
        </is>
      </c>
      <c r="C245" s="51" t="inlineStr">
        <is>
          <t>AnalogSignalType.Custom</t>
        </is>
      </c>
      <c r="D245" s="51" t="inlineStr">
        <is>
          <t>SoilTemperature</t>
        </is>
      </c>
      <c r="E245" s="51" t="inlineStr">
        <is>
          <t>B</t>
        </is>
      </c>
    </row>
    <row r="246" ht="30" customHeight="1">
      <c r="A246" s="50">
        <f>CONCATENATE(C246,D246,E246)</f>
        <v/>
      </c>
      <c r="B246" s="51" t="inlineStr">
        <is>
          <t>CUSTANLM32C</t>
        </is>
      </c>
      <c r="C246" s="51" t="inlineStr">
        <is>
          <t>AnalogSignalType.Custom</t>
        </is>
      </c>
      <c r="D246" s="51" t="inlineStr">
        <is>
          <t>SoilTemperature</t>
        </is>
      </c>
      <c r="E246" s="51" t="inlineStr">
        <is>
          <t>C</t>
        </is>
      </c>
    </row>
    <row r="247" ht="30" customHeight="1">
      <c r="A247" s="50">
        <f>CONCATENATE(C247,D247,E247)</f>
        <v/>
      </c>
      <c r="B247" s="51" t="inlineStr">
        <is>
          <t>CUSTANLM33ABC</t>
        </is>
      </c>
      <c r="C247" s="51" t="inlineStr">
        <is>
          <t>AnalogSignalType.Custom</t>
        </is>
      </c>
      <c r="D247" s="51" t="inlineStr">
        <is>
          <t>OilTemperature</t>
        </is>
      </c>
      <c r="E247" s="51" t="inlineStr">
        <is>
          <t>ABC</t>
        </is>
      </c>
    </row>
    <row r="248" ht="30" customHeight="1">
      <c r="A248" s="50">
        <f>CONCATENATE(C248,D248,E248)</f>
        <v/>
      </c>
      <c r="B248" s="51" t="inlineStr">
        <is>
          <t>CUSTANLM33A</t>
        </is>
      </c>
      <c r="C248" s="51" t="inlineStr">
        <is>
          <t>AnalogSignalType.Custom</t>
        </is>
      </c>
      <c r="D248" s="51" t="inlineStr">
        <is>
          <t>OilTemperature</t>
        </is>
      </c>
      <c r="E248" s="51" t="inlineStr">
        <is>
          <t>A</t>
        </is>
      </c>
    </row>
    <row r="249" ht="30" customHeight="1">
      <c r="A249" s="50">
        <f>CONCATENATE(C249,D249,E249)</f>
        <v/>
      </c>
      <c r="B249" s="51" t="inlineStr">
        <is>
          <t>CUSTANLM33B</t>
        </is>
      </c>
      <c r="C249" s="51" t="inlineStr">
        <is>
          <t>AnalogSignalType.Custom</t>
        </is>
      </c>
      <c r="D249" s="51" t="inlineStr">
        <is>
          <t>OilTemperature</t>
        </is>
      </c>
      <c r="E249" s="51" t="inlineStr">
        <is>
          <t>B</t>
        </is>
      </c>
    </row>
    <row r="250" ht="30" customHeight="1">
      <c r="A250" s="50">
        <f>CONCATENATE(C250,D250,E250)</f>
        <v/>
      </c>
      <c r="B250" s="51" t="inlineStr">
        <is>
          <t>CUSTANLM33C</t>
        </is>
      </c>
      <c r="C250" s="51" t="inlineStr">
        <is>
          <t>AnalogSignalType.Custom</t>
        </is>
      </c>
      <c r="D250" s="51" t="inlineStr">
        <is>
          <t>OilTemperature</t>
        </is>
      </c>
      <c r="E250" s="51" t="inlineStr">
        <is>
          <t>C</t>
        </is>
      </c>
    </row>
    <row r="251" ht="30" customHeight="1">
      <c r="A251" s="50">
        <f>CONCATENATE(C251,D251,E251)</f>
        <v/>
      </c>
      <c r="B251" s="51" t="inlineStr">
        <is>
          <t>CUSTANLM34ABC</t>
        </is>
      </c>
      <c r="C251" s="51" t="inlineStr">
        <is>
          <t>AnalogSignalType.Custom</t>
        </is>
      </c>
      <c r="D251" s="51" t="inlineStr">
        <is>
          <t>HotSpotTemperature</t>
        </is>
      </c>
      <c r="E251" s="51" t="inlineStr">
        <is>
          <t>ABC</t>
        </is>
      </c>
    </row>
    <row r="252" ht="30" customHeight="1">
      <c r="A252" s="50">
        <f>CONCATENATE(C252,D252,E252)</f>
        <v/>
      </c>
      <c r="B252" s="51" t="inlineStr">
        <is>
          <t>CUSTANLM34A</t>
        </is>
      </c>
      <c r="C252" s="51" t="inlineStr">
        <is>
          <t>AnalogSignalType.Custom</t>
        </is>
      </c>
      <c r="D252" s="51" t="inlineStr">
        <is>
          <t>HotSpotTemperature</t>
        </is>
      </c>
      <c r="E252" s="51" t="inlineStr">
        <is>
          <t>A</t>
        </is>
      </c>
    </row>
    <row r="253" ht="30" customHeight="1">
      <c r="A253" s="50">
        <f>CONCATENATE(C253,D253,E253)</f>
        <v/>
      </c>
      <c r="B253" s="51" t="inlineStr">
        <is>
          <t>CUSTANLM34B</t>
        </is>
      </c>
      <c r="C253" s="51" t="inlineStr">
        <is>
          <t>AnalogSignalType.Custom</t>
        </is>
      </c>
      <c r="D253" s="51" t="inlineStr">
        <is>
          <t>HotSpotTemperature</t>
        </is>
      </c>
      <c r="E253" s="51" t="inlineStr">
        <is>
          <t>B</t>
        </is>
      </c>
    </row>
    <row r="254" ht="30" customHeight="1">
      <c r="A254" s="50">
        <f>CONCATENATE(C254,D254,E254)</f>
        <v/>
      </c>
      <c r="B254" s="51" t="inlineStr">
        <is>
          <t>CUSTANLM34C</t>
        </is>
      </c>
      <c r="C254" s="51" t="inlineStr">
        <is>
          <t>AnalogSignalType.Custom</t>
        </is>
      </c>
      <c r="D254" s="51" t="inlineStr">
        <is>
          <t>HotSpotTemperature</t>
        </is>
      </c>
      <c r="E254" s="51" t="inlineStr">
        <is>
          <t>C</t>
        </is>
      </c>
    </row>
    <row r="255" ht="30" customHeight="1">
      <c r="A255" s="50">
        <f>CONCATENATE(C255,D255,E255)</f>
        <v/>
      </c>
      <c r="B255" s="51" t="inlineStr">
        <is>
          <t>CUSTANLM35ABC</t>
        </is>
      </c>
      <c r="C255" s="51" t="inlineStr">
        <is>
          <t>AnalogSignalType.Custom</t>
        </is>
      </c>
      <c r="D255" s="51" t="inlineStr">
        <is>
          <t>AbsoluteDateTime</t>
        </is>
      </c>
      <c r="E255" s="51" t="inlineStr">
        <is>
          <t>ABC</t>
        </is>
      </c>
    </row>
    <row r="256" ht="30" customHeight="1">
      <c r="A256" s="50">
        <f>CONCATENATE(C256,D256,E256)</f>
        <v/>
      </c>
      <c r="B256" s="51" t="inlineStr">
        <is>
          <t>CUSTANLM35A</t>
        </is>
      </c>
      <c r="C256" s="51" t="inlineStr">
        <is>
          <t>AnalogSignalType.Custom</t>
        </is>
      </c>
      <c r="D256" s="51" t="inlineStr">
        <is>
          <t>AbsoluteDateTime</t>
        </is>
      </c>
      <c r="E256" s="51" t="inlineStr">
        <is>
          <t>A</t>
        </is>
      </c>
    </row>
    <row r="257" ht="30" customHeight="1">
      <c r="A257" s="50">
        <f>CONCATENATE(C257,D257,E257)</f>
        <v/>
      </c>
      <c r="B257" s="51" t="inlineStr">
        <is>
          <t>CUSTANLM35B</t>
        </is>
      </c>
      <c r="C257" s="51" t="inlineStr">
        <is>
          <t>AnalogSignalType.Custom</t>
        </is>
      </c>
      <c r="D257" s="51" t="inlineStr">
        <is>
          <t>AbsoluteDateTime</t>
        </is>
      </c>
      <c r="E257" s="51" t="inlineStr">
        <is>
          <t>B</t>
        </is>
      </c>
    </row>
    <row r="258" ht="30" customHeight="1">
      <c r="A258" s="50">
        <f>CONCATENATE(C258,D258,E258)</f>
        <v/>
      </c>
      <c r="B258" s="51" t="inlineStr">
        <is>
          <t>CUSTANLM35C</t>
        </is>
      </c>
      <c r="C258" s="51" t="inlineStr">
        <is>
          <t>AnalogSignalType.Custom</t>
        </is>
      </c>
      <c r="D258" s="51" t="inlineStr">
        <is>
          <t>AbsoluteDateTime</t>
        </is>
      </c>
      <c r="E258" s="51" t="inlineStr">
        <is>
          <t>C</t>
        </is>
      </c>
    </row>
    <row r="259" ht="30" customHeight="1">
      <c r="A259" s="50">
        <f>CONCATENATE(C259,D259,E259)</f>
        <v/>
      </c>
      <c r="B259" s="51" t="inlineStr">
        <is>
          <t>CUSTANLM36ABC</t>
        </is>
      </c>
      <c r="C259" s="51" t="inlineStr">
        <is>
          <t>AnalogSignalType.Custom</t>
        </is>
      </c>
      <c r="D259" s="51" t="inlineStr">
        <is>
          <t>LatLong</t>
        </is>
      </c>
      <c r="E259" s="51" t="inlineStr">
        <is>
          <t>ABC</t>
        </is>
      </c>
    </row>
    <row r="260" ht="15" customHeight="1">
      <c r="A260" s="50">
        <f>CONCATENATE(C260,D260,E260)</f>
        <v/>
      </c>
      <c r="B260" s="51" t="inlineStr">
        <is>
          <t>CUSTANLM36A</t>
        </is>
      </c>
      <c r="C260" s="51" t="inlineStr">
        <is>
          <t>AnalogSignalType.Custom</t>
        </is>
      </c>
      <c r="D260" s="51" t="inlineStr">
        <is>
          <t>LatLong</t>
        </is>
      </c>
      <c r="E260" s="51" t="inlineStr">
        <is>
          <t>A</t>
        </is>
      </c>
    </row>
    <row r="261" ht="15" customHeight="1">
      <c r="A261" s="50">
        <f>CONCATENATE(C261,D261,E261)</f>
        <v/>
      </c>
      <c r="B261" s="51" t="inlineStr">
        <is>
          <t>CUSTANLM36B</t>
        </is>
      </c>
      <c r="C261" s="51" t="inlineStr">
        <is>
          <t>AnalogSignalType.Custom</t>
        </is>
      </c>
      <c r="D261" s="51" t="inlineStr">
        <is>
          <t>LatLong</t>
        </is>
      </c>
      <c r="E261" s="51" t="inlineStr">
        <is>
          <t>B</t>
        </is>
      </c>
    </row>
    <row r="262" ht="15" customHeight="1">
      <c r="A262" s="50">
        <f>CONCATENATE(C262,D262,E262)</f>
        <v/>
      </c>
      <c r="B262" s="51" t="inlineStr">
        <is>
          <t>CUSTANLM36C</t>
        </is>
      </c>
      <c r="C262" s="51" t="inlineStr">
        <is>
          <t>AnalogSignalType.Custom</t>
        </is>
      </c>
      <c r="D262" s="51" t="inlineStr">
        <is>
          <t>LatLong</t>
        </is>
      </c>
      <c r="E262" s="51" t="inlineStr">
        <is>
          <t>C</t>
        </is>
      </c>
    </row>
    <row r="263" ht="15" customHeight="1">
      <c r="A263" s="50">
        <f>CONCATENATE(C263,D263,E263)</f>
        <v/>
      </c>
      <c r="B263" s="51" t="inlineStr">
        <is>
          <t>VOLTABCPRIM</t>
        </is>
      </c>
      <c r="C263" s="51" t="inlineStr">
        <is>
          <t>MeasuredValue</t>
        </is>
      </c>
      <c r="D263" s="51" t="inlineStr">
        <is>
          <t>Voltage</t>
        </is>
      </c>
      <c r="E263" s="51" t="inlineStr">
        <is>
          <t>ABCPrimary</t>
        </is>
      </c>
    </row>
    <row r="264" ht="15" customHeight="1">
      <c r="A264" s="50">
        <f>CONCATENATE(C264,D264,E264)</f>
        <v/>
      </c>
      <c r="B264" s="51" t="inlineStr">
        <is>
          <t>VOLTABPRIM</t>
        </is>
      </c>
      <c r="C264" s="51" t="inlineStr">
        <is>
          <t>MeasuredValue</t>
        </is>
      </c>
      <c r="D264" s="51" t="inlineStr">
        <is>
          <t>Voltage</t>
        </is>
      </c>
      <c r="E264" s="51" t="inlineStr">
        <is>
          <t>ABPrimary</t>
        </is>
      </c>
    </row>
    <row r="265" ht="15" customHeight="1">
      <c r="A265" s="50">
        <f>CONCATENATE(C265,D265,E265)</f>
        <v/>
      </c>
      <c r="B265" s="51" t="inlineStr">
        <is>
          <t>VOLTBCPRIM</t>
        </is>
      </c>
      <c r="C265" s="51" t="inlineStr">
        <is>
          <t>MeasuredValue</t>
        </is>
      </c>
      <c r="D265" s="51" t="inlineStr">
        <is>
          <t>Voltage</t>
        </is>
      </c>
      <c r="E265" s="51" t="inlineStr">
        <is>
          <t>BCPrimary</t>
        </is>
      </c>
    </row>
    <row r="266" ht="15" customHeight="1">
      <c r="A266" s="50">
        <f>CONCATENATE(C266,D266,E266)</f>
        <v/>
      </c>
      <c r="B266" s="51" t="inlineStr">
        <is>
          <t>VOLTACPRIM</t>
        </is>
      </c>
      <c r="C266" s="51" t="inlineStr">
        <is>
          <t>MeasuredValue</t>
        </is>
      </c>
      <c r="D266" s="51" t="inlineStr">
        <is>
          <t>Voltage</t>
        </is>
      </c>
      <c r="E266" s="51" t="inlineStr">
        <is>
          <t>ACPrimary</t>
        </is>
      </c>
    </row>
    <row r="267" ht="15" customHeight="1">
      <c r="A267" s="50">
        <f>CONCATENATE(C267,D267,E267)</f>
        <v/>
      </c>
      <c r="B267" s="51" t="inlineStr">
        <is>
          <t>VOLTAPRIM</t>
        </is>
      </c>
      <c r="C267" s="51" t="inlineStr">
        <is>
          <t>MeasuredValue</t>
        </is>
      </c>
      <c r="D267" s="51" t="inlineStr">
        <is>
          <t>Voltage</t>
        </is>
      </c>
      <c r="E267" s="51" t="inlineStr">
        <is>
          <t>APrimary</t>
        </is>
      </c>
    </row>
    <row r="268" ht="15" customHeight="1">
      <c r="A268" s="50">
        <f>CONCATENATE(C268,D268,E268)</f>
        <v/>
      </c>
      <c r="B268" s="51" t="inlineStr">
        <is>
          <t>VOLTBPRIM</t>
        </is>
      </c>
      <c r="C268" s="51" t="inlineStr">
        <is>
          <t>MeasuredValue</t>
        </is>
      </c>
      <c r="D268" s="51" t="inlineStr">
        <is>
          <t>Voltage</t>
        </is>
      </c>
      <c r="E268" s="51" t="inlineStr">
        <is>
          <t>BPrimary</t>
        </is>
      </c>
    </row>
    <row r="269" ht="15" customHeight="1">
      <c r="A269" s="50">
        <f>CONCATENATE(C269,D269,E269)</f>
        <v/>
      </c>
      <c r="B269" s="51" t="inlineStr">
        <is>
          <t>VOLTCPRIM</t>
        </is>
      </c>
      <c r="C269" s="51" t="inlineStr">
        <is>
          <t>MeasuredValue</t>
        </is>
      </c>
      <c r="D269" s="51" t="inlineStr">
        <is>
          <t>Voltage</t>
        </is>
      </c>
      <c r="E269" s="51" t="inlineStr">
        <is>
          <t>CPrimary</t>
        </is>
      </c>
    </row>
    <row r="270" ht="30" customHeight="1">
      <c r="A270" s="50">
        <f>CONCATENATE(C270,D270,E270)</f>
        <v/>
      </c>
      <c r="B270" s="51" t="inlineStr">
        <is>
          <t>VOLTANGABCPRIM</t>
        </is>
      </c>
      <c r="C270" s="51" t="inlineStr">
        <is>
          <t>MeasuredValue</t>
        </is>
      </c>
      <c r="D270" s="51" t="inlineStr">
        <is>
          <t>VoltageAngle</t>
        </is>
      </c>
      <c r="E270" s="51" t="inlineStr">
        <is>
          <t>ABCPrimary</t>
        </is>
      </c>
    </row>
    <row r="271" ht="30" customHeight="1">
      <c r="A271" s="50">
        <f>CONCATENATE(C271,D271,E271)</f>
        <v/>
      </c>
      <c r="B271" s="51" t="inlineStr">
        <is>
          <t>VOLTANGABPRIM</t>
        </is>
      </c>
      <c r="C271" s="51" t="inlineStr">
        <is>
          <t>MeasuredValue</t>
        </is>
      </c>
      <c r="D271" s="51" t="inlineStr">
        <is>
          <t>VoltageAngle</t>
        </is>
      </c>
      <c r="E271" s="51" t="inlineStr">
        <is>
          <t>ABPrimary</t>
        </is>
      </c>
    </row>
    <row r="272" ht="30" customHeight="1">
      <c r="A272" s="50">
        <f>CONCATENATE(C272,D272,E272)</f>
        <v/>
      </c>
      <c r="B272" s="51" t="inlineStr">
        <is>
          <t>VOLTANGBCPRIM</t>
        </is>
      </c>
      <c r="C272" s="51" t="inlineStr">
        <is>
          <t>MeasuredValue</t>
        </is>
      </c>
      <c r="D272" s="51" t="inlineStr">
        <is>
          <t>VoltageAngle</t>
        </is>
      </c>
      <c r="E272" s="51" t="inlineStr">
        <is>
          <t>BCPrimary</t>
        </is>
      </c>
    </row>
    <row r="273" ht="30" customHeight="1">
      <c r="A273" s="50">
        <f>CONCATENATE(C273,D273,E273)</f>
        <v/>
      </c>
      <c r="B273" s="51" t="inlineStr">
        <is>
          <t>VOLTANGACPRIM</t>
        </is>
      </c>
      <c r="C273" s="51" t="inlineStr">
        <is>
          <t>MeasuredValue</t>
        </is>
      </c>
      <c r="D273" s="51" t="inlineStr">
        <is>
          <t>VoltageAngle</t>
        </is>
      </c>
      <c r="E273" s="51" t="inlineStr">
        <is>
          <t>ACPrimary</t>
        </is>
      </c>
    </row>
    <row r="274" ht="30" customHeight="1">
      <c r="A274" s="50">
        <f>CONCATENATE(C274,D274,E274)</f>
        <v/>
      </c>
      <c r="B274" s="51" t="inlineStr">
        <is>
          <t>VOLTANGAPRIM</t>
        </is>
      </c>
      <c r="C274" s="51" t="inlineStr">
        <is>
          <t>MeasuredValue</t>
        </is>
      </c>
      <c r="D274" s="51" t="inlineStr">
        <is>
          <t>VoltageAngle</t>
        </is>
      </c>
      <c r="E274" s="51" t="inlineStr">
        <is>
          <t>APrimary</t>
        </is>
      </c>
    </row>
    <row r="275" ht="30" customHeight="1">
      <c r="A275" s="50">
        <f>CONCATENATE(C275,D275,E275)</f>
        <v/>
      </c>
      <c r="B275" s="51" t="inlineStr">
        <is>
          <t>VOLTANGBPRIM</t>
        </is>
      </c>
      <c r="C275" s="51" t="inlineStr">
        <is>
          <t>MeasuredValue</t>
        </is>
      </c>
      <c r="D275" s="51" t="inlineStr">
        <is>
          <t>VoltageAngle</t>
        </is>
      </c>
      <c r="E275" s="51" t="inlineStr">
        <is>
          <t>BPrimary</t>
        </is>
      </c>
    </row>
    <row r="276" ht="30" customHeight="1">
      <c r="A276" s="50">
        <f>CONCATENATE(C276,D276,E276)</f>
        <v/>
      </c>
      <c r="B276" s="51" t="inlineStr">
        <is>
          <t>VOLTANGCPRIM</t>
        </is>
      </c>
      <c r="C276" s="51" t="inlineStr">
        <is>
          <t>MeasuredValue</t>
        </is>
      </c>
      <c r="D276" s="51" t="inlineStr">
        <is>
          <t>VoltageAngle</t>
        </is>
      </c>
      <c r="E276" s="51" t="inlineStr">
        <is>
          <t>CPrimary</t>
        </is>
      </c>
    </row>
    <row r="277" ht="30" customHeight="1">
      <c r="A277" s="50">
        <f>CONCATENATE(C277,D277,E277)</f>
        <v/>
      </c>
      <c r="B277" s="51" t="inlineStr">
        <is>
          <t>FREQPRIM</t>
        </is>
      </c>
      <c r="C277" s="51" t="inlineStr">
        <is>
          <t>MeasuredValue</t>
        </is>
      </c>
      <c r="D277" s="51" t="inlineStr">
        <is>
          <t>Frequency</t>
        </is>
      </c>
      <c r="E277" s="51" t="inlineStr">
        <is>
          <t>ABCPrimary</t>
        </is>
      </c>
    </row>
    <row r="278" ht="30" customHeight="1">
      <c r="A278" s="50">
        <f>CONCATENATE(C278,D278,E278)</f>
        <v/>
      </c>
      <c r="B278" s="51" t="inlineStr">
        <is>
          <t>RELVOLTABCPRIM</t>
        </is>
      </c>
      <c r="C278" s="51" t="inlineStr">
        <is>
          <t>MeasuredValue</t>
        </is>
      </c>
      <c r="D278" s="51" t="inlineStr">
        <is>
          <t>RelativeVoltage</t>
        </is>
      </c>
      <c r="E278" s="51" t="inlineStr">
        <is>
          <t>ABCPrimary</t>
        </is>
      </c>
    </row>
    <row r="279" ht="30" customHeight="1">
      <c r="A279" s="50">
        <f>CONCATENATE(C279,D279,E279)</f>
        <v/>
      </c>
      <c r="B279" s="51" t="inlineStr">
        <is>
          <t>RELVOLTABPRIM</t>
        </is>
      </c>
      <c r="C279" s="51" t="inlineStr">
        <is>
          <t>MeasuredValue</t>
        </is>
      </c>
      <c r="D279" s="51" t="inlineStr">
        <is>
          <t>RelativeVoltage</t>
        </is>
      </c>
      <c r="E279" s="51" t="inlineStr">
        <is>
          <t>ABPrimary</t>
        </is>
      </c>
    </row>
    <row r="280" ht="30" customHeight="1">
      <c r="A280" s="50">
        <f>CONCATENATE(C280,D280,E280)</f>
        <v/>
      </c>
      <c r="B280" s="51" t="inlineStr">
        <is>
          <t>RELVOLTACPRIM</t>
        </is>
      </c>
      <c r="C280" s="51" t="inlineStr">
        <is>
          <t>MeasuredValue</t>
        </is>
      </c>
      <c r="D280" s="51" t="inlineStr">
        <is>
          <t>RelativeVoltage</t>
        </is>
      </c>
      <c r="E280" s="51" t="inlineStr">
        <is>
          <t>BCPrimary</t>
        </is>
      </c>
    </row>
    <row r="281" ht="30" customHeight="1">
      <c r="A281" s="50">
        <f>CONCATENATE(C281,D281,E281)</f>
        <v/>
      </c>
      <c r="B281" s="51" t="inlineStr">
        <is>
          <t>RELVOLTBCPRIM</t>
        </is>
      </c>
      <c r="C281" s="51" t="inlineStr">
        <is>
          <t>MeasuredValue</t>
        </is>
      </c>
      <c r="D281" s="51" t="inlineStr">
        <is>
          <t>RelativeVoltage</t>
        </is>
      </c>
      <c r="E281" s="51" t="inlineStr">
        <is>
          <t>ACPrimary</t>
        </is>
      </c>
    </row>
    <row r="282" ht="30" customHeight="1">
      <c r="A282" s="50">
        <f>CONCATENATE(C282,D282,E282)</f>
        <v/>
      </c>
      <c r="B282" s="51" t="inlineStr">
        <is>
          <t>RELVOLTAPRIM</t>
        </is>
      </c>
      <c r="C282" s="51" t="inlineStr">
        <is>
          <t>MeasuredValue</t>
        </is>
      </c>
      <c r="D282" s="51" t="inlineStr">
        <is>
          <t>RelativeVoltage</t>
        </is>
      </c>
      <c r="E282" s="51" t="inlineStr">
        <is>
          <t>APrimary</t>
        </is>
      </c>
    </row>
    <row r="283" ht="30" customHeight="1">
      <c r="A283" s="50">
        <f>CONCATENATE(C283,D283,E283)</f>
        <v/>
      </c>
      <c r="B283" s="51" t="inlineStr">
        <is>
          <t>RELVOLTBPRIM</t>
        </is>
      </c>
      <c r="C283" s="51" t="inlineStr">
        <is>
          <t>MeasuredValue</t>
        </is>
      </c>
      <c r="D283" s="51" t="inlineStr">
        <is>
          <t>RelativeVoltage</t>
        </is>
      </c>
      <c r="E283" s="51" t="inlineStr">
        <is>
          <t>BPrimary</t>
        </is>
      </c>
    </row>
    <row r="284" ht="30" customHeight="1">
      <c r="A284" s="50">
        <f>CONCATENATE(C284,D284,E284)</f>
        <v/>
      </c>
      <c r="B284" s="51" t="inlineStr">
        <is>
          <t>RELVOLTCPRIM</t>
        </is>
      </c>
      <c r="C284" s="51" t="inlineStr">
        <is>
          <t>MeasuredValue</t>
        </is>
      </c>
      <c r="D284" s="51" t="inlineStr">
        <is>
          <t>RelativeVoltage</t>
        </is>
      </c>
      <c r="E284" s="51" t="inlineStr">
        <is>
          <t>CPrimary</t>
        </is>
      </c>
    </row>
    <row r="285" ht="15" customHeight="1">
      <c r="A285" s="50">
        <f>CONCATENATE(C285,D285,E285)</f>
        <v/>
      </c>
      <c r="B285" s="51" t="inlineStr">
        <is>
          <t>AMPABCPRIM</t>
        </is>
      </c>
      <c r="C285" s="51" t="inlineStr">
        <is>
          <t>MeasuredValue</t>
        </is>
      </c>
      <c r="D285" s="51" t="inlineStr">
        <is>
          <t>Current</t>
        </is>
      </c>
      <c r="E285" s="51" t="inlineStr">
        <is>
          <t>ABCPrimary</t>
        </is>
      </c>
    </row>
    <row r="286" ht="15" customHeight="1">
      <c r="A286" s="50">
        <f>CONCATENATE(C286,D286,E286)</f>
        <v/>
      </c>
      <c r="B286" s="51" t="inlineStr">
        <is>
          <t>AMPAPRIM</t>
        </is>
      </c>
      <c r="C286" s="51" t="inlineStr">
        <is>
          <t>MeasuredValue</t>
        </is>
      </c>
      <c r="D286" s="51" t="inlineStr">
        <is>
          <t>Current</t>
        </is>
      </c>
      <c r="E286" s="51" t="inlineStr">
        <is>
          <t>APrimary</t>
        </is>
      </c>
    </row>
    <row r="287" ht="15" customHeight="1">
      <c r="A287" s="50">
        <f>CONCATENATE(C287,D287,E287)</f>
        <v/>
      </c>
      <c r="B287" s="51" t="inlineStr">
        <is>
          <t>AMPBPRIM</t>
        </is>
      </c>
      <c r="C287" s="51" t="inlineStr">
        <is>
          <t>MeasuredValue</t>
        </is>
      </c>
      <c r="D287" s="51" t="inlineStr">
        <is>
          <t>Current</t>
        </is>
      </c>
      <c r="E287" s="51" t="inlineStr">
        <is>
          <t>BPrimary</t>
        </is>
      </c>
    </row>
    <row r="288" ht="15" customHeight="1">
      <c r="A288" s="50">
        <f>CONCATENATE(C288,D288,E288)</f>
        <v/>
      </c>
      <c r="B288" s="51" t="inlineStr">
        <is>
          <t>AMPCPRIM</t>
        </is>
      </c>
      <c r="C288" s="51" t="inlineStr">
        <is>
          <t>MeasuredValue</t>
        </is>
      </c>
      <c r="D288" s="51" t="inlineStr">
        <is>
          <t>Current</t>
        </is>
      </c>
      <c r="E288" s="51" t="inlineStr">
        <is>
          <t>CPrimary</t>
        </is>
      </c>
    </row>
    <row r="289" ht="15" customHeight="1">
      <c r="A289" s="50">
        <f>CONCATENATE(C289,D289,E289)</f>
        <v/>
      </c>
      <c r="B289" s="51" t="inlineStr">
        <is>
          <t>AMPNPRIM</t>
        </is>
      </c>
      <c r="C289" s="51" t="inlineStr">
        <is>
          <t>MeasuredValue</t>
        </is>
      </c>
      <c r="D289" s="51" t="inlineStr">
        <is>
          <t>Current</t>
        </is>
      </c>
      <c r="E289" s="51" t="inlineStr">
        <is>
          <t>NPrimary</t>
        </is>
      </c>
    </row>
    <row r="290" ht="30" customHeight="1">
      <c r="A290" s="50">
        <f>CONCATENATE(C290,D290,E290)</f>
        <v/>
      </c>
      <c r="B290" s="51" t="inlineStr">
        <is>
          <t>MWABCPRIM</t>
        </is>
      </c>
      <c r="C290" s="51" t="inlineStr">
        <is>
          <t>MeasuredValue</t>
        </is>
      </c>
      <c r="D290" s="51" t="inlineStr">
        <is>
          <t>ActivePower</t>
        </is>
      </c>
      <c r="E290" s="51" t="inlineStr">
        <is>
          <t>ABCPrimary</t>
        </is>
      </c>
    </row>
    <row r="291" ht="30" customHeight="1">
      <c r="A291" s="50">
        <f>CONCATENATE(C291,D291,E291)</f>
        <v/>
      </c>
      <c r="B291" s="51" t="inlineStr">
        <is>
          <t>MWAPRIM</t>
        </is>
      </c>
      <c r="C291" s="51" t="inlineStr">
        <is>
          <t>MeasuredValue</t>
        </is>
      </c>
      <c r="D291" s="51" t="inlineStr">
        <is>
          <t>ActivePower</t>
        </is>
      </c>
      <c r="E291" s="51" t="inlineStr">
        <is>
          <t>APrimary</t>
        </is>
      </c>
    </row>
    <row r="292" ht="30" customHeight="1">
      <c r="A292" s="50">
        <f>CONCATENATE(C292,D292,E292)</f>
        <v/>
      </c>
      <c r="B292" s="51" t="inlineStr">
        <is>
          <t>MWBPRIM</t>
        </is>
      </c>
      <c r="C292" s="51" t="inlineStr">
        <is>
          <t>MeasuredValue</t>
        </is>
      </c>
      <c r="D292" s="51" t="inlineStr">
        <is>
          <t>ActivePower</t>
        </is>
      </c>
      <c r="E292" s="51" t="inlineStr">
        <is>
          <t>BPrimary</t>
        </is>
      </c>
    </row>
    <row r="293" ht="30" customHeight="1">
      <c r="A293" s="50">
        <f>CONCATENATE(C293,D293,E293)</f>
        <v/>
      </c>
      <c r="B293" s="51" t="inlineStr">
        <is>
          <t>MWCPRIM</t>
        </is>
      </c>
      <c r="C293" s="51" t="inlineStr">
        <is>
          <t>MeasuredValue</t>
        </is>
      </c>
      <c r="D293" s="51" t="inlineStr">
        <is>
          <t>ActivePower</t>
        </is>
      </c>
      <c r="E293" s="51" t="inlineStr">
        <is>
          <t>CPrimary</t>
        </is>
      </c>
    </row>
    <row r="294" ht="30" customHeight="1">
      <c r="A294" s="50">
        <f>CONCATENATE(C294,D294,E294)</f>
        <v/>
      </c>
      <c r="B294" s="51" t="inlineStr">
        <is>
          <t>MVARABCPRIM</t>
        </is>
      </c>
      <c r="C294" s="51" t="inlineStr">
        <is>
          <t>MeasuredValue</t>
        </is>
      </c>
      <c r="D294" s="51" t="inlineStr">
        <is>
          <t>ReactivePower</t>
        </is>
      </c>
      <c r="E294" s="51" t="inlineStr">
        <is>
          <t>ABCPrimary</t>
        </is>
      </c>
    </row>
    <row r="295" ht="30" customHeight="1">
      <c r="A295" s="50">
        <f>CONCATENATE(C295,D295,E295)</f>
        <v/>
      </c>
      <c r="B295" s="51" t="inlineStr">
        <is>
          <t>MVARAPRIM</t>
        </is>
      </c>
      <c r="C295" s="51" t="inlineStr">
        <is>
          <t>MeasuredValue</t>
        </is>
      </c>
      <c r="D295" s="51" t="inlineStr">
        <is>
          <t>ReactivePower</t>
        </is>
      </c>
      <c r="E295" s="51" t="inlineStr">
        <is>
          <t>APrimary</t>
        </is>
      </c>
    </row>
    <row r="296" ht="30" customHeight="1">
      <c r="A296" s="50">
        <f>CONCATENATE(C296,D296,E296)</f>
        <v/>
      </c>
      <c r="B296" s="51" t="inlineStr">
        <is>
          <t>MVARBPRIM</t>
        </is>
      </c>
      <c r="C296" s="51" t="inlineStr">
        <is>
          <t>MeasuredValue</t>
        </is>
      </c>
      <c r="D296" s="51" t="inlineStr">
        <is>
          <t>ReactivePower</t>
        </is>
      </c>
      <c r="E296" s="51" t="inlineStr">
        <is>
          <t>BPrimary</t>
        </is>
      </c>
    </row>
    <row r="297" ht="30" customHeight="1">
      <c r="A297" s="50">
        <f>CONCATENATE(C297,D297,E297)</f>
        <v/>
      </c>
      <c r="B297" s="51" t="inlineStr">
        <is>
          <t>MVARCPRIM</t>
        </is>
      </c>
      <c r="C297" s="51" t="inlineStr">
        <is>
          <t>MeasuredValue</t>
        </is>
      </c>
      <c r="D297" s="51" t="inlineStr">
        <is>
          <t>ReactivePower</t>
        </is>
      </c>
      <c r="E297" s="51" t="inlineStr">
        <is>
          <t>CPrimary</t>
        </is>
      </c>
    </row>
    <row r="298" ht="30" customHeight="1">
      <c r="A298" s="50">
        <f>CONCATENATE(C298,D298,E298)</f>
        <v/>
      </c>
      <c r="B298" s="51" t="inlineStr">
        <is>
          <t>MVAABCPRIM</t>
        </is>
      </c>
      <c r="C298" s="51" t="inlineStr">
        <is>
          <t>MeasuredValue</t>
        </is>
      </c>
      <c r="D298" s="51" t="inlineStr">
        <is>
          <t>ApparentPower</t>
        </is>
      </c>
      <c r="E298" s="51" t="inlineStr">
        <is>
          <t>ABCPrimary</t>
        </is>
      </c>
    </row>
    <row r="299" ht="15" customHeight="1">
      <c r="A299" s="50">
        <f>CONCATENATE(C299,D299,E299)</f>
        <v/>
      </c>
      <c r="B299" s="51" t="inlineStr">
        <is>
          <t>COSPHIABCPRIM</t>
        </is>
      </c>
      <c r="C299" s="51" t="inlineStr">
        <is>
          <t>MeasuredValue</t>
        </is>
      </c>
      <c r="D299" s="51" t="inlineStr">
        <is>
          <t>CosPhi</t>
        </is>
      </c>
      <c r="E299" s="51" t="inlineStr">
        <is>
          <t>ABCPrimary</t>
        </is>
      </c>
    </row>
    <row r="300" ht="15" customHeight="1">
      <c r="A300" s="50">
        <f>CONCATENATE(C300,D300,E300)</f>
        <v/>
      </c>
      <c r="B300" s="51" t="inlineStr">
        <is>
          <t>COSPHIAPRIM</t>
        </is>
      </c>
      <c r="C300" s="51" t="inlineStr">
        <is>
          <t>MeasuredValue</t>
        </is>
      </c>
      <c r="D300" s="51" t="inlineStr">
        <is>
          <t>CosPhi</t>
        </is>
      </c>
      <c r="E300" s="51" t="inlineStr">
        <is>
          <t>APrimary</t>
        </is>
      </c>
    </row>
    <row r="301" ht="15" customHeight="1">
      <c r="A301" s="50">
        <f>CONCATENATE(C301,D301,E301)</f>
        <v/>
      </c>
      <c r="B301" s="51" t="inlineStr">
        <is>
          <t>COSPHIBPRIM</t>
        </is>
      </c>
      <c r="C301" s="51" t="inlineStr">
        <is>
          <t>MeasuredValue</t>
        </is>
      </c>
      <c r="D301" s="51" t="inlineStr">
        <is>
          <t>CosPhi</t>
        </is>
      </c>
      <c r="E301" s="51" t="inlineStr">
        <is>
          <t>BPrimary</t>
        </is>
      </c>
    </row>
    <row r="302" ht="15" customHeight="1">
      <c r="A302" s="50">
        <f>CONCATENATE(C302,D302,E302)</f>
        <v/>
      </c>
      <c r="B302" s="51" t="inlineStr">
        <is>
          <t>COSPHICPRIM</t>
        </is>
      </c>
      <c r="C302" s="51" t="inlineStr">
        <is>
          <t>MeasuredValue</t>
        </is>
      </c>
      <c r="D302" s="51" t="inlineStr">
        <is>
          <t>CosPhi</t>
        </is>
      </c>
      <c r="E302" s="51" t="inlineStr">
        <is>
          <t>CPrimary</t>
        </is>
      </c>
    </row>
    <row r="303" ht="30" customHeight="1">
      <c r="A303" s="50">
        <f>CONCATENATE(C303,D303,E303)</f>
        <v/>
      </c>
      <c r="B303" s="51" t="inlineStr">
        <is>
          <t>MWHABCPRIM</t>
        </is>
      </c>
      <c r="C303" s="51" t="inlineStr">
        <is>
          <t>MeasuredValue</t>
        </is>
      </c>
      <c r="D303" s="51" t="inlineStr">
        <is>
          <t>ActiveEnergy</t>
        </is>
      </c>
      <c r="E303" s="51" t="inlineStr">
        <is>
          <t>ABCPrimary</t>
        </is>
      </c>
    </row>
    <row r="304" ht="30" customHeight="1">
      <c r="A304" s="50">
        <f>CONCATENATE(C304,D304,E304)</f>
        <v/>
      </c>
      <c r="B304" s="51" t="inlineStr">
        <is>
          <t>MWHAPRIM</t>
        </is>
      </c>
      <c r="C304" s="51" t="inlineStr">
        <is>
          <t>MeasuredValue</t>
        </is>
      </c>
      <c r="D304" s="51" t="inlineStr">
        <is>
          <t>ActiveEnergy</t>
        </is>
      </c>
      <c r="E304" s="51" t="inlineStr">
        <is>
          <t>APrimary</t>
        </is>
      </c>
    </row>
    <row r="305" ht="30" customHeight="1">
      <c r="A305" s="50">
        <f>CONCATENATE(C305,D305,E305)</f>
        <v/>
      </c>
      <c r="B305" s="51" t="inlineStr">
        <is>
          <t>MWHBPRIM</t>
        </is>
      </c>
      <c r="C305" s="51" t="inlineStr">
        <is>
          <t>MeasuredValue</t>
        </is>
      </c>
      <c r="D305" s="51" t="inlineStr">
        <is>
          <t>ActiveEnergy</t>
        </is>
      </c>
      <c r="E305" s="51" t="inlineStr">
        <is>
          <t>BPrimary</t>
        </is>
      </c>
    </row>
    <row r="306" ht="30" customHeight="1">
      <c r="A306" s="50">
        <f>CONCATENATE(C306,D306,E306)</f>
        <v/>
      </c>
      <c r="B306" s="51" t="inlineStr">
        <is>
          <t>MWHCPRIM</t>
        </is>
      </c>
      <c r="C306" s="51" t="inlineStr">
        <is>
          <t>MeasuredValue</t>
        </is>
      </c>
      <c r="D306" s="51" t="inlineStr">
        <is>
          <t>ActiveEnergy</t>
        </is>
      </c>
      <c r="E306" s="51" t="inlineStr">
        <is>
          <t>CPrimary</t>
        </is>
      </c>
    </row>
    <row r="307" ht="30" customHeight="1">
      <c r="A307" s="50">
        <f>CONCATENATE(C307,D307,E307)</f>
        <v/>
      </c>
      <c r="B307" s="51" t="inlineStr">
        <is>
          <t>MVARHABCPRIM</t>
        </is>
      </c>
      <c r="C307" s="51" t="inlineStr">
        <is>
          <t>MeasuredValue</t>
        </is>
      </c>
      <c r="D307" s="51" t="inlineStr">
        <is>
          <t>ReactiveEnergy</t>
        </is>
      </c>
      <c r="E307" s="51" t="inlineStr">
        <is>
          <t>ABCPrimary</t>
        </is>
      </c>
    </row>
    <row r="308" ht="30" customHeight="1">
      <c r="A308" s="50">
        <f>CONCATENATE(C308,D308,E308)</f>
        <v/>
      </c>
      <c r="B308" s="51" t="inlineStr">
        <is>
          <t>MVARHAPRIM</t>
        </is>
      </c>
      <c r="C308" s="51" t="inlineStr">
        <is>
          <t>MeasuredValue</t>
        </is>
      </c>
      <c r="D308" s="51" t="inlineStr">
        <is>
          <t>ReactiveEnergy</t>
        </is>
      </c>
      <c r="E308" s="51" t="inlineStr">
        <is>
          <t>APrimary</t>
        </is>
      </c>
    </row>
    <row r="309" ht="30" customHeight="1">
      <c r="A309" s="50">
        <f>CONCATENATE(C309,D309,E309)</f>
        <v/>
      </c>
      <c r="B309" s="51" t="inlineStr">
        <is>
          <t>MVARHBPRIM</t>
        </is>
      </c>
      <c r="C309" s="51" t="inlineStr">
        <is>
          <t>MeasuredValue</t>
        </is>
      </c>
      <c r="D309" s="51" t="inlineStr">
        <is>
          <t>ReactiveEnergy</t>
        </is>
      </c>
      <c r="E309" s="51" t="inlineStr">
        <is>
          <t>BPrimary</t>
        </is>
      </c>
    </row>
    <row r="310" ht="30" customHeight="1">
      <c r="A310" s="50">
        <f>CONCATENATE(C310,D310,E310)</f>
        <v/>
      </c>
      <c r="B310" s="51" t="inlineStr">
        <is>
          <t>MVARHCPRIM</t>
        </is>
      </c>
      <c r="C310" s="51" t="inlineStr">
        <is>
          <t>MeasuredValue</t>
        </is>
      </c>
      <c r="D310" s="51" t="inlineStr">
        <is>
          <t>ReactiveEnergy</t>
        </is>
      </c>
      <c r="E310" s="51" t="inlineStr">
        <is>
          <t>CPrimary</t>
        </is>
      </c>
    </row>
    <row r="311" ht="15" customHeight="1">
      <c r="A311" s="50">
        <f>CONCATENATE(C311,D311,E311)</f>
        <v/>
      </c>
      <c r="B311" s="51" t="inlineStr">
        <is>
          <t>FLTRCDRVOLTABCPRIM</t>
        </is>
      </c>
      <c r="C311" s="51" t="inlineStr">
        <is>
          <t>FaultRecorder</t>
        </is>
      </c>
      <c r="D311" s="51" t="inlineStr">
        <is>
          <t>Voltage</t>
        </is>
      </c>
      <c r="E311" s="51" t="inlineStr">
        <is>
          <t>ABCPrimary</t>
        </is>
      </c>
    </row>
    <row r="312" ht="15" customHeight="1">
      <c r="A312" s="50">
        <f>CONCATENATE(C312,D312,E312)</f>
        <v/>
      </c>
      <c r="B312" s="51" t="inlineStr">
        <is>
          <t>FLTRCDRVOLTAPRIM</t>
        </is>
      </c>
      <c r="C312" s="51" t="inlineStr">
        <is>
          <t>FaultRecorder</t>
        </is>
      </c>
      <c r="D312" s="51" t="inlineStr">
        <is>
          <t>Voltage</t>
        </is>
      </c>
      <c r="E312" s="51" t="inlineStr">
        <is>
          <t>APrimary</t>
        </is>
      </c>
    </row>
    <row r="313" ht="15" customHeight="1">
      <c r="A313" s="50">
        <f>CONCATENATE(C313,D313,E313)</f>
        <v/>
      </c>
      <c r="B313" s="51" t="inlineStr">
        <is>
          <t>FLTRCDRVOLTBPRIM</t>
        </is>
      </c>
      <c r="C313" s="51" t="inlineStr">
        <is>
          <t>FaultRecorder</t>
        </is>
      </c>
      <c r="D313" s="51" t="inlineStr">
        <is>
          <t>Voltage</t>
        </is>
      </c>
      <c r="E313" s="51" t="inlineStr">
        <is>
          <t>BPrimary</t>
        </is>
      </c>
    </row>
    <row r="314" ht="15" customHeight="1">
      <c r="A314" s="50">
        <f>CONCATENATE(C314,D314,E314)</f>
        <v/>
      </c>
      <c r="B314" s="51" t="inlineStr">
        <is>
          <t>FLTRCDRVOLTCPRIM</t>
        </is>
      </c>
      <c r="C314" s="51" t="inlineStr">
        <is>
          <t>FaultRecorder</t>
        </is>
      </c>
      <c r="D314" s="51" t="inlineStr">
        <is>
          <t>Voltage</t>
        </is>
      </c>
      <c r="E314" s="51" t="inlineStr">
        <is>
          <t>CPrimary</t>
        </is>
      </c>
    </row>
    <row r="315" ht="15" customHeight="1">
      <c r="A315" s="50">
        <f>CONCATENATE(C315,D315,E315)</f>
        <v/>
      </c>
      <c r="B315" s="51" t="inlineStr">
        <is>
          <t>FLTRCDRAMPABCPRIM</t>
        </is>
      </c>
      <c r="C315" s="51" t="inlineStr">
        <is>
          <t>FaultRecorder</t>
        </is>
      </c>
      <c r="D315" s="51" t="inlineStr">
        <is>
          <t>Current</t>
        </is>
      </c>
      <c r="E315" s="51" t="inlineStr">
        <is>
          <t>ABCPrimary</t>
        </is>
      </c>
    </row>
    <row r="316" ht="15" customHeight="1">
      <c r="A316" s="50">
        <f>CONCATENATE(C316,D316,E316)</f>
        <v/>
      </c>
      <c r="B316" s="51" t="inlineStr">
        <is>
          <t>FLTRCDRAMPAPRIM</t>
        </is>
      </c>
      <c r="C316" s="51" t="inlineStr">
        <is>
          <t>FaultRecorder</t>
        </is>
      </c>
      <c r="D316" s="51" t="inlineStr">
        <is>
          <t>Current</t>
        </is>
      </c>
      <c r="E316" s="51" t="inlineStr">
        <is>
          <t>APrimary</t>
        </is>
      </c>
    </row>
    <row r="317" ht="15" customHeight="1">
      <c r="A317" s="50">
        <f>CONCATENATE(C317,D317,E317)</f>
        <v/>
      </c>
      <c r="B317" s="51" t="inlineStr">
        <is>
          <t>FLTRCDRAMPBPRIM</t>
        </is>
      </c>
      <c r="C317" s="51" t="inlineStr">
        <is>
          <t>FaultRecorder</t>
        </is>
      </c>
      <c r="D317" s="51" t="inlineStr">
        <is>
          <t>Current</t>
        </is>
      </c>
      <c r="E317" s="51" t="inlineStr">
        <is>
          <t>BPrimary</t>
        </is>
      </c>
    </row>
    <row r="318" ht="15" customHeight="1">
      <c r="A318" s="50">
        <f>CONCATENATE(C318,D318,E318)</f>
        <v/>
      </c>
      <c r="B318" s="51" t="inlineStr">
        <is>
          <t>FLTRCDRAMPCPRIM</t>
        </is>
      </c>
      <c r="C318" s="51" t="inlineStr">
        <is>
          <t>FaultRecorder</t>
        </is>
      </c>
      <c r="D318" s="51" t="inlineStr">
        <is>
          <t>Current</t>
        </is>
      </c>
      <c r="E318" s="51" t="inlineStr">
        <is>
          <t>CPrimary</t>
        </is>
      </c>
    </row>
    <row r="319" ht="30" customHeight="1">
      <c r="A319" s="50">
        <f>CONCATENATE(C319,D319,E319)</f>
        <v/>
      </c>
      <c r="B319" s="51" t="inlineStr">
        <is>
          <t>FLTRCDRVOLTANGABCPRIM</t>
        </is>
      </c>
      <c r="C319" s="51" t="inlineStr">
        <is>
          <t>FaultRecorder</t>
        </is>
      </c>
      <c r="D319" s="51" t="inlineStr">
        <is>
          <t>VoltageAngle</t>
        </is>
      </c>
      <c r="E319" s="51" t="inlineStr">
        <is>
          <t>ABCPrimary</t>
        </is>
      </c>
    </row>
    <row r="320" ht="15" customHeight="1">
      <c r="A320" s="50">
        <f>CONCATENATE(C320,D320,E320)</f>
        <v/>
      </c>
      <c r="B320" s="51" t="inlineStr">
        <is>
          <t>FLTRCDRVOLTANGAPRIM</t>
        </is>
      </c>
      <c r="C320" s="51" t="inlineStr">
        <is>
          <t>FaultRecorder</t>
        </is>
      </c>
      <c r="D320" s="51" t="inlineStr">
        <is>
          <t>VoltageAngle</t>
        </is>
      </c>
      <c r="E320" s="51" t="inlineStr">
        <is>
          <t>APrimary</t>
        </is>
      </c>
    </row>
    <row r="321" ht="15" customHeight="1">
      <c r="A321" s="50">
        <f>CONCATENATE(C321,D321,E321)</f>
        <v/>
      </c>
      <c r="B321" s="51" t="inlineStr">
        <is>
          <t>FLTRCDRVOLTANGBPRIM</t>
        </is>
      </c>
      <c r="C321" s="51" t="inlineStr">
        <is>
          <t>FaultRecorder</t>
        </is>
      </c>
      <c r="D321" s="51" t="inlineStr">
        <is>
          <t>VoltageAngle</t>
        </is>
      </c>
      <c r="E321" s="51" t="inlineStr">
        <is>
          <t>BPrimary</t>
        </is>
      </c>
    </row>
    <row r="322" ht="15" customHeight="1">
      <c r="A322" s="50">
        <f>CONCATENATE(C322,D322,E322)</f>
        <v/>
      </c>
      <c r="B322" s="51" t="inlineStr">
        <is>
          <t>FLTRCDRVOLTANGCPRIM</t>
        </is>
      </c>
      <c r="C322" s="51" t="inlineStr">
        <is>
          <t>FaultRecorder</t>
        </is>
      </c>
      <c r="D322" s="51" t="inlineStr">
        <is>
          <t>VoltageAngle</t>
        </is>
      </c>
      <c r="E322" s="51" t="inlineStr">
        <is>
          <t>CPrimary</t>
        </is>
      </c>
    </row>
    <row r="323" ht="30" customHeight="1">
      <c r="A323" s="50">
        <f>CONCATENATE(C323,D323,E323)</f>
        <v/>
      </c>
      <c r="B323" s="51" t="inlineStr">
        <is>
          <t>FLTRCDRAMPANGABCPRIM</t>
        </is>
      </c>
      <c r="C323" s="51" t="inlineStr">
        <is>
          <t>FaultRecorder</t>
        </is>
      </c>
      <c r="D323" s="51" t="inlineStr">
        <is>
          <t>CurrentAngle</t>
        </is>
      </c>
      <c r="E323" s="51" t="inlineStr">
        <is>
          <t>ABCPrimary</t>
        </is>
      </c>
    </row>
    <row r="324" ht="15" customHeight="1">
      <c r="A324" s="50">
        <f>CONCATENATE(C324,D324,E324)</f>
        <v/>
      </c>
      <c r="B324" s="51" t="inlineStr">
        <is>
          <t>FLTRCDRAMPANGAPRIM</t>
        </is>
      </c>
      <c r="C324" s="51" t="inlineStr">
        <is>
          <t>FaultRecorder</t>
        </is>
      </c>
      <c r="D324" s="51" t="inlineStr">
        <is>
          <t>CurrentAngle</t>
        </is>
      </c>
      <c r="E324" s="51" t="inlineStr">
        <is>
          <t>APrimary</t>
        </is>
      </c>
    </row>
    <row r="325" ht="15" customHeight="1">
      <c r="A325" s="50">
        <f>CONCATENATE(C325,D325,E325)</f>
        <v/>
      </c>
      <c r="B325" s="51" t="inlineStr">
        <is>
          <t>FLTRCDRAMPANGBPRIM</t>
        </is>
      </c>
      <c r="C325" s="51" t="inlineStr">
        <is>
          <t>FaultRecorder</t>
        </is>
      </c>
      <c r="D325" s="51" t="inlineStr">
        <is>
          <t>CurrentAngle</t>
        </is>
      </c>
      <c r="E325" s="51" t="inlineStr">
        <is>
          <t>BPrimary</t>
        </is>
      </c>
    </row>
    <row r="326" ht="15" customHeight="1">
      <c r="A326" s="50">
        <f>CONCATENATE(C326,D326,E326)</f>
        <v/>
      </c>
      <c r="B326" s="51" t="inlineStr">
        <is>
          <t>FLTRCDRAMPANGCPRIM</t>
        </is>
      </c>
      <c r="C326" s="51" t="inlineStr">
        <is>
          <t>FaultRecorder</t>
        </is>
      </c>
      <c r="D326" s="51" t="inlineStr">
        <is>
          <t>CurrentAngle</t>
        </is>
      </c>
      <c r="E326" s="51" t="inlineStr">
        <is>
          <t>CPrimary</t>
        </is>
      </c>
    </row>
    <row r="327" ht="30" customHeight="1">
      <c r="A327" s="50">
        <f>CONCATENATE(C327,D327,E327)</f>
        <v/>
      </c>
      <c r="B327" s="51" t="inlineStr">
        <is>
          <t>TMPABCPRIM</t>
        </is>
      </c>
      <c r="C327" s="51" t="inlineStr">
        <is>
          <t>MeasuredValue</t>
        </is>
      </c>
      <c r="D327" s="51" t="inlineStr">
        <is>
          <t>Temperature</t>
        </is>
      </c>
      <c r="E327" s="51" t="inlineStr">
        <is>
          <t>ABCPrimary</t>
        </is>
      </c>
    </row>
    <row r="328" ht="30" customHeight="1">
      <c r="A328" s="50">
        <f>CONCATENATE(C328,D328,E328)</f>
        <v/>
      </c>
      <c r="B328" s="51" t="inlineStr">
        <is>
          <t>TMPAPRIM</t>
        </is>
      </c>
      <c r="C328" s="51" t="inlineStr">
        <is>
          <t>MeasuredValue</t>
        </is>
      </c>
      <c r="D328" s="51" t="inlineStr">
        <is>
          <t>Temperature</t>
        </is>
      </c>
      <c r="E328" s="51" t="inlineStr">
        <is>
          <t>APrimary</t>
        </is>
      </c>
    </row>
    <row r="329" ht="30" customHeight="1">
      <c r="A329" s="50">
        <f>CONCATENATE(C329,D329,E329)</f>
        <v/>
      </c>
      <c r="B329" s="51" t="inlineStr">
        <is>
          <t>TMPBPRIM</t>
        </is>
      </c>
      <c r="C329" s="51" t="inlineStr">
        <is>
          <t>MeasuredValue</t>
        </is>
      </c>
      <c r="D329" s="51" t="inlineStr">
        <is>
          <t>Temperature</t>
        </is>
      </c>
      <c r="E329" s="51" t="inlineStr">
        <is>
          <t>BPrimary</t>
        </is>
      </c>
    </row>
    <row r="330" ht="30" customHeight="1">
      <c r="A330" s="50">
        <f>CONCATENATE(C330,D330,E330)</f>
        <v/>
      </c>
      <c r="B330" s="51" t="inlineStr">
        <is>
          <t>TMPCPRIM</t>
        </is>
      </c>
      <c r="C330" s="51" t="inlineStr">
        <is>
          <t>MeasuredValue</t>
        </is>
      </c>
      <c r="D330" s="51" t="inlineStr">
        <is>
          <t>Temperature</t>
        </is>
      </c>
      <c r="E330" s="51" t="inlineStr">
        <is>
          <t>CPrimary</t>
        </is>
      </c>
    </row>
    <row r="331" ht="30" customHeight="1">
      <c r="A331" s="50">
        <f>CONCATENATE(C331,D331,E331)</f>
        <v/>
      </c>
      <c r="B331" s="51" t="inlineStr">
        <is>
          <t>CUSTANLM1ABCPRIM</t>
        </is>
      </c>
      <c r="C331" s="51" t="inlineStr">
        <is>
          <t>AnalogSignalType.Custom</t>
        </is>
      </c>
      <c r="D331" s="51" t="inlineStr">
        <is>
          <t>Unitless</t>
        </is>
      </c>
      <c r="E331" s="51" t="inlineStr">
        <is>
          <t>ABCPrimary</t>
        </is>
      </c>
    </row>
    <row r="332" ht="30" customHeight="1">
      <c r="A332" s="50">
        <f>CONCATENATE(C332,D332,E332)</f>
        <v/>
      </c>
      <c r="B332" s="51" t="inlineStr">
        <is>
          <t>CUSTANLM1APRIM</t>
        </is>
      </c>
      <c r="C332" s="51" t="inlineStr">
        <is>
          <t>AnalogSignalType.Custom</t>
        </is>
      </c>
      <c r="D332" s="51" t="inlineStr">
        <is>
          <t>Unitless</t>
        </is>
      </c>
      <c r="E332" s="51" t="inlineStr">
        <is>
          <t>APrimary</t>
        </is>
      </c>
    </row>
    <row r="333" ht="30" customHeight="1">
      <c r="A333" s="50">
        <f>CONCATENATE(C333,D333,E333)</f>
        <v/>
      </c>
      <c r="B333" s="51" t="inlineStr">
        <is>
          <t>CUSTANLM1BPRIM</t>
        </is>
      </c>
      <c r="C333" s="51" t="inlineStr">
        <is>
          <t>AnalogSignalType.Custom</t>
        </is>
      </c>
      <c r="D333" s="51" t="inlineStr">
        <is>
          <t>Unitless</t>
        </is>
      </c>
      <c r="E333" s="51" t="inlineStr">
        <is>
          <t>BPrimary</t>
        </is>
      </c>
    </row>
    <row r="334" ht="30" customHeight="1">
      <c r="A334" s="50">
        <f>CONCATENATE(C334,D334,E334)</f>
        <v/>
      </c>
      <c r="B334" s="51" t="inlineStr">
        <is>
          <t>CUSTANLM1CPRIM</t>
        </is>
      </c>
      <c r="C334" s="51" t="inlineStr">
        <is>
          <t>AnalogSignalType.Custom</t>
        </is>
      </c>
      <c r="D334" s="51" t="inlineStr">
        <is>
          <t>Unitless</t>
        </is>
      </c>
      <c r="E334" s="51" t="inlineStr">
        <is>
          <t>CPrimary</t>
        </is>
      </c>
    </row>
    <row r="335" ht="30" customHeight="1">
      <c r="A335" s="50">
        <f>CONCATENATE(C335,D335,E335)</f>
        <v/>
      </c>
      <c r="B335" s="51" t="inlineStr">
        <is>
          <t>CUSTANLM2ABCPRIM</t>
        </is>
      </c>
      <c r="C335" s="51" t="inlineStr">
        <is>
          <t>AnalogSignalType.Custom</t>
        </is>
      </c>
      <c r="D335" s="51" t="inlineStr">
        <is>
          <t>Voltage</t>
        </is>
      </c>
      <c r="E335" s="51" t="inlineStr">
        <is>
          <t>ABCPrimary</t>
        </is>
      </c>
    </row>
    <row r="336" ht="30" customHeight="1">
      <c r="A336" s="50">
        <f>CONCATENATE(C336,D336,E336)</f>
        <v/>
      </c>
      <c r="B336" s="51" t="inlineStr">
        <is>
          <t>CUSTANLM2APRIM</t>
        </is>
      </c>
      <c r="C336" s="51" t="inlineStr">
        <is>
          <t>AnalogSignalType.Custom</t>
        </is>
      </c>
      <c r="D336" s="51" t="inlineStr">
        <is>
          <t>Voltage</t>
        </is>
      </c>
      <c r="E336" s="51" t="inlineStr">
        <is>
          <t>APrimary</t>
        </is>
      </c>
    </row>
    <row r="337" ht="30" customHeight="1">
      <c r="A337" s="50">
        <f>CONCATENATE(C337,D337,E337)</f>
        <v/>
      </c>
      <c r="B337" s="51" t="inlineStr">
        <is>
          <t>CUSTANLM2BPRIM</t>
        </is>
      </c>
      <c r="C337" s="51" t="inlineStr">
        <is>
          <t>AnalogSignalType.Custom</t>
        </is>
      </c>
      <c r="D337" s="51" t="inlineStr">
        <is>
          <t>Voltage</t>
        </is>
      </c>
      <c r="E337" s="51" t="inlineStr">
        <is>
          <t>BPrimary</t>
        </is>
      </c>
    </row>
    <row r="338" ht="30" customHeight="1">
      <c r="A338" s="50">
        <f>CONCATENATE(C338,D338,E338)</f>
        <v/>
      </c>
      <c r="B338" s="51" t="inlineStr">
        <is>
          <t>CUSTANLM2CPRIM</t>
        </is>
      </c>
      <c r="C338" s="51" t="inlineStr">
        <is>
          <t>AnalogSignalType.Custom</t>
        </is>
      </c>
      <c r="D338" s="51" t="inlineStr">
        <is>
          <t>Voltage</t>
        </is>
      </c>
      <c r="E338" s="51" t="inlineStr">
        <is>
          <t>CPrimary</t>
        </is>
      </c>
    </row>
    <row r="339" ht="30" customHeight="1">
      <c r="A339" s="50">
        <f>CONCATENATE(C339,D339,E339)</f>
        <v/>
      </c>
      <c r="B339" s="51" t="inlineStr">
        <is>
          <t>CUSTANLM3ABCPRIM</t>
        </is>
      </c>
      <c r="C339" s="51" t="inlineStr">
        <is>
          <t>AnalogSignalType.Custom</t>
        </is>
      </c>
      <c r="D339" s="51" t="inlineStr">
        <is>
          <t>Current</t>
        </is>
      </c>
      <c r="E339" s="51" t="inlineStr">
        <is>
          <t>ABCPrimary</t>
        </is>
      </c>
    </row>
    <row r="340" ht="30" customHeight="1">
      <c r="A340" s="50">
        <f>CONCATENATE(C340,D340,E340)</f>
        <v/>
      </c>
      <c r="B340" s="51" t="inlineStr">
        <is>
          <t>CUSTANLM3APRIM</t>
        </is>
      </c>
      <c r="C340" s="51" t="inlineStr">
        <is>
          <t>AnalogSignalType.Custom</t>
        </is>
      </c>
      <c r="D340" s="51" t="inlineStr">
        <is>
          <t>Current</t>
        </is>
      </c>
      <c r="E340" s="51" t="inlineStr">
        <is>
          <t>APrimary</t>
        </is>
      </c>
    </row>
    <row r="341" ht="30" customHeight="1">
      <c r="A341" s="50">
        <f>CONCATENATE(C341,D341,E341)</f>
        <v/>
      </c>
      <c r="B341" s="51" t="inlineStr">
        <is>
          <t>CUSTANLM3BPRIM</t>
        </is>
      </c>
      <c r="C341" s="51" t="inlineStr">
        <is>
          <t>AnalogSignalType.Custom</t>
        </is>
      </c>
      <c r="D341" s="51" t="inlineStr">
        <is>
          <t>Current</t>
        </is>
      </c>
      <c r="E341" s="51" t="inlineStr">
        <is>
          <t>BPrimary</t>
        </is>
      </c>
    </row>
    <row r="342" ht="30" customHeight="1">
      <c r="A342" s="50">
        <f>CONCATENATE(C342,D342,E342)</f>
        <v/>
      </c>
      <c r="B342" s="51" t="inlineStr">
        <is>
          <t>CUSTANLM3CPRIM</t>
        </is>
      </c>
      <c r="C342" s="51" t="inlineStr">
        <is>
          <t>AnalogSignalType.Custom</t>
        </is>
      </c>
      <c r="D342" s="51" t="inlineStr">
        <is>
          <t>Current</t>
        </is>
      </c>
      <c r="E342" s="51" t="inlineStr">
        <is>
          <t>CPrimary</t>
        </is>
      </c>
    </row>
    <row r="343" ht="30" customHeight="1">
      <c r="A343" s="50">
        <f>CONCATENATE(C343,D343,E343)</f>
        <v/>
      </c>
      <c r="B343" s="51" t="inlineStr">
        <is>
          <t>CUSTANLM3NPRIM</t>
        </is>
      </c>
      <c r="C343" s="51" t="inlineStr">
        <is>
          <t>AnalogSignalType.Custom</t>
        </is>
      </c>
      <c r="D343" s="51" t="inlineStr">
        <is>
          <t>Current</t>
        </is>
      </c>
      <c r="E343" s="51" t="inlineStr">
        <is>
          <t>NPrimary</t>
        </is>
      </c>
    </row>
    <row r="344" ht="30" customHeight="1">
      <c r="A344" s="50">
        <f>CONCATENATE(C344,D344,E344)</f>
        <v/>
      </c>
      <c r="B344" s="51" t="inlineStr">
        <is>
          <t>CUSTANLM4ABCPRIM</t>
        </is>
      </c>
      <c r="C344" s="51" t="inlineStr">
        <is>
          <t>AnalogSignalType.Custom</t>
        </is>
      </c>
      <c r="D344" s="51" t="inlineStr">
        <is>
          <t>ActivePower</t>
        </is>
      </c>
      <c r="E344" s="51" t="inlineStr">
        <is>
          <t>ABCPrimary</t>
        </is>
      </c>
    </row>
    <row r="345" ht="30" customHeight="1">
      <c r="A345" s="50">
        <f>CONCATENATE(C345,D345,E345)</f>
        <v/>
      </c>
      <c r="B345" s="51" t="inlineStr">
        <is>
          <t>CUSTANLM4APRIM</t>
        </is>
      </c>
      <c r="C345" s="51" t="inlineStr">
        <is>
          <t>AnalogSignalType.Custom</t>
        </is>
      </c>
      <c r="D345" s="51" t="inlineStr">
        <is>
          <t>ActivePower</t>
        </is>
      </c>
      <c r="E345" s="51" t="inlineStr">
        <is>
          <t>APrimary</t>
        </is>
      </c>
    </row>
    <row r="346" ht="30" customHeight="1">
      <c r="A346" s="50">
        <f>CONCATENATE(C346,D346,E346)</f>
        <v/>
      </c>
      <c r="B346" s="51" t="inlineStr">
        <is>
          <t>CUSTANLM4BPRIM</t>
        </is>
      </c>
      <c r="C346" s="51" t="inlineStr">
        <is>
          <t>AnalogSignalType.Custom</t>
        </is>
      </c>
      <c r="D346" s="51" t="inlineStr">
        <is>
          <t>ActivePower</t>
        </is>
      </c>
      <c r="E346" s="51" t="inlineStr">
        <is>
          <t>BPrimary</t>
        </is>
      </c>
    </row>
    <row r="347" ht="30" customHeight="1">
      <c r="A347" s="50">
        <f>CONCATENATE(C347,D347,E347)</f>
        <v/>
      </c>
      <c r="B347" s="51" t="inlineStr">
        <is>
          <t>CUSTANLM4CPRIM</t>
        </is>
      </c>
      <c r="C347" s="51" t="inlineStr">
        <is>
          <t>AnalogSignalType.Custom</t>
        </is>
      </c>
      <c r="D347" s="51" t="inlineStr">
        <is>
          <t>ActivePower</t>
        </is>
      </c>
      <c r="E347" s="51" t="inlineStr">
        <is>
          <t>CPrimary</t>
        </is>
      </c>
    </row>
    <row r="348" ht="30" customHeight="1">
      <c r="A348" s="50">
        <f>CONCATENATE(C348,D348,E348)</f>
        <v/>
      </c>
      <c r="B348" s="51" t="inlineStr">
        <is>
          <t>CUSTANLM5ABCPRIM</t>
        </is>
      </c>
      <c r="C348" s="51" t="inlineStr">
        <is>
          <t>AnalogSignalType.Custom</t>
        </is>
      </c>
      <c r="D348" s="51" t="inlineStr">
        <is>
          <t>ReactivePower</t>
        </is>
      </c>
      <c r="E348" s="51" t="inlineStr">
        <is>
          <t>ABCPrimary</t>
        </is>
      </c>
    </row>
    <row r="349" ht="30" customHeight="1">
      <c r="A349" s="50">
        <f>CONCATENATE(C349,D349,E349)</f>
        <v/>
      </c>
      <c r="B349" s="51" t="inlineStr">
        <is>
          <t>CUSTANLM5APRIM</t>
        </is>
      </c>
      <c r="C349" s="51" t="inlineStr">
        <is>
          <t>AnalogSignalType.Custom</t>
        </is>
      </c>
      <c r="D349" s="51" t="inlineStr">
        <is>
          <t>ReactivePower</t>
        </is>
      </c>
      <c r="E349" s="51" t="inlineStr">
        <is>
          <t>APrimary</t>
        </is>
      </c>
    </row>
    <row r="350" ht="30" customHeight="1">
      <c r="A350" s="50">
        <f>CONCATENATE(C350,D350,E350)</f>
        <v/>
      </c>
      <c r="B350" s="51" t="inlineStr">
        <is>
          <t>CUSTANLM5BPRIM</t>
        </is>
      </c>
      <c r="C350" s="51" t="inlineStr">
        <is>
          <t>AnalogSignalType.Custom</t>
        </is>
      </c>
      <c r="D350" s="51" t="inlineStr">
        <is>
          <t>ReactivePower</t>
        </is>
      </c>
      <c r="E350" s="51" t="inlineStr">
        <is>
          <t>BPrimary</t>
        </is>
      </c>
    </row>
    <row r="351" ht="30" customHeight="1">
      <c r="A351" s="50">
        <f>CONCATENATE(C351,D351,E351)</f>
        <v/>
      </c>
      <c r="B351" s="51" t="inlineStr">
        <is>
          <t>CUSTANLM5CPRIM</t>
        </is>
      </c>
      <c r="C351" s="51" t="inlineStr">
        <is>
          <t>AnalogSignalType.Custom</t>
        </is>
      </c>
      <c r="D351" s="51" t="inlineStr">
        <is>
          <t>ReactivePower</t>
        </is>
      </c>
      <c r="E351" s="51" t="inlineStr">
        <is>
          <t>CPrimary</t>
        </is>
      </c>
    </row>
    <row r="352" ht="30" customHeight="1">
      <c r="A352" s="50">
        <f>CONCATENATE(C352,D352,E352)</f>
        <v/>
      </c>
      <c r="B352" s="51" t="inlineStr">
        <is>
          <t>CUSTANLM6ABCPRIM</t>
        </is>
      </c>
      <c r="C352" s="51" t="inlineStr">
        <is>
          <t>AnalogSignalType.Custom</t>
        </is>
      </c>
      <c r="D352" s="51" t="inlineStr">
        <is>
          <t>Frequency</t>
        </is>
      </c>
      <c r="E352" s="51" t="inlineStr">
        <is>
          <t>ABCPrimary</t>
        </is>
      </c>
    </row>
    <row r="353" ht="30" customHeight="1">
      <c r="A353" s="50">
        <f>CONCATENATE(C353,D353,E353)</f>
        <v/>
      </c>
      <c r="B353" s="51" t="inlineStr">
        <is>
          <t>CUSTANLM6APRIM</t>
        </is>
      </c>
      <c r="C353" s="51" t="inlineStr">
        <is>
          <t>AnalogSignalType.Custom</t>
        </is>
      </c>
      <c r="D353" s="51" t="inlineStr">
        <is>
          <t>Frequency</t>
        </is>
      </c>
      <c r="E353" s="51" t="inlineStr">
        <is>
          <t>APrimary</t>
        </is>
      </c>
    </row>
    <row r="354" ht="30" customHeight="1">
      <c r="A354" s="50">
        <f>CONCATENATE(C354,D354,E354)</f>
        <v/>
      </c>
      <c r="B354" s="51" t="inlineStr">
        <is>
          <t>CUSTANLM6BPRIM</t>
        </is>
      </c>
      <c r="C354" s="51" t="inlineStr">
        <is>
          <t>AnalogSignalType.Custom</t>
        </is>
      </c>
      <c r="D354" s="51" t="inlineStr">
        <is>
          <t>Frequency</t>
        </is>
      </c>
      <c r="E354" s="51" t="inlineStr">
        <is>
          <t>BPrimary</t>
        </is>
      </c>
    </row>
    <row r="355" ht="30" customHeight="1">
      <c r="A355" s="50">
        <f>CONCATENATE(C355,D355,E355)</f>
        <v/>
      </c>
      <c r="B355" s="51" t="inlineStr">
        <is>
          <t>CUSTANLM6CPRIM</t>
        </is>
      </c>
      <c r="C355" s="51" t="inlineStr">
        <is>
          <t>AnalogSignalType.Custom</t>
        </is>
      </c>
      <c r="D355" s="51" t="inlineStr">
        <is>
          <t>Frequency</t>
        </is>
      </c>
      <c r="E355" s="51" t="inlineStr">
        <is>
          <t>CPrimary</t>
        </is>
      </c>
    </row>
    <row r="356" ht="30" customHeight="1">
      <c r="A356" s="50">
        <f>CONCATENATE(C356,D356,E356)</f>
        <v/>
      </c>
      <c r="B356" s="51" t="inlineStr">
        <is>
          <t>CUSTANLM7ABCPRIM</t>
        </is>
      </c>
      <c r="C356" s="51" t="inlineStr">
        <is>
          <t>AnalogSignalType.Custom</t>
        </is>
      </c>
      <c r="D356" s="51" t="inlineStr">
        <is>
          <t>Temperature</t>
        </is>
      </c>
      <c r="E356" s="51" t="inlineStr">
        <is>
          <t>ABCPrimary</t>
        </is>
      </c>
    </row>
    <row r="357" ht="30" customHeight="1">
      <c r="A357" s="50">
        <f>CONCATENATE(C357,D357,E357)</f>
        <v/>
      </c>
      <c r="B357" s="51" t="inlineStr">
        <is>
          <t>CUSTANLM7APRIM</t>
        </is>
      </c>
      <c r="C357" s="51" t="inlineStr">
        <is>
          <t>AnalogSignalType.Custom</t>
        </is>
      </c>
      <c r="D357" s="51" t="inlineStr">
        <is>
          <t>Temperature</t>
        </is>
      </c>
      <c r="E357" s="51" t="inlineStr">
        <is>
          <t>APrimary</t>
        </is>
      </c>
    </row>
    <row r="358" ht="30" customHeight="1">
      <c r="A358" s="50">
        <f>CONCATENATE(C358,D358,E358)</f>
        <v/>
      </c>
      <c r="B358" s="51" t="inlineStr">
        <is>
          <t>CUSTANLM7BPRIM</t>
        </is>
      </c>
      <c r="C358" s="51" t="inlineStr">
        <is>
          <t>AnalogSignalType.Custom</t>
        </is>
      </c>
      <c r="D358" s="51" t="inlineStr">
        <is>
          <t>Temperature</t>
        </is>
      </c>
      <c r="E358" s="51" t="inlineStr">
        <is>
          <t>BPrimary</t>
        </is>
      </c>
    </row>
    <row r="359" ht="30" customHeight="1">
      <c r="A359" s="50">
        <f>CONCATENATE(C359,D359,E359)</f>
        <v/>
      </c>
      <c r="B359" s="51" t="inlineStr">
        <is>
          <t>CUSTANLM7CPRIM</t>
        </is>
      </c>
      <c r="C359" s="51" t="inlineStr">
        <is>
          <t>AnalogSignalType.Custom</t>
        </is>
      </c>
      <c r="D359" s="51" t="inlineStr">
        <is>
          <t>Temperature</t>
        </is>
      </c>
      <c r="E359" s="51" t="inlineStr">
        <is>
          <t>CPrimary</t>
        </is>
      </c>
    </row>
    <row r="360" ht="30" customHeight="1">
      <c r="A360" s="50">
        <f>CONCATENATE(C360,D360,E360)</f>
        <v/>
      </c>
      <c r="B360" s="51" t="inlineStr">
        <is>
          <t>CUSTANLM8ABCPRIM</t>
        </is>
      </c>
      <c r="C360" s="51" t="inlineStr">
        <is>
          <t>AnalogSignalType.Custom</t>
        </is>
      </c>
      <c r="D360" s="51" t="inlineStr">
        <is>
          <t>ActiveEnergy</t>
        </is>
      </c>
      <c r="E360" s="51" t="inlineStr">
        <is>
          <t>ABCPrimary</t>
        </is>
      </c>
    </row>
    <row r="361" ht="30" customHeight="1">
      <c r="A361" s="50">
        <f>CONCATENATE(C361,D361,E361)</f>
        <v/>
      </c>
      <c r="B361" s="51" t="inlineStr">
        <is>
          <t>CUSTANLM8APRIM</t>
        </is>
      </c>
      <c r="C361" s="51" t="inlineStr">
        <is>
          <t>AnalogSignalType.Custom</t>
        </is>
      </c>
      <c r="D361" s="51" t="inlineStr">
        <is>
          <t>ActiveEnergy</t>
        </is>
      </c>
      <c r="E361" s="51" t="inlineStr">
        <is>
          <t>APrimary</t>
        </is>
      </c>
    </row>
    <row r="362" ht="30" customHeight="1">
      <c r="A362" s="50">
        <f>CONCATENATE(C362,D362,E362)</f>
        <v/>
      </c>
      <c r="B362" s="51" t="inlineStr">
        <is>
          <t>CUSTANLM8BPRIM</t>
        </is>
      </c>
      <c r="C362" s="51" t="inlineStr">
        <is>
          <t>AnalogSignalType.Custom</t>
        </is>
      </c>
      <c r="D362" s="51" t="inlineStr">
        <is>
          <t>ActiveEnergy</t>
        </is>
      </c>
      <c r="E362" s="51" t="inlineStr">
        <is>
          <t>BPrimary</t>
        </is>
      </c>
    </row>
    <row r="363" ht="30" customHeight="1">
      <c r="A363" s="50">
        <f>CONCATENATE(C363,D363,E363)</f>
        <v/>
      </c>
      <c r="B363" s="51" t="inlineStr">
        <is>
          <t>CUSTANLM8CPRIM</t>
        </is>
      </c>
      <c r="C363" s="51" t="inlineStr">
        <is>
          <t>AnalogSignalType.Custom</t>
        </is>
      </c>
      <c r="D363" s="51" t="inlineStr">
        <is>
          <t>ActiveEnergy</t>
        </is>
      </c>
      <c r="E363" s="51" t="inlineStr">
        <is>
          <t>CPrimary</t>
        </is>
      </c>
    </row>
    <row r="364" ht="30" customHeight="1">
      <c r="A364" s="50">
        <f>CONCATENATE(C364,D364,E364)</f>
        <v/>
      </c>
      <c r="B364" s="51" t="inlineStr">
        <is>
          <t>CUSTANLM9ABCPRIM</t>
        </is>
      </c>
      <c r="C364" s="51" t="inlineStr">
        <is>
          <t>AnalogSignalType.Custom</t>
        </is>
      </c>
      <c r="D364" s="51" t="inlineStr">
        <is>
          <t>ReactiveEnergy</t>
        </is>
      </c>
      <c r="E364" s="51" t="inlineStr">
        <is>
          <t>ABCPrimary</t>
        </is>
      </c>
    </row>
    <row r="365" ht="30" customHeight="1">
      <c r="A365" s="50">
        <f>CONCATENATE(C365,D365,E365)</f>
        <v/>
      </c>
      <c r="B365" s="51" t="inlineStr">
        <is>
          <t>CUSTANLM9APRIM</t>
        </is>
      </c>
      <c r="C365" s="51" t="inlineStr">
        <is>
          <t>AnalogSignalType.Custom</t>
        </is>
      </c>
      <c r="D365" s="51" t="inlineStr">
        <is>
          <t>ReactiveEnergy</t>
        </is>
      </c>
      <c r="E365" s="51" t="inlineStr">
        <is>
          <t>APrimary</t>
        </is>
      </c>
    </row>
    <row r="366" ht="30" customHeight="1">
      <c r="A366" s="50">
        <f>CONCATENATE(C366,D366,E366)</f>
        <v/>
      </c>
      <c r="B366" s="51" t="inlineStr">
        <is>
          <t>CUSTANLM9BPRIM</t>
        </is>
      </c>
      <c r="C366" s="51" t="inlineStr">
        <is>
          <t>AnalogSignalType.Custom</t>
        </is>
      </c>
      <c r="D366" s="51" t="inlineStr">
        <is>
          <t>ReactiveEnergy</t>
        </is>
      </c>
      <c r="E366" s="51" t="inlineStr">
        <is>
          <t>BPrimary</t>
        </is>
      </c>
    </row>
    <row r="367" ht="30" customHeight="1">
      <c r="A367" s="50">
        <f>CONCATENATE(C367,D367,E367)</f>
        <v/>
      </c>
      <c r="B367" s="51" t="inlineStr">
        <is>
          <t>CUSTANLM9CPRIM</t>
        </is>
      </c>
      <c r="C367" s="51" t="inlineStr">
        <is>
          <t>AnalogSignalType.Custom</t>
        </is>
      </c>
      <c r="D367" s="51" t="inlineStr">
        <is>
          <t>ReactiveEnergy</t>
        </is>
      </c>
      <c r="E367" s="51" t="inlineStr">
        <is>
          <t>CPrimary</t>
        </is>
      </c>
    </row>
    <row r="368" ht="30" customHeight="1">
      <c r="A368" s="50">
        <f>CONCATENATE(C368,D368,E368)</f>
        <v/>
      </c>
      <c r="B368" s="51" t="inlineStr">
        <is>
          <t>CUSTANLM10ABCPRIM</t>
        </is>
      </c>
      <c r="C368" s="51" t="inlineStr">
        <is>
          <t>AnalogSignalType.Custom</t>
        </is>
      </c>
      <c r="D368" s="51" t="inlineStr">
        <is>
          <t>ApparentPower</t>
        </is>
      </c>
      <c r="E368" s="51" t="inlineStr">
        <is>
          <t>ABCPrimary</t>
        </is>
      </c>
    </row>
    <row r="369" ht="30" customHeight="1">
      <c r="A369" s="50">
        <f>CONCATENATE(C369,D369,E369)</f>
        <v/>
      </c>
      <c r="B369" s="51" t="inlineStr">
        <is>
          <t>CUSTANLM10APRIM</t>
        </is>
      </c>
      <c r="C369" s="51" t="inlineStr">
        <is>
          <t>AnalogSignalType.Custom</t>
        </is>
      </c>
      <c r="D369" s="51" t="inlineStr">
        <is>
          <t>ApparentPower</t>
        </is>
      </c>
      <c r="E369" s="51" t="inlineStr">
        <is>
          <t>APrimary</t>
        </is>
      </c>
    </row>
    <row r="370" ht="30" customHeight="1">
      <c r="A370" s="50">
        <f>CONCATENATE(C370,D370,E370)</f>
        <v/>
      </c>
      <c r="B370" s="51" t="inlineStr">
        <is>
          <t>CUSTANLM10BPRIM</t>
        </is>
      </c>
      <c r="C370" s="51" t="inlineStr">
        <is>
          <t>AnalogSignalType.Custom</t>
        </is>
      </c>
      <c r="D370" s="51" t="inlineStr">
        <is>
          <t>ApparentPower</t>
        </is>
      </c>
      <c r="E370" s="51" t="inlineStr">
        <is>
          <t>BPrimary</t>
        </is>
      </c>
    </row>
    <row r="371" ht="30" customHeight="1">
      <c r="A371" s="50">
        <f>CONCATENATE(C371,D371,E371)</f>
        <v/>
      </c>
      <c r="B371" s="51" t="inlineStr">
        <is>
          <t>CUSTANLM10CPRIM</t>
        </is>
      </c>
      <c r="C371" s="51" t="inlineStr">
        <is>
          <t>AnalogSignalType.Custom</t>
        </is>
      </c>
      <c r="D371" s="51" t="inlineStr">
        <is>
          <t>ApparentPower</t>
        </is>
      </c>
      <c r="E371" s="51" t="inlineStr">
        <is>
          <t>CPrimary</t>
        </is>
      </c>
    </row>
    <row r="372" ht="30" customHeight="1">
      <c r="A372" s="50">
        <f>CONCATENATE(C372,D372,E372)</f>
        <v/>
      </c>
      <c r="B372" s="51" t="inlineStr">
        <is>
          <t>CUSTANLM11ABCPRIM</t>
        </is>
      </c>
      <c r="C372" s="51" t="inlineStr">
        <is>
          <t>AnalogSignalType.Custom</t>
        </is>
      </c>
      <c r="D372" s="51" t="inlineStr">
        <is>
          <t>VoltageAngle</t>
        </is>
      </c>
      <c r="E372" s="51" t="inlineStr">
        <is>
          <t>ABCPrimary</t>
        </is>
      </c>
    </row>
    <row r="373" ht="30" customHeight="1">
      <c r="A373" s="50">
        <f>CONCATENATE(C373,D373,E373)</f>
        <v/>
      </c>
      <c r="B373" s="51" t="inlineStr">
        <is>
          <t>CUSTANLM11APRIM</t>
        </is>
      </c>
      <c r="C373" s="51" t="inlineStr">
        <is>
          <t>AnalogSignalType.Custom</t>
        </is>
      </c>
      <c r="D373" s="51" t="inlineStr">
        <is>
          <t>VoltageAngle</t>
        </is>
      </c>
      <c r="E373" s="51" t="inlineStr">
        <is>
          <t>APrimary</t>
        </is>
      </c>
    </row>
    <row r="374" ht="30" customHeight="1">
      <c r="A374" s="50">
        <f>CONCATENATE(C374,D374,E374)</f>
        <v/>
      </c>
      <c r="B374" s="51" t="inlineStr">
        <is>
          <t>CUSTANLM11BPRIM</t>
        </is>
      </c>
      <c r="C374" s="51" t="inlineStr">
        <is>
          <t>AnalogSignalType.Custom</t>
        </is>
      </c>
      <c r="D374" s="51" t="inlineStr">
        <is>
          <t>VoltageAngle</t>
        </is>
      </c>
      <c r="E374" s="51" t="inlineStr">
        <is>
          <t>BPrimary</t>
        </is>
      </c>
    </row>
    <row r="375" ht="30" customHeight="1">
      <c r="A375" s="50">
        <f>CONCATENATE(C375,D375,E375)</f>
        <v/>
      </c>
      <c r="B375" s="51" t="inlineStr">
        <is>
          <t>CUSTANLM11CPRIM</t>
        </is>
      </c>
      <c r="C375" s="51" t="inlineStr">
        <is>
          <t>AnalogSignalType.Custom</t>
        </is>
      </c>
      <c r="D375" s="51" t="inlineStr">
        <is>
          <t>VoltageAngle</t>
        </is>
      </c>
      <c r="E375" s="51" t="inlineStr">
        <is>
          <t>CPrimary</t>
        </is>
      </c>
    </row>
    <row r="376" ht="30" customHeight="1">
      <c r="A376" s="50">
        <f>CONCATENATE(C376,D376,E376)</f>
        <v/>
      </c>
      <c r="B376" s="51" t="inlineStr">
        <is>
          <t>CUSTANLM12ABCPRIM</t>
        </is>
      </c>
      <c r="C376" s="51" t="inlineStr">
        <is>
          <t>AnalogSignalType.Custom</t>
        </is>
      </c>
      <c r="D376" s="51" t="inlineStr">
        <is>
          <t>Time</t>
        </is>
      </c>
      <c r="E376" s="51" t="inlineStr">
        <is>
          <t>ABCPrimary</t>
        </is>
      </c>
    </row>
    <row r="377" ht="30" customHeight="1">
      <c r="A377" s="50">
        <f>CONCATENATE(C377,D377,E377)</f>
        <v/>
      </c>
      <c r="B377" s="51" t="inlineStr">
        <is>
          <t>CUSTANLM12APRIM</t>
        </is>
      </c>
      <c r="C377" s="51" t="inlineStr">
        <is>
          <t>AnalogSignalType.Custom</t>
        </is>
      </c>
      <c r="D377" s="51" t="inlineStr">
        <is>
          <t>Time</t>
        </is>
      </c>
      <c r="E377" s="51" t="inlineStr">
        <is>
          <t>APrimary</t>
        </is>
      </c>
    </row>
    <row r="378" ht="30" customHeight="1">
      <c r="A378" s="50">
        <f>CONCATENATE(C378,D378,E378)</f>
        <v/>
      </c>
      <c r="B378" s="51" t="inlineStr">
        <is>
          <t>CUSTANLM12BPRIM</t>
        </is>
      </c>
      <c r="C378" s="51" t="inlineStr">
        <is>
          <t>AnalogSignalType.Custom</t>
        </is>
      </c>
      <c r="D378" s="51" t="inlineStr">
        <is>
          <t>Time</t>
        </is>
      </c>
      <c r="E378" s="51" t="inlineStr">
        <is>
          <t>BPrimary</t>
        </is>
      </c>
    </row>
    <row r="379" ht="30" customHeight="1">
      <c r="A379" s="50">
        <f>CONCATENATE(C379,D379,E379)</f>
        <v/>
      </c>
      <c r="B379" s="51" t="inlineStr">
        <is>
          <t>CUSTANLM12CPRIM</t>
        </is>
      </c>
      <c r="C379" s="51" t="inlineStr">
        <is>
          <t>AnalogSignalType.Custom</t>
        </is>
      </c>
      <c r="D379" s="51" t="inlineStr">
        <is>
          <t>Time</t>
        </is>
      </c>
      <c r="E379" s="51" t="inlineStr">
        <is>
          <t>CPrimary</t>
        </is>
      </c>
    </row>
    <row r="380" ht="30" customHeight="1">
      <c r="A380" s="50">
        <f>CONCATENATE(C380,D380,E380)</f>
        <v/>
      </c>
      <c r="B380" s="51" t="inlineStr">
        <is>
          <t>CUSTANLM13ABCPRIM</t>
        </is>
      </c>
      <c r="C380" s="51" t="inlineStr">
        <is>
          <t>AnalogSignalType.Custom</t>
        </is>
      </c>
      <c r="D380" s="51" t="inlineStr">
        <is>
          <t>Humidity</t>
        </is>
      </c>
      <c r="E380" s="51" t="inlineStr">
        <is>
          <t>ABCPrimary</t>
        </is>
      </c>
    </row>
    <row r="381" ht="30" customHeight="1">
      <c r="A381" s="50">
        <f>CONCATENATE(C381,D381,E381)</f>
        <v/>
      </c>
      <c r="B381" s="51" t="inlineStr">
        <is>
          <t>CUSTANLM13APRIM</t>
        </is>
      </c>
      <c r="C381" s="51" t="inlineStr">
        <is>
          <t>AnalogSignalType.Custom</t>
        </is>
      </c>
      <c r="D381" s="51" t="inlineStr">
        <is>
          <t>Humidity</t>
        </is>
      </c>
      <c r="E381" s="51" t="inlineStr">
        <is>
          <t>APrimary</t>
        </is>
      </c>
    </row>
    <row r="382" ht="30" customHeight="1">
      <c r="A382" s="50">
        <f>CONCATENATE(C382,D382,E382)</f>
        <v/>
      </c>
      <c r="B382" s="51" t="inlineStr">
        <is>
          <t>CUSTANLM13BPRIM</t>
        </is>
      </c>
      <c r="C382" s="51" t="inlineStr">
        <is>
          <t>AnalogSignalType.Custom</t>
        </is>
      </c>
      <c r="D382" s="51" t="inlineStr">
        <is>
          <t>Humidity</t>
        </is>
      </c>
      <c r="E382" s="51" t="inlineStr">
        <is>
          <t>BPrimary</t>
        </is>
      </c>
    </row>
    <row r="383" ht="30" customHeight="1">
      <c r="A383" s="50">
        <f>CONCATENATE(C383,D383,E383)</f>
        <v/>
      </c>
      <c r="B383" s="51" t="inlineStr">
        <is>
          <t>CUSTANLM13CPRIM</t>
        </is>
      </c>
      <c r="C383" s="51" t="inlineStr">
        <is>
          <t>AnalogSignalType.Custom</t>
        </is>
      </c>
      <c r="D383" s="51" t="inlineStr">
        <is>
          <t>Humidity</t>
        </is>
      </c>
      <c r="E383" s="51" t="inlineStr">
        <is>
          <t>CPrimary</t>
        </is>
      </c>
    </row>
    <row r="384" ht="30" customHeight="1">
      <c r="A384" s="50">
        <f>CONCATENATE(C384,D384,E384)</f>
        <v/>
      </c>
      <c r="B384" s="51" t="inlineStr">
        <is>
          <t>CUSTANLM14ABCPRIM</t>
        </is>
      </c>
      <c r="C384" s="51" t="inlineStr">
        <is>
          <t>AnalogSignalType.Custom</t>
        </is>
      </c>
      <c r="D384" s="51" t="inlineStr">
        <is>
          <t>WindSpeed</t>
        </is>
      </c>
      <c r="E384" s="51" t="inlineStr">
        <is>
          <t>ABCPrimary</t>
        </is>
      </c>
    </row>
    <row r="385" ht="30" customHeight="1">
      <c r="A385" s="50">
        <f>CONCATENATE(C385,D385,E385)</f>
        <v/>
      </c>
      <c r="B385" s="51" t="inlineStr">
        <is>
          <t>CUSTANLM14APRIM</t>
        </is>
      </c>
      <c r="C385" s="51" t="inlineStr">
        <is>
          <t>AnalogSignalType.Custom</t>
        </is>
      </c>
      <c r="D385" s="51" t="inlineStr">
        <is>
          <t>WindSpeed</t>
        </is>
      </c>
      <c r="E385" s="51" t="inlineStr">
        <is>
          <t>APrimary</t>
        </is>
      </c>
    </row>
    <row r="386" ht="30" customHeight="1">
      <c r="A386" s="50">
        <f>CONCATENATE(C386,D386,E386)</f>
        <v/>
      </c>
      <c r="B386" s="51" t="inlineStr">
        <is>
          <t>CUSTANLM14BPRIM</t>
        </is>
      </c>
      <c r="C386" s="51" t="inlineStr">
        <is>
          <t>AnalogSignalType.Custom</t>
        </is>
      </c>
      <c r="D386" s="51" t="inlineStr">
        <is>
          <t>WindSpeed</t>
        </is>
      </c>
      <c r="E386" s="51" t="inlineStr">
        <is>
          <t>BPrimary</t>
        </is>
      </c>
    </row>
    <row r="387" ht="30" customHeight="1">
      <c r="A387" s="50">
        <f>CONCATENATE(C387,D387,E387)</f>
        <v/>
      </c>
      <c r="B387" s="51" t="inlineStr">
        <is>
          <t>CUSTANLM14CPRIM</t>
        </is>
      </c>
      <c r="C387" s="51" t="inlineStr">
        <is>
          <t>AnalogSignalType.Custom</t>
        </is>
      </c>
      <c r="D387" s="51" t="inlineStr">
        <is>
          <t>WindSpeed</t>
        </is>
      </c>
      <c r="E387" s="51" t="inlineStr">
        <is>
          <t>CPrimary</t>
        </is>
      </c>
    </row>
    <row r="388" ht="30" customHeight="1">
      <c r="A388" s="50">
        <f>CONCATENATE(C388,D388,E388)</f>
        <v/>
      </c>
      <c r="B388" s="51" t="inlineStr">
        <is>
          <t>CUSTANLM15ABCPRIM</t>
        </is>
      </c>
      <c r="C388" s="51" t="inlineStr">
        <is>
          <t>AnalogSignalType.Custom</t>
        </is>
      </c>
      <c r="D388" s="51" t="inlineStr">
        <is>
          <t>FeelsLike</t>
        </is>
      </c>
      <c r="E388" s="51" t="inlineStr">
        <is>
          <t>ABCPrimary</t>
        </is>
      </c>
    </row>
    <row r="389" ht="30" customHeight="1">
      <c r="A389" s="50">
        <f>CONCATENATE(C389,D389,E389)</f>
        <v/>
      </c>
      <c r="B389" s="51" t="inlineStr">
        <is>
          <t>CUSTANLM15APRIM</t>
        </is>
      </c>
      <c r="C389" s="51" t="inlineStr">
        <is>
          <t>AnalogSignalType.Custom</t>
        </is>
      </c>
      <c r="D389" s="51" t="inlineStr">
        <is>
          <t>FeelsLike</t>
        </is>
      </c>
      <c r="E389" s="51" t="inlineStr">
        <is>
          <t>APrimary</t>
        </is>
      </c>
    </row>
    <row r="390" ht="30" customHeight="1">
      <c r="A390" s="50">
        <f>CONCATENATE(C390,D390,E390)</f>
        <v/>
      </c>
      <c r="B390" s="51" t="inlineStr">
        <is>
          <t>CUSTANLM15BPRIM</t>
        </is>
      </c>
      <c r="C390" s="51" t="inlineStr">
        <is>
          <t>AnalogSignalType.Custom</t>
        </is>
      </c>
      <c r="D390" s="51" t="inlineStr">
        <is>
          <t>FeelsLike</t>
        </is>
      </c>
      <c r="E390" s="51" t="inlineStr">
        <is>
          <t>BPrimary</t>
        </is>
      </c>
    </row>
    <row r="391" ht="30" customHeight="1">
      <c r="A391" s="50">
        <f>CONCATENATE(C391,D391,E391)</f>
        <v/>
      </c>
      <c r="B391" s="51" t="inlineStr">
        <is>
          <t>CUSTANLM15CPRIM</t>
        </is>
      </c>
      <c r="C391" s="51" t="inlineStr">
        <is>
          <t>AnalogSignalType.Custom</t>
        </is>
      </c>
      <c r="D391" s="51" t="inlineStr">
        <is>
          <t>FeelsLike</t>
        </is>
      </c>
      <c r="E391" s="51" t="inlineStr">
        <is>
          <t>CPrimary</t>
        </is>
      </c>
    </row>
    <row r="392" ht="30" customHeight="1">
      <c r="A392" s="50">
        <f>CONCATENATE(C392,D392,E392)</f>
        <v/>
      </c>
      <c r="B392" s="51" t="inlineStr">
        <is>
          <t>CUSTANLM16ABCPRIM</t>
        </is>
      </c>
      <c r="C392" s="51" t="inlineStr">
        <is>
          <t>AnalogSignalType.Custom</t>
        </is>
      </c>
      <c r="D392" s="51" t="inlineStr">
        <is>
          <t>SunshineMinutes</t>
        </is>
      </c>
      <c r="E392" s="51" t="inlineStr">
        <is>
          <t>ABCPrimary</t>
        </is>
      </c>
    </row>
    <row r="393" ht="30" customHeight="1">
      <c r="A393" s="50">
        <f>CONCATENATE(C393,D393,E393)</f>
        <v/>
      </c>
      <c r="B393" s="51" t="inlineStr">
        <is>
          <t>CUSTANLM16APRIM</t>
        </is>
      </c>
      <c r="C393" s="51" t="inlineStr">
        <is>
          <t>AnalogSignalType.Custom</t>
        </is>
      </c>
      <c r="D393" s="51" t="inlineStr">
        <is>
          <t>SunshineMinutes</t>
        </is>
      </c>
      <c r="E393" s="51" t="inlineStr">
        <is>
          <t>APrimary</t>
        </is>
      </c>
    </row>
    <row r="394" ht="30" customHeight="1">
      <c r="A394" s="50">
        <f>CONCATENATE(C394,D394,E394)</f>
        <v/>
      </c>
      <c r="B394" s="51" t="inlineStr">
        <is>
          <t>CUSTANLM16BPRIM</t>
        </is>
      </c>
      <c r="C394" s="51" t="inlineStr">
        <is>
          <t>AnalogSignalType.Custom</t>
        </is>
      </c>
      <c r="D394" s="51" t="inlineStr">
        <is>
          <t>SunshineMinutes</t>
        </is>
      </c>
      <c r="E394" s="51" t="inlineStr">
        <is>
          <t>BPrimary</t>
        </is>
      </c>
    </row>
    <row r="395" ht="30" customHeight="1">
      <c r="A395" s="50">
        <f>CONCATENATE(C395,D395,E395)</f>
        <v/>
      </c>
      <c r="B395" s="51" t="inlineStr">
        <is>
          <t>CUSTANLM16CPRIM</t>
        </is>
      </c>
      <c r="C395" s="51" t="inlineStr">
        <is>
          <t>AnalogSignalType.Custom</t>
        </is>
      </c>
      <c r="D395" s="51" t="inlineStr">
        <is>
          <t>SunshineMinutes</t>
        </is>
      </c>
      <c r="E395" s="51" t="inlineStr">
        <is>
          <t>CPrimary</t>
        </is>
      </c>
    </row>
    <row r="396" ht="30" customHeight="1">
      <c r="A396" s="50">
        <f>CONCATENATE(C396,D396,E396)</f>
        <v/>
      </c>
      <c r="B396" s="51" t="inlineStr">
        <is>
          <t>CUSTANLM17ABCPRIM</t>
        </is>
      </c>
      <c r="C396" s="51" t="inlineStr">
        <is>
          <t>AnalogSignalType.Custom</t>
        </is>
      </c>
      <c r="D396" s="51" t="inlineStr">
        <is>
          <t>SkyCover</t>
        </is>
      </c>
      <c r="E396" s="51" t="inlineStr">
        <is>
          <t>ABCPrimary</t>
        </is>
      </c>
    </row>
    <row r="397" ht="30" customHeight="1">
      <c r="A397" s="50">
        <f>CONCATENATE(C397,D397,E397)</f>
        <v/>
      </c>
      <c r="B397" s="51" t="inlineStr">
        <is>
          <t>CUSTANLM17APRIM</t>
        </is>
      </c>
      <c r="C397" s="51" t="inlineStr">
        <is>
          <t>AnalogSignalType.Custom</t>
        </is>
      </c>
      <c r="D397" s="51" t="inlineStr">
        <is>
          <t>SkyCover</t>
        </is>
      </c>
      <c r="E397" s="51" t="inlineStr">
        <is>
          <t>APrimary</t>
        </is>
      </c>
    </row>
    <row r="398" ht="30" customHeight="1">
      <c r="A398" s="50">
        <f>CONCATENATE(C398,D398,E398)</f>
        <v/>
      </c>
      <c r="B398" s="51" t="inlineStr">
        <is>
          <t>CUSTANLM17BPRIM</t>
        </is>
      </c>
      <c r="C398" s="51" t="inlineStr">
        <is>
          <t>AnalogSignalType.Custom</t>
        </is>
      </c>
      <c r="D398" s="51" t="inlineStr">
        <is>
          <t>SkyCover</t>
        </is>
      </c>
      <c r="E398" s="51" t="inlineStr">
        <is>
          <t>BPrimary</t>
        </is>
      </c>
    </row>
    <row r="399" ht="30" customHeight="1">
      <c r="A399" s="50">
        <f>CONCATENATE(C399,D399,E399)</f>
        <v/>
      </c>
      <c r="B399" s="51" t="inlineStr">
        <is>
          <t>CUSTANLM17CPRIM</t>
        </is>
      </c>
      <c r="C399" s="51" t="inlineStr">
        <is>
          <t>AnalogSignalType.Custom</t>
        </is>
      </c>
      <c r="D399" s="51" t="inlineStr">
        <is>
          <t>SkyCover</t>
        </is>
      </c>
      <c r="E399" s="51" t="inlineStr">
        <is>
          <t>CPrimary</t>
        </is>
      </c>
    </row>
    <row r="400" ht="30" customHeight="1">
      <c r="A400" s="50">
        <f>CONCATENATE(C400,D400,E400)</f>
        <v/>
      </c>
      <c r="B400" s="51" t="inlineStr">
        <is>
          <t>CUSTANLM18ABCPRIM</t>
        </is>
      </c>
      <c r="C400" s="51" t="inlineStr">
        <is>
          <t>AnalogSignalType.Custom</t>
        </is>
      </c>
      <c r="D400" s="51" t="inlineStr">
        <is>
          <t>Length</t>
        </is>
      </c>
      <c r="E400" s="51" t="inlineStr">
        <is>
          <t>ABCPrimary</t>
        </is>
      </c>
    </row>
    <row r="401" ht="30" customHeight="1">
      <c r="A401" s="50">
        <f>CONCATENATE(C401,D401,E401)</f>
        <v/>
      </c>
      <c r="B401" s="51" t="inlineStr">
        <is>
          <t>CUSTANLM18APRIM</t>
        </is>
      </c>
      <c r="C401" s="51" t="inlineStr">
        <is>
          <t>AnalogSignalType.Custom</t>
        </is>
      </c>
      <c r="D401" s="51" t="inlineStr">
        <is>
          <t>Length</t>
        </is>
      </c>
      <c r="E401" s="51" t="inlineStr">
        <is>
          <t>APrimary</t>
        </is>
      </c>
    </row>
    <row r="402" ht="30" customHeight="1">
      <c r="A402" s="50">
        <f>CONCATENATE(C402,D402,E402)</f>
        <v/>
      </c>
      <c r="B402" s="51" t="inlineStr">
        <is>
          <t>CUSTANLM18BPRIM</t>
        </is>
      </c>
      <c r="C402" s="51" t="inlineStr">
        <is>
          <t>AnalogSignalType.Custom</t>
        </is>
      </c>
      <c r="D402" s="51" t="inlineStr">
        <is>
          <t>Length</t>
        </is>
      </c>
      <c r="E402" s="51" t="inlineStr">
        <is>
          <t>BPrimary</t>
        </is>
      </c>
    </row>
    <row r="403" ht="30" customHeight="1">
      <c r="A403" s="50">
        <f>CONCATENATE(C403,D403,E403)</f>
        <v/>
      </c>
      <c r="B403" s="51" t="inlineStr">
        <is>
          <t>CUSTANLM18CPRIM</t>
        </is>
      </c>
      <c r="C403" s="51" t="inlineStr">
        <is>
          <t>AnalogSignalType.Custom</t>
        </is>
      </c>
      <c r="D403" s="51" t="inlineStr">
        <is>
          <t>Length</t>
        </is>
      </c>
      <c r="E403" s="51" t="inlineStr">
        <is>
          <t>CPrimary</t>
        </is>
      </c>
    </row>
    <row r="404" ht="30" customHeight="1">
      <c r="A404" s="50">
        <f>CONCATENATE(C404,D404,E404)</f>
        <v/>
      </c>
      <c r="B404" s="51" t="inlineStr">
        <is>
          <t>CUSTANLM19ABCPRIM</t>
        </is>
      </c>
      <c r="C404" s="51" t="inlineStr">
        <is>
          <t>AnalogSignalType.Custom</t>
        </is>
      </c>
      <c r="D404" s="51" t="inlineStr">
        <is>
          <t>CrossSection</t>
        </is>
      </c>
      <c r="E404" s="51" t="inlineStr">
        <is>
          <t>ABCPrimary</t>
        </is>
      </c>
    </row>
    <row r="405" ht="30" customHeight="1">
      <c r="A405" s="50">
        <f>CONCATENATE(C405,D405,E405)</f>
        <v/>
      </c>
      <c r="B405" s="51" t="inlineStr">
        <is>
          <t>CUSTANLM19APRIM</t>
        </is>
      </c>
      <c r="C405" s="51" t="inlineStr">
        <is>
          <t>AnalogSignalType.Custom</t>
        </is>
      </c>
      <c r="D405" s="51" t="inlineStr">
        <is>
          <t>CrossSection</t>
        </is>
      </c>
      <c r="E405" s="51" t="inlineStr">
        <is>
          <t>APrimary</t>
        </is>
      </c>
    </row>
    <row r="406" ht="30" customHeight="1">
      <c r="A406" s="50">
        <f>CONCATENATE(C406,D406,E406)</f>
        <v/>
      </c>
      <c r="B406" s="51" t="inlineStr">
        <is>
          <t>CUSTANLM19BPRIM</t>
        </is>
      </c>
      <c r="C406" s="51" t="inlineStr">
        <is>
          <t>AnalogSignalType.Custom</t>
        </is>
      </c>
      <c r="D406" s="51" t="inlineStr">
        <is>
          <t>CrossSection</t>
        </is>
      </c>
      <c r="E406" s="51" t="inlineStr">
        <is>
          <t>BPrimary</t>
        </is>
      </c>
    </row>
    <row r="407" ht="30" customHeight="1">
      <c r="A407" s="50">
        <f>CONCATENATE(C407,D407,E407)</f>
        <v/>
      </c>
      <c r="B407" s="51" t="inlineStr">
        <is>
          <t>CUSTANLM19CPRIM</t>
        </is>
      </c>
      <c r="C407" s="51" t="inlineStr">
        <is>
          <t>AnalogSignalType.Custom</t>
        </is>
      </c>
      <c r="D407" s="51" t="inlineStr">
        <is>
          <t>CrossSection</t>
        </is>
      </c>
      <c r="E407" s="51" t="inlineStr">
        <is>
          <t>CPrimary</t>
        </is>
      </c>
    </row>
    <row r="408" ht="30" customHeight="1">
      <c r="A408" s="50">
        <f>CONCATENATE(C408,D408,E408)</f>
        <v/>
      </c>
      <c r="B408" s="51" t="inlineStr">
        <is>
          <t>CUSTANLM20ABCPRIM</t>
        </is>
      </c>
      <c r="C408" s="51" t="inlineStr">
        <is>
          <t>AnalogSignalType.Custom</t>
        </is>
      </c>
      <c r="D408" s="51" t="inlineStr">
        <is>
          <t>Impedance</t>
        </is>
      </c>
      <c r="E408" s="51" t="inlineStr">
        <is>
          <t>ABCPrimary</t>
        </is>
      </c>
    </row>
    <row r="409" ht="30" customHeight="1">
      <c r="A409" s="50">
        <f>CONCATENATE(C409,D409,E409)</f>
        <v/>
      </c>
      <c r="B409" s="51" t="inlineStr">
        <is>
          <t>CUSTANLM20APRIM</t>
        </is>
      </c>
      <c r="C409" s="51" t="inlineStr">
        <is>
          <t>AnalogSignalType.Custom</t>
        </is>
      </c>
      <c r="D409" s="51" t="inlineStr">
        <is>
          <t>Impedance</t>
        </is>
      </c>
      <c r="E409" s="51" t="inlineStr">
        <is>
          <t>APrimary</t>
        </is>
      </c>
    </row>
    <row r="410" ht="30" customHeight="1">
      <c r="A410" s="50">
        <f>CONCATENATE(C410,D410,E410)</f>
        <v/>
      </c>
      <c r="B410" s="51" t="inlineStr">
        <is>
          <t>CUSTANLM20BPRIM</t>
        </is>
      </c>
      <c r="C410" s="51" t="inlineStr">
        <is>
          <t>AnalogSignalType.Custom</t>
        </is>
      </c>
      <c r="D410" s="51" t="inlineStr">
        <is>
          <t>Impedance</t>
        </is>
      </c>
      <c r="E410" s="51" t="inlineStr">
        <is>
          <t>BPrimary</t>
        </is>
      </c>
    </row>
    <row r="411" ht="30" customHeight="1">
      <c r="A411" s="50">
        <f>CONCATENATE(C411,D411,E411)</f>
        <v/>
      </c>
      <c r="B411" s="51" t="inlineStr">
        <is>
          <t>CUSTANLM20CPRIM</t>
        </is>
      </c>
      <c r="C411" s="51" t="inlineStr">
        <is>
          <t>AnalogSignalType.Custom</t>
        </is>
      </c>
      <c r="D411" s="51" t="inlineStr">
        <is>
          <t>Impedance</t>
        </is>
      </c>
      <c r="E411" s="51" t="inlineStr">
        <is>
          <t>CPrimary</t>
        </is>
      </c>
    </row>
    <row r="412" ht="30" customHeight="1">
      <c r="A412" s="50">
        <f>CONCATENATE(C412,D412,E412)</f>
        <v/>
      </c>
      <c r="B412" s="51" t="inlineStr">
        <is>
          <t>CUSTANLM21ABCPRIM</t>
        </is>
      </c>
      <c r="C412" s="51" t="inlineStr">
        <is>
          <t>AnalogSignalType.Custom</t>
        </is>
      </c>
      <c r="D412" s="51" t="inlineStr">
        <is>
          <t>Admittance</t>
        </is>
      </c>
      <c r="E412" s="51" t="inlineStr">
        <is>
          <t>ABCPrimary</t>
        </is>
      </c>
    </row>
    <row r="413" ht="30" customHeight="1">
      <c r="A413" s="50">
        <f>CONCATENATE(C413,D413,E413)</f>
        <v/>
      </c>
      <c r="B413" s="51" t="inlineStr">
        <is>
          <t>CUSTANLM21APRIM</t>
        </is>
      </c>
      <c r="C413" s="51" t="inlineStr">
        <is>
          <t>AnalogSignalType.Custom</t>
        </is>
      </c>
      <c r="D413" s="51" t="inlineStr">
        <is>
          <t>Admittance</t>
        </is>
      </c>
      <c r="E413" s="51" t="inlineStr">
        <is>
          <t>APrimary</t>
        </is>
      </c>
    </row>
    <row r="414" ht="30" customHeight="1">
      <c r="A414" s="50">
        <f>CONCATENATE(C414,D414,E414)</f>
        <v/>
      </c>
      <c r="B414" s="51" t="inlineStr">
        <is>
          <t>CUSTANLM21BPRIM</t>
        </is>
      </c>
      <c r="C414" s="51" t="inlineStr">
        <is>
          <t>AnalogSignalType.Custom</t>
        </is>
      </c>
      <c r="D414" s="51" t="inlineStr">
        <is>
          <t>Admittance</t>
        </is>
      </c>
      <c r="E414" s="51" t="inlineStr">
        <is>
          <t>BPrimary</t>
        </is>
      </c>
    </row>
    <row r="415" ht="30" customHeight="1">
      <c r="A415" s="50">
        <f>CONCATENATE(C415,D415,E415)</f>
        <v/>
      </c>
      <c r="B415" s="51" t="inlineStr">
        <is>
          <t>CUSTANLM21CPRIM</t>
        </is>
      </c>
      <c r="C415" s="51" t="inlineStr">
        <is>
          <t>AnalogSignalType.Custom</t>
        </is>
      </c>
      <c r="D415" s="51" t="inlineStr">
        <is>
          <t>Admittance</t>
        </is>
      </c>
      <c r="E415" s="51" t="inlineStr">
        <is>
          <t>CPrimary</t>
        </is>
      </c>
    </row>
    <row r="416" ht="30" customHeight="1">
      <c r="A416" s="50">
        <f>CONCATENATE(C416,D416,E416)</f>
        <v/>
      </c>
      <c r="B416" s="51" t="inlineStr">
        <is>
          <t>CUSTANLM22ABCPRIM</t>
        </is>
      </c>
      <c r="C416" s="51" t="inlineStr">
        <is>
          <t>AnalogSignalType.Custom</t>
        </is>
      </c>
      <c r="D416" s="51" t="inlineStr">
        <is>
          <t>ImpedancePerLength</t>
        </is>
      </c>
      <c r="E416" s="51" t="inlineStr">
        <is>
          <t>ABCPrimary</t>
        </is>
      </c>
    </row>
    <row r="417" ht="30" customHeight="1">
      <c r="A417" s="50">
        <f>CONCATENATE(C417,D417,E417)</f>
        <v/>
      </c>
      <c r="B417" s="51" t="inlineStr">
        <is>
          <t>CUSTANLM22APRIM</t>
        </is>
      </c>
      <c r="C417" s="51" t="inlineStr">
        <is>
          <t>AnalogSignalType.Custom</t>
        </is>
      </c>
      <c r="D417" s="51" t="inlineStr">
        <is>
          <t>ImpedancePerLength</t>
        </is>
      </c>
      <c r="E417" s="51" t="inlineStr">
        <is>
          <t>APrimary</t>
        </is>
      </c>
    </row>
    <row r="418" ht="30" customHeight="1">
      <c r="A418" s="50">
        <f>CONCATENATE(C418,D418,E418)</f>
        <v/>
      </c>
      <c r="B418" s="51" t="inlineStr">
        <is>
          <t>CUSTANLM22BPRIM</t>
        </is>
      </c>
      <c r="C418" s="51" t="inlineStr">
        <is>
          <t>AnalogSignalType.Custom</t>
        </is>
      </c>
      <c r="D418" s="51" t="inlineStr">
        <is>
          <t>ImpedancePerLength</t>
        </is>
      </c>
      <c r="E418" s="51" t="inlineStr">
        <is>
          <t>BPrimary</t>
        </is>
      </c>
    </row>
    <row r="419" ht="30" customHeight="1">
      <c r="A419" s="50">
        <f>CONCATENATE(C419,D419,E419)</f>
        <v/>
      </c>
      <c r="B419" s="51" t="inlineStr">
        <is>
          <t>CUSTANLM22CPRIM</t>
        </is>
      </c>
      <c r="C419" s="51" t="inlineStr">
        <is>
          <t>AnalogSignalType.Custom</t>
        </is>
      </c>
      <c r="D419" s="51" t="inlineStr">
        <is>
          <t>ImpedancePerLength</t>
        </is>
      </c>
      <c r="E419" s="51" t="inlineStr">
        <is>
          <t>CPrimary</t>
        </is>
      </c>
    </row>
    <row r="420" ht="30" customHeight="1">
      <c r="A420" s="50">
        <f>CONCATENATE(C420,D420,E420)</f>
        <v/>
      </c>
      <c r="B420" s="51" t="inlineStr">
        <is>
          <t>CUSTANLM23ABCPRIM</t>
        </is>
      </c>
      <c r="C420" s="51" t="inlineStr">
        <is>
          <t>AnalogSignalType.Custom</t>
        </is>
      </c>
      <c r="D420" s="51" t="inlineStr">
        <is>
          <t>AdmittancePerLength</t>
        </is>
      </c>
      <c r="E420" s="51" t="inlineStr">
        <is>
          <t>ABCPrimary</t>
        </is>
      </c>
    </row>
    <row r="421" ht="30" customHeight="1">
      <c r="A421" s="50">
        <f>CONCATENATE(C421,D421,E421)</f>
        <v/>
      </c>
      <c r="B421" s="51" t="inlineStr">
        <is>
          <t>CUSTANLM23APRIM</t>
        </is>
      </c>
      <c r="C421" s="51" t="inlineStr">
        <is>
          <t>AnalogSignalType.Custom</t>
        </is>
      </c>
      <c r="D421" s="51" t="inlineStr">
        <is>
          <t>AdmittancePerLength</t>
        </is>
      </c>
      <c r="E421" s="51" t="inlineStr">
        <is>
          <t>APrimary</t>
        </is>
      </c>
    </row>
    <row r="422" ht="30" customHeight="1">
      <c r="A422" s="50">
        <f>CONCATENATE(C422,D422,E422)</f>
        <v/>
      </c>
      <c r="B422" s="51" t="inlineStr">
        <is>
          <t>CUSTANLM23BPRIM</t>
        </is>
      </c>
      <c r="C422" s="51" t="inlineStr">
        <is>
          <t>AnalogSignalType.Custom</t>
        </is>
      </c>
      <c r="D422" s="51" t="inlineStr">
        <is>
          <t>AdmittancePerLength</t>
        </is>
      </c>
      <c r="E422" s="51" t="inlineStr">
        <is>
          <t>BPrimary</t>
        </is>
      </c>
    </row>
    <row r="423" ht="30" customHeight="1">
      <c r="A423" s="50">
        <f>CONCATENATE(C423,D423,E423)</f>
        <v/>
      </c>
      <c r="B423" s="51" t="inlineStr">
        <is>
          <t>CUSTANLM23CPRIM</t>
        </is>
      </c>
      <c r="C423" s="51" t="inlineStr">
        <is>
          <t>AnalogSignalType.Custom</t>
        </is>
      </c>
      <c r="D423" s="51" t="inlineStr">
        <is>
          <t>AdmittancePerLength</t>
        </is>
      </c>
      <c r="E423" s="51" t="inlineStr">
        <is>
          <t>CPrimary</t>
        </is>
      </c>
    </row>
    <row r="424" ht="30" customHeight="1">
      <c r="A424" s="50">
        <f>CONCATENATE(C424,D424,E424)</f>
        <v/>
      </c>
      <c r="B424" s="51" t="inlineStr">
        <is>
          <t>CUSTANLM24ABCPRIM</t>
        </is>
      </c>
      <c r="C424" s="51" t="inlineStr">
        <is>
          <t>AnalogSignalType.Custom</t>
        </is>
      </c>
      <c r="D424" s="51" t="inlineStr">
        <is>
          <t>Percent</t>
        </is>
      </c>
      <c r="E424" s="51" t="inlineStr">
        <is>
          <t>ABCPrimary</t>
        </is>
      </c>
    </row>
    <row r="425" ht="30" customHeight="1">
      <c r="A425" s="50">
        <f>CONCATENATE(C425,D425,E425)</f>
        <v/>
      </c>
      <c r="B425" s="51" t="inlineStr">
        <is>
          <t>CUSTANLM24APRIM</t>
        </is>
      </c>
      <c r="C425" s="51" t="inlineStr">
        <is>
          <t>AnalogSignalType.Custom</t>
        </is>
      </c>
      <c r="D425" s="51" t="inlineStr">
        <is>
          <t>Percent</t>
        </is>
      </c>
      <c r="E425" s="51" t="inlineStr">
        <is>
          <t>APrimary</t>
        </is>
      </c>
    </row>
    <row r="426" ht="30" customHeight="1">
      <c r="A426" s="50">
        <f>CONCATENATE(C426,D426,E426)</f>
        <v/>
      </c>
      <c r="B426" s="51" t="inlineStr">
        <is>
          <t>CUSTANLM24BPRIM</t>
        </is>
      </c>
      <c r="C426" s="51" t="inlineStr">
        <is>
          <t>AnalogSignalType.Custom</t>
        </is>
      </c>
      <c r="D426" s="51" t="inlineStr">
        <is>
          <t>Percent</t>
        </is>
      </c>
      <c r="E426" s="51" t="inlineStr">
        <is>
          <t>BPrimary</t>
        </is>
      </c>
    </row>
    <row r="427" ht="30" customHeight="1">
      <c r="A427" s="50">
        <f>CONCATENATE(C427,D427,E427)</f>
        <v/>
      </c>
      <c r="B427" s="51" t="inlineStr">
        <is>
          <t>CUSTANLM24CPRIM</t>
        </is>
      </c>
      <c r="C427" s="51" t="inlineStr">
        <is>
          <t>AnalogSignalType.Custom</t>
        </is>
      </c>
      <c r="D427" s="51" t="inlineStr">
        <is>
          <t>Percent</t>
        </is>
      </c>
      <c r="E427" s="51" t="inlineStr">
        <is>
          <t>CPrimary</t>
        </is>
      </c>
    </row>
    <row r="428" ht="30" customHeight="1">
      <c r="A428" s="50">
        <f>CONCATENATE(C428,D428,E428)</f>
        <v/>
      </c>
      <c r="B428" s="51" t="inlineStr">
        <is>
          <t>CUSTANLM25ABCPRIM</t>
        </is>
      </c>
      <c r="C428" s="51" t="inlineStr">
        <is>
          <t>AnalogSignalType.Custom</t>
        </is>
      </c>
      <c r="D428" s="51" t="inlineStr">
        <is>
          <t>Money</t>
        </is>
      </c>
      <c r="E428" s="51" t="inlineStr">
        <is>
          <t>ABCPrimary</t>
        </is>
      </c>
    </row>
    <row r="429" ht="30" customHeight="1">
      <c r="A429" s="50">
        <f>CONCATENATE(C429,D429,E429)</f>
        <v/>
      </c>
      <c r="B429" s="51" t="inlineStr">
        <is>
          <t>CUSTANLM25APRIM</t>
        </is>
      </c>
      <c r="C429" s="51" t="inlineStr">
        <is>
          <t>AnalogSignalType.Custom</t>
        </is>
      </c>
      <c r="D429" s="51" t="inlineStr">
        <is>
          <t>Money</t>
        </is>
      </c>
      <c r="E429" s="51" t="inlineStr">
        <is>
          <t>APrimary</t>
        </is>
      </c>
    </row>
    <row r="430" ht="30" customHeight="1">
      <c r="A430" s="50">
        <f>CONCATENATE(C430,D430,E430)</f>
        <v/>
      </c>
      <c r="B430" s="51" t="inlineStr">
        <is>
          <t>CUSTANLM25BPRIM</t>
        </is>
      </c>
      <c r="C430" s="51" t="inlineStr">
        <is>
          <t>AnalogSignalType.Custom</t>
        </is>
      </c>
      <c r="D430" s="51" t="inlineStr">
        <is>
          <t>Money</t>
        </is>
      </c>
      <c r="E430" s="51" t="inlineStr">
        <is>
          <t>BPrimary</t>
        </is>
      </c>
    </row>
    <row r="431" ht="30" customHeight="1">
      <c r="A431" s="50">
        <f>CONCATENATE(C431,D431,E431)</f>
        <v/>
      </c>
      <c r="B431" s="51" t="inlineStr">
        <is>
          <t>CUSTANLM25CPRIM</t>
        </is>
      </c>
      <c r="C431" s="51" t="inlineStr">
        <is>
          <t>AnalogSignalType.Custom</t>
        </is>
      </c>
      <c r="D431" s="51" t="inlineStr">
        <is>
          <t>Money</t>
        </is>
      </c>
      <c r="E431" s="51" t="inlineStr">
        <is>
          <t>CPrimary</t>
        </is>
      </c>
    </row>
    <row r="432" ht="30" customHeight="1">
      <c r="A432" s="50">
        <f>CONCATENATE(C432,D432,E432)</f>
        <v/>
      </c>
      <c r="B432" s="51" t="inlineStr">
        <is>
          <t>CUSTANLM26ABCPRIM</t>
        </is>
      </c>
      <c r="C432" s="51" t="inlineStr">
        <is>
          <t>AnalogSignalType.Custom</t>
        </is>
      </c>
      <c r="D432" s="51" t="inlineStr">
        <is>
          <t>RelativeVoltage</t>
        </is>
      </c>
      <c r="E432" s="51" t="inlineStr">
        <is>
          <t>ABCPrimary</t>
        </is>
      </c>
    </row>
    <row r="433" ht="30" customHeight="1">
      <c r="A433" s="50">
        <f>CONCATENATE(C433,D433,E433)</f>
        <v/>
      </c>
      <c r="B433" s="51" t="inlineStr">
        <is>
          <t>CUSTANLM26APRIM</t>
        </is>
      </c>
      <c r="C433" s="51" t="inlineStr">
        <is>
          <t>AnalogSignalType.Custom</t>
        </is>
      </c>
      <c r="D433" s="51" t="inlineStr">
        <is>
          <t>RelativeVoltage</t>
        </is>
      </c>
      <c r="E433" s="51" t="inlineStr">
        <is>
          <t>APrimary</t>
        </is>
      </c>
    </row>
    <row r="434" ht="30" customHeight="1">
      <c r="A434" s="50">
        <f>CONCATENATE(C434,D434,E434)</f>
        <v/>
      </c>
      <c r="B434" s="51" t="inlineStr">
        <is>
          <t>CUSTANLM26BPRIM</t>
        </is>
      </c>
      <c r="C434" s="51" t="inlineStr">
        <is>
          <t>AnalogSignalType.Custom</t>
        </is>
      </c>
      <c r="D434" s="51" t="inlineStr">
        <is>
          <t>RelativeVoltage</t>
        </is>
      </c>
      <c r="E434" s="51" t="inlineStr">
        <is>
          <t>BPrimary</t>
        </is>
      </c>
    </row>
    <row r="435" ht="30" customHeight="1">
      <c r="A435" s="50">
        <f>CONCATENATE(C435,D435,E435)</f>
        <v/>
      </c>
      <c r="B435" s="51" t="inlineStr">
        <is>
          <t>CUSTANLM26CPRIM</t>
        </is>
      </c>
      <c r="C435" s="51" t="inlineStr">
        <is>
          <t>AnalogSignalType.Custom</t>
        </is>
      </c>
      <c r="D435" s="51" t="inlineStr">
        <is>
          <t>RelativeVoltage</t>
        </is>
      </c>
      <c r="E435" s="51" t="inlineStr">
        <is>
          <t>CPrimary</t>
        </is>
      </c>
    </row>
    <row r="436" ht="30" customHeight="1">
      <c r="A436" s="50">
        <f>CONCATENATE(C436,D436,E436)</f>
        <v/>
      </c>
      <c r="B436" s="51" t="inlineStr">
        <is>
          <t>CUSTANLM27ABCPRIM</t>
        </is>
      </c>
      <c r="C436" s="51" t="inlineStr">
        <is>
          <t>AnalogSignalType.Custom</t>
        </is>
      </c>
      <c r="D436" s="51" t="inlineStr">
        <is>
          <t>Insolation</t>
        </is>
      </c>
      <c r="E436" s="51" t="inlineStr">
        <is>
          <t>ABCPrimary</t>
        </is>
      </c>
    </row>
    <row r="437" ht="30" customHeight="1">
      <c r="A437" s="50">
        <f>CONCATENATE(C437,D437,E437)</f>
        <v/>
      </c>
      <c r="B437" s="51" t="inlineStr">
        <is>
          <t>CUSTANLM27APRIM</t>
        </is>
      </c>
      <c r="C437" s="51" t="inlineStr">
        <is>
          <t>AnalogSignalType.Custom</t>
        </is>
      </c>
      <c r="D437" s="51" t="inlineStr">
        <is>
          <t>Insolation</t>
        </is>
      </c>
      <c r="E437" s="51" t="inlineStr">
        <is>
          <t>APrimary</t>
        </is>
      </c>
    </row>
    <row r="438" ht="30" customHeight="1">
      <c r="A438" s="50">
        <f>CONCATENATE(C438,D438,E438)</f>
        <v/>
      </c>
      <c r="B438" s="51" t="inlineStr">
        <is>
          <t>CUSTANLM27BPRIM</t>
        </is>
      </c>
      <c r="C438" s="51" t="inlineStr">
        <is>
          <t>AnalogSignalType.Custom</t>
        </is>
      </c>
      <c r="D438" s="51" t="inlineStr">
        <is>
          <t>Insolation</t>
        </is>
      </c>
      <c r="E438" s="51" t="inlineStr">
        <is>
          <t>BPrimary</t>
        </is>
      </c>
    </row>
    <row r="439" ht="30" customHeight="1">
      <c r="A439" s="50">
        <f>CONCATENATE(C439,D439,E439)</f>
        <v/>
      </c>
      <c r="B439" s="51" t="inlineStr">
        <is>
          <t>CUSTANLM27CPRIM</t>
        </is>
      </c>
      <c r="C439" s="51" t="inlineStr">
        <is>
          <t>AnalogSignalType.Custom</t>
        </is>
      </c>
      <c r="D439" s="51" t="inlineStr">
        <is>
          <t>Insolation</t>
        </is>
      </c>
      <c r="E439" s="51" t="inlineStr">
        <is>
          <t>CPrimary</t>
        </is>
      </c>
    </row>
    <row r="440" ht="30" customHeight="1">
      <c r="A440" s="50">
        <f>CONCATENATE(C440,D440,E440)</f>
        <v/>
      </c>
      <c r="B440" s="51" t="inlineStr">
        <is>
          <t>CUSTANLM28ABCPRIM</t>
        </is>
      </c>
      <c r="C440" s="51" t="inlineStr">
        <is>
          <t>AnalogSignalType.Custom</t>
        </is>
      </c>
      <c r="D440" s="51" t="inlineStr">
        <is>
          <t>CurrentAngle</t>
        </is>
      </c>
      <c r="E440" s="51" t="inlineStr">
        <is>
          <t>ABCPrimary</t>
        </is>
      </c>
    </row>
    <row r="441" ht="30" customHeight="1">
      <c r="A441" s="50">
        <f>CONCATENATE(C441,D441,E441)</f>
        <v/>
      </c>
      <c r="B441" s="51" t="inlineStr">
        <is>
          <t>CUSTANLM28APRIM</t>
        </is>
      </c>
      <c r="C441" s="51" t="inlineStr">
        <is>
          <t>AnalogSignalType.Custom</t>
        </is>
      </c>
      <c r="D441" s="51" t="inlineStr">
        <is>
          <t>CurrentAngle</t>
        </is>
      </c>
      <c r="E441" s="51" t="inlineStr">
        <is>
          <t>APrimary</t>
        </is>
      </c>
    </row>
    <row r="442" ht="30" customHeight="1">
      <c r="A442" s="50">
        <f>CONCATENATE(C442,D442,E442)</f>
        <v/>
      </c>
      <c r="B442" s="51" t="inlineStr">
        <is>
          <t>CUSTANLM28BPRIM</t>
        </is>
      </c>
      <c r="C442" s="51" t="inlineStr">
        <is>
          <t>AnalogSignalType.Custom</t>
        </is>
      </c>
      <c r="D442" s="51" t="inlineStr">
        <is>
          <t>CurrentAngle</t>
        </is>
      </c>
      <c r="E442" s="51" t="inlineStr">
        <is>
          <t>BPrimary</t>
        </is>
      </c>
    </row>
    <row r="443" ht="30" customHeight="1">
      <c r="A443" s="50">
        <f>CONCATENATE(C443,D443,E443)</f>
        <v/>
      </c>
      <c r="B443" s="51" t="inlineStr">
        <is>
          <t>CUSTANLM28CPRIM</t>
        </is>
      </c>
      <c r="C443" s="51" t="inlineStr">
        <is>
          <t>AnalogSignalType.Custom</t>
        </is>
      </c>
      <c r="D443" s="51" t="inlineStr">
        <is>
          <t>CurrentAngle</t>
        </is>
      </c>
      <c r="E443" s="51" t="inlineStr">
        <is>
          <t>CPrimary</t>
        </is>
      </c>
    </row>
    <row r="444" ht="30" customHeight="1">
      <c r="A444" s="50">
        <f>CONCATENATE(C444,D444,E444)</f>
        <v/>
      </c>
      <c r="B444" s="51" t="inlineStr">
        <is>
          <t>CUSTANLM29ABCPRIM</t>
        </is>
      </c>
      <c r="C444" s="51" t="inlineStr">
        <is>
          <t>AnalogSignalType.Custom</t>
        </is>
      </c>
      <c r="D444" s="51" t="inlineStr">
        <is>
          <t>RotationSpeed</t>
        </is>
      </c>
      <c r="E444" s="51" t="inlineStr">
        <is>
          <t>ABCPrimary</t>
        </is>
      </c>
    </row>
    <row r="445" ht="30" customHeight="1">
      <c r="A445" s="50">
        <f>CONCATENATE(C445,D445,E445)</f>
        <v/>
      </c>
      <c r="B445" s="51" t="inlineStr">
        <is>
          <t>CUSTANLM29APRIM</t>
        </is>
      </c>
      <c r="C445" s="51" t="inlineStr">
        <is>
          <t>AnalogSignalType.Custom</t>
        </is>
      </c>
      <c r="D445" s="51" t="inlineStr">
        <is>
          <t>RotationSpeed</t>
        </is>
      </c>
      <c r="E445" s="51" t="inlineStr">
        <is>
          <t>APrimary</t>
        </is>
      </c>
    </row>
    <row r="446" ht="30" customHeight="1">
      <c r="A446" s="50">
        <f>CONCATENATE(C446,D446,E446)</f>
        <v/>
      </c>
      <c r="B446" s="51" t="inlineStr">
        <is>
          <t>CUSTANLM29BPRIM</t>
        </is>
      </c>
      <c r="C446" s="51" t="inlineStr">
        <is>
          <t>AnalogSignalType.Custom</t>
        </is>
      </c>
      <c r="D446" s="51" t="inlineStr">
        <is>
          <t>RotationSpeed</t>
        </is>
      </c>
      <c r="E446" s="51" t="inlineStr">
        <is>
          <t>BPrimary</t>
        </is>
      </c>
    </row>
    <row r="447" ht="30" customHeight="1">
      <c r="A447" s="50">
        <f>CONCATENATE(C447,D447,E447)</f>
        <v/>
      </c>
      <c r="B447" s="51" t="inlineStr">
        <is>
          <t>CUSTANLM29CPRIM</t>
        </is>
      </c>
      <c r="C447" s="51" t="inlineStr">
        <is>
          <t>AnalogSignalType.Custom</t>
        </is>
      </c>
      <c r="D447" s="51" t="inlineStr">
        <is>
          <t>RotationSpeed</t>
        </is>
      </c>
      <c r="E447" s="51" t="inlineStr">
        <is>
          <t>CPrimary</t>
        </is>
      </c>
    </row>
    <row r="448" ht="30" customHeight="1">
      <c r="A448" s="50">
        <f>CONCATENATE(C448,D448,E448)</f>
        <v/>
      </c>
      <c r="B448" s="51" t="inlineStr">
        <is>
          <t>CUSTANLM30ABCPRIM</t>
        </is>
      </c>
      <c r="C448" s="51" t="inlineStr">
        <is>
          <t>AnalogSignalType.Custom</t>
        </is>
      </c>
      <c r="D448" s="51" t="inlineStr">
        <is>
          <t>Mass</t>
        </is>
      </c>
      <c r="E448" s="51" t="inlineStr">
        <is>
          <t>ABCPrimary</t>
        </is>
      </c>
    </row>
    <row r="449" ht="30" customHeight="1">
      <c r="A449" s="50">
        <f>CONCATENATE(C449,D449,E449)</f>
        <v/>
      </c>
      <c r="B449" s="51" t="inlineStr">
        <is>
          <t>CUSTANLM30APRIM</t>
        </is>
      </c>
      <c r="C449" s="51" t="inlineStr">
        <is>
          <t>AnalogSignalType.Custom</t>
        </is>
      </c>
      <c r="D449" s="51" t="inlineStr">
        <is>
          <t>Mass</t>
        </is>
      </c>
      <c r="E449" s="51" t="inlineStr">
        <is>
          <t>APrimary</t>
        </is>
      </c>
    </row>
    <row r="450" ht="30" customHeight="1">
      <c r="A450" s="50">
        <f>CONCATENATE(C450,D450,E450)</f>
        <v/>
      </c>
      <c r="B450" s="51" t="inlineStr">
        <is>
          <t>CUSTANLM30BPRIM</t>
        </is>
      </c>
      <c r="C450" s="51" t="inlineStr">
        <is>
          <t>AnalogSignalType.Custom</t>
        </is>
      </c>
      <c r="D450" s="51" t="inlineStr">
        <is>
          <t>Mass</t>
        </is>
      </c>
      <c r="E450" s="51" t="inlineStr">
        <is>
          <t>BPrimary</t>
        </is>
      </c>
    </row>
    <row r="451" ht="30" customHeight="1">
      <c r="A451" s="50">
        <f>CONCATENATE(C451,D451,E451)</f>
        <v/>
      </c>
      <c r="B451" s="51" t="inlineStr">
        <is>
          <t>CUSTANLM30CPRIM</t>
        </is>
      </c>
      <c r="C451" s="51" t="inlineStr">
        <is>
          <t>AnalogSignalType.Custom</t>
        </is>
      </c>
      <c r="D451" s="51" t="inlineStr">
        <is>
          <t>Mass</t>
        </is>
      </c>
      <c r="E451" s="51" t="inlineStr">
        <is>
          <t>CPrimary</t>
        </is>
      </c>
    </row>
    <row r="452" ht="30" customHeight="1">
      <c r="A452" s="50">
        <f>CONCATENATE(C452,D452,E452)</f>
        <v/>
      </c>
      <c r="B452" s="51" t="inlineStr">
        <is>
          <t>CUSTANLM31ABCPRIM</t>
        </is>
      </c>
      <c r="C452" s="51" t="inlineStr">
        <is>
          <t>AnalogSignalType.Custom</t>
        </is>
      </c>
      <c r="D452" s="51" t="inlineStr">
        <is>
          <t>FailureRate</t>
        </is>
      </c>
      <c r="E452" s="51" t="inlineStr">
        <is>
          <t>ABCPrimary</t>
        </is>
      </c>
    </row>
    <row r="453" ht="30" customHeight="1">
      <c r="A453" s="50">
        <f>CONCATENATE(C453,D453,E453)</f>
        <v/>
      </c>
      <c r="B453" s="51" t="inlineStr">
        <is>
          <t>CUSTANLM31APRIM</t>
        </is>
      </c>
      <c r="C453" s="51" t="inlineStr">
        <is>
          <t>AnalogSignalType.Custom</t>
        </is>
      </c>
      <c r="D453" s="51" t="inlineStr">
        <is>
          <t>FailureRate</t>
        </is>
      </c>
      <c r="E453" s="51" t="inlineStr">
        <is>
          <t>APrimary</t>
        </is>
      </c>
    </row>
    <row r="454" ht="30" customHeight="1">
      <c r="A454" s="50">
        <f>CONCATENATE(C454,D454,E454)</f>
        <v/>
      </c>
      <c r="B454" s="51" t="inlineStr">
        <is>
          <t>CUSTANLM31BPRIM</t>
        </is>
      </c>
      <c r="C454" s="51" t="inlineStr">
        <is>
          <t>AnalogSignalType.Custom</t>
        </is>
      </c>
      <c r="D454" s="51" t="inlineStr">
        <is>
          <t>FailureRate</t>
        </is>
      </c>
      <c r="E454" s="51" t="inlineStr">
        <is>
          <t>BPrimary</t>
        </is>
      </c>
    </row>
    <row r="455" ht="30" customHeight="1">
      <c r="A455" s="50">
        <f>CONCATENATE(C455,D455,E455)</f>
        <v/>
      </c>
      <c r="B455" s="51" t="inlineStr">
        <is>
          <t>CUSTANLM31CPRIM</t>
        </is>
      </c>
      <c r="C455" s="51" t="inlineStr">
        <is>
          <t>AnalogSignalType.Custom</t>
        </is>
      </c>
      <c r="D455" s="51" t="inlineStr">
        <is>
          <t>FailureRate</t>
        </is>
      </c>
      <c r="E455" s="51" t="inlineStr">
        <is>
          <t>CPrimary</t>
        </is>
      </c>
    </row>
    <row r="456" ht="30" customHeight="1">
      <c r="A456" s="50">
        <f>CONCATENATE(C456,D456,E456)</f>
        <v/>
      </c>
      <c r="B456" s="51" t="inlineStr">
        <is>
          <t>CUSTANLM32ABCPRIM</t>
        </is>
      </c>
      <c r="C456" s="51" t="inlineStr">
        <is>
          <t>AnalogSignalType.Custom</t>
        </is>
      </c>
      <c r="D456" s="51" t="inlineStr">
        <is>
          <t>SoilTemperature</t>
        </is>
      </c>
      <c r="E456" s="51" t="inlineStr">
        <is>
          <t>ABCPrimary</t>
        </is>
      </c>
    </row>
    <row r="457" ht="30" customHeight="1">
      <c r="A457" s="50">
        <f>CONCATENATE(C457,D457,E457)</f>
        <v/>
      </c>
      <c r="B457" s="51" t="inlineStr">
        <is>
          <t>CUSTANLM32APRIM</t>
        </is>
      </c>
      <c r="C457" s="51" t="inlineStr">
        <is>
          <t>AnalogSignalType.Custom</t>
        </is>
      </c>
      <c r="D457" s="51" t="inlineStr">
        <is>
          <t>SoilTemperature</t>
        </is>
      </c>
      <c r="E457" s="51" t="inlineStr">
        <is>
          <t>APrimary</t>
        </is>
      </c>
    </row>
    <row r="458" ht="30" customHeight="1">
      <c r="A458" s="50">
        <f>CONCATENATE(C458,D458,E458)</f>
        <v/>
      </c>
      <c r="B458" s="51" t="inlineStr">
        <is>
          <t>CUSTANLM32BPRIM</t>
        </is>
      </c>
      <c r="C458" s="51" t="inlineStr">
        <is>
          <t>AnalogSignalType.Custom</t>
        </is>
      </c>
      <c r="D458" s="51" t="inlineStr">
        <is>
          <t>SoilTemperature</t>
        </is>
      </c>
      <c r="E458" s="51" t="inlineStr">
        <is>
          <t>BPrimary</t>
        </is>
      </c>
    </row>
    <row r="459" ht="30" customHeight="1">
      <c r="A459" s="50">
        <f>CONCATENATE(C459,D459,E459)</f>
        <v/>
      </c>
      <c r="B459" s="51" t="inlineStr">
        <is>
          <t>CUSTANLM32CPRIM</t>
        </is>
      </c>
      <c r="C459" s="51" t="inlineStr">
        <is>
          <t>AnalogSignalType.Custom</t>
        </is>
      </c>
      <c r="D459" s="51" t="inlineStr">
        <is>
          <t>SoilTemperature</t>
        </is>
      </c>
      <c r="E459" s="51" t="inlineStr">
        <is>
          <t>CPrimary</t>
        </is>
      </c>
    </row>
    <row r="460" ht="30" customHeight="1">
      <c r="A460" s="50">
        <f>CONCATENATE(C460,D460,E460)</f>
        <v/>
      </c>
      <c r="B460" s="51" t="inlineStr">
        <is>
          <t>CUSTANLM33ABCPRIM</t>
        </is>
      </c>
      <c r="C460" s="51" t="inlineStr">
        <is>
          <t>AnalogSignalType.Custom</t>
        </is>
      </c>
      <c r="D460" s="51" t="inlineStr">
        <is>
          <t>OilTemperature</t>
        </is>
      </c>
      <c r="E460" s="51" t="inlineStr">
        <is>
          <t>ABCPrimary</t>
        </is>
      </c>
    </row>
    <row r="461" ht="30" customHeight="1">
      <c r="A461" s="50">
        <f>CONCATENATE(C461,D461,E461)</f>
        <v/>
      </c>
      <c r="B461" s="51" t="inlineStr">
        <is>
          <t>CUSTANLM33APRIM</t>
        </is>
      </c>
      <c r="C461" s="51" t="inlineStr">
        <is>
          <t>AnalogSignalType.Custom</t>
        </is>
      </c>
      <c r="D461" s="51" t="inlineStr">
        <is>
          <t>OilTemperature</t>
        </is>
      </c>
      <c r="E461" s="51" t="inlineStr">
        <is>
          <t>APrimary</t>
        </is>
      </c>
    </row>
    <row r="462" ht="30" customHeight="1">
      <c r="A462" s="50">
        <f>CONCATENATE(C462,D462,E462)</f>
        <v/>
      </c>
      <c r="B462" s="51" t="inlineStr">
        <is>
          <t>CUSTANLM33BPRIM</t>
        </is>
      </c>
      <c r="C462" s="51" t="inlineStr">
        <is>
          <t>AnalogSignalType.Custom</t>
        </is>
      </c>
      <c r="D462" s="51" t="inlineStr">
        <is>
          <t>OilTemperature</t>
        </is>
      </c>
      <c r="E462" s="51" t="inlineStr">
        <is>
          <t>BPrimary</t>
        </is>
      </c>
    </row>
    <row r="463" ht="30" customHeight="1">
      <c r="A463" s="50">
        <f>CONCATENATE(C463,D463,E463)</f>
        <v/>
      </c>
      <c r="B463" s="51" t="inlineStr">
        <is>
          <t>CUSTANLM33CPRIM</t>
        </is>
      </c>
      <c r="C463" s="51" t="inlineStr">
        <is>
          <t>AnalogSignalType.Custom</t>
        </is>
      </c>
      <c r="D463" s="51" t="inlineStr">
        <is>
          <t>OilTemperature</t>
        </is>
      </c>
      <c r="E463" s="51" t="inlineStr">
        <is>
          <t>CPrimary</t>
        </is>
      </c>
    </row>
    <row r="464" ht="30" customHeight="1">
      <c r="A464" s="50">
        <f>CONCATENATE(C464,D464,E464)</f>
        <v/>
      </c>
      <c r="B464" s="51" t="inlineStr">
        <is>
          <t>CUSTANLM34ABCPRIM</t>
        </is>
      </c>
      <c r="C464" s="51" t="inlineStr">
        <is>
          <t>AnalogSignalType.Custom</t>
        </is>
      </c>
      <c r="D464" s="51" t="inlineStr">
        <is>
          <t>HotSpotTemperature</t>
        </is>
      </c>
      <c r="E464" s="51" t="inlineStr">
        <is>
          <t>ABCPrimary</t>
        </is>
      </c>
    </row>
    <row r="465" ht="30" customHeight="1">
      <c r="A465" s="50">
        <f>CONCATENATE(C465,D465,E465)</f>
        <v/>
      </c>
      <c r="B465" s="51" t="inlineStr">
        <is>
          <t>CUSTANLM34APRIM</t>
        </is>
      </c>
      <c r="C465" s="51" t="inlineStr">
        <is>
          <t>AnalogSignalType.Custom</t>
        </is>
      </c>
      <c r="D465" s="51" t="inlineStr">
        <is>
          <t>HotSpotTemperature</t>
        </is>
      </c>
      <c r="E465" s="51" t="inlineStr">
        <is>
          <t>APrimary</t>
        </is>
      </c>
    </row>
    <row r="466" ht="30" customHeight="1">
      <c r="A466" s="50">
        <f>CONCATENATE(C466,D466,E466)</f>
        <v/>
      </c>
      <c r="B466" s="51" t="inlineStr">
        <is>
          <t>CUSTANLM34BPRIM</t>
        </is>
      </c>
      <c r="C466" s="51" t="inlineStr">
        <is>
          <t>AnalogSignalType.Custom</t>
        </is>
      </c>
      <c r="D466" s="51" t="inlineStr">
        <is>
          <t>HotSpotTemperature</t>
        </is>
      </c>
      <c r="E466" s="51" t="inlineStr">
        <is>
          <t>BPrimary</t>
        </is>
      </c>
    </row>
    <row r="467" ht="30" customHeight="1">
      <c r="A467" s="50">
        <f>CONCATENATE(C467,D467,E467)</f>
        <v/>
      </c>
      <c r="B467" s="51" t="inlineStr">
        <is>
          <t>CUSTANLM34CPRIM</t>
        </is>
      </c>
      <c r="C467" s="51" t="inlineStr">
        <is>
          <t>AnalogSignalType.Custom</t>
        </is>
      </c>
      <c r="D467" s="51" t="inlineStr">
        <is>
          <t>HotSpotTemperature</t>
        </is>
      </c>
      <c r="E467" s="51" t="inlineStr">
        <is>
          <t>CPrimary</t>
        </is>
      </c>
    </row>
    <row r="468" ht="30" customHeight="1">
      <c r="A468" s="50">
        <f>CONCATENATE(C468,D468,E468)</f>
        <v/>
      </c>
      <c r="B468" s="51" t="inlineStr">
        <is>
          <t>CUSTANLM35ABCPRIM</t>
        </is>
      </c>
      <c r="C468" s="51" t="inlineStr">
        <is>
          <t>AnalogSignalType.Custom</t>
        </is>
      </c>
      <c r="D468" s="51" t="inlineStr">
        <is>
          <t>AbsoluteDateTime</t>
        </is>
      </c>
      <c r="E468" s="51" t="inlineStr">
        <is>
          <t>ABCPrimary</t>
        </is>
      </c>
    </row>
    <row r="469" ht="30" customHeight="1">
      <c r="A469" s="50">
        <f>CONCATENATE(C469,D469,E469)</f>
        <v/>
      </c>
      <c r="B469" s="51" t="inlineStr">
        <is>
          <t>CUSTANLM35APRIM</t>
        </is>
      </c>
      <c r="C469" s="51" t="inlineStr">
        <is>
          <t>AnalogSignalType.Custom</t>
        </is>
      </c>
      <c r="D469" s="51" t="inlineStr">
        <is>
          <t>AbsoluteDateTime</t>
        </is>
      </c>
      <c r="E469" s="51" t="inlineStr">
        <is>
          <t>APrimary</t>
        </is>
      </c>
    </row>
    <row r="470" ht="30" customHeight="1">
      <c r="A470" s="50">
        <f>CONCATENATE(C470,D470,E470)</f>
        <v/>
      </c>
      <c r="B470" s="51" t="inlineStr">
        <is>
          <t>CUSTANLM35BPRIM</t>
        </is>
      </c>
      <c r="C470" s="51" t="inlineStr">
        <is>
          <t>AnalogSignalType.Custom</t>
        </is>
      </c>
      <c r="D470" s="51" t="inlineStr">
        <is>
          <t>AbsoluteDateTime</t>
        </is>
      </c>
      <c r="E470" s="51" t="inlineStr">
        <is>
          <t>BPrimary</t>
        </is>
      </c>
    </row>
    <row r="471" ht="30" customHeight="1">
      <c r="A471" s="50">
        <f>CONCATENATE(C471,D471,E471)</f>
        <v/>
      </c>
      <c r="B471" s="51" t="inlineStr">
        <is>
          <t>CUSTANLM35CPRIM</t>
        </is>
      </c>
      <c r="C471" s="51" t="inlineStr">
        <is>
          <t>AnalogSignalType.Custom</t>
        </is>
      </c>
      <c r="D471" s="51" t="inlineStr">
        <is>
          <t>AbsoluteDateTime</t>
        </is>
      </c>
      <c r="E471" s="51" t="inlineStr">
        <is>
          <t>CPrimary</t>
        </is>
      </c>
    </row>
    <row r="472" ht="30" customHeight="1">
      <c r="A472" s="50">
        <f>CONCATENATE(C472,D472,E472)</f>
        <v/>
      </c>
      <c r="B472" s="51" t="inlineStr">
        <is>
          <t>CUSTANLM36ABCPRIM</t>
        </is>
      </c>
      <c r="C472" s="51" t="inlineStr">
        <is>
          <t>AnalogSignalType.Custom</t>
        </is>
      </c>
      <c r="D472" s="51" t="inlineStr">
        <is>
          <t>LatLong</t>
        </is>
      </c>
      <c r="E472" s="51" t="inlineStr">
        <is>
          <t>ABCPrimary</t>
        </is>
      </c>
    </row>
    <row r="473" ht="30" customHeight="1">
      <c r="A473" s="50">
        <f>CONCATENATE(C473,D473,E473)</f>
        <v/>
      </c>
      <c r="B473" s="51" t="inlineStr">
        <is>
          <t>CUSTANLM36APRIM</t>
        </is>
      </c>
      <c r="C473" s="51" t="inlineStr">
        <is>
          <t>AnalogSignalType.Custom</t>
        </is>
      </c>
      <c r="D473" s="51" t="inlineStr">
        <is>
          <t>LatLong</t>
        </is>
      </c>
      <c r="E473" s="51" t="inlineStr">
        <is>
          <t>APrimary</t>
        </is>
      </c>
    </row>
    <row r="474" ht="30" customHeight="1">
      <c r="A474" s="50">
        <f>CONCATENATE(C474,D474,E474)</f>
        <v/>
      </c>
      <c r="B474" s="51" t="inlineStr">
        <is>
          <t>CUSTANLM36BPRIM</t>
        </is>
      </c>
      <c r="C474" s="51" t="inlineStr">
        <is>
          <t>AnalogSignalType.Custom</t>
        </is>
      </c>
      <c r="D474" s="51" t="inlineStr">
        <is>
          <t>LatLong</t>
        </is>
      </c>
      <c r="E474" s="51" t="inlineStr">
        <is>
          <t>BPrimary</t>
        </is>
      </c>
    </row>
    <row r="475" ht="30" customHeight="1">
      <c r="A475" s="50">
        <f>CONCATENATE(C475,D475,E475)</f>
        <v/>
      </c>
      <c r="B475" s="51" t="inlineStr">
        <is>
          <t>CUSTANLM36CPRIM</t>
        </is>
      </c>
      <c r="C475" s="51" t="inlineStr">
        <is>
          <t>AnalogSignalType.Custom</t>
        </is>
      </c>
      <c r="D475" s="51" t="inlineStr">
        <is>
          <t>LatLong</t>
        </is>
      </c>
      <c r="E475" s="51" t="inlineStr">
        <is>
          <t>CPrimary</t>
        </is>
      </c>
    </row>
    <row r="476" ht="30" customHeight="1">
      <c r="A476" s="50">
        <f>CONCATENATE(C476,D476,E476)</f>
        <v/>
      </c>
      <c r="B476" s="51" t="inlineStr">
        <is>
          <t>VOLTABCSEC</t>
        </is>
      </c>
      <c r="C476" s="51" t="inlineStr">
        <is>
          <t>MeasuredValue</t>
        </is>
      </c>
      <c r="D476" s="51" t="inlineStr">
        <is>
          <t>Voltage</t>
        </is>
      </c>
      <c r="E476" s="51" t="inlineStr">
        <is>
          <t>ABCSecondary</t>
        </is>
      </c>
    </row>
    <row r="477" ht="15" customHeight="1">
      <c r="A477" s="50">
        <f>CONCATENATE(C477,D477,E477)</f>
        <v/>
      </c>
      <c r="B477" s="51" t="inlineStr">
        <is>
          <t>VOLTABSEC</t>
        </is>
      </c>
      <c r="C477" s="51" t="inlineStr">
        <is>
          <t>MeasuredValue</t>
        </is>
      </c>
      <c r="D477" s="51" t="inlineStr">
        <is>
          <t>Voltage</t>
        </is>
      </c>
      <c r="E477" s="51" t="inlineStr">
        <is>
          <t>ABSecondary</t>
        </is>
      </c>
    </row>
    <row r="478" ht="15" customHeight="1">
      <c r="A478" s="50">
        <f>CONCATENATE(C478,D478,E478)</f>
        <v/>
      </c>
      <c r="B478" s="51" t="inlineStr">
        <is>
          <t>VOLTBCSEC</t>
        </is>
      </c>
      <c r="C478" s="51" t="inlineStr">
        <is>
          <t>MeasuredValue</t>
        </is>
      </c>
      <c r="D478" s="51" t="inlineStr">
        <is>
          <t>Voltage</t>
        </is>
      </c>
      <c r="E478" s="51" t="inlineStr">
        <is>
          <t>BCSecondary</t>
        </is>
      </c>
    </row>
    <row r="479" ht="15" customHeight="1">
      <c r="A479" s="50">
        <f>CONCATENATE(C479,D479,E479)</f>
        <v/>
      </c>
      <c r="B479" s="51" t="inlineStr">
        <is>
          <t>VOLTACSEC</t>
        </is>
      </c>
      <c r="C479" s="51" t="inlineStr">
        <is>
          <t>MeasuredValue</t>
        </is>
      </c>
      <c r="D479" s="51" t="inlineStr">
        <is>
          <t>Voltage</t>
        </is>
      </c>
      <c r="E479" s="51" t="inlineStr">
        <is>
          <t>ACSecondary</t>
        </is>
      </c>
    </row>
    <row r="480" ht="15" customHeight="1">
      <c r="A480" s="50">
        <f>CONCATENATE(C480,D480,E480)</f>
        <v/>
      </c>
      <c r="B480" s="51" t="inlineStr">
        <is>
          <t>VOLTASEC</t>
        </is>
      </c>
      <c r="C480" s="51" t="inlineStr">
        <is>
          <t>MeasuredValue</t>
        </is>
      </c>
      <c r="D480" s="51" t="inlineStr">
        <is>
          <t>Voltage</t>
        </is>
      </c>
      <c r="E480" s="51" t="inlineStr">
        <is>
          <t>ASecondary</t>
        </is>
      </c>
    </row>
    <row r="481" ht="15" customHeight="1">
      <c r="A481" s="50">
        <f>CONCATENATE(C481,D481,E481)</f>
        <v/>
      </c>
      <c r="B481" s="51" t="inlineStr">
        <is>
          <t>VOLTBSEC</t>
        </is>
      </c>
      <c r="C481" s="51" t="inlineStr">
        <is>
          <t>MeasuredValue</t>
        </is>
      </c>
      <c r="D481" s="51" t="inlineStr">
        <is>
          <t>Voltage</t>
        </is>
      </c>
      <c r="E481" s="51" t="inlineStr">
        <is>
          <t>BSecondary</t>
        </is>
      </c>
    </row>
    <row r="482" ht="15" customHeight="1">
      <c r="A482" s="50">
        <f>CONCATENATE(C482,D482,E482)</f>
        <v/>
      </c>
      <c r="B482" s="51" t="inlineStr">
        <is>
          <t>VOLTCSEC</t>
        </is>
      </c>
      <c r="C482" s="51" t="inlineStr">
        <is>
          <t>MeasuredValue</t>
        </is>
      </c>
      <c r="D482" s="51" t="inlineStr">
        <is>
          <t>Voltage</t>
        </is>
      </c>
      <c r="E482" s="51" t="inlineStr">
        <is>
          <t>CSecondary</t>
        </is>
      </c>
    </row>
    <row r="483" ht="30" customHeight="1">
      <c r="A483" s="50">
        <f>CONCATENATE(C483,D483,E483)</f>
        <v/>
      </c>
      <c r="B483" s="51" t="inlineStr">
        <is>
          <t>VOLTANGABCSEC</t>
        </is>
      </c>
      <c r="C483" s="51" t="inlineStr">
        <is>
          <t>MeasuredValue</t>
        </is>
      </c>
      <c r="D483" s="51" t="inlineStr">
        <is>
          <t>VoltageAngle</t>
        </is>
      </c>
      <c r="E483" s="51" t="inlineStr">
        <is>
          <t>ABCSecondary</t>
        </is>
      </c>
    </row>
    <row r="484" ht="30" customHeight="1">
      <c r="A484" s="50">
        <f>CONCATENATE(C484,D484,E484)</f>
        <v/>
      </c>
      <c r="B484" s="51" t="inlineStr">
        <is>
          <t>VOLTANGABSEC</t>
        </is>
      </c>
      <c r="C484" s="51" t="inlineStr">
        <is>
          <t>MeasuredValue</t>
        </is>
      </c>
      <c r="D484" s="51" t="inlineStr">
        <is>
          <t>VoltageAngle</t>
        </is>
      </c>
      <c r="E484" s="51" t="inlineStr">
        <is>
          <t>ABSecondary</t>
        </is>
      </c>
    </row>
    <row r="485" ht="30" customHeight="1">
      <c r="A485" s="50">
        <f>CONCATENATE(C485,D485,E485)</f>
        <v/>
      </c>
      <c r="B485" s="51" t="inlineStr">
        <is>
          <t>VOLTANGBCSEC</t>
        </is>
      </c>
      <c r="C485" s="51" t="inlineStr">
        <is>
          <t>MeasuredValue</t>
        </is>
      </c>
      <c r="D485" s="51" t="inlineStr">
        <is>
          <t>VoltageAngle</t>
        </is>
      </c>
      <c r="E485" s="51" t="inlineStr">
        <is>
          <t>BCSecondary</t>
        </is>
      </c>
    </row>
    <row r="486" ht="30" customHeight="1">
      <c r="A486" s="50">
        <f>CONCATENATE(C486,D486,E486)</f>
        <v/>
      </c>
      <c r="B486" s="51" t="inlineStr">
        <is>
          <t>VOLTANGACSEC</t>
        </is>
      </c>
      <c r="C486" s="51" t="inlineStr">
        <is>
          <t>MeasuredValue</t>
        </is>
      </c>
      <c r="D486" s="51" t="inlineStr">
        <is>
          <t>VoltageAngle</t>
        </is>
      </c>
      <c r="E486" s="51" t="inlineStr">
        <is>
          <t>ACSecondary</t>
        </is>
      </c>
    </row>
    <row r="487" ht="30" customHeight="1">
      <c r="A487" s="50">
        <f>CONCATENATE(C487,D487,E487)</f>
        <v/>
      </c>
      <c r="B487" s="51" t="inlineStr">
        <is>
          <t>VOLTANGASEC</t>
        </is>
      </c>
      <c r="C487" s="51" t="inlineStr">
        <is>
          <t>MeasuredValue</t>
        </is>
      </c>
      <c r="D487" s="51" t="inlineStr">
        <is>
          <t>VoltageAngle</t>
        </is>
      </c>
      <c r="E487" s="51" t="inlineStr">
        <is>
          <t>ASecondary</t>
        </is>
      </c>
    </row>
    <row r="488" ht="30" customHeight="1">
      <c r="A488" s="50">
        <f>CONCATENATE(C488,D488,E488)</f>
        <v/>
      </c>
      <c r="B488" s="51" t="inlineStr">
        <is>
          <t>VOLTANGBSEC</t>
        </is>
      </c>
      <c r="C488" s="51" t="inlineStr">
        <is>
          <t>MeasuredValue</t>
        </is>
      </c>
      <c r="D488" s="51" t="inlineStr">
        <is>
          <t>VoltageAngle</t>
        </is>
      </c>
      <c r="E488" s="51" t="inlineStr">
        <is>
          <t>BSecondary</t>
        </is>
      </c>
    </row>
    <row r="489" ht="30" customHeight="1">
      <c r="A489" s="50">
        <f>CONCATENATE(C489,D489,E489)</f>
        <v/>
      </c>
      <c r="B489" s="51" t="inlineStr">
        <is>
          <t>VOLTANGCSEC</t>
        </is>
      </c>
      <c r="C489" s="51" t="inlineStr">
        <is>
          <t>MeasuredValue</t>
        </is>
      </c>
      <c r="D489" s="51" t="inlineStr">
        <is>
          <t>VoltageAngle</t>
        </is>
      </c>
      <c r="E489" s="51" t="inlineStr">
        <is>
          <t>CSecondary</t>
        </is>
      </c>
    </row>
    <row r="490" ht="30" customHeight="1">
      <c r="A490" s="50">
        <f>CONCATENATE(C490,D490,E490)</f>
        <v/>
      </c>
      <c r="B490" s="51" t="inlineStr">
        <is>
          <t>FREQSEC</t>
        </is>
      </c>
      <c r="C490" s="51" t="inlineStr">
        <is>
          <t>MeasuredValue</t>
        </is>
      </c>
      <c r="D490" s="51" t="inlineStr">
        <is>
          <t>Frequency</t>
        </is>
      </c>
      <c r="E490" s="51" t="inlineStr">
        <is>
          <t>ABCSecondary</t>
        </is>
      </c>
    </row>
    <row r="491" ht="30" customHeight="1">
      <c r="A491" s="50">
        <f>CONCATENATE(C491,D491,E491)</f>
        <v/>
      </c>
      <c r="B491" s="51" t="inlineStr">
        <is>
          <t>RELVOLTABCSEC</t>
        </is>
      </c>
      <c r="C491" s="51" t="inlineStr">
        <is>
          <t>MeasuredValue</t>
        </is>
      </c>
      <c r="D491" s="51" t="inlineStr">
        <is>
          <t>RelativeVoltage</t>
        </is>
      </c>
      <c r="E491" s="51" t="inlineStr">
        <is>
          <t>ABCSecondary</t>
        </is>
      </c>
    </row>
    <row r="492" ht="30" customHeight="1">
      <c r="A492" s="50">
        <f>CONCATENATE(C492,D492,E492)</f>
        <v/>
      </c>
      <c r="B492" s="51" t="inlineStr">
        <is>
          <t>RELVOLTABSEC</t>
        </is>
      </c>
      <c r="C492" s="51" t="inlineStr">
        <is>
          <t>MeasuredValue</t>
        </is>
      </c>
      <c r="D492" s="51" t="inlineStr">
        <is>
          <t>RelativeVoltage</t>
        </is>
      </c>
      <c r="E492" s="51" t="inlineStr">
        <is>
          <t>ABSecondary</t>
        </is>
      </c>
    </row>
    <row r="493" ht="30" customHeight="1">
      <c r="A493" s="50">
        <f>CONCATENATE(C493,D493,E493)</f>
        <v/>
      </c>
      <c r="B493" s="51" t="inlineStr">
        <is>
          <t>RELVOLTACSEC</t>
        </is>
      </c>
      <c r="C493" s="51" t="inlineStr">
        <is>
          <t>MeasuredValue</t>
        </is>
      </c>
      <c r="D493" s="51" t="inlineStr">
        <is>
          <t>RelativeVoltage</t>
        </is>
      </c>
      <c r="E493" s="51" t="inlineStr">
        <is>
          <t>BCSecondary</t>
        </is>
      </c>
    </row>
    <row r="494" ht="30" customHeight="1">
      <c r="A494" s="50">
        <f>CONCATENATE(C494,D494,E494)</f>
        <v/>
      </c>
      <c r="B494" s="51" t="inlineStr">
        <is>
          <t>RELVOLTBCSEC</t>
        </is>
      </c>
      <c r="C494" s="51" t="inlineStr">
        <is>
          <t>MeasuredValue</t>
        </is>
      </c>
      <c r="D494" s="51" t="inlineStr">
        <is>
          <t>RelativeVoltage</t>
        </is>
      </c>
      <c r="E494" s="51" t="inlineStr">
        <is>
          <t>ACSecondary</t>
        </is>
      </c>
    </row>
    <row r="495" ht="30" customHeight="1">
      <c r="A495" s="50">
        <f>CONCATENATE(C495,D495,E495)</f>
        <v/>
      </c>
      <c r="B495" s="51" t="inlineStr">
        <is>
          <t>RELVOLTASEC</t>
        </is>
      </c>
      <c r="C495" s="51" t="inlineStr">
        <is>
          <t>MeasuredValue</t>
        </is>
      </c>
      <c r="D495" s="51" t="inlineStr">
        <is>
          <t>RelativeVoltage</t>
        </is>
      </c>
      <c r="E495" s="51" t="inlineStr">
        <is>
          <t>ASecondary</t>
        </is>
      </c>
    </row>
    <row r="496" ht="30" customHeight="1">
      <c r="A496" s="50">
        <f>CONCATENATE(C496,D496,E496)</f>
        <v/>
      </c>
      <c r="B496" s="51" t="inlineStr">
        <is>
          <t>RELVOLTBSEC</t>
        </is>
      </c>
      <c r="C496" s="51" t="inlineStr">
        <is>
          <t>MeasuredValue</t>
        </is>
      </c>
      <c r="D496" s="51" t="inlineStr">
        <is>
          <t>RelativeVoltage</t>
        </is>
      </c>
      <c r="E496" s="51" t="inlineStr">
        <is>
          <t>BSecondary</t>
        </is>
      </c>
    </row>
    <row r="497" ht="30" customHeight="1">
      <c r="A497" s="50">
        <f>CONCATENATE(C497,D497,E497)</f>
        <v/>
      </c>
      <c r="B497" s="51" t="inlineStr">
        <is>
          <t>RELVOLTCSEC</t>
        </is>
      </c>
      <c r="C497" s="51" t="inlineStr">
        <is>
          <t>MeasuredValue</t>
        </is>
      </c>
      <c r="D497" s="51" t="inlineStr">
        <is>
          <t>RelativeVoltage</t>
        </is>
      </c>
      <c r="E497" s="51" t="inlineStr">
        <is>
          <t>CSecondary</t>
        </is>
      </c>
    </row>
    <row r="498" ht="30" customHeight="1">
      <c r="A498" s="50">
        <f>CONCATENATE(C498,D498,E498)</f>
        <v/>
      </c>
      <c r="B498" s="51" t="inlineStr">
        <is>
          <t>AMPABCSEC</t>
        </is>
      </c>
      <c r="C498" s="51" t="inlineStr">
        <is>
          <t>MeasuredValue</t>
        </is>
      </c>
      <c r="D498" s="51" t="inlineStr">
        <is>
          <t>Current</t>
        </is>
      </c>
      <c r="E498" s="51" t="inlineStr">
        <is>
          <t>ABCSecondary</t>
        </is>
      </c>
    </row>
    <row r="499" ht="15" customHeight="1">
      <c r="A499" s="50">
        <f>CONCATENATE(C499,D499,E499)</f>
        <v/>
      </c>
      <c r="B499" s="51" t="inlineStr">
        <is>
          <t>AMPASEC</t>
        </is>
      </c>
      <c r="C499" s="51" t="inlineStr">
        <is>
          <t>MeasuredValue</t>
        </is>
      </c>
      <c r="D499" s="51" t="inlineStr">
        <is>
          <t>Current</t>
        </is>
      </c>
      <c r="E499" s="51" t="inlineStr">
        <is>
          <t>ASecondary</t>
        </is>
      </c>
    </row>
    <row r="500" ht="15" customHeight="1">
      <c r="A500" s="50">
        <f>CONCATENATE(C500,D500,E500)</f>
        <v/>
      </c>
      <c r="B500" s="51" t="inlineStr">
        <is>
          <t>AMPBSEC</t>
        </is>
      </c>
      <c r="C500" s="51" t="inlineStr">
        <is>
          <t>MeasuredValue</t>
        </is>
      </c>
      <c r="D500" s="51" t="inlineStr">
        <is>
          <t>Current</t>
        </is>
      </c>
      <c r="E500" s="51" t="inlineStr">
        <is>
          <t>BSecondary</t>
        </is>
      </c>
    </row>
    <row r="501" ht="15" customHeight="1">
      <c r="A501" s="50">
        <f>CONCATENATE(C501,D501,E501)</f>
        <v/>
      </c>
      <c r="B501" s="51" t="inlineStr">
        <is>
          <t>AMPCSEC</t>
        </is>
      </c>
      <c r="C501" s="51" t="inlineStr">
        <is>
          <t>MeasuredValue</t>
        </is>
      </c>
      <c r="D501" s="51" t="inlineStr">
        <is>
          <t>Current</t>
        </is>
      </c>
      <c r="E501" s="51" t="inlineStr">
        <is>
          <t>CSecondary</t>
        </is>
      </c>
    </row>
    <row r="502" ht="15" customHeight="1">
      <c r="A502" s="50">
        <f>CONCATENATE(C502,D502,E502)</f>
        <v/>
      </c>
      <c r="B502" s="51" t="inlineStr">
        <is>
          <t>AMPNSEC</t>
        </is>
      </c>
      <c r="C502" s="51" t="inlineStr">
        <is>
          <t>MeasuredValue</t>
        </is>
      </c>
      <c r="D502" s="51" t="inlineStr">
        <is>
          <t>Current</t>
        </is>
      </c>
      <c r="E502" s="51" t="inlineStr">
        <is>
          <t>NSecondary</t>
        </is>
      </c>
    </row>
    <row r="503" ht="30" customHeight="1">
      <c r="A503" s="50">
        <f>CONCATENATE(C503,D503,E503)</f>
        <v/>
      </c>
      <c r="B503" s="51" t="inlineStr">
        <is>
          <t>MWABCSEC</t>
        </is>
      </c>
      <c r="C503" s="51" t="inlineStr">
        <is>
          <t>MeasuredValue</t>
        </is>
      </c>
      <c r="D503" s="51" t="inlineStr">
        <is>
          <t>ActivePower</t>
        </is>
      </c>
      <c r="E503" s="51" t="inlineStr">
        <is>
          <t>ABCSecondary</t>
        </is>
      </c>
    </row>
    <row r="504" ht="30" customHeight="1">
      <c r="A504" s="50">
        <f>CONCATENATE(C504,D504,E504)</f>
        <v/>
      </c>
      <c r="B504" s="51" t="inlineStr">
        <is>
          <t>MWASEC</t>
        </is>
      </c>
      <c r="C504" s="51" t="inlineStr">
        <is>
          <t>MeasuredValue</t>
        </is>
      </c>
      <c r="D504" s="51" t="inlineStr">
        <is>
          <t>ActivePower</t>
        </is>
      </c>
      <c r="E504" s="51" t="inlineStr">
        <is>
          <t>ASecondary</t>
        </is>
      </c>
    </row>
    <row r="505" ht="30" customHeight="1">
      <c r="A505" s="50">
        <f>CONCATENATE(C505,D505,E505)</f>
        <v/>
      </c>
      <c r="B505" s="51" t="inlineStr">
        <is>
          <t>MWBSEC</t>
        </is>
      </c>
      <c r="C505" s="51" t="inlineStr">
        <is>
          <t>MeasuredValue</t>
        </is>
      </c>
      <c r="D505" s="51" t="inlineStr">
        <is>
          <t>ActivePower</t>
        </is>
      </c>
      <c r="E505" s="51" t="inlineStr">
        <is>
          <t>BSecondary</t>
        </is>
      </c>
    </row>
    <row r="506" ht="30" customHeight="1">
      <c r="A506" s="50">
        <f>CONCATENATE(C506,D506,E506)</f>
        <v/>
      </c>
      <c r="B506" s="51" t="inlineStr">
        <is>
          <t>MWCSEC</t>
        </is>
      </c>
      <c r="C506" s="51" t="inlineStr">
        <is>
          <t>MeasuredValue</t>
        </is>
      </c>
      <c r="D506" s="51" t="inlineStr">
        <is>
          <t>ActivePower</t>
        </is>
      </c>
      <c r="E506" s="51" t="inlineStr">
        <is>
          <t>CSecondary</t>
        </is>
      </c>
    </row>
    <row r="507" ht="30" customHeight="1">
      <c r="A507" s="50">
        <f>CONCATENATE(C507,D507,E507)</f>
        <v/>
      </c>
      <c r="B507" s="51" t="inlineStr">
        <is>
          <t>MVARABCSEC</t>
        </is>
      </c>
      <c r="C507" s="51" t="inlineStr">
        <is>
          <t>MeasuredValue</t>
        </is>
      </c>
      <c r="D507" s="51" t="inlineStr">
        <is>
          <t>ReactivePower</t>
        </is>
      </c>
      <c r="E507" s="51" t="inlineStr">
        <is>
          <t>ABCSecondary</t>
        </is>
      </c>
    </row>
    <row r="508" ht="30" customHeight="1">
      <c r="A508" s="50">
        <f>CONCATENATE(C508,D508,E508)</f>
        <v/>
      </c>
      <c r="B508" s="51" t="inlineStr">
        <is>
          <t>MVARASEC</t>
        </is>
      </c>
      <c r="C508" s="51" t="inlineStr">
        <is>
          <t>MeasuredValue</t>
        </is>
      </c>
      <c r="D508" s="51" t="inlineStr">
        <is>
          <t>ReactivePower</t>
        </is>
      </c>
      <c r="E508" s="51" t="inlineStr">
        <is>
          <t>ASecondary</t>
        </is>
      </c>
    </row>
    <row r="509" ht="30" customHeight="1">
      <c r="A509" s="50">
        <f>CONCATENATE(C509,D509,E509)</f>
        <v/>
      </c>
      <c r="B509" s="51" t="inlineStr">
        <is>
          <t>MVARBSEC</t>
        </is>
      </c>
      <c r="C509" s="51" t="inlineStr">
        <is>
          <t>MeasuredValue</t>
        </is>
      </c>
      <c r="D509" s="51" t="inlineStr">
        <is>
          <t>ReactivePower</t>
        </is>
      </c>
      <c r="E509" s="51" t="inlineStr">
        <is>
          <t>BSecondary</t>
        </is>
      </c>
    </row>
    <row r="510" ht="30" customHeight="1">
      <c r="A510" s="50">
        <f>CONCATENATE(C510,D510,E510)</f>
        <v/>
      </c>
      <c r="B510" s="51" t="inlineStr">
        <is>
          <t>MVARCSEC</t>
        </is>
      </c>
      <c r="C510" s="51" t="inlineStr">
        <is>
          <t>MeasuredValue</t>
        </is>
      </c>
      <c r="D510" s="51" t="inlineStr">
        <is>
          <t>ReactivePower</t>
        </is>
      </c>
      <c r="E510" s="51" t="inlineStr">
        <is>
          <t>CSecondary</t>
        </is>
      </c>
    </row>
    <row r="511" ht="30" customHeight="1">
      <c r="A511" s="50">
        <f>CONCATENATE(C511,D511,E511)</f>
        <v/>
      </c>
      <c r="B511" s="51" t="inlineStr">
        <is>
          <t>MVAABCSEC</t>
        </is>
      </c>
      <c r="C511" s="51" t="inlineStr">
        <is>
          <t>MeasuredValue</t>
        </is>
      </c>
      <c r="D511" s="51" t="inlineStr">
        <is>
          <t>ApparentPower</t>
        </is>
      </c>
      <c r="E511" s="51" t="inlineStr">
        <is>
          <t>ABCSecondary</t>
        </is>
      </c>
    </row>
    <row r="512" ht="30" customHeight="1">
      <c r="A512" s="50">
        <f>CONCATENATE(C512,D512,E512)</f>
        <v/>
      </c>
      <c r="B512" s="51" t="inlineStr">
        <is>
          <t>COSPHIABCSEC</t>
        </is>
      </c>
      <c r="C512" s="51" t="inlineStr">
        <is>
          <t>MeasuredValue</t>
        </is>
      </c>
      <c r="D512" s="51" t="inlineStr">
        <is>
          <t>CosPhi</t>
        </is>
      </c>
      <c r="E512" s="51" t="inlineStr">
        <is>
          <t>ABCSecondary</t>
        </is>
      </c>
    </row>
    <row r="513" ht="15" customHeight="1">
      <c r="A513" s="50">
        <f>CONCATENATE(C513,D513,E513)</f>
        <v/>
      </c>
      <c r="B513" s="51" t="inlineStr">
        <is>
          <t>COSPHIASEC</t>
        </is>
      </c>
      <c r="C513" s="51" t="inlineStr">
        <is>
          <t>MeasuredValue</t>
        </is>
      </c>
      <c r="D513" s="51" t="inlineStr">
        <is>
          <t>CosPhi</t>
        </is>
      </c>
      <c r="E513" s="51" t="inlineStr">
        <is>
          <t>ASecondary</t>
        </is>
      </c>
    </row>
    <row r="514" ht="15" customHeight="1">
      <c r="A514" s="50">
        <f>CONCATENATE(C514,D514,E514)</f>
        <v/>
      </c>
      <c r="B514" s="51" t="inlineStr">
        <is>
          <t>COSPHIBSEC</t>
        </is>
      </c>
      <c r="C514" s="51" t="inlineStr">
        <is>
          <t>MeasuredValue</t>
        </is>
      </c>
      <c r="D514" s="51" t="inlineStr">
        <is>
          <t>CosPhi</t>
        </is>
      </c>
      <c r="E514" s="51" t="inlineStr">
        <is>
          <t>BSecondary</t>
        </is>
      </c>
    </row>
    <row r="515" ht="15" customHeight="1">
      <c r="A515" s="50">
        <f>CONCATENATE(C515,D515,E515)</f>
        <v/>
      </c>
      <c r="B515" s="51" t="inlineStr">
        <is>
          <t>COSPHICSEC</t>
        </is>
      </c>
      <c r="C515" s="51" t="inlineStr">
        <is>
          <t>MeasuredValue</t>
        </is>
      </c>
      <c r="D515" s="51" t="inlineStr">
        <is>
          <t>CosPhi</t>
        </is>
      </c>
      <c r="E515" s="51" t="inlineStr">
        <is>
          <t>CSecondary</t>
        </is>
      </c>
    </row>
    <row r="516" ht="30" customHeight="1">
      <c r="A516" s="50">
        <f>CONCATENATE(C516,D516,E516)</f>
        <v/>
      </c>
      <c r="B516" s="51" t="inlineStr">
        <is>
          <t>MWHABCSEC</t>
        </is>
      </c>
      <c r="C516" s="51" t="inlineStr">
        <is>
          <t>MeasuredValue</t>
        </is>
      </c>
      <c r="D516" s="51" t="inlineStr">
        <is>
          <t>ActiveEnergy</t>
        </is>
      </c>
      <c r="E516" s="51" t="inlineStr">
        <is>
          <t>ABCSecondary</t>
        </is>
      </c>
    </row>
    <row r="517" ht="30" customHeight="1">
      <c r="A517" s="50">
        <f>CONCATENATE(C517,D517,E517)</f>
        <v/>
      </c>
      <c r="B517" s="51" t="inlineStr">
        <is>
          <t>MWHASEC</t>
        </is>
      </c>
      <c r="C517" s="51" t="inlineStr">
        <is>
          <t>MeasuredValue</t>
        </is>
      </c>
      <c r="D517" s="51" t="inlineStr">
        <is>
          <t>ActiveEnergy</t>
        </is>
      </c>
      <c r="E517" s="51" t="inlineStr">
        <is>
          <t>ASecondary</t>
        </is>
      </c>
    </row>
    <row r="518" ht="30" customHeight="1">
      <c r="A518" s="50">
        <f>CONCATENATE(C518,D518,E518)</f>
        <v/>
      </c>
      <c r="B518" s="51" t="inlineStr">
        <is>
          <t>MWHBSEC</t>
        </is>
      </c>
      <c r="C518" s="51" t="inlineStr">
        <is>
          <t>MeasuredValue</t>
        </is>
      </c>
      <c r="D518" s="51" t="inlineStr">
        <is>
          <t>ActiveEnergy</t>
        </is>
      </c>
      <c r="E518" s="51" t="inlineStr">
        <is>
          <t>BSecondary</t>
        </is>
      </c>
    </row>
    <row r="519" ht="30" customHeight="1">
      <c r="A519" s="50">
        <f>CONCATENATE(C519,D519,E519)</f>
        <v/>
      </c>
      <c r="B519" s="51" t="inlineStr">
        <is>
          <t>MWHCSEC</t>
        </is>
      </c>
      <c r="C519" s="51" t="inlineStr">
        <is>
          <t>MeasuredValue</t>
        </is>
      </c>
      <c r="D519" s="51" t="inlineStr">
        <is>
          <t>ActiveEnergy</t>
        </is>
      </c>
      <c r="E519" s="51" t="inlineStr">
        <is>
          <t>CSecondary</t>
        </is>
      </c>
    </row>
    <row r="520" ht="30" customHeight="1">
      <c r="A520" s="50">
        <f>CONCATENATE(C520,D520,E520)</f>
        <v/>
      </c>
      <c r="B520" s="51" t="inlineStr">
        <is>
          <t>MVARHABCSEC</t>
        </is>
      </c>
      <c r="C520" s="51" t="inlineStr">
        <is>
          <t>MeasuredValue</t>
        </is>
      </c>
      <c r="D520" s="51" t="inlineStr">
        <is>
          <t>ReactiveEnergy</t>
        </is>
      </c>
      <c r="E520" s="51" t="inlineStr">
        <is>
          <t>ABCSecondary</t>
        </is>
      </c>
    </row>
    <row r="521" ht="30" customHeight="1">
      <c r="A521" s="50">
        <f>CONCATENATE(C521,D521,E521)</f>
        <v/>
      </c>
      <c r="B521" s="51" t="inlineStr">
        <is>
          <t>MVARHASEC</t>
        </is>
      </c>
      <c r="C521" s="51" t="inlineStr">
        <is>
          <t>MeasuredValue</t>
        </is>
      </c>
      <c r="D521" s="51" t="inlineStr">
        <is>
          <t>ReactiveEnergy</t>
        </is>
      </c>
      <c r="E521" s="51" t="inlineStr">
        <is>
          <t>ASecondary</t>
        </is>
      </c>
    </row>
    <row r="522" ht="30" customHeight="1">
      <c r="A522" s="50">
        <f>CONCATENATE(C522,D522,E522)</f>
        <v/>
      </c>
      <c r="B522" s="51" t="inlineStr">
        <is>
          <t>MVARHBSEC</t>
        </is>
      </c>
      <c r="C522" s="51" t="inlineStr">
        <is>
          <t>MeasuredValue</t>
        </is>
      </c>
      <c r="D522" s="51" t="inlineStr">
        <is>
          <t>ReactiveEnergy</t>
        </is>
      </c>
      <c r="E522" s="51" t="inlineStr">
        <is>
          <t>BSecondary</t>
        </is>
      </c>
    </row>
    <row r="523" ht="30" customHeight="1">
      <c r="A523" s="50">
        <f>CONCATENATE(C523,D523,E523)</f>
        <v/>
      </c>
      <c r="B523" s="51" t="inlineStr">
        <is>
          <t>MVARHCSEC</t>
        </is>
      </c>
      <c r="C523" s="51" t="inlineStr">
        <is>
          <t>MeasuredValue</t>
        </is>
      </c>
      <c r="D523" s="51" t="inlineStr">
        <is>
          <t>ReactiveEnergy</t>
        </is>
      </c>
      <c r="E523" s="51" t="inlineStr">
        <is>
          <t>CSecondary</t>
        </is>
      </c>
    </row>
    <row r="524" ht="15" customHeight="1">
      <c r="A524" s="50">
        <f>CONCATENATE(C524,D524,E524)</f>
        <v/>
      </c>
      <c r="B524" s="51" t="inlineStr">
        <is>
          <t>FLTRCDRVOLTABCSEC</t>
        </is>
      </c>
      <c r="C524" s="51" t="inlineStr">
        <is>
          <t>FaultRecorder</t>
        </is>
      </c>
      <c r="D524" s="51" t="inlineStr">
        <is>
          <t>Voltage</t>
        </is>
      </c>
      <c r="E524" s="51" t="inlineStr">
        <is>
          <t>ABCSecondary</t>
        </is>
      </c>
    </row>
    <row r="525" ht="15" customHeight="1">
      <c r="A525" s="50">
        <f>CONCATENATE(C525,D525,E525)</f>
        <v/>
      </c>
      <c r="B525" s="51" t="inlineStr">
        <is>
          <t>FLTRCDRVOLTASEC</t>
        </is>
      </c>
      <c r="C525" s="51" t="inlineStr">
        <is>
          <t>FaultRecorder</t>
        </is>
      </c>
      <c r="D525" s="51" t="inlineStr">
        <is>
          <t>Voltage</t>
        </is>
      </c>
      <c r="E525" s="51" t="inlineStr">
        <is>
          <t>ASecondary</t>
        </is>
      </c>
    </row>
    <row r="526" ht="15" customHeight="1">
      <c r="A526" s="50">
        <f>CONCATENATE(C526,D526,E526)</f>
        <v/>
      </c>
      <c r="B526" s="51" t="inlineStr">
        <is>
          <t>FLTRCDRVOLTBSEC</t>
        </is>
      </c>
      <c r="C526" s="51" t="inlineStr">
        <is>
          <t>FaultRecorder</t>
        </is>
      </c>
      <c r="D526" s="51" t="inlineStr">
        <is>
          <t>Voltage</t>
        </is>
      </c>
      <c r="E526" s="51" t="inlineStr">
        <is>
          <t>BSecondary</t>
        </is>
      </c>
    </row>
    <row r="527" ht="15" customHeight="1">
      <c r="A527" s="50">
        <f>CONCATENATE(C527,D527,E527)</f>
        <v/>
      </c>
      <c r="B527" s="51" t="inlineStr">
        <is>
          <t>FLTRCDRVOLTCSEC</t>
        </is>
      </c>
      <c r="C527" s="51" t="inlineStr">
        <is>
          <t>FaultRecorder</t>
        </is>
      </c>
      <c r="D527" s="51" t="inlineStr">
        <is>
          <t>Voltage</t>
        </is>
      </c>
      <c r="E527" s="51" t="inlineStr">
        <is>
          <t>CSecondary</t>
        </is>
      </c>
    </row>
    <row r="528" ht="15" customHeight="1">
      <c r="A528" s="50">
        <f>CONCATENATE(C528,D528,E528)</f>
        <v/>
      </c>
      <c r="B528" s="51" t="inlineStr">
        <is>
          <t>FLTRCDRAMPABCSEC</t>
        </is>
      </c>
      <c r="C528" s="51" t="inlineStr">
        <is>
          <t>FaultRecorder</t>
        </is>
      </c>
      <c r="D528" s="51" t="inlineStr">
        <is>
          <t>Current</t>
        </is>
      </c>
      <c r="E528" s="51" t="inlineStr">
        <is>
          <t>ABCSecondary</t>
        </is>
      </c>
    </row>
    <row r="529" ht="15" customHeight="1">
      <c r="A529" s="50">
        <f>CONCATENATE(C529,D529,E529)</f>
        <v/>
      </c>
      <c r="B529" s="51" t="inlineStr">
        <is>
          <t>FLTRCDRAMPASEC</t>
        </is>
      </c>
      <c r="C529" s="51" t="inlineStr">
        <is>
          <t>FaultRecorder</t>
        </is>
      </c>
      <c r="D529" s="51" t="inlineStr">
        <is>
          <t>Current</t>
        </is>
      </c>
      <c r="E529" s="51" t="inlineStr">
        <is>
          <t>ASecondary</t>
        </is>
      </c>
    </row>
    <row r="530" ht="15" customHeight="1">
      <c r="A530" s="50">
        <f>CONCATENATE(C530,D530,E530)</f>
        <v/>
      </c>
      <c r="B530" s="51" t="inlineStr">
        <is>
          <t>FLTRCDRAMPBSEC</t>
        </is>
      </c>
      <c r="C530" s="51" t="inlineStr">
        <is>
          <t>FaultRecorder</t>
        </is>
      </c>
      <c r="D530" s="51" t="inlineStr">
        <is>
          <t>Current</t>
        </is>
      </c>
      <c r="E530" s="51" t="inlineStr">
        <is>
          <t>BSecondary</t>
        </is>
      </c>
    </row>
    <row r="531" ht="15" customHeight="1">
      <c r="A531" s="50">
        <f>CONCATENATE(C531,D531,E531)</f>
        <v/>
      </c>
      <c r="B531" s="51" t="inlineStr">
        <is>
          <t>FLTRCDRAMPCSEC</t>
        </is>
      </c>
      <c r="C531" s="51" t="inlineStr">
        <is>
          <t>FaultRecorder</t>
        </is>
      </c>
      <c r="D531" s="51" t="inlineStr">
        <is>
          <t>Current</t>
        </is>
      </c>
      <c r="E531" s="51" t="inlineStr">
        <is>
          <t>CSecondary</t>
        </is>
      </c>
    </row>
    <row r="532" ht="30" customHeight="1">
      <c r="A532" s="50">
        <f>CONCATENATE(C532,D532,E532)</f>
        <v/>
      </c>
      <c r="B532" s="51" t="inlineStr">
        <is>
          <t>FLTRCDRVOLTANGABCSEC</t>
        </is>
      </c>
      <c r="C532" s="51" t="inlineStr">
        <is>
          <t>FaultRecorder</t>
        </is>
      </c>
      <c r="D532" s="51" t="inlineStr">
        <is>
          <t>VoltageAngle</t>
        </is>
      </c>
      <c r="E532" s="51" t="inlineStr">
        <is>
          <t>ABCSecondary</t>
        </is>
      </c>
    </row>
    <row r="533" ht="30" customHeight="1">
      <c r="A533" s="50">
        <f>CONCATENATE(C533,D533,E533)</f>
        <v/>
      </c>
      <c r="B533" s="51" t="inlineStr">
        <is>
          <t>FLTRCDRVOLTANGASEC</t>
        </is>
      </c>
      <c r="C533" s="51" t="inlineStr">
        <is>
          <t>FaultRecorder</t>
        </is>
      </c>
      <c r="D533" s="51" t="inlineStr">
        <is>
          <t>VoltageAngle</t>
        </is>
      </c>
      <c r="E533" s="51" t="inlineStr">
        <is>
          <t>ASecondary</t>
        </is>
      </c>
    </row>
    <row r="534" ht="30" customHeight="1">
      <c r="A534" s="50">
        <f>CONCATENATE(C534,D534,E534)</f>
        <v/>
      </c>
      <c r="B534" s="51" t="inlineStr">
        <is>
          <t>FLTRCDRVOLTANGBSEC</t>
        </is>
      </c>
      <c r="C534" s="51" t="inlineStr">
        <is>
          <t>FaultRecorder</t>
        </is>
      </c>
      <c r="D534" s="51" t="inlineStr">
        <is>
          <t>VoltageAngle</t>
        </is>
      </c>
      <c r="E534" s="51" t="inlineStr">
        <is>
          <t>BSecondary</t>
        </is>
      </c>
    </row>
    <row r="535" ht="30" customHeight="1">
      <c r="A535" s="50">
        <f>CONCATENATE(C535,D535,E535)</f>
        <v/>
      </c>
      <c r="B535" s="51" t="inlineStr">
        <is>
          <t>FLTRCDRVOLTANGCSEC</t>
        </is>
      </c>
      <c r="C535" s="51" t="inlineStr">
        <is>
          <t>FaultRecorder</t>
        </is>
      </c>
      <c r="D535" s="51" t="inlineStr">
        <is>
          <t>VoltageAngle</t>
        </is>
      </c>
      <c r="E535" s="51" t="inlineStr">
        <is>
          <t>CSecondary</t>
        </is>
      </c>
    </row>
    <row r="536" ht="30" customHeight="1">
      <c r="A536" s="50">
        <f>CONCATENATE(C536,D536,E536)</f>
        <v/>
      </c>
      <c r="B536" s="51" t="inlineStr">
        <is>
          <t>FLTRCDRAMPANGABCSEC</t>
        </is>
      </c>
      <c r="C536" s="51" t="inlineStr">
        <is>
          <t>FaultRecorder</t>
        </is>
      </c>
      <c r="D536" s="51" t="inlineStr">
        <is>
          <t>CurrentAngle</t>
        </is>
      </c>
      <c r="E536" s="51" t="inlineStr">
        <is>
          <t>ABCSecondary</t>
        </is>
      </c>
    </row>
    <row r="537" ht="30" customHeight="1">
      <c r="A537" s="50">
        <f>CONCATENATE(C537,D537,E537)</f>
        <v/>
      </c>
      <c r="B537" s="51" t="inlineStr">
        <is>
          <t>FLTRCDRAMPANGASEC</t>
        </is>
      </c>
      <c r="C537" s="51" t="inlineStr">
        <is>
          <t>FaultRecorder</t>
        </is>
      </c>
      <c r="D537" s="51" t="inlineStr">
        <is>
          <t>CurrentAngle</t>
        </is>
      </c>
      <c r="E537" s="51" t="inlineStr">
        <is>
          <t>ASecondary</t>
        </is>
      </c>
    </row>
    <row r="538" ht="30" customHeight="1">
      <c r="A538" s="50">
        <f>CONCATENATE(C538,D538,E538)</f>
        <v/>
      </c>
      <c r="B538" s="51" t="inlineStr">
        <is>
          <t>FLTRCDRAMPANGBSEC</t>
        </is>
      </c>
      <c r="C538" s="51" t="inlineStr">
        <is>
          <t>FaultRecorder</t>
        </is>
      </c>
      <c r="D538" s="51" t="inlineStr">
        <is>
          <t>CurrentAngle</t>
        </is>
      </c>
      <c r="E538" s="51" t="inlineStr">
        <is>
          <t>BSecondary</t>
        </is>
      </c>
    </row>
    <row r="539" ht="30" customHeight="1">
      <c r="A539" s="50">
        <f>CONCATENATE(C539,D539,E539)</f>
        <v/>
      </c>
      <c r="B539" s="51" t="inlineStr">
        <is>
          <t>FLTRCDRAMPANGCSEC</t>
        </is>
      </c>
      <c r="C539" s="51" t="inlineStr">
        <is>
          <t>FaultRecorder</t>
        </is>
      </c>
      <c r="D539" s="51" t="inlineStr">
        <is>
          <t>CurrentAngle</t>
        </is>
      </c>
      <c r="E539" s="51" t="inlineStr">
        <is>
          <t>CSecondary</t>
        </is>
      </c>
    </row>
    <row r="540" ht="30" customHeight="1">
      <c r="A540" s="50">
        <f>CONCATENATE(C540,D540,E540)</f>
        <v/>
      </c>
      <c r="B540" s="51" t="inlineStr">
        <is>
          <t>TMPABCSEC</t>
        </is>
      </c>
      <c r="C540" s="51" t="inlineStr">
        <is>
          <t>MeasuredValue</t>
        </is>
      </c>
      <c r="D540" s="51" t="inlineStr">
        <is>
          <t>Temperature</t>
        </is>
      </c>
      <c r="E540" s="51" t="inlineStr">
        <is>
          <t>ABCSecondary</t>
        </is>
      </c>
    </row>
    <row r="541" ht="30" customHeight="1">
      <c r="A541" s="50">
        <f>CONCATENATE(C541,D541,E541)</f>
        <v/>
      </c>
      <c r="B541" s="51" t="inlineStr">
        <is>
          <t>TMPASEC</t>
        </is>
      </c>
      <c r="C541" s="51" t="inlineStr">
        <is>
          <t>MeasuredValue</t>
        </is>
      </c>
      <c r="D541" s="51" t="inlineStr">
        <is>
          <t>Temperature</t>
        </is>
      </c>
      <c r="E541" s="51" t="inlineStr">
        <is>
          <t>ASecondary</t>
        </is>
      </c>
    </row>
    <row r="542" ht="30" customHeight="1">
      <c r="A542" s="50">
        <f>CONCATENATE(C542,D542,E542)</f>
        <v/>
      </c>
      <c r="B542" s="51" t="inlineStr">
        <is>
          <t>TMPBSEC</t>
        </is>
      </c>
      <c r="C542" s="51" t="inlineStr">
        <is>
          <t>MeasuredValue</t>
        </is>
      </c>
      <c r="D542" s="51" t="inlineStr">
        <is>
          <t>Temperature</t>
        </is>
      </c>
      <c r="E542" s="51" t="inlineStr">
        <is>
          <t>BSecondary</t>
        </is>
      </c>
    </row>
    <row r="543" ht="30" customHeight="1">
      <c r="A543" s="50">
        <f>CONCATENATE(C543,D543,E543)</f>
        <v/>
      </c>
      <c r="B543" s="51" t="inlineStr">
        <is>
          <t>TMPCSEC</t>
        </is>
      </c>
      <c r="C543" s="51" t="inlineStr">
        <is>
          <t>MeasuredValue</t>
        </is>
      </c>
      <c r="D543" s="51" t="inlineStr">
        <is>
          <t>Temperature</t>
        </is>
      </c>
      <c r="E543" s="51" t="inlineStr">
        <is>
          <t>CSecondary</t>
        </is>
      </c>
    </row>
    <row r="544" ht="30" customHeight="1">
      <c r="A544" s="50">
        <f>CONCATENATE(C544,D544,E544)</f>
        <v/>
      </c>
      <c r="B544" s="51" t="inlineStr">
        <is>
          <t>CUSTANLM1ABCSEC</t>
        </is>
      </c>
      <c r="C544" s="51" t="inlineStr">
        <is>
          <t>AnalogSignalType.Custom</t>
        </is>
      </c>
      <c r="D544" s="51" t="inlineStr">
        <is>
          <t>Unitless</t>
        </is>
      </c>
      <c r="E544" s="51" t="inlineStr">
        <is>
          <t>ABCSecondary</t>
        </is>
      </c>
    </row>
    <row r="545" ht="30" customHeight="1">
      <c r="A545" s="50">
        <f>CONCATENATE(C545,D545,E545)</f>
        <v/>
      </c>
      <c r="B545" s="51" t="inlineStr">
        <is>
          <t>CUSTANLM1ASEC</t>
        </is>
      </c>
      <c r="C545" s="51" t="inlineStr">
        <is>
          <t>AnalogSignalType.Custom</t>
        </is>
      </c>
      <c r="D545" s="51" t="inlineStr">
        <is>
          <t>Unitless</t>
        </is>
      </c>
      <c r="E545" s="51" t="inlineStr">
        <is>
          <t>ASecondary</t>
        </is>
      </c>
    </row>
    <row r="546" ht="30" customHeight="1">
      <c r="A546" s="50">
        <f>CONCATENATE(C546,D546,E546)</f>
        <v/>
      </c>
      <c r="B546" s="51" t="inlineStr">
        <is>
          <t>CUSTANLM1BSEC</t>
        </is>
      </c>
      <c r="C546" s="51" t="inlineStr">
        <is>
          <t>AnalogSignalType.Custom</t>
        </is>
      </c>
      <c r="D546" s="51" t="inlineStr">
        <is>
          <t>Unitless</t>
        </is>
      </c>
      <c r="E546" s="51" t="inlineStr">
        <is>
          <t>BSecondary</t>
        </is>
      </c>
    </row>
    <row r="547" ht="30" customHeight="1">
      <c r="A547" s="50">
        <f>CONCATENATE(C547,D547,E547)</f>
        <v/>
      </c>
      <c r="B547" s="51" t="inlineStr">
        <is>
          <t>CUSTANLM1CSEC</t>
        </is>
      </c>
      <c r="C547" s="51" t="inlineStr">
        <is>
          <t>AnalogSignalType.Custom</t>
        </is>
      </c>
      <c r="D547" s="51" t="inlineStr">
        <is>
          <t>Unitless</t>
        </is>
      </c>
      <c r="E547" s="51" t="inlineStr">
        <is>
          <t>CSecondary</t>
        </is>
      </c>
    </row>
    <row r="548" ht="30" customHeight="1">
      <c r="A548" s="50">
        <f>CONCATENATE(C548,D548,E548)</f>
        <v/>
      </c>
      <c r="B548" s="51" t="inlineStr">
        <is>
          <t>CUSTANLM2ABCSEC</t>
        </is>
      </c>
      <c r="C548" s="51" t="inlineStr">
        <is>
          <t>AnalogSignalType.Custom</t>
        </is>
      </c>
      <c r="D548" s="51" t="inlineStr">
        <is>
          <t>Voltage</t>
        </is>
      </c>
      <c r="E548" s="51" t="inlineStr">
        <is>
          <t>ABCSecondary</t>
        </is>
      </c>
    </row>
    <row r="549" ht="30" customHeight="1">
      <c r="A549" s="50">
        <f>CONCATENATE(C549,D549,E549)</f>
        <v/>
      </c>
      <c r="B549" s="51" t="inlineStr">
        <is>
          <t>CUSTANLM2ASEC</t>
        </is>
      </c>
      <c r="C549" s="51" t="inlineStr">
        <is>
          <t>AnalogSignalType.Custom</t>
        </is>
      </c>
      <c r="D549" s="51" t="inlineStr">
        <is>
          <t>Voltage</t>
        </is>
      </c>
      <c r="E549" s="51" t="inlineStr">
        <is>
          <t>ASecondary</t>
        </is>
      </c>
    </row>
    <row r="550" ht="30" customHeight="1">
      <c r="A550" s="50">
        <f>CONCATENATE(C550,D550,E550)</f>
        <v/>
      </c>
      <c r="B550" s="51" t="inlineStr">
        <is>
          <t>CUSTANLM2BSEC</t>
        </is>
      </c>
      <c r="C550" s="51" t="inlineStr">
        <is>
          <t>AnalogSignalType.Custom</t>
        </is>
      </c>
      <c r="D550" s="51" t="inlineStr">
        <is>
          <t>Voltage</t>
        </is>
      </c>
      <c r="E550" s="51" t="inlineStr">
        <is>
          <t>BSecondary</t>
        </is>
      </c>
    </row>
    <row r="551" ht="30" customHeight="1">
      <c r="A551" s="50">
        <f>CONCATENATE(C551,D551,E551)</f>
        <v/>
      </c>
      <c r="B551" s="51" t="inlineStr">
        <is>
          <t>CUSTANLM2CSEC</t>
        </is>
      </c>
      <c r="C551" s="51" t="inlineStr">
        <is>
          <t>AnalogSignalType.Custom</t>
        </is>
      </c>
      <c r="D551" s="51" t="inlineStr">
        <is>
          <t>Voltage</t>
        </is>
      </c>
      <c r="E551" s="51" t="inlineStr">
        <is>
          <t>CSecondary</t>
        </is>
      </c>
    </row>
    <row r="552" ht="30" customHeight="1">
      <c r="A552" s="50">
        <f>CONCATENATE(C552,D552,E552)</f>
        <v/>
      </c>
      <c r="B552" s="51" t="inlineStr">
        <is>
          <t>CUSTANLM3ABCSEC</t>
        </is>
      </c>
      <c r="C552" s="51" t="inlineStr">
        <is>
          <t>AnalogSignalType.Custom</t>
        </is>
      </c>
      <c r="D552" s="51" t="inlineStr">
        <is>
          <t>Current</t>
        </is>
      </c>
      <c r="E552" s="51" t="inlineStr">
        <is>
          <t>ABCSecondary</t>
        </is>
      </c>
    </row>
    <row r="553" ht="30" customHeight="1">
      <c r="A553" s="50">
        <f>CONCATENATE(C553,D553,E553)</f>
        <v/>
      </c>
      <c r="B553" s="51" t="inlineStr">
        <is>
          <t>CUSTANLM3ASEC</t>
        </is>
      </c>
      <c r="C553" s="51" t="inlineStr">
        <is>
          <t>AnalogSignalType.Custom</t>
        </is>
      </c>
      <c r="D553" s="51" t="inlineStr">
        <is>
          <t>Current</t>
        </is>
      </c>
      <c r="E553" s="51" t="inlineStr">
        <is>
          <t>ASecondary</t>
        </is>
      </c>
    </row>
    <row r="554" ht="30" customHeight="1">
      <c r="A554" s="50">
        <f>CONCATENATE(C554,D554,E554)</f>
        <v/>
      </c>
      <c r="B554" s="51" t="inlineStr">
        <is>
          <t>CUSTANLM3BSEC</t>
        </is>
      </c>
      <c r="C554" s="51" t="inlineStr">
        <is>
          <t>AnalogSignalType.Custom</t>
        </is>
      </c>
      <c r="D554" s="51" t="inlineStr">
        <is>
          <t>Current</t>
        </is>
      </c>
      <c r="E554" s="51" t="inlineStr">
        <is>
          <t>BSecondary</t>
        </is>
      </c>
    </row>
    <row r="555" ht="30" customHeight="1">
      <c r="A555" s="50">
        <f>CONCATENATE(C555,D555,E555)</f>
        <v/>
      </c>
      <c r="B555" s="51" t="inlineStr">
        <is>
          <t>CUSTANLM3CSEC</t>
        </is>
      </c>
      <c r="C555" s="51" t="inlineStr">
        <is>
          <t>AnalogSignalType.Custom</t>
        </is>
      </c>
      <c r="D555" s="51" t="inlineStr">
        <is>
          <t>Current</t>
        </is>
      </c>
      <c r="E555" s="51" t="inlineStr">
        <is>
          <t>CSecondary</t>
        </is>
      </c>
    </row>
    <row r="556" ht="30" customHeight="1">
      <c r="A556" s="50">
        <f>CONCATENATE(C556,D556,E556)</f>
        <v/>
      </c>
      <c r="B556" s="51" t="inlineStr">
        <is>
          <t>CUSTANLM3NSEC</t>
        </is>
      </c>
      <c r="C556" s="51" t="inlineStr">
        <is>
          <t>AnalogSignalType.Custom</t>
        </is>
      </c>
      <c r="D556" s="51" t="inlineStr">
        <is>
          <t>Current</t>
        </is>
      </c>
      <c r="E556" s="51" t="inlineStr">
        <is>
          <t>NSecondary</t>
        </is>
      </c>
    </row>
    <row r="557" ht="30" customHeight="1">
      <c r="A557" s="50">
        <f>CONCATENATE(C557,D557,E557)</f>
        <v/>
      </c>
      <c r="B557" s="51" t="inlineStr">
        <is>
          <t>CUSTANLM4ABCSEC</t>
        </is>
      </c>
      <c r="C557" s="51" t="inlineStr">
        <is>
          <t>AnalogSignalType.Custom</t>
        </is>
      </c>
      <c r="D557" s="51" t="inlineStr">
        <is>
          <t>ActivePower</t>
        </is>
      </c>
      <c r="E557" s="51" t="inlineStr">
        <is>
          <t>ABCSecondary</t>
        </is>
      </c>
    </row>
    <row r="558" ht="30" customHeight="1">
      <c r="A558" s="50">
        <f>CONCATENATE(C558,D558,E558)</f>
        <v/>
      </c>
      <c r="B558" s="51" t="inlineStr">
        <is>
          <t>CUSTANLM4ASEC</t>
        </is>
      </c>
      <c r="C558" s="51" t="inlineStr">
        <is>
          <t>AnalogSignalType.Custom</t>
        </is>
      </c>
      <c r="D558" s="51" t="inlineStr">
        <is>
          <t>ActivePower</t>
        </is>
      </c>
      <c r="E558" s="51" t="inlineStr">
        <is>
          <t>ASecondary</t>
        </is>
      </c>
    </row>
    <row r="559" ht="30" customHeight="1">
      <c r="A559" s="50">
        <f>CONCATENATE(C559,D559,E559)</f>
        <v/>
      </c>
      <c r="B559" s="51" t="inlineStr">
        <is>
          <t>CUSTANLM4BSEC</t>
        </is>
      </c>
      <c r="C559" s="51" t="inlineStr">
        <is>
          <t>AnalogSignalType.Custom</t>
        </is>
      </c>
      <c r="D559" s="51" t="inlineStr">
        <is>
          <t>ActivePower</t>
        </is>
      </c>
      <c r="E559" s="51" t="inlineStr">
        <is>
          <t>BSecondary</t>
        </is>
      </c>
    </row>
    <row r="560" ht="30" customHeight="1">
      <c r="A560" s="50">
        <f>CONCATENATE(C560,D560,E560)</f>
        <v/>
      </c>
      <c r="B560" s="51" t="inlineStr">
        <is>
          <t>CUSTANLM4CSEC</t>
        </is>
      </c>
      <c r="C560" s="51" t="inlineStr">
        <is>
          <t>AnalogSignalType.Custom</t>
        </is>
      </c>
      <c r="D560" s="51" t="inlineStr">
        <is>
          <t>ActivePower</t>
        </is>
      </c>
      <c r="E560" s="51" t="inlineStr">
        <is>
          <t>CSecondary</t>
        </is>
      </c>
    </row>
    <row r="561" ht="30" customHeight="1">
      <c r="A561" s="50">
        <f>CONCATENATE(C561,D561,E561)</f>
        <v/>
      </c>
      <c r="B561" s="51" t="inlineStr">
        <is>
          <t>CUSTANLM5ABCSEC</t>
        </is>
      </c>
      <c r="C561" s="51" t="inlineStr">
        <is>
          <t>AnalogSignalType.Custom</t>
        </is>
      </c>
      <c r="D561" s="51" t="inlineStr">
        <is>
          <t>ReactivePower</t>
        </is>
      </c>
      <c r="E561" s="51" t="inlineStr">
        <is>
          <t>ABCSecondary</t>
        </is>
      </c>
    </row>
    <row r="562" ht="30" customHeight="1">
      <c r="A562" s="50">
        <f>CONCATENATE(C562,D562,E562)</f>
        <v/>
      </c>
      <c r="B562" s="51" t="inlineStr">
        <is>
          <t>CUSTANLM5ASEC</t>
        </is>
      </c>
      <c r="C562" s="51" t="inlineStr">
        <is>
          <t>AnalogSignalType.Custom</t>
        </is>
      </c>
      <c r="D562" s="51" t="inlineStr">
        <is>
          <t>ReactivePower</t>
        </is>
      </c>
      <c r="E562" s="51" t="inlineStr">
        <is>
          <t>ASecondary</t>
        </is>
      </c>
    </row>
    <row r="563" ht="30" customHeight="1">
      <c r="A563" s="50">
        <f>CONCATENATE(C563,D563,E563)</f>
        <v/>
      </c>
      <c r="B563" s="51" t="inlineStr">
        <is>
          <t>CUSTANLM5BSEC</t>
        </is>
      </c>
      <c r="C563" s="51" t="inlineStr">
        <is>
          <t>AnalogSignalType.Custom</t>
        </is>
      </c>
      <c r="D563" s="51" t="inlineStr">
        <is>
          <t>ReactivePower</t>
        </is>
      </c>
      <c r="E563" s="51" t="inlineStr">
        <is>
          <t>BSecondary</t>
        </is>
      </c>
    </row>
    <row r="564" ht="30" customHeight="1">
      <c r="A564" s="50">
        <f>CONCATENATE(C564,D564,E564)</f>
        <v/>
      </c>
      <c r="B564" s="51" t="inlineStr">
        <is>
          <t>CUSTANLM5CSEC</t>
        </is>
      </c>
      <c r="C564" s="51" t="inlineStr">
        <is>
          <t>AnalogSignalType.Custom</t>
        </is>
      </c>
      <c r="D564" s="51" t="inlineStr">
        <is>
          <t>ReactivePower</t>
        </is>
      </c>
      <c r="E564" s="51" t="inlineStr">
        <is>
          <t>CSecondary</t>
        </is>
      </c>
    </row>
    <row r="565" ht="30" customHeight="1">
      <c r="A565" s="50">
        <f>CONCATENATE(C565,D565,E565)</f>
        <v/>
      </c>
      <c r="B565" s="51" t="inlineStr">
        <is>
          <t>CUSTANLM6ABCSEC</t>
        </is>
      </c>
      <c r="C565" s="51" t="inlineStr">
        <is>
          <t>AnalogSignalType.Custom</t>
        </is>
      </c>
      <c r="D565" s="51" t="inlineStr">
        <is>
          <t>Frequency</t>
        </is>
      </c>
      <c r="E565" s="51" t="inlineStr">
        <is>
          <t>ABCSecondary</t>
        </is>
      </c>
    </row>
    <row r="566" ht="30" customHeight="1">
      <c r="A566" s="50">
        <f>CONCATENATE(C566,D566,E566)</f>
        <v/>
      </c>
      <c r="B566" s="51" t="inlineStr">
        <is>
          <t>CUSTANLM6ASEC</t>
        </is>
      </c>
      <c r="C566" s="51" t="inlineStr">
        <is>
          <t>AnalogSignalType.Custom</t>
        </is>
      </c>
      <c r="D566" s="51" t="inlineStr">
        <is>
          <t>Frequency</t>
        </is>
      </c>
      <c r="E566" s="51" t="inlineStr">
        <is>
          <t>ASecondary</t>
        </is>
      </c>
    </row>
    <row r="567" ht="30" customHeight="1">
      <c r="A567" s="50">
        <f>CONCATENATE(C567,D567,E567)</f>
        <v/>
      </c>
      <c r="B567" s="51" t="inlineStr">
        <is>
          <t>CUSTANLM6BSEC</t>
        </is>
      </c>
      <c r="C567" s="51" t="inlineStr">
        <is>
          <t>AnalogSignalType.Custom</t>
        </is>
      </c>
      <c r="D567" s="51" t="inlineStr">
        <is>
          <t>Frequency</t>
        </is>
      </c>
      <c r="E567" s="51" t="inlineStr">
        <is>
          <t>BSecondary</t>
        </is>
      </c>
    </row>
    <row r="568" ht="30" customHeight="1">
      <c r="A568" s="50">
        <f>CONCATENATE(C568,D568,E568)</f>
        <v/>
      </c>
      <c r="B568" s="51" t="inlineStr">
        <is>
          <t>CUSTANLM6CSEC</t>
        </is>
      </c>
      <c r="C568" s="51" t="inlineStr">
        <is>
          <t>AnalogSignalType.Custom</t>
        </is>
      </c>
      <c r="D568" s="51" t="inlineStr">
        <is>
          <t>Frequency</t>
        </is>
      </c>
      <c r="E568" s="51" t="inlineStr">
        <is>
          <t>CSecondary</t>
        </is>
      </c>
    </row>
    <row r="569" ht="30" customHeight="1">
      <c r="A569" s="50">
        <f>CONCATENATE(C569,D569,E569)</f>
        <v/>
      </c>
      <c r="B569" s="51" t="inlineStr">
        <is>
          <t>CUSTANLM7ABCSEC</t>
        </is>
      </c>
      <c r="C569" s="51" t="inlineStr">
        <is>
          <t>AnalogSignalType.Custom</t>
        </is>
      </c>
      <c r="D569" s="51" t="inlineStr">
        <is>
          <t>Temperature</t>
        </is>
      </c>
      <c r="E569" s="51" t="inlineStr">
        <is>
          <t>ABCSecondary</t>
        </is>
      </c>
    </row>
    <row r="570" ht="30" customHeight="1">
      <c r="A570" s="50">
        <f>CONCATENATE(C570,D570,E570)</f>
        <v/>
      </c>
      <c r="B570" s="51" t="inlineStr">
        <is>
          <t>CUSTANLM7ASEC</t>
        </is>
      </c>
      <c r="C570" s="51" t="inlineStr">
        <is>
          <t>AnalogSignalType.Custom</t>
        </is>
      </c>
      <c r="D570" s="51" t="inlineStr">
        <is>
          <t>Temperature</t>
        </is>
      </c>
      <c r="E570" s="51" t="inlineStr">
        <is>
          <t>ASecondary</t>
        </is>
      </c>
    </row>
    <row r="571" ht="30" customHeight="1">
      <c r="A571" s="50">
        <f>CONCATENATE(C571,D571,E571)</f>
        <v/>
      </c>
      <c r="B571" s="51" t="inlineStr">
        <is>
          <t>CUSTANLM7BSEC</t>
        </is>
      </c>
      <c r="C571" s="51" t="inlineStr">
        <is>
          <t>AnalogSignalType.Custom</t>
        </is>
      </c>
      <c r="D571" s="51" t="inlineStr">
        <is>
          <t>Temperature</t>
        </is>
      </c>
      <c r="E571" s="51" t="inlineStr">
        <is>
          <t>BSecondary</t>
        </is>
      </c>
    </row>
    <row r="572" ht="30" customHeight="1">
      <c r="A572" s="50">
        <f>CONCATENATE(C572,D572,E572)</f>
        <v/>
      </c>
      <c r="B572" s="51" t="inlineStr">
        <is>
          <t>CUSTANLM7CSEC</t>
        </is>
      </c>
      <c r="C572" s="51" t="inlineStr">
        <is>
          <t>AnalogSignalType.Custom</t>
        </is>
      </c>
      <c r="D572" s="51" t="inlineStr">
        <is>
          <t>Temperature</t>
        </is>
      </c>
      <c r="E572" s="51" t="inlineStr">
        <is>
          <t>CSecondary</t>
        </is>
      </c>
    </row>
    <row r="573" ht="30" customHeight="1">
      <c r="A573" s="50">
        <f>CONCATENATE(C573,D573,E573)</f>
        <v/>
      </c>
      <c r="B573" s="51" t="inlineStr">
        <is>
          <t>CUSTANLM8ABCSEC</t>
        </is>
      </c>
      <c r="C573" s="51" t="inlineStr">
        <is>
          <t>AnalogSignalType.Custom</t>
        </is>
      </c>
      <c r="D573" s="51" t="inlineStr">
        <is>
          <t>ActiveEnergy</t>
        </is>
      </c>
      <c r="E573" s="51" t="inlineStr">
        <is>
          <t>ABCSecondary</t>
        </is>
      </c>
    </row>
    <row r="574" ht="30" customHeight="1">
      <c r="A574" s="50">
        <f>CONCATENATE(C574,D574,E574)</f>
        <v/>
      </c>
      <c r="B574" s="51" t="inlineStr">
        <is>
          <t>CUSTANLM8ASEC</t>
        </is>
      </c>
      <c r="C574" s="51" t="inlineStr">
        <is>
          <t>AnalogSignalType.Custom</t>
        </is>
      </c>
      <c r="D574" s="51" t="inlineStr">
        <is>
          <t>ActiveEnergy</t>
        </is>
      </c>
      <c r="E574" s="51" t="inlineStr">
        <is>
          <t>ASecondary</t>
        </is>
      </c>
    </row>
    <row r="575" ht="30" customHeight="1">
      <c r="A575" s="50">
        <f>CONCATENATE(C575,D575,E575)</f>
        <v/>
      </c>
      <c r="B575" s="51" t="inlineStr">
        <is>
          <t>CUSTANLM8BSEC</t>
        </is>
      </c>
      <c r="C575" s="51" t="inlineStr">
        <is>
          <t>AnalogSignalType.Custom</t>
        </is>
      </c>
      <c r="D575" s="51" t="inlineStr">
        <is>
          <t>ActiveEnergy</t>
        </is>
      </c>
      <c r="E575" s="51" t="inlineStr">
        <is>
          <t>BSecondary</t>
        </is>
      </c>
    </row>
    <row r="576" ht="30" customHeight="1">
      <c r="A576" s="50">
        <f>CONCATENATE(C576,D576,E576)</f>
        <v/>
      </c>
      <c r="B576" s="51" t="inlineStr">
        <is>
          <t>CUSTANLM8CSEC</t>
        </is>
      </c>
      <c r="C576" s="51" t="inlineStr">
        <is>
          <t>AnalogSignalType.Custom</t>
        </is>
      </c>
      <c r="D576" s="51" t="inlineStr">
        <is>
          <t>ActiveEnergy</t>
        </is>
      </c>
      <c r="E576" s="51" t="inlineStr">
        <is>
          <t>CSecondary</t>
        </is>
      </c>
    </row>
    <row r="577" ht="30" customHeight="1">
      <c r="A577" s="50">
        <f>CONCATENATE(C577,D577,E577)</f>
        <v/>
      </c>
      <c r="B577" s="51" t="inlineStr">
        <is>
          <t>CUSTANLM9ABCSEC</t>
        </is>
      </c>
      <c r="C577" s="51" t="inlineStr">
        <is>
          <t>AnalogSignalType.Custom</t>
        </is>
      </c>
      <c r="D577" s="51" t="inlineStr">
        <is>
          <t>ReactiveEnergy</t>
        </is>
      </c>
      <c r="E577" s="51" t="inlineStr">
        <is>
          <t>ABCSecondary</t>
        </is>
      </c>
    </row>
    <row r="578" ht="30" customHeight="1">
      <c r="A578" s="50">
        <f>CONCATENATE(C578,D578,E578)</f>
        <v/>
      </c>
      <c r="B578" s="51" t="inlineStr">
        <is>
          <t>CUSTANLM9ASEC</t>
        </is>
      </c>
      <c r="C578" s="51" t="inlineStr">
        <is>
          <t>AnalogSignalType.Custom</t>
        </is>
      </c>
      <c r="D578" s="51" t="inlineStr">
        <is>
          <t>ReactiveEnergy</t>
        </is>
      </c>
      <c r="E578" s="51" t="inlineStr">
        <is>
          <t>ASecondary</t>
        </is>
      </c>
    </row>
    <row r="579" ht="30" customHeight="1">
      <c r="A579" s="50">
        <f>CONCATENATE(C579,D579,E579)</f>
        <v/>
      </c>
      <c r="B579" s="51" t="inlineStr">
        <is>
          <t>CUSTANLM9BSEC</t>
        </is>
      </c>
      <c r="C579" s="51" t="inlineStr">
        <is>
          <t>AnalogSignalType.Custom</t>
        </is>
      </c>
      <c r="D579" s="51" t="inlineStr">
        <is>
          <t>ReactiveEnergy</t>
        </is>
      </c>
      <c r="E579" s="51" t="inlineStr">
        <is>
          <t>BSecondary</t>
        </is>
      </c>
    </row>
    <row r="580" ht="30" customHeight="1">
      <c r="A580" s="50">
        <f>CONCATENATE(C580,D580,E580)</f>
        <v/>
      </c>
      <c r="B580" s="51" t="inlineStr">
        <is>
          <t>CUSTANLM9CSEC</t>
        </is>
      </c>
      <c r="C580" s="51" t="inlineStr">
        <is>
          <t>AnalogSignalType.Custom</t>
        </is>
      </c>
      <c r="D580" s="51" t="inlineStr">
        <is>
          <t>ReactiveEnergy</t>
        </is>
      </c>
      <c r="E580" s="51" t="inlineStr">
        <is>
          <t>CSecondary</t>
        </is>
      </c>
    </row>
    <row r="581" ht="30" customHeight="1">
      <c r="A581" s="50">
        <f>CONCATENATE(C581,D581,E581)</f>
        <v/>
      </c>
      <c r="B581" s="51" t="inlineStr">
        <is>
          <t>CUSTANLM10ABCSEC</t>
        </is>
      </c>
      <c r="C581" s="51" t="inlineStr">
        <is>
          <t>AnalogSignalType.Custom</t>
        </is>
      </c>
      <c r="D581" s="51" t="inlineStr">
        <is>
          <t>ApparentPower</t>
        </is>
      </c>
      <c r="E581" s="51" t="inlineStr">
        <is>
          <t>ABCSecondary</t>
        </is>
      </c>
    </row>
    <row r="582" ht="30" customHeight="1">
      <c r="A582" s="50">
        <f>CONCATENATE(C582,D582,E582)</f>
        <v/>
      </c>
      <c r="B582" s="51" t="inlineStr">
        <is>
          <t>CUSTANLM10ASEC</t>
        </is>
      </c>
      <c r="C582" s="51" t="inlineStr">
        <is>
          <t>AnalogSignalType.Custom</t>
        </is>
      </c>
      <c r="D582" s="51" t="inlineStr">
        <is>
          <t>ApparentPower</t>
        </is>
      </c>
      <c r="E582" s="51" t="inlineStr">
        <is>
          <t>ASecondary</t>
        </is>
      </c>
    </row>
    <row r="583" ht="30" customHeight="1">
      <c r="A583" s="50">
        <f>CONCATENATE(C583,D583,E583)</f>
        <v/>
      </c>
      <c r="B583" s="51" t="inlineStr">
        <is>
          <t>CUSTANLM10BSEC</t>
        </is>
      </c>
      <c r="C583" s="51" t="inlineStr">
        <is>
          <t>AnalogSignalType.Custom</t>
        </is>
      </c>
      <c r="D583" s="51" t="inlineStr">
        <is>
          <t>ApparentPower</t>
        </is>
      </c>
      <c r="E583" s="51" t="inlineStr">
        <is>
          <t>BSecondary</t>
        </is>
      </c>
    </row>
    <row r="584" ht="30" customHeight="1">
      <c r="A584" s="50">
        <f>CONCATENATE(C584,D584,E584)</f>
        <v/>
      </c>
      <c r="B584" s="51" t="inlineStr">
        <is>
          <t>CUSTANLM10CSEC</t>
        </is>
      </c>
      <c r="C584" s="51" t="inlineStr">
        <is>
          <t>AnalogSignalType.Custom</t>
        </is>
      </c>
      <c r="D584" s="51" t="inlineStr">
        <is>
          <t>ApparentPower</t>
        </is>
      </c>
      <c r="E584" s="51" t="inlineStr">
        <is>
          <t>CSecondary</t>
        </is>
      </c>
    </row>
    <row r="585" ht="30" customHeight="1">
      <c r="A585" s="50">
        <f>CONCATENATE(C585,D585,E585)</f>
        <v/>
      </c>
      <c r="B585" s="51" t="inlineStr">
        <is>
          <t>CUSTANLM11ABCSEC</t>
        </is>
      </c>
      <c r="C585" s="51" t="inlineStr">
        <is>
          <t>AnalogSignalType.Custom</t>
        </is>
      </c>
      <c r="D585" s="51" t="inlineStr">
        <is>
          <t>VoltageAngle</t>
        </is>
      </c>
      <c r="E585" s="51" t="inlineStr">
        <is>
          <t>ABCSecondary</t>
        </is>
      </c>
    </row>
    <row r="586" ht="30" customHeight="1">
      <c r="A586" s="50">
        <f>CONCATENATE(C586,D586,E586)</f>
        <v/>
      </c>
      <c r="B586" s="51" t="inlineStr">
        <is>
          <t>CUSTANLM11ASEC</t>
        </is>
      </c>
      <c r="C586" s="51" t="inlineStr">
        <is>
          <t>AnalogSignalType.Custom</t>
        </is>
      </c>
      <c r="D586" s="51" t="inlineStr">
        <is>
          <t>VoltageAngle</t>
        </is>
      </c>
      <c r="E586" s="51" t="inlineStr">
        <is>
          <t>ASecondary</t>
        </is>
      </c>
    </row>
    <row r="587" ht="30" customHeight="1">
      <c r="A587" s="50">
        <f>CONCATENATE(C587,D587,E587)</f>
        <v/>
      </c>
      <c r="B587" s="51" t="inlineStr">
        <is>
          <t>CUSTANLM11BSEC</t>
        </is>
      </c>
      <c r="C587" s="51" t="inlineStr">
        <is>
          <t>AnalogSignalType.Custom</t>
        </is>
      </c>
      <c r="D587" s="51" t="inlineStr">
        <is>
          <t>VoltageAngle</t>
        </is>
      </c>
      <c r="E587" s="51" t="inlineStr">
        <is>
          <t>BSecondary</t>
        </is>
      </c>
    </row>
    <row r="588" ht="30" customHeight="1">
      <c r="A588" s="50">
        <f>CONCATENATE(C588,D588,E588)</f>
        <v/>
      </c>
      <c r="B588" s="51" t="inlineStr">
        <is>
          <t>CUSTANLM11CSEC</t>
        </is>
      </c>
      <c r="C588" s="51" t="inlineStr">
        <is>
          <t>AnalogSignalType.Custom</t>
        </is>
      </c>
      <c r="D588" s="51" t="inlineStr">
        <is>
          <t>VoltageAngle</t>
        </is>
      </c>
      <c r="E588" s="51" t="inlineStr">
        <is>
          <t>CSecondary</t>
        </is>
      </c>
    </row>
    <row r="589" ht="30" customHeight="1">
      <c r="A589" s="50">
        <f>CONCATENATE(C589,D589,E589)</f>
        <v/>
      </c>
      <c r="B589" s="51" t="inlineStr">
        <is>
          <t>CUSTANLM12ABCSEC</t>
        </is>
      </c>
      <c r="C589" s="51" t="inlineStr">
        <is>
          <t>AnalogSignalType.Custom</t>
        </is>
      </c>
      <c r="D589" s="51" t="inlineStr">
        <is>
          <t>Time</t>
        </is>
      </c>
      <c r="E589" s="51" t="inlineStr">
        <is>
          <t>ABCSecondary</t>
        </is>
      </c>
    </row>
    <row r="590" ht="30" customHeight="1">
      <c r="A590" s="50">
        <f>CONCATENATE(C590,D590,E590)</f>
        <v/>
      </c>
      <c r="B590" s="51" t="inlineStr">
        <is>
          <t>CUSTANLM12ASEC</t>
        </is>
      </c>
      <c r="C590" s="51" t="inlineStr">
        <is>
          <t>AnalogSignalType.Custom</t>
        </is>
      </c>
      <c r="D590" s="51" t="inlineStr">
        <is>
          <t>Time</t>
        </is>
      </c>
      <c r="E590" s="51" t="inlineStr">
        <is>
          <t>ASecondary</t>
        </is>
      </c>
    </row>
    <row r="591" ht="30" customHeight="1">
      <c r="A591" s="50">
        <f>CONCATENATE(C591,D591,E591)</f>
        <v/>
      </c>
      <c r="B591" s="51" t="inlineStr">
        <is>
          <t>CUSTANLM12BSEC</t>
        </is>
      </c>
      <c r="C591" s="51" t="inlineStr">
        <is>
          <t>AnalogSignalType.Custom</t>
        </is>
      </c>
      <c r="D591" s="51" t="inlineStr">
        <is>
          <t>Time</t>
        </is>
      </c>
      <c r="E591" s="51" t="inlineStr">
        <is>
          <t>BSecondary</t>
        </is>
      </c>
    </row>
    <row r="592" ht="30" customHeight="1">
      <c r="A592" s="50">
        <f>CONCATENATE(C592,D592,E592)</f>
        <v/>
      </c>
      <c r="B592" s="51" t="inlineStr">
        <is>
          <t>CUSTANLM12CSEC</t>
        </is>
      </c>
      <c r="C592" s="51" t="inlineStr">
        <is>
          <t>AnalogSignalType.Custom</t>
        </is>
      </c>
      <c r="D592" s="51" t="inlineStr">
        <is>
          <t>Time</t>
        </is>
      </c>
      <c r="E592" s="51" t="inlineStr">
        <is>
          <t>CSecondary</t>
        </is>
      </c>
    </row>
    <row r="593" ht="30" customHeight="1">
      <c r="A593" s="50">
        <f>CONCATENATE(C593,D593,E593)</f>
        <v/>
      </c>
      <c r="B593" s="51" t="inlineStr">
        <is>
          <t>CUSTANLM13ABCSEC</t>
        </is>
      </c>
      <c r="C593" s="51" t="inlineStr">
        <is>
          <t>AnalogSignalType.Custom</t>
        </is>
      </c>
      <c r="D593" s="51" t="inlineStr">
        <is>
          <t>Humidity</t>
        </is>
      </c>
      <c r="E593" s="51" t="inlineStr">
        <is>
          <t>ABCSecondary</t>
        </is>
      </c>
    </row>
    <row r="594" ht="30" customHeight="1">
      <c r="A594" s="50">
        <f>CONCATENATE(C594,D594,E594)</f>
        <v/>
      </c>
      <c r="B594" s="51" t="inlineStr">
        <is>
          <t>CUSTANLM13ASEC</t>
        </is>
      </c>
      <c r="C594" s="51" t="inlineStr">
        <is>
          <t>AnalogSignalType.Custom</t>
        </is>
      </c>
      <c r="D594" s="51" t="inlineStr">
        <is>
          <t>Humidity</t>
        </is>
      </c>
      <c r="E594" s="51" t="inlineStr">
        <is>
          <t>ASecondary</t>
        </is>
      </c>
    </row>
    <row r="595" ht="30" customHeight="1">
      <c r="A595" s="50">
        <f>CONCATENATE(C595,D595,E595)</f>
        <v/>
      </c>
      <c r="B595" s="51" t="inlineStr">
        <is>
          <t>CUSTANLM13BSEC</t>
        </is>
      </c>
      <c r="C595" s="51" t="inlineStr">
        <is>
          <t>AnalogSignalType.Custom</t>
        </is>
      </c>
      <c r="D595" s="51" t="inlineStr">
        <is>
          <t>Humidity</t>
        </is>
      </c>
      <c r="E595" s="51" t="inlineStr">
        <is>
          <t>BSecondary</t>
        </is>
      </c>
    </row>
    <row r="596" ht="30" customHeight="1">
      <c r="A596" s="50">
        <f>CONCATENATE(C596,D596,E596)</f>
        <v/>
      </c>
      <c r="B596" s="51" t="inlineStr">
        <is>
          <t>CUSTANLM13CSEC</t>
        </is>
      </c>
      <c r="C596" s="51" t="inlineStr">
        <is>
          <t>AnalogSignalType.Custom</t>
        </is>
      </c>
      <c r="D596" s="51" t="inlineStr">
        <is>
          <t>Humidity</t>
        </is>
      </c>
      <c r="E596" s="51" t="inlineStr">
        <is>
          <t>CSecondary</t>
        </is>
      </c>
    </row>
    <row r="597" ht="30" customHeight="1">
      <c r="A597" s="50">
        <f>CONCATENATE(C597,D597,E597)</f>
        <v/>
      </c>
      <c r="B597" s="51" t="inlineStr">
        <is>
          <t>CUSTANLM14ABCSEC</t>
        </is>
      </c>
      <c r="C597" s="51" t="inlineStr">
        <is>
          <t>AnalogSignalType.Custom</t>
        </is>
      </c>
      <c r="D597" s="51" t="inlineStr">
        <is>
          <t>WindSpeed</t>
        </is>
      </c>
      <c r="E597" s="51" t="inlineStr">
        <is>
          <t>ABCSecondary</t>
        </is>
      </c>
    </row>
    <row r="598" ht="30" customHeight="1">
      <c r="A598" s="50">
        <f>CONCATENATE(C598,D598,E598)</f>
        <v/>
      </c>
      <c r="B598" s="51" t="inlineStr">
        <is>
          <t>CUSTANLM14ASEC</t>
        </is>
      </c>
      <c r="C598" s="51" t="inlineStr">
        <is>
          <t>AnalogSignalType.Custom</t>
        </is>
      </c>
      <c r="D598" s="51" t="inlineStr">
        <is>
          <t>WindSpeed</t>
        </is>
      </c>
      <c r="E598" s="51" t="inlineStr">
        <is>
          <t>ASecondary</t>
        </is>
      </c>
    </row>
    <row r="599" ht="30" customHeight="1">
      <c r="A599" s="50">
        <f>CONCATENATE(C599,D599,E599)</f>
        <v/>
      </c>
      <c r="B599" s="51" t="inlineStr">
        <is>
          <t>CUSTANLM14BSEC</t>
        </is>
      </c>
      <c r="C599" s="51" t="inlineStr">
        <is>
          <t>AnalogSignalType.Custom</t>
        </is>
      </c>
      <c r="D599" s="51" t="inlineStr">
        <is>
          <t>WindSpeed</t>
        </is>
      </c>
      <c r="E599" s="51" t="inlineStr">
        <is>
          <t>BSecondary</t>
        </is>
      </c>
    </row>
    <row r="600" ht="30" customHeight="1">
      <c r="A600" s="50">
        <f>CONCATENATE(C600,D600,E600)</f>
        <v/>
      </c>
      <c r="B600" s="51" t="inlineStr">
        <is>
          <t>CUSTANLM14CSEC</t>
        </is>
      </c>
      <c r="C600" s="51" t="inlineStr">
        <is>
          <t>AnalogSignalType.Custom</t>
        </is>
      </c>
      <c r="D600" s="51" t="inlineStr">
        <is>
          <t>WindSpeed</t>
        </is>
      </c>
      <c r="E600" s="51" t="inlineStr">
        <is>
          <t>CSecondary</t>
        </is>
      </c>
    </row>
    <row r="601" ht="30" customHeight="1">
      <c r="A601" s="50">
        <f>CONCATENATE(C601,D601,E601)</f>
        <v/>
      </c>
      <c r="B601" s="51" t="inlineStr">
        <is>
          <t>CUSTANLM15ABCSEC</t>
        </is>
      </c>
      <c r="C601" s="51" t="inlineStr">
        <is>
          <t>AnalogSignalType.Custom</t>
        </is>
      </c>
      <c r="D601" s="51" t="inlineStr">
        <is>
          <t>FeelsLike</t>
        </is>
      </c>
      <c r="E601" s="51" t="inlineStr">
        <is>
          <t>ABCSecondary</t>
        </is>
      </c>
    </row>
    <row r="602" ht="30" customHeight="1">
      <c r="A602" s="50">
        <f>CONCATENATE(C602,D602,E602)</f>
        <v/>
      </c>
      <c r="B602" s="51" t="inlineStr">
        <is>
          <t>CUSTANLM15ASEC</t>
        </is>
      </c>
      <c r="C602" s="51" t="inlineStr">
        <is>
          <t>AnalogSignalType.Custom</t>
        </is>
      </c>
      <c r="D602" s="51" t="inlineStr">
        <is>
          <t>FeelsLike</t>
        </is>
      </c>
      <c r="E602" s="51" t="inlineStr">
        <is>
          <t>ASecondary</t>
        </is>
      </c>
    </row>
    <row r="603" ht="30" customHeight="1">
      <c r="A603" s="50">
        <f>CONCATENATE(C603,D603,E603)</f>
        <v/>
      </c>
      <c r="B603" s="51" t="inlineStr">
        <is>
          <t>CUSTANLM15BSEC</t>
        </is>
      </c>
      <c r="C603" s="51" t="inlineStr">
        <is>
          <t>AnalogSignalType.Custom</t>
        </is>
      </c>
      <c r="D603" s="51" t="inlineStr">
        <is>
          <t>FeelsLike</t>
        </is>
      </c>
      <c r="E603" s="51" t="inlineStr">
        <is>
          <t>BSecondary</t>
        </is>
      </c>
    </row>
    <row r="604" ht="30" customHeight="1">
      <c r="A604" s="50">
        <f>CONCATENATE(C604,D604,E604)</f>
        <v/>
      </c>
      <c r="B604" s="51" t="inlineStr">
        <is>
          <t>CUSTANLM15CSEC</t>
        </is>
      </c>
      <c r="C604" s="51" t="inlineStr">
        <is>
          <t>AnalogSignalType.Custom</t>
        </is>
      </c>
      <c r="D604" s="51" t="inlineStr">
        <is>
          <t>FeelsLike</t>
        </is>
      </c>
      <c r="E604" s="51" t="inlineStr">
        <is>
          <t>CSecondary</t>
        </is>
      </c>
    </row>
    <row r="605" ht="30" customHeight="1">
      <c r="A605" s="50">
        <f>CONCATENATE(C605,D605,E605)</f>
        <v/>
      </c>
      <c r="B605" s="51" t="inlineStr">
        <is>
          <t>CUSTANLM16ABCSEC</t>
        </is>
      </c>
      <c r="C605" s="51" t="inlineStr">
        <is>
          <t>AnalogSignalType.Custom</t>
        </is>
      </c>
      <c r="D605" s="51" t="inlineStr">
        <is>
          <t>SunshineMinutes</t>
        </is>
      </c>
      <c r="E605" s="51" t="inlineStr">
        <is>
          <t>ABCSecondary</t>
        </is>
      </c>
    </row>
    <row r="606" ht="30" customHeight="1">
      <c r="A606" s="50">
        <f>CONCATENATE(C606,D606,E606)</f>
        <v/>
      </c>
      <c r="B606" s="51" t="inlineStr">
        <is>
          <t>CUSTANLM16ASEC</t>
        </is>
      </c>
      <c r="C606" s="51" t="inlineStr">
        <is>
          <t>AnalogSignalType.Custom</t>
        </is>
      </c>
      <c r="D606" s="51" t="inlineStr">
        <is>
          <t>SunshineMinutes</t>
        </is>
      </c>
      <c r="E606" s="51" t="inlineStr">
        <is>
          <t>ASecondary</t>
        </is>
      </c>
    </row>
    <row r="607" ht="30" customHeight="1">
      <c r="A607" s="50">
        <f>CONCATENATE(C607,D607,E607)</f>
        <v/>
      </c>
      <c r="B607" s="51" t="inlineStr">
        <is>
          <t>CUSTANLM16BSEC</t>
        </is>
      </c>
      <c r="C607" s="51" t="inlineStr">
        <is>
          <t>AnalogSignalType.Custom</t>
        </is>
      </c>
      <c r="D607" s="51" t="inlineStr">
        <is>
          <t>SunshineMinutes</t>
        </is>
      </c>
      <c r="E607" s="51" t="inlineStr">
        <is>
          <t>BSecondary</t>
        </is>
      </c>
    </row>
    <row r="608" ht="30" customHeight="1">
      <c r="A608" s="50">
        <f>CONCATENATE(C608,D608,E608)</f>
        <v/>
      </c>
      <c r="B608" s="51" t="inlineStr">
        <is>
          <t>CUSTANLM16CSEC</t>
        </is>
      </c>
      <c r="C608" s="51" t="inlineStr">
        <is>
          <t>AnalogSignalType.Custom</t>
        </is>
      </c>
      <c r="D608" s="51" t="inlineStr">
        <is>
          <t>SunshineMinutes</t>
        </is>
      </c>
      <c r="E608" s="51" t="inlineStr">
        <is>
          <t>CSecondary</t>
        </is>
      </c>
    </row>
    <row r="609" ht="30" customHeight="1">
      <c r="A609" s="50">
        <f>CONCATENATE(C609,D609,E609)</f>
        <v/>
      </c>
      <c r="B609" s="51" t="inlineStr">
        <is>
          <t>CUSTANLM17ABCSEC</t>
        </is>
      </c>
      <c r="C609" s="51" t="inlineStr">
        <is>
          <t>AnalogSignalType.Custom</t>
        </is>
      </c>
      <c r="D609" s="51" t="inlineStr">
        <is>
          <t>SkyCover</t>
        </is>
      </c>
      <c r="E609" s="51" t="inlineStr">
        <is>
          <t>ABCSecondary</t>
        </is>
      </c>
    </row>
    <row r="610" ht="30" customHeight="1">
      <c r="A610" s="50">
        <f>CONCATENATE(C610,D610,E610)</f>
        <v/>
      </c>
      <c r="B610" s="51" t="inlineStr">
        <is>
          <t>CUSTANLM17ASEC</t>
        </is>
      </c>
      <c r="C610" s="51" t="inlineStr">
        <is>
          <t>AnalogSignalType.Custom</t>
        </is>
      </c>
      <c r="D610" s="51" t="inlineStr">
        <is>
          <t>SkyCover</t>
        </is>
      </c>
      <c r="E610" s="51" t="inlineStr">
        <is>
          <t>ASecondary</t>
        </is>
      </c>
    </row>
    <row r="611" ht="30" customHeight="1">
      <c r="A611" s="50">
        <f>CONCATENATE(C611,D611,E611)</f>
        <v/>
      </c>
      <c r="B611" s="51" t="inlineStr">
        <is>
          <t>CUSTANLM17BSEC</t>
        </is>
      </c>
      <c r="C611" s="51" t="inlineStr">
        <is>
          <t>AnalogSignalType.Custom</t>
        </is>
      </c>
      <c r="D611" s="51" t="inlineStr">
        <is>
          <t>SkyCover</t>
        </is>
      </c>
      <c r="E611" s="51" t="inlineStr">
        <is>
          <t>BSecondary</t>
        </is>
      </c>
    </row>
    <row r="612" ht="30" customHeight="1">
      <c r="A612" s="50">
        <f>CONCATENATE(C612,D612,E612)</f>
        <v/>
      </c>
      <c r="B612" s="51" t="inlineStr">
        <is>
          <t>CUSTANLM17CSEC</t>
        </is>
      </c>
      <c r="C612" s="51" t="inlineStr">
        <is>
          <t>AnalogSignalType.Custom</t>
        </is>
      </c>
      <c r="D612" s="51" t="inlineStr">
        <is>
          <t>SkyCover</t>
        </is>
      </c>
      <c r="E612" s="51" t="inlineStr">
        <is>
          <t>CSecondary</t>
        </is>
      </c>
    </row>
    <row r="613" ht="30" customHeight="1">
      <c r="A613" s="50">
        <f>CONCATENATE(C613,D613,E613)</f>
        <v/>
      </c>
      <c r="B613" s="51" t="inlineStr">
        <is>
          <t>CUSTANLM18ABCSEC</t>
        </is>
      </c>
      <c r="C613" s="51" t="inlineStr">
        <is>
          <t>AnalogSignalType.Custom</t>
        </is>
      </c>
      <c r="D613" s="51" t="inlineStr">
        <is>
          <t>Length</t>
        </is>
      </c>
      <c r="E613" s="51" t="inlineStr">
        <is>
          <t>ABCSecondary</t>
        </is>
      </c>
    </row>
    <row r="614" ht="30" customHeight="1">
      <c r="A614" s="50">
        <f>CONCATENATE(C614,D614,E614)</f>
        <v/>
      </c>
      <c r="B614" s="51" t="inlineStr">
        <is>
          <t>CUSTANLM18ASEC</t>
        </is>
      </c>
      <c r="C614" s="51" t="inlineStr">
        <is>
          <t>AnalogSignalType.Custom</t>
        </is>
      </c>
      <c r="D614" s="51" t="inlineStr">
        <is>
          <t>Length</t>
        </is>
      </c>
      <c r="E614" s="51" t="inlineStr">
        <is>
          <t>ASecondary</t>
        </is>
      </c>
    </row>
    <row r="615" ht="30" customHeight="1">
      <c r="A615" s="50">
        <f>CONCATENATE(C615,D615,E615)</f>
        <v/>
      </c>
      <c r="B615" s="51" t="inlineStr">
        <is>
          <t>CUSTANLM18BSEC</t>
        </is>
      </c>
      <c r="C615" s="51" t="inlineStr">
        <is>
          <t>AnalogSignalType.Custom</t>
        </is>
      </c>
      <c r="D615" s="51" t="inlineStr">
        <is>
          <t>Length</t>
        </is>
      </c>
      <c r="E615" s="51" t="inlineStr">
        <is>
          <t>BSecondary</t>
        </is>
      </c>
    </row>
    <row r="616" ht="30" customHeight="1">
      <c r="A616" s="50">
        <f>CONCATENATE(C616,D616,E616)</f>
        <v/>
      </c>
      <c r="B616" s="51" t="inlineStr">
        <is>
          <t>CUSTANLM18CSEC</t>
        </is>
      </c>
      <c r="C616" s="51" t="inlineStr">
        <is>
          <t>AnalogSignalType.Custom</t>
        </is>
      </c>
      <c r="D616" s="51" t="inlineStr">
        <is>
          <t>Length</t>
        </is>
      </c>
      <c r="E616" s="51" t="inlineStr">
        <is>
          <t>CSecondary</t>
        </is>
      </c>
    </row>
    <row r="617" ht="30" customHeight="1">
      <c r="A617" s="50">
        <f>CONCATENATE(C617,D617,E617)</f>
        <v/>
      </c>
      <c r="B617" s="51" t="inlineStr">
        <is>
          <t>CUSTANLM19ABCSEC</t>
        </is>
      </c>
      <c r="C617" s="51" t="inlineStr">
        <is>
          <t>AnalogSignalType.Custom</t>
        </is>
      </c>
      <c r="D617" s="51" t="inlineStr">
        <is>
          <t>CrossSection</t>
        </is>
      </c>
      <c r="E617" s="51" t="inlineStr">
        <is>
          <t>ABCSecondary</t>
        </is>
      </c>
    </row>
    <row r="618" ht="30" customHeight="1">
      <c r="A618" s="50">
        <f>CONCATENATE(C618,D618,E618)</f>
        <v/>
      </c>
      <c r="B618" s="51" t="inlineStr">
        <is>
          <t>CUSTANLM19ASEC</t>
        </is>
      </c>
      <c r="C618" s="51" t="inlineStr">
        <is>
          <t>AnalogSignalType.Custom</t>
        </is>
      </c>
      <c r="D618" s="51" t="inlineStr">
        <is>
          <t>CrossSection</t>
        </is>
      </c>
      <c r="E618" s="51" t="inlineStr">
        <is>
          <t>ASecondary</t>
        </is>
      </c>
    </row>
    <row r="619" ht="30" customHeight="1">
      <c r="A619" s="50">
        <f>CONCATENATE(C619,D619,E619)</f>
        <v/>
      </c>
      <c r="B619" s="51" t="inlineStr">
        <is>
          <t>CUSTANLM19BSEC</t>
        </is>
      </c>
      <c r="C619" s="51" t="inlineStr">
        <is>
          <t>AnalogSignalType.Custom</t>
        </is>
      </c>
      <c r="D619" s="51" t="inlineStr">
        <is>
          <t>CrossSection</t>
        </is>
      </c>
      <c r="E619" s="51" t="inlineStr">
        <is>
          <t>BSecondary</t>
        </is>
      </c>
    </row>
    <row r="620" ht="30" customHeight="1">
      <c r="A620" s="50">
        <f>CONCATENATE(C620,D620,E620)</f>
        <v/>
      </c>
      <c r="B620" s="51" t="inlineStr">
        <is>
          <t>CUSTANLM19CSEC</t>
        </is>
      </c>
      <c r="C620" s="51" t="inlineStr">
        <is>
          <t>AnalogSignalType.Custom</t>
        </is>
      </c>
      <c r="D620" s="51" t="inlineStr">
        <is>
          <t>CrossSection</t>
        </is>
      </c>
      <c r="E620" s="51" t="inlineStr">
        <is>
          <t>CSecondary</t>
        </is>
      </c>
    </row>
    <row r="621" ht="30" customHeight="1">
      <c r="A621" s="50">
        <f>CONCATENATE(C621,D621,E621)</f>
        <v/>
      </c>
      <c r="B621" s="51" t="inlineStr">
        <is>
          <t>CUSTANLM20ABCSEC</t>
        </is>
      </c>
      <c r="C621" s="51" t="inlineStr">
        <is>
          <t>AnalogSignalType.Custom</t>
        </is>
      </c>
      <c r="D621" s="51" t="inlineStr">
        <is>
          <t>Impedance</t>
        </is>
      </c>
      <c r="E621" s="51" t="inlineStr">
        <is>
          <t>ABCSecondary</t>
        </is>
      </c>
    </row>
    <row r="622" ht="30" customHeight="1">
      <c r="A622" s="50">
        <f>CONCATENATE(C622,D622,E622)</f>
        <v/>
      </c>
      <c r="B622" s="51" t="inlineStr">
        <is>
          <t>CUSTANLM20ASEC</t>
        </is>
      </c>
      <c r="C622" s="51" t="inlineStr">
        <is>
          <t>AnalogSignalType.Custom</t>
        </is>
      </c>
      <c r="D622" s="51" t="inlineStr">
        <is>
          <t>Impedance</t>
        </is>
      </c>
      <c r="E622" s="51" t="inlineStr">
        <is>
          <t>ASecondary</t>
        </is>
      </c>
    </row>
    <row r="623" ht="30" customHeight="1">
      <c r="A623" s="50">
        <f>CONCATENATE(C623,D623,E623)</f>
        <v/>
      </c>
      <c r="B623" s="51" t="inlineStr">
        <is>
          <t>CUSTANLM20BSEC</t>
        </is>
      </c>
      <c r="C623" s="51" t="inlineStr">
        <is>
          <t>AnalogSignalType.Custom</t>
        </is>
      </c>
      <c r="D623" s="51" t="inlineStr">
        <is>
          <t>Impedance</t>
        </is>
      </c>
      <c r="E623" s="51" t="inlineStr">
        <is>
          <t>BSecondary</t>
        </is>
      </c>
    </row>
    <row r="624" ht="30" customHeight="1">
      <c r="A624" s="50">
        <f>CONCATENATE(C624,D624,E624)</f>
        <v/>
      </c>
      <c r="B624" s="51" t="inlineStr">
        <is>
          <t>CUSTANLM20CSEC</t>
        </is>
      </c>
      <c r="C624" s="51" t="inlineStr">
        <is>
          <t>AnalogSignalType.Custom</t>
        </is>
      </c>
      <c r="D624" s="51" t="inlineStr">
        <is>
          <t>Impedance</t>
        </is>
      </c>
      <c r="E624" s="51" t="inlineStr">
        <is>
          <t>CSecondary</t>
        </is>
      </c>
    </row>
    <row r="625" ht="30" customHeight="1">
      <c r="A625" s="50">
        <f>CONCATENATE(C625,D625,E625)</f>
        <v/>
      </c>
      <c r="B625" s="51" t="inlineStr">
        <is>
          <t>CUSTANLM21ABCSEC</t>
        </is>
      </c>
      <c r="C625" s="51" t="inlineStr">
        <is>
          <t>AnalogSignalType.Custom</t>
        </is>
      </c>
      <c r="D625" s="51" t="inlineStr">
        <is>
          <t>Admittance</t>
        </is>
      </c>
      <c r="E625" s="51" t="inlineStr">
        <is>
          <t>ABCSecondary</t>
        </is>
      </c>
    </row>
    <row r="626" ht="30" customHeight="1">
      <c r="A626" s="50">
        <f>CONCATENATE(C626,D626,E626)</f>
        <v/>
      </c>
      <c r="B626" s="51" t="inlineStr">
        <is>
          <t>CUSTANLM21ASEC</t>
        </is>
      </c>
      <c r="C626" s="51" t="inlineStr">
        <is>
          <t>AnalogSignalType.Custom</t>
        </is>
      </c>
      <c r="D626" s="51" t="inlineStr">
        <is>
          <t>Admittance</t>
        </is>
      </c>
      <c r="E626" s="51" t="inlineStr">
        <is>
          <t>ASecondary</t>
        </is>
      </c>
    </row>
    <row r="627" ht="30" customHeight="1">
      <c r="A627" s="50">
        <f>CONCATENATE(C627,D627,E627)</f>
        <v/>
      </c>
      <c r="B627" s="51" t="inlineStr">
        <is>
          <t>CUSTANLM21BSEC</t>
        </is>
      </c>
      <c r="C627" s="51" t="inlineStr">
        <is>
          <t>AnalogSignalType.Custom</t>
        </is>
      </c>
      <c r="D627" s="51" t="inlineStr">
        <is>
          <t>Admittance</t>
        </is>
      </c>
      <c r="E627" s="51" t="inlineStr">
        <is>
          <t>BSecondary</t>
        </is>
      </c>
    </row>
    <row r="628" ht="30" customHeight="1">
      <c r="A628" s="50">
        <f>CONCATENATE(C628,D628,E628)</f>
        <v/>
      </c>
      <c r="B628" s="51" t="inlineStr">
        <is>
          <t>CUSTANLM21CSEC</t>
        </is>
      </c>
      <c r="C628" s="51" t="inlineStr">
        <is>
          <t>AnalogSignalType.Custom</t>
        </is>
      </c>
      <c r="D628" s="51" t="inlineStr">
        <is>
          <t>Admittance</t>
        </is>
      </c>
      <c r="E628" s="51" t="inlineStr">
        <is>
          <t>CSecondary</t>
        </is>
      </c>
    </row>
    <row r="629" ht="30" customHeight="1">
      <c r="A629" s="50">
        <f>CONCATENATE(C629,D629,E629)</f>
        <v/>
      </c>
      <c r="B629" s="51" t="inlineStr">
        <is>
          <t>CUSTANLM22ABCSEC</t>
        </is>
      </c>
      <c r="C629" s="51" t="inlineStr">
        <is>
          <t>AnalogSignalType.Custom</t>
        </is>
      </c>
      <c r="D629" s="51" t="inlineStr">
        <is>
          <t>ImpedancePerLength</t>
        </is>
      </c>
      <c r="E629" s="51" t="inlineStr">
        <is>
          <t>ABCSecondary</t>
        </is>
      </c>
    </row>
    <row r="630" ht="30" customHeight="1">
      <c r="A630" s="50">
        <f>CONCATENATE(C630,D630,E630)</f>
        <v/>
      </c>
      <c r="B630" s="51" t="inlineStr">
        <is>
          <t>CUSTANLM22ASEC</t>
        </is>
      </c>
      <c r="C630" s="51" t="inlineStr">
        <is>
          <t>AnalogSignalType.Custom</t>
        </is>
      </c>
      <c r="D630" s="51" t="inlineStr">
        <is>
          <t>ImpedancePerLength</t>
        </is>
      </c>
      <c r="E630" s="51" t="inlineStr">
        <is>
          <t>ASecondary</t>
        </is>
      </c>
    </row>
    <row r="631" ht="30" customHeight="1">
      <c r="A631" s="50">
        <f>CONCATENATE(C631,D631,E631)</f>
        <v/>
      </c>
      <c r="B631" s="51" t="inlineStr">
        <is>
          <t>CUSTANLM22BSEC</t>
        </is>
      </c>
      <c r="C631" s="51" t="inlineStr">
        <is>
          <t>AnalogSignalType.Custom</t>
        </is>
      </c>
      <c r="D631" s="51" t="inlineStr">
        <is>
          <t>ImpedancePerLength</t>
        </is>
      </c>
      <c r="E631" s="51" t="inlineStr">
        <is>
          <t>BSecondary</t>
        </is>
      </c>
    </row>
    <row r="632" ht="30" customHeight="1">
      <c r="A632" s="50">
        <f>CONCATENATE(C632,D632,E632)</f>
        <v/>
      </c>
      <c r="B632" s="51" t="inlineStr">
        <is>
          <t>CUSTANLM22CSEC</t>
        </is>
      </c>
      <c r="C632" s="51" t="inlineStr">
        <is>
          <t>AnalogSignalType.Custom</t>
        </is>
      </c>
      <c r="D632" s="51" t="inlineStr">
        <is>
          <t>ImpedancePerLength</t>
        </is>
      </c>
      <c r="E632" s="51" t="inlineStr">
        <is>
          <t>CSecondary</t>
        </is>
      </c>
    </row>
    <row r="633" ht="30" customHeight="1">
      <c r="A633" s="50">
        <f>CONCATENATE(C633,D633,E633)</f>
        <v/>
      </c>
      <c r="B633" s="51" t="inlineStr">
        <is>
          <t>CUSTANLM23ABCSEC</t>
        </is>
      </c>
      <c r="C633" s="51" t="inlineStr">
        <is>
          <t>AnalogSignalType.Custom</t>
        </is>
      </c>
      <c r="D633" s="51" t="inlineStr">
        <is>
          <t>AdmittancePerLength</t>
        </is>
      </c>
      <c r="E633" s="51" t="inlineStr">
        <is>
          <t>ABCSecondary</t>
        </is>
      </c>
    </row>
    <row r="634" ht="30" customHeight="1">
      <c r="A634" s="50">
        <f>CONCATENATE(C634,D634,E634)</f>
        <v/>
      </c>
      <c r="B634" s="51" t="inlineStr">
        <is>
          <t>CUSTANLM23ASEC</t>
        </is>
      </c>
      <c r="C634" s="51" t="inlineStr">
        <is>
          <t>AnalogSignalType.Custom</t>
        </is>
      </c>
      <c r="D634" s="51" t="inlineStr">
        <is>
          <t>AdmittancePerLength</t>
        </is>
      </c>
      <c r="E634" s="51" t="inlineStr">
        <is>
          <t>ASecondary</t>
        </is>
      </c>
    </row>
    <row r="635" ht="30" customHeight="1">
      <c r="A635" s="50">
        <f>CONCATENATE(C635,D635,E635)</f>
        <v/>
      </c>
      <c r="B635" s="51" t="inlineStr">
        <is>
          <t>CUSTANLM23BSEC</t>
        </is>
      </c>
      <c r="C635" s="51" t="inlineStr">
        <is>
          <t>AnalogSignalType.Custom</t>
        </is>
      </c>
      <c r="D635" s="51" t="inlineStr">
        <is>
          <t>AdmittancePerLength</t>
        </is>
      </c>
      <c r="E635" s="51" t="inlineStr">
        <is>
          <t>BSecondary</t>
        </is>
      </c>
    </row>
    <row r="636" ht="30" customHeight="1">
      <c r="A636" s="50">
        <f>CONCATENATE(C636,D636,E636)</f>
        <v/>
      </c>
      <c r="B636" s="51" t="inlineStr">
        <is>
          <t>CUSTANLM23CSEC</t>
        </is>
      </c>
      <c r="C636" s="51" t="inlineStr">
        <is>
          <t>AnalogSignalType.Custom</t>
        </is>
      </c>
      <c r="D636" s="51" t="inlineStr">
        <is>
          <t>AdmittancePerLength</t>
        </is>
      </c>
      <c r="E636" s="51" t="inlineStr">
        <is>
          <t>CSecondary</t>
        </is>
      </c>
    </row>
    <row r="637" ht="30" customHeight="1">
      <c r="A637" s="50">
        <f>CONCATENATE(C637,D637,E637)</f>
        <v/>
      </c>
      <c r="B637" s="51" t="inlineStr">
        <is>
          <t>CUSTANLM24ABCSEC</t>
        </is>
      </c>
      <c r="C637" s="51" t="inlineStr">
        <is>
          <t>AnalogSignalType.Custom</t>
        </is>
      </c>
      <c r="D637" s="51" t="inlineStr">
        <is>
          <t>Percent</t>
        </is>
      </c>
      <c r="E637" s="51" t="inlineStr">
        <is>
          <t>ABCSecondary</t>
        </is>
      </c>
    </row>
    <row r="638" ht="30" customHeight="1">
      <c r="A638" s="50">
        <f>CONCATENATE(C638,D638,E638)</f>
        <v/>
      </c>
      <c r="B638" s="51" t="inlineStr">
        <is>
          <t>CUSTANLM24ASEC</t>
        </is>
      </c>
      <c r="C638" s="51" t="inlineStr">
        <is>
          <t>AnalogSignalType.Custom</t>
        </is>
      </c>
      <c r="D638" s="51" t="inlineStr">
        <is>
          <t>Percent</t>
        </is>
      </c>
      <c r="E638" s="51" t="inlineStr">
        <is>
          <t>ASecondary</t>
        </is>
      </c>
    </row>
    <row r="639" ht="30" customHeight="1">
      <c r="A639" s="50">
        <f>CONCATENATE(C639,D639,E639)</f>
        <v/>
      </c>
      <c r="B639" s="51" t="inlineStr">
        <is>
          <t>CUSTANLM24BSEC</t>
        </is>
      </c>
      <c r="C639" s="51" t="inlineStr">
        <is>
          <t>AnalogSignalType.Custom</t>
        </is>
      </c>
      <c r="D639" s="51" t="inlineStr">
        <is>
          <t>Percent</t>
        </is>
      </c>
      <c r="E639" s="51" t="inlineStr">
        <is>
          <t>BSecondary</t>
        </is>
      </c>
    </row>
    <row r="640" ht="30" customHeight="1">
      <c r="A640" s="50">
        <f>CONCATENATE(C640,D640,E640)</f>
        <v/>
      </c>
      <c r="B640" s="51" t="inlineStr">
        <is>
          <t>CUSTANLM24CSEC</t>
        </is>
      </c>
      <c r="C640" s="51" t="inlineStr">
        <is>
          <t>AnalogSignalType.Custom</t>
        </is>
      </c>
      <c r="D640" s="51" t="inlineStr">
        <is>
          <t>Percent</t>
        </is>
      </c>
      <c r="E640" s="51" t="inlineStr">
        <is>
          <t>CSecondary</t>
        </is>
      </c>
    </row>
    <row r="641" ht="30" customHeight="1">
      <c r="A641" s="50">
        <f>CONCATENATE(C641,D641,E641)</f>
        <v/>
      </c>
      <c r="B641" s="51" t="inlineStr">
        <is>
          <t>CUSTANLM25ABCSEC</t>
        </is>
      </c>
      <c r="C641" s="51" t="inlineStr">
        <is>
          <t>AnalogSignalType.Custom</t>
        </is>
      </c>
      <c r="D641" s="51" t="inlineStr">
        <is>
          <t>Money</t>
        </is>
      </c>
      <c r="E641" s="51" t="inlineStr">
        <is>
          <t>ABCSecondary</t>
        </is>
      </c>
    </row>
    <row r="642" ht="30" customHeight="1">
      <c r="A642" s="50">
        <f>CONCATENATE(C642,D642,E642)</f>
        <v/>
      </c>
      <c r="B642" s="51" t="inlineStr">
        <is>
          <t>CUSTANLM25ASEC</t>
        </is>
      </c>
      <c r="C642" s="51" t="inlineStr">
        <is>
          <t>AnalogSignalType.Custom</t>
        </is>
      </c>
      <c r="D642" s="51" t="inlineStr">
        <is>
          <t>Money</t>
        </is>
      </c>
      <c r="E642" s="51" t="inlineStr">
        <is>
          <t>ASecondary</t>
        </is>
      </c>
    </row>
    <row r="643" ht="30" customHeight="1">
      <c r="A643" s="50">
        <f>CONCATENATE(C643,D643,E643)</f>
        <v/>
      </c>
      <c r="B643" s="51" t="inlineStr">
        <is>
          <t>CUSTANLM25BSEC</t>
        </is>
      </c>
      <c r="C643" s="51" t="inlineStr">
        <is>
          <t>AnalogSignalType.Custom</t>
        </is>
      </c>
      <c r="D643" s="51" t="inlineStr">
        <is>
          <t>Money</t>
        </is>
      </c>
      <c r="E643" s="51" t="inlineStr">
        <is>
          <t>BSecondary</t>
        </is>
      </c>
    </row>
    <row r="644" ht="30" customHeight="1">
      <c r="A644" s="50">
        <f>CONCATENATE(C644,D644,E644)</f>
        <v/>
      </c>
      <c r="B644" s="51" t="inlineStr">
        <is>
          <t>CUSTANLM25CSEC</t>
        </is>
      </c>
      <c r="C644" s="51" t="inlineStr">
        <is>
          <t>AnalogSignalType.Custom</t>
        </is>
      </c>
      <c r="D644" s="51" t="inlineStr">
        <is>
          <t>Money</t>
        </is>
      </c>
      <c r="E644" s="51" t="inlineStr">
        <is>
          <t>CSecondary</t>
        </is>
      </c>
    </row>
    <row r="645" ht="30" customHeight="1">
      <c r="A645" s="50">
        <f>CONCATENATE(C645,D645,E645)</f>
        <v/>
      </c>
      <c r="B645" s="51" t="inlineStr">
        <is>
          <t>CUSTANLM26ABCSEC</t>
        </is>
      </c>
      <c r="C645" s="51" t="inlineStr">
        <is>
          <t>AnalogSignalType.Custom</t>
        </is>
      </c>
      <c r="D645" s="51" t="inlineStr">
        <is>
          <t>RelativeVoltage</t>
        </is>
      </c>
      <c r="E645" s="51" t="inlineStr">
        <is>
          <t>ABCSecondary</t>
        </is>
      </c>
    </row>
    <row r="646" ht="30" customHeight="1">
      <c r="A646" s="50">
        <f>CONCATENATE(C646,D646,E646)</f>
        <v/>
      </c>
      <c r="B646" s="51" t="inlineStr">
        <is>
          <t>CUSTANLM26ASEC</t>
        </is>
      </c>
      <c r="C646" s="51" t="inlineStr">
        <is>
          <t>AnalogSignalType.Custom</t>
        </is>
      </c>
      <c r="D646" s="51" t="inlineStr">
        <is>
          <t>RelativeVoltage</t>
        </is>
      </c>
      <c r="E646" s="51" t="inlineStr">
        <is>
          <t>ASecondary</t>
        </is>
      </c>
    </row>
    <row r="647" ht="30" customHeight="1">
      <c r="A647" s="50">
        <f>CONCATENATE(C647,D647,E647)</f>
        <v/>
      </c>
      <c r="B647" s="51" t="inlineStr">
        <is>
          <t>CUSTANLM26BSEC</t>
        </is>
      </c>
      <c r="C647" s="51" t="inlineStr">
        <is>
          <t>AnalogSignalType.Custom</t>
        </is>
      </c>
      <c r="D647" s="51" t="inlineStr">
        <is>
          <t>RelativeVoltage</t>
        </is>
      </c>
      <c r="E647" s="51" t="inlineStr">
        <is>
          <t>BSecondary</t>
        </is>
      </c>
    </row>
    <row r="648" ht="30" customHeight="1">
      <c r="A648" s="50">
        <f>CONCATENATE(C648,D648,E648)</f>
        <v/>
      </c>
      <c r="B648" s="51" t="inlineStr">
        <is>
          <t>CUSTANLM26CSEC</t>
        </is>
      </c>
      <c r="C648" s="51" t="inlineStr">
        <is>
          <t>AnalogSignalType.Custom</t>
        </is>
      </c>
      <c r="D648" s="51" t="inlineStr">
        <is>
          <t>RelativeVoltage</t>
        </is>
      </c>
      <c r="E648" s="51" t="inlineStr">
        <is>
          <t>CSecondary</t>
        </is>
      </c>
    </row>
    <row r="649" ht="30" customHeight="1">
      <c r="A649" s="50">
        <f>CONCATENATE(C649,D649,E649)</f>
        <v/>
      </c>
      <c r="B649" s="51" t="inlineStr">
        <is>
          <t>CUSTANLM27ABCSEC</t>
        </is>
      </c>
      <c r="C649" s="51" t="inlineStr">
        <is>
          <t>AnalogSignalType.Custom</t>
        </is>
      </c>
      <c r="D649" s="51" t="inlineStr">
        <is>
          <t>Insolation</t>
        </is>
      </c>
      <c r="E649" s="51" t="inlineStr">
        <is>
          <t>ABCSecondary</t>
        </is>
      </c>
    </row>
    <row r="650" ht="30" customHeight="1">
      <c r="A650" s="50">
        <f>CONCATENATE(C650,D650,E650)</f>
        <v/>
      </c>
      <c r="B650" s="51" t="inlineStr">
        <is>
          <t>CUSTANLM27ASEC</t>
        </is>
      </c>
      <c r="C650" s="51" t="inlineStr">
        <is>
          <t>AnalogSignalType.Custom</t>
        </is>
      </c>
      <c r="D650" s="51" t="inlineStr">
        <is>
          <t>Insolation</t>
        </is>
      </c>
      <c r="E650" s="51" t="inlineStr">
        <is>
          <t>ASecondary</t>
        </is>
      </c>
    </row>
    <row r="651" ht="30" customHeight="1">
      <c r="A651" s="50">
        <f>CONCATENATE(C651,D651,E651)</f>
        <v/>
      </c>
      <c r="B651" s="51" t="inlineStr">
        <is>
          <t>CUSTANLM27BSEC</t>
        </is>
      </c>
      <c r="C651" s="51" t="inlineStr">
        <is>
          <t>AnalogSignalType.Custom</t>
        </is>
      </c>
      <c r="D651" s="51" t="inlineStr">
        <is>
          <t>Insolation</t>
        </is>
      </c>
      <c r="E651" s="51" t="inlineStr">
        <is>
          <t>BSecondary</t>
        </is>
      </c>
    </row>
    <row r="652" ht="30" customHeight="1">
      <c r="A652" s="50">
        <f>CONCATENATE(C652,D652,E652)</f>
        <v/>
      </c>
      <c r="B652" s="51" t="inlineStr">
        <is>
          <t>CUSTANLM27CSEC</t>
        </is>
      </c>
      <c r="C652" s="51" t="inlineStr">
        <is>
          <t>AnalogSignalType.Custom</t>
        </is>
      </c>
      <c r="D652" s="51" t="inlineStr">
        <is>
          <t>Insolation</t>
        </is>
      </c>
      <c r="E652" s="51" t="inlineStr">
        <is>
          <t>CSecondary</t>
        </is>
      </c>
    </row>
    <row r="653" ht="30" customHeight="1">
      <c r="A653" s="50">
        <f>CONCATENATE(C653,D653,E653)</f>
        <v/>
      </c>
      <c r="B653" s="51" t="inlineStr">
        <is>
          <t>CUSTANLM28ABCSEC</t>
        </is>
      </c>
      <c r="C653" s="51" t="inlineStr">
        <is>
          <t>AnalogSignalType.Custom</t>
        </is>
      </c>
      <c r="D653" s="51" t="inlineStr">
        <is>
          <t>CurrentAngle</t>
        </is>
      </c>
      <c r="E653" s="51" t="inlineStr">
        <is>
          <t>ABCSecondary</t>
        </is>
      </c>
    </row>
    <row r="654" ht="30" customHeight="1">
      <c r="A654" s="50">
        <f>CONCATENATE(C654,D654,E654)</f>
        <v/>
      </c>
      <c r="B654" s="51" t="inlineStr">
        <is>
          <t>CUSTANLM28ASEC</t>
        </is>
      </c>
      <c r="C654" s="51" t="inlineStr">
        <is>
          <t>AnalogSignalType.Custom</t>
        </is>
      </c>
      <c r="D654" s="51" t="inlineStr">
        <is>
          <t>CurrentAngle</t>
        </is>
      </c>
      <c r="E654" s="51" t="inlineStr">
        <is>
          <t>ASecondary</t>
        </is>
      </c>
    </row>
    <row r="655" ht="30" customHeight="1">
      <c r="A655" s="50">
        <f>CONCATENATE(C655,D655,E655)</f>
        <v/>
      </c>
      <c r="B655" s="51" t="inlineStr">
        <is>
          <t>CUSTANLM28BSEC</t>
        </is>
      </c>
      <c r="C655" s="51" t="inlineStr">
        <is>
          <t>AnalogSignalType.Custom</t>
        </is>
      </c>
      <c r="D655" s="51" t="inlineStr">
        <is>
          <t>CurrentAngle</t>
        </is>
      </c>
      <c r="E655" s="51" t="inlineStr">
        <is>
          <t>BSecondary</t>
        </is>
      </c>
    </row>
    <row r="656" ht="30" customHeight="1">
      <c r="A656" s="50">
        <f>CONCATENATE(C656,D656,E656)</f>
        <v/>
      </c>
      <c r="B656" s="51" t="inlineStr">
        <is>
          <t>CUSTANLM28CSEC</t>
        </is>
      </c>
      <c r="C656" s="51" t="inlineStr">
        <is>
          <t>AnalogSignalType.Custom</t>
        </is>
      </c>
      <c r="D656" s="51" t="inlineStr">
        <is>
          <t>CurrentAngle</t>
        </is>
      </c>
      <c r="E656" s="51" t="inlineStr">
        <is>
          <t>CSecondary</t>
        </is>
      </c>
    </row>
    <row r="657" ht="30" customHeight="1">
      <c r="A657" s="50">
        <f>CONCATENATE(C657,D657,E657)</f>
        <v/>
      </c>
      <c r="B657" s="51" t="inlineStr">
        <is>
          <t>CUSTANLM29ABCSEC</t>
        </is>
      </c>
      <c r="C657" s="51" t="inlineStr">
        <is>
          <t>AnalogSignalType.Custom</t>
        </is>
      </c>
      <c r="D657" s="51" t="inlineStr">
        <is>
          <t>RotationSpeed</t>
        </is>
      </c>
      <c r="E657" s="51" t="inlineStr">
        <is>
          <t>ABCSecondary</t>
        </is>
      </c>
    </row>
    <row r="658" ht="30" customHeight="1">
      <c r="A658" s="50">
        <f>CONCATENATE(C658,D658,E658)</f>
        <v/>
      </c>
      <c r="B658" s="51" t="inlineStr">
        <is>
          <t>CUSTANLM29ASEC</t>
        </is>
      </c>
      <c r="C658" s="51" t="inlineStr">
        <is>
          <t>AnalogSignalType.Custom</t>
        </is>
      </c>
      <c r="D658" s="51" t="inlineStr">
        <is>
          <t>RotationSpeed</t>
        </is>
      </c>
      <c r="E658" s="51" t="inlineStr">
        <is>
          <t>ASecondary</t>
        </is>
      </c>
    </row>
    <row r="659" ht="30" customHeight="1">
      <c r="A659" s="50">
        <f>CONCATENATE(C659,D659,E659)</f>
        <v/>
      </c>
      <c r="B659" s="51" t="inlineStr">
        <is>
          <t>CUSTANLM29BSEC</t>
        </is>
      </c>
      <c r="C659" s="51" t="inlineStr">
        <is>
          <t>AnalogSignalType.Custom</t>
        </is>
      </c>
      <c r="D659" s="51" t="inlineStr">
        <is>
          <t>RotationSpeed</t>
        </is>
      </c>
      <c r="E659" s="51" t="inlineStr">
        <is>
          <t>BSecondary</t>
        </is>
      </c>
    </row>
    <row r="660" ht="30" customHeight="1">
      <c r="A660" s="50">
        <f>CONCATENATE(C660,D660,E660)</f>
        <v/>
      </c>
      <c r="B660" s="51" t="inlineStr">
        <is>
          <t>CUSTANLM29CSEC</t>
        </is>
      </c>
      <c r="C660" s="51" t="inlineStr">
        <is>
          <t>AnalogSignalType.Custom</t>
        </is>
      </c>
      <c r="D660" s="51" t="inlineStr">
        <is>
          <t>RotationSpeed</t>
        </is>
      </c>
      <c r="E660" s="51" t="inlineStr">
        <is>
          <t>CSecondary</t>
        </is>
      </c>
    </row>
    <row r="661" ht="30" customHeight="1">
      <c r="A661" s="50">
        <f>CONCATENATE(C661,D661,E661)</f>
        <v/>
      </c>
      <c r="B661" s="51" t="inlineStr">
        <is>
          <t>CUSTANLM30ABCSEC</t>
        </is>
      </c>
      <c r="C661" s="51" t="inlineStr">
        <is>
          <t>AnalogSignalType.Custom</t>
        </is>
      </c>
      <c r="D661" s="51" t="inlineStr">
        <is>
          <t>Mass</t>
        </is>
      </c>
      <c r="E661" s="51" t="inlineStr">
        <is>
          <t>ABCSecondary</t>
        </is>
      </c>
    </row>
    <row r="662" ht="30" customHeight="1">
      <c r="A662" s="50">
        <f>CONCATENATE(C662,D662,E662)</f>
        <v/>
      </c>
      <c r="B662" s="51" t="inlineStr">
        <is>
          <t>CUSTANLM30ASEC</t>
        </is>
      </c>
      <c r="C662" s="51" t="inlineStr">
        <is>
          <t>AnalogSignalType.Custom</t>
        </is>
      </c>
      <c r="D662" s="51" t="inlineStr">
        <is>
          <t>Mass</t>
        </is>
      </c>
      <c r="E662" s="51" t="inlineStr">
        <is>
          <t>ASecondary</t>
        </is>
      </c>
    </row>
    <row r="663" ht="30" customHeight="1">
      <c r="A663" s="50">
        <f>CONCATENATE(C663,D663,E663)</f>
        <v/>
      </c>
      <c r="B663" s="51" t="inlineStr">
        <is>
          <t>CUSTANLM30BSEC</t>
        </is>
      </c>
      <c r="C663" s="51" t="inlineStr">
        <is>
          <t>AnalogSignalType.Custom</t>
        </is>
      </c>
      <c r="D663" s="51" t="inlineStr">
        <is>
          <t>Mass</t>
        </is>
      </c>
      <c r="E663" s="51" t="inlineStr">
        <is>
          <t>BSecondary</t>
        </is>
      </c>
    </row>
    <row r="664" ht="30" customHeight="1">
      <c r="A664" s="50">
        <f>CONCATENATE(C664,D664,E664)</f>
        <v/>
      </c>
      <c r="B664" s="51" t="inlineStr">
        <is>
          <t>CUSTANLM30CSEC</t>
        </is>
      </c>
      <c r="C664" s="51" t="inlineStr">
        <is>
          <t>AnalogSignalType.Custom</t>
        </is>
      </c>
      <c r="D664" s="51" t="inlineStr">
        <is>
          <t>Mass</t>
        </is>
      </c>
      <c r="E664" s="51" t="inlineStr">
        <is>
          <t>CSecondary</t>
        </is>
      </c>
    </row>
    <row r="665" ht="30" customHeight="1">
      <c r="A665" s="50">
        <f>CONCATENATE(C665,D665,E665)</f>
        <v/>
      </c>
      <c r="B665" s="51" t="inlineStr">
        <is>
          <t>CUSTANLM31ABCSEC</t>
        </is>
      </c>
      <c r="C665" s="51" t="inlineStr">
        <is>
          <t>AnalogSignalType.Custom</t>
        </is>
      </c>
      <c r="D665" s="51" t="inlineStr">
        <is>
          <t>FailureRate</t>
        </is>
      </c>
      <c r="E665" s="51" t="inlineStr">
        <is>
          <t>ABCSecondary</t>
        </is>
      </c>
    </row>
    <row r="666" ht="30" customHeight="1">
      <c r="A666" s="50">
        <f>CONCATENATE(C666,D666,E666)</f>
        <v/>
      </c>
      <c r="B666" s="51" t="inlineStr">
        <is>
          <t>CUSTANLM31ASEC</t>
        </is>
      </c>
      <c r="C666" s="51" t="inlineStr">
        <is>
          <t>AnalogSignalType.Custom</t>
        </is>
      </c>
      <c r="D666" s="51" t="inlineStr">
        <is>
          <t>FailureRate</t>
        </is>
      </c>
      <c r="E666" s="51" t="inlineStr">
        <is>
          <t>ASecondary</t>
        </is>
      </c>
    </row>
    <row r="667" ht="30" customHeight="1">
      <c r="A667" s="50">
        <f>CONCATENATE(C667,D667,E667)</f>
        <v/>
      </c>
      <c r="B667" s="51" t="inlineStr">
        <is>
          <t>CUSTANLM31BSEC</t>
        </is>
      </c>
      <c r="C667" s="51" t="inlineStr">
        <is>
          <t>AnalogSignalType.Custom</t>
        </is>
      </c>
      <c r="D667" s="51" t="inlineStr">
        <is>
          <t>FailureRate</t>
        </is>
      </c>
      <c r="E667" s="51" t="inlineStr">
        <is>
          <t>BSecondary</t>
        </is>
      </c>
    </row>
    <row r="668" ht="30" customHeight="1">
      <c r="A668" s="50">
        <f>CONCATENATE(C668,D668,E668)</f>
        <v/>
      </c>
      <c r="B668" s="51" t="inlineStr">
        <is>
          <t>CUSTANLM31CSEC</t>
        </is>
      </c>
      <c r="C668" s="51" t="inlineStr">
        <is>
          <t>AnalogSignalType.Custom</t>
        </is>
      </c>
      <c r="D668" s="51" t="inlineStr">
        <is>
          <t>FailureRate</t>
        </is>
      </c>
      <c r="E668" s="51" t="inlineStr">
        <is>
          <t>CSecondary</t>
        </is>
      </c>
    </row>
    <row r="669" ht="30" customHeight="1">
      <c r="A669" s="50">
        <f>CONCATENATE(C669,D669,E669)</f>
        <v/>
      </c>
      <c r="B669" s="51" t="inlineStr">
        <is>
          <t>CUSTANLM32ABCSEC</t>
        </is>
      </c>
      <c r="C669" s="51" t="inlineStr">
        <is>
          <t>AnalogSignalType.Custom</t>
        </is>
      </c>
      <c r="D669" s="51" t="inlineStr">
        <is>
          <t>SoilTemperature</t>
        </is>
      </c>
      <c r="E669" s="51" t="inlineStr">
        <is>
          <t>ABCSecondary</t>
        </is>
      </c>
    </row>
    <row r="670" ht="30" customHeight="1">
      <c r="A670" s="50">
        <f>CONCATENATE(C670,D670,E670)</f>
        <v/>
      </c>
      <c r="B670" s="51" t="inlineStr">
        <is>
          <t>CUSTANLM32ASEC</t>
        </is>
      </c>
      <c r="C670" s="51" t="inlineStr">
        <is>
          <t>AnalogSignalType.Custom</t>
        </is>
      </c>
      <c r="D670" s="51" t="inlineStr">
        <is>
          <t>SoilTemperature</t>
        </is>
      </c>
      <c r="E670" s="51" t="inlineStr">
        <is>
          <t>ASecondary</t>
        </is>
      </c>
    </row>
    <row r="671" ht="30" customHeight="1">
      <c r="A671" s="50">
        <f>CONCATENATE(C671,D671,E671)</f>
        <v/>
      </c>
      <c r="B671" s="51" t="inlineStr">
        <is>
          <t>CUSTANLM32BSEC</t>
        </is>
      </c>
      <c r="C671" s="51" t="inlineStr">
        <is>
          <t>AnalogSignalType.Custom</t>
        </is>
      </c>
      <c r="D671" s="51" t="inlineStr">
        <is>
          <t>SoilTemperature</t>
        </is>
      </c>
      <c r="E671" s="51" t="inlineStr">
        <is>
          <t>BSecondary</t>
        </is>
      </c>
    </row>
    <row r="672" ht="30" customHeight="1">
      <c r="A672" s="50">
        <f>CONCATENATE(C672,D672,E672)</f>
        <v/>
      </c>
      <c r="B672" s="51" t="inlineStr">
        <is>
          <t>CUSTANLM32CSEC</t>
        </is>
      </c>
      <c r="C672" s="51" t="inlineStr">
        <is>
          <t>AnalogSignalType.Custom</t>
        </is>
      </c>
      <c r="D672" s="51" t="inlineStr">
        <is>
          <t>SoilTemperature</t>
        </is>
      </c>
      <c r="E672" s="51" t="inlineStr">
        <is>
          <t>CSecondary</t>
        </is>
      </c>
    </row>
    <row r="673" ht="30" customHeight="1">
      <c r="A673" s="50">
        <f>CONCATENATE(C673,D673,E673)</f>
        <v/>
      </c>
      <c r="B673" s="51" t="inlineStr">
        <is>
          <t>CUSTANLM33ABCSEC</t>
        </is>
      </c>
      <c r="C673" s="51" t="inlineStr">
        <is>
          <t>AnalogSignalType.Custom</t>
        </is>
      </c>
      <c r="D673" s="51" t="inlineStr">
        <is>
          <t>OilTemperature</t>
        </is>
      </c>
      <c r="E673" s="51" t="inlineStr">
        <is>
          <t>ABCSecondary</t>
        </is>
      </c>
    </row>
    <row r="674" ht="30" customHeight="1">
      <c r="A674" s="50">
        <f>CONCATENATE(C674,D674,E674)</f>
        <v/>
      </c>
      <c r="B674" s="51" t="inlineStr">
        <is>
          <t>CUSTANLM33ASEC</t>
        </is>
      </c>
      <c r="C674" s="51" t="inlineStr">
        <is>
          <t>AnalogSignalType.Custom</t>
        </is>
      </c>
      <c r="D674" s="51" t="inlineStr">
        <is>
          <t>OilTemperature</t>
        </is>
      </c>
      <c r="E674" s="51" t="inlineStr">
        <is>
          <t>ASecondary</t>
        </is>
      </c>
    </row>
    <row r="675" ht="30" customHeight="1">
      <c r="A675" s="50">
        <f>CONCATENATE(C675,D675,E675)</f>
        <v/>
      </c>
      <c r="B675" s="51" t="inlineStr">
        <is>
          <t>CUSTANLM33BSEC</t>
        </is>
      </c>
      <c r="C675" s="51" t="inlineStr">
        <is>
          <t>AnalogSignalType.Custom</t>
        </is>
      </c>
      <c r="D675" s="51" t="inlineStr">
        <is>
          <t>OilTemperature</t>
        </is>
      </c>
      <c r="E675" s="51" t="inlineStr">
        <is>
          <t>BSecondary</t>
        </is>
      </c>
    </row>
    <row r="676" ht="30" customHeight="1">
      <c r="A676" s="50">
        <f>CONCATENATE(C676,D676,E676)</f>
        <v/>
      </c>
      <c r="B676" s="51" t="inlineStr">
        <is>
          <t>CUSTANLM33CSEC</t>
        </is>
      </c>
      <c r="C676" s="51" t="inlineStr">
        <is>
          <t>AnalogSignalType.Custom</t>
        </is>
      </c>
      <c r="D676" s="51" t="inlineStr">
        <is>
          <t>OilTemperature</t>
        </is>
      </c>
      <c r="E676" s="51" t="inlineStr">
        <is>
          <t>CSecondary</t>
        </is>
      </c>
    </row>
    <row r="677" ht="30" customHeight="1">
      <c r="A677" s="50">
        <f>CONCATENATE(C677,D677,E677)</f>
        <v/>
      </c>
      <c r="B677" s="51" t="inlineStr">
        <is>
          <t>CUSTANLM34ABCSEC</t>
        </is>
      </c>
      <c r="C677" s="51" t="inlineStr">
        <is>
          <t>AnalogSignalType.Custom</t>
        </is>
      </c>
      <c r="D677" s="51" t="inlineStr">
        <is>
          <t>HotSpotTemperature</t>
        </is>
      </c>
      <c r="E677" s="51" t="inlineStr">
        <is>
          <t>ABCSecondary</t>
        </is>
      </c>
    </row>
    <row r="678" ht="30" customHeight="1">
      <c r="A678" s="50">
        <f>CONCATENATE(C678,D678,E678)</f>
        <v/>
      </c>
      <c r="B678" s="51" t="inlineStr">
        <is>
          <t>CUSTANLM34ASEC</t>
        </is>
      </c>
      <c r="C678" s="51" t="inlineStr">
        <is>
          <t>AnalogSignalType.Custom</t>
        </is>
      </c>
      <c r="D678" s="51" t="inlineStr">
        <is>
          <t>HotSpotTemperature</t>
        </is>
      </c>
      <c r="E678" s="51" t="inlineStr">
        <is>
          <t>ASecondary</t>
        </is>
      </c>
    </row>
    <row r="679" ht="30" customHeight="1">
      <c r="A679" s="50">
        <f>CONCATENATE(C679,D679,E679)</f>
        <v/>
      </c>
      <c r="B679" s="51" t="inlineStr">
        <is>
          <t>CUSTANLM34BSEC</t>
        </is>
      </c>
      <c r="C679" s="51" t="inlineStr">
        <is>
          <t>AnalogSignalType.Custom</t>
        </is>
      </c>
      <c r="D679" s="51" t="inlineStr">
        <is>
          <t>HotSpotTemperature</t>
        </is>
      </c>
      <c r="E679" s="51" t="inlineStr">
        <is>
          <t>BSecondary</t>
        </is>
      </c>
    </row>
    <row r="680" ht="30" customHeight="1">
      <c r="A680" s="50">
        <f>CONCATENATE(C680,D680,E680)</f>
        <v/>
      </c>
      <c r="B680" s="51" t="inlineStr">
        <is>
          <t>CUSTANLM34CSEC</t>
        </is>
      </c>
      <c r="C680" s="51" t="inlineStr">
        <is>
          <t>AnalogSignalType.Custom</t>
        </is>
      </c>
      <c r="D680" s="51" t="inlineStr">
        <is>
          <t>HotSpotTemperature</t>
        </is>
      </c>
      <c r="E680" s="51" t="inlineStr">
        <is>
          <t>CSecondary</t>
        </is>
      </c>
    </row>
    <row r="681" ht="30" customHeight="1">
      <c r="A681" s="50">
        <f>CONCATENATE(C681,D681,E681)</f>
        <v/>
      </c>
      <c r="B681" s="51" t="inlineStr">
        <is>
          <t>CUSTANLM35ABCSEC</t>
        </is>
      </c>
      <c r="C681" s="51" t="inlineStr">
        <is>
          <t>AnalogSignalType.Custom</t>
        </is>
      </c>
      <c r="D681" s="51" t="inlineStr">
        <is>
          <t>AbsoluteDateTime</t>
        </is>
      </c>
      <c r="E681" s="51" t="inlineStr">
        <is>
          <t>ABCSecondary</t>
        </is>
      </c>
    </row>
    <row r="682" ht="30" customHeight="1">
      <c r="A682" s="50">
        <f>CONCATENATE(C682,D682,E682)</f>
        <v/>
      </c>
      <c r="B682" s="51" t="inlineStr">
        <is>
          <t>CUSTANLM35ASEC</t>
        </is>
      </c>
      <c r="C682" s="51" t="inlineStr">
        <is>
          <t>AnalogSignalType.Custom</t>
        </is>
      </c>
      <c r="D682" s="51" t="inlineStr">
        <is>
          <t>AbsoluteDateTime</t>
        </is>
      </c>
      <c r="E682" s="51" t="inlineStr">
        <is>
          <t>ASecondary</t>
        </is>
      </c>
    </row>
    <row r="683" ht="30" customHeight="1">
      <c r="A683" s="50">
        <f>CONCATENATE(C683,D683,E683)</f>
        <v/>
      </c>
      <c r="B683" s="51" t="inlineStr">
        <is>
          <t>CUSTANLM35BSEC</t>
        </is>
      </c>
      <c r="C683" s="51" t="inlineStr">
        <is>
          <t>AnalogSignalType.Custom</t>
        </is>
      </c>
      <c r="D683" s="51" t="inlineStr">
        <is>
          <t>AbsoluteDateTime</t>
        </is>
      </c>
      <c r="E683" s="51" t="inlineStr">
        <is>
          <t>BSecondary</t>
        </is>
      </c>
    </row>
    <row r="684" ht="30" customHeight="1">
      <c r="A684" s="50">
        <f>CONCATENATE(C684,D684,E684)</f>
        <v/>
      </c>
      <c r="B684" s="51" t="inlineStr">
        <is>
          <t>CUSTANLM35CSEC</t>
        </is>
      </c>
      <c r="C684" s="51" t="inlineStr">
        <is>
          <t>AnalogSignalType.Custom</t>
        </is>
      </c>
      <c r="D684" s="51" t="inlineStr">
        <is>
          <t>AbsoluteDateTime</t>
        </is>
      </c>
      <c r="E684" s="51" t="inlineStr">
        <is>
          <t>CSecondary</t>
        </is>
      </c>
    </row>
    <row r="685" ht="30" customHeight="1">
      <c r="A685" s="50">
        <f>CONCATENATE(C685,D685,E685)</f>
        <v/>
      </c>
      <c r="B685" s="51" t="inlineStr">
        <is>
          <t>CUSTANLM36ABCSEC</t>
        </is>
      </c>
      <c r="C685" s="51" t="inlineStr">
        <is>
          <t>AnalogSignalType.Custom</t>
        </is>
      </c>
      <c r="D685" s="51" t="inlineStr">
        <is>
          <t>LatLong</t>
        </is>
      </c>
      <c r="E685" s="51" t="inlineStr">
        <is>
          <t>ABCSecondary</t>
        </is>
      </c>
    </row>
    <row r="686" ht="30" customHeight="1">
      <c r="A686" s="50">
        <f>CONCATENATE(C686,D686,E686)</f>
        <v/>
      </c>
      <c r="B686" s="51" t="inlineStr">
        <is>
          <t>CUSTANLM36ASEC</t>
        </is>
      </c>
      <c r="C686" s="51" t="inlineStr">
        <is>
          <t>AnalogSignalType.Custom</t>
        </is>
      </c>
      <c r="D686" s="51" t="inlineStr">
        <is>
          <t>LatLong</t>
        </is>
      </c>
      <c r="E686" s="51" t="inlineStr">
        <is>
          <t>ASecondary</t>
        </is>
      </c>
    </row>
    <row r="687" ht="30" customHeight="1">
      <c r="A687" s="50">
        <f>CONCATENATE(C687,D687,E687)</f>
        <v/>
      </c>
      <c r="B687" s="51" t="inlineStr">
        <is>
          <t>CUSTANLM36BSEC</t>
        </is>
      </c>
      <c r="C687" s="51" t="inlineStr">
        <is>
          <t>AnalogSignalType.Custom</t>
        </is>
      </c>
      <c r="D687" s="51" t="inlineStr">
        <is>
          <t>LatLong</t>
        </is>
      </c>
      <c r="E687" s="51" t="inlineStr">
        <is>
          <t>BSecondary</t>
        </is>
      </c>
    </row>
    <row r="688" ht="30" customHeight="1">
      <c r="A688" s="50">
        <f>CONCATENATE(C688,D688,E688)</f>
        <v/>
      </c>
      <c r="B688" s="51" t="inlineStr">
        <is>
          <t>CUSTANLM36CSEC</t>
        </is>
      </c>
      <c r="C688" s="51" t="inlineStr">
        <is>
          <t>AnalogSignalType.Custom</t>
        </is>
      </c>
      <c r="D688" s="51" t="inlineStr">
        <is>
          <t>LatLong</t>
        </is>
      </c>
      <c r="E688" s="51" t="inlineStr">
        <is>
          <t>CSecondary</t>
        </is>
      </c>
    </row>
    <row r="689" ht="15" customHeight="1">
      <c r="A689" s="50">
        <f>CONCATENATE(C689,D689,E689)</f>
        <v/>
      </c>
      <c r="B689" s="51" t="n"/>
      <c r="C689" s="51" t="n"/>
      <c r="D689" s="51" t="n"/>
      <c r="E689" s="51" t="inlineStr"/>
    </row>
    <row r="690" ht="15" customHeight="1">
      <c r="A690" s="50">
        <f>CONCATENATE(C690,D690,E690)</f>
        <v/>
      </c>
      <c r="B690" s="51" t="inlineStr">
        <is>
          <t>ENBLABC</t>
        </is>
      </c>
      <c r="C690" s="51" t="inlineStr">
        <is>
          <t>Enabled</t>
        </is>
      </c>
      <c r="D690" s="51" t="inlineStr">
        <is>
          <t>Status</t>
        </is>
      </c>
      <c r="E690" s="51" t="inlineStr">
        <is>
          <t>ABC</t>
        </is>
      </c>
    </row>
    <row r="691" ht="15" customHeight="1">
      <c r="A691" s="50">
        <f>CONCATENATE(C691,D691,E691)</f>
        <v/>
      </c>
      <c r="B691" s="51" t="inlineStr">
        <is>
          <t>ENBLA</t>
        </is>
      </c>
      <c r="C691" s="51" t="inlineStr">
        <is>
          <t>Enabled</t>
        </is>
      </c>
      <c r="D691" s="51" t="inlineStr">
        <is>
          <t>Status</t>
        </is>
      </c>
      <c r="E691" s="51" t="inlineStr">
        <is>
          <t>A</t>
        </is>
      </c>
    </row>
    <row r="692" ht="15" customHeight="1">
      <c r="A692" s="50">
        <f>CONCATENATE(C692,D692,E692)</f>
        <v/>
      </c>
      <c r="B692" s="51" t="inlineStr">
        <is>
          <t>ENBLB</t>
        </is>
      </c>
      <c r="C692" s="51" t="inlineStr">
        <is>
          <t>Enabled</t>
        </is>
      </c>
      <c r="D692" s="51" t="inlineStr">
        <is>
          <t>Status</t>
        </is>
      </c>
      <c r="E692" s="51" t="inlineStr">
        <is>
          <t>B</t>
        </is>
      </c>
    </row>
    <row r="693" ht="15" customHeight="1">
      <c r="A693" s="50">
        <f>CONCATENATE(C693,D693,E693)</f>
        <v/>
      </c>
      <c r="B693" s="51" t="inlineStr">
        <is>
          <t>ENBLC</t>
        </is>
      </c>
      <c r="C693" s="51" t="inlineStr">
        <is>
          <t>Enabled</t>
        </is>
      </c>
      <c r="D693" s="51" t="inlineStr">
        <is>
          <t>Status</t>
        </is>
      </c>
      <c r="E693" s="51" t="inlineStr">
        <is>
          <t>C</t>
        </is>
      </c>
    </row>
    <row r="694" ht="15" customHeight="1">
      <c r="A694" s="50">
        <f>CONCATENATE(C694,D694,E694)</f>
        <v/>
      </c>
      <c r="B694" s="51" t="inlineStr">
        <is>
          <t>TCHPOSABC</t>
        </is>
      </c>
      <c r="C694" s="51" t="inlineStr">
        <is>
          <t>TapPosition</t>
        </is>
      </c>
      <c r="D694" s="51" t="inlineStr">
        <is>
          <t>Discrete</t>
        </is>
      </c>
      <c r="E694" s="51" t="inlineStr">
        <is>
          <t>ABC</t>
        </is>
      </c>
    </row>
    <row r="695" ht="15" customHeight="1">
      <c r="A695" s="50">
        <f>CONCATENATE(C695,D695,E695)</f>
        <v/>
      </c>
      <c r="B695" s="51" t="inlineStr">
        <is>
          <t>TCHPOSA</t>
        </is>
      </c>
      <c r="C695" s="51" t="inlineStr">
        <is>
          <t>TapPosition</t>
        </is>
      </c>
      <c r="D695" s="51" t="inlineStr">
        <is>
          <t>Discrete</t>
        </is>
      </c>
      <c r="E695" s="51" t="inlineStr">
        <is>
          <t>A</t>
        </is>
      </c>
    </row>
    <row r="696" ht="15" customHeight="1">
      <c r="A696" s="50">
        <f>CONCATENATE(C696,D696,E696)</f>
        <v/>
      </c>
      <c r="B696" s="51" t="inlineStr">
        <is>
          <t>TCHPOSB</t>
        </is>
      </c>
      <c r="C696" s="51" t="inlineStr">
        <is>
          <t>TapPosition</t>
        </is>
      </c>
      <c r="D696" s="51" t="inlineStr">
        <is>
          <t>Discrete</t>
        </is>
      </c>
      <c r="E696" s="51" t="inlineStr">
        <is>
          <t>B</t>
        </is>
      </c>
    </row>
    <row r="697" ht="15" customHeight="1">
      <c r="A697" s="50">
        <f>CONCATENATE(C697,D697,E697)</f>
        <v/>
      </c>
      <c r="B697" s="51" t="inlineStr">
        <is>
          <t>TCHPOSC</t>
        </is>
      </c>
      <c r="C697" s="51" t="inlineStr">
        <is>
          <t>TapPosition</t>
        </is>
      </c>
      <c r="D697" s="51" t="inlineStr">
        <is>
          <t>Discrete</t>
        </is>
      </c>
      <c r="E697" s="51" t="inlineStr">
        <is>
          <t>C</t>
        </is>
      </c>
    </row>
    <row r="698" ht="15" customHeight="1">
      <c r="A698" s="50">
        <f>CONCATENATE(C698,D698,E698)</f>
        <v/>
      </c>
      <c r="B698" s="51" t="inlineStr">
        <is>
          <t>TCHINCABC</t>
        </is>
      </c>
      <c r="C698" s="51" t="inlineStr">
        <is>
          <t>TapIncrement</t>
        </is>
      </c>
      <c r="D698" s="51" t="inlineStr">
        <is>
          <t>Status</t>
        </is>
      </c>
      <c r="E698" s="51" t="inlineStr">
        <is>
          <t>ABC</t>
        </is>
      </c>
    </row>
    <row r="699" ht="15" customHeight="1">
      <c r="A699" s="50">
        <f>CONCATENATE(C699,D699,E699)</f>
        <v/>
      </c>
      <c r="B699" s="51" t="inlineStr">
        <is>
          <t>TCHINCA</t>
        </is>
      </c>
      <c r="C699" s="51" t="inlineStr">
        <is>
          <t>TapIncrement</t>
        </is>
      </c>
      <c r="D699" s="51" t="inlineStr">
        <is>
          <t>Status</t>
        </is>
      </c>
      <c r="E699" s="51" t="inlineStr">
        <is>
          <t>A</t>
        </is>
      </c>
    </row>
    <row r="700" ht="15" customHeight="1">
      <c r="A700" s="50">
        <f>CONCATENATE(C700,D700,E700)</f>
        <v/>
      </c>
      <c r="B700" s="51" t="inlineStr">
        <is>
          <t>TCHINCB</t>
        </is>
      </c>
      <c r="C700" s="51" t="inlineStr">
        <is>
          <t>TapIncrement</t>
        </is>
      </c>
      <c r="D700" s="51" t="inlineStr">
        <is>
          <t>Status</t>
        </is>
      </c>
      <c r="E700" s="51" t="inlineStr">
        <is>
          <t>B</t>
        </is>
      </c>
    </row>
    <row r="701" ht="15" customHeight="1">
      <c r="A701" s="50">
        <f>CONCATENATE(C701,D701,E701)</f>
        <v/>
      </c>
      <c r="B701" s="51" t="inlineStr">
        <is>
          <t>TCHINCC</t>
        </is>
      </c>
      <c r="C701" s="51" t="inlineStr">
        <is>
          <t>TapIncrement</t>
        </is>
      </c>
      <c r="D701" s="51" t="inlineStr">
        <is>
          <t>Status</t>
        </is>
      </c>
      <c r="E701" s="51" t="inlineStr">
        <is>
          <t>C</t>
        </is>
      </c>
    </row>
    <row r="702" ht="15" customHeight="1">
      <c r="A702" s="50">
        <f>CONCATENATE(C702,D702,E702)</f>
        <v/>
      </c>
      <c r="B702" s="51" t="inlineStr">
        <is>
          <t>PHSHIFTABC</t>
        </is>
      </c>
      <c r="C702" s="51" t="inlineStr">
        <is>
          <t>PhaseShift</t>
        </is>
      </c>
      <c r="D702" s="51" t="inlineStr">
        <is>
          <t>CurrentAngle</t>
        </is>
      </c>
      <c r="E702" s="51" t="inlineStr">
        <is>
          <t>ABC</t>
        </is>
      </c>
    </row>
    <row r="703" ht="15" customHeight="1">
      <c r="A703" s="50">
        <f>CONCATENATE(C703,D703,E703)</f>
        <v/>
      </c>
      <c r="B703" s="51" t="inlineStr">
        <is>
          <t>REVMODEABC</t>
        </is>
      </c>
      <c r="C703" s="51" t="inlineStr">
        <is>
          <t>ReverseMode</t>
        </is>
      </c>
      <c r="D703" s="51" t="inlineStr">
        <is>
          <t>Discrete</t>
        </is>
      </c>
      <c r="E703" s="51" t="inlineStr">
        <is>
          <t>ABC</t>
        </is>
      </c>
    </row>
    <row r="704" ht="15" customHeight="1">
      <c r="A704" s="50">
        <f>CONCATENATE(C704,D704,E704)</f>
        <v/>
      </c>
      <c r="B704" s="51" t="inlineStr">
        <is>
          <t>REVMODEA</t>
        </is>
      </c>
      <c r="C704" s="51" t="inlineStr">
        <is>
          <t>ReverseMode</t>
        </is>
      </c>
      <c r="D704" s="51" t="inlineStr">
        <is>
          <t>Discrete</t>
        </is>
      </c>
      <c r="E704" s="51" t="inlineStr">
        <is>
          <t>A</t>
        </is>
      </c>
    </row>
    <row r="705" ht="15" customHeight="1">
      <c r="A705" s="50">
        <f>CONCATENATE(C705,D705,E705)</f>
        <v/>
      </c>
      <c r="B705" s="51" t="inlineStr">
        <is>
          <t>REVMODEB</t>
        </is>
      </c>
      <c r="C705" s="51" t="inlineStr">
        <is>
          <t>ReverseMode</t>
        </is>
      </c>
      <c r="D705" s="51" t="inlineStr">
        <is>
          <t>Discrete</t>
        </is>
      </c>
      <c r="E705" s="51" t="inlineStr">
        <is>
          <t>B</t>
        </is>
      </c>
    </row>
    <row r="706" ht="15" customHeight="1">
      <c r="A706" s="50">
        <f>CONCATENATE(C706,D706,E706)</f>
        <v/>
      </c>
      <c r="B706" s="51" t="inlineStr">
        <is>
          <t>REVMODEC</t>
        </is>
      </c>
      <c r="C706" s="51" t="inlineStr">
        <is>
          <t>ReverseMode</t>
        </is>
      </c>
      <c r="D706" s="51" t="inlineStr">
        <is>
          <t>Discrete</t>
        </is>
      </c>
      <c r="E706" s="51" t="inlineStr">
        <is>
          <t>C</t>
        </is>
      </c>
    </row>
    <row r="707" ht="15" customHeight="1">
      <c r="A707" s="50">
        <f>CONCATENATE(C707,D707,E707)</f>
        <v/>
      </c>
      <c r="B707" s="51" t="inlineStr">
        <is>
          <t>PARALLELABC</t>
        </is>
      </c>
      <c r="C707" s="51" t="inlineStr">
        <is>
          <t>Parallel</t>
        </is>
      </c>
      <c r="D707" s="51" t="inlineStr">
        <is>
          <t>Status</t>
        </is>
      </c>
      <c r="E707" s="51" t="inlineStr">
        <is>
          <t>ABC</t>
        </is>
      </c>
    </row>
    <row r="708" ht="15" customHeight="1">
      <c r="A708" s="50">
        <f>CONCATENATE(C708,D708,E708)</f>
        <v/>
      </c>
      <c r="B708" s="51" t="inlineStr">
        <is>
          <t>PARALLELA</t>
        </is>
      </c>
      <c r="C708" s="51" t="inlineStr">
        <is>
          <t>Parallel</t>
        </is>
      </c>
      <c r="D708" s="51" t="inlineStr">
        <is>
          <t>Status</t>
        </is>
      </c>
      <c r="E708" s="51" t="inlineStr">
        <is>
          <t>A</t>
        </is>
      </c>
    </row>
    <row r="709" ht="15" customHeight="1">
      <c r="A709" s="50">
        <f>CONCATENATE(C709,D709,E709)</f>
        <v/>
      </c>
      <c r="B709" s="51" t="inlineStr">
        <is>
          <t>PARALLELB</t>
        </is>
      </c>
      <c r="C709" s="51" t="inlineStr">
        <is>
          <t>Parallel</t>
        </is>
      </c>
      <c r="D709" s="51" t="inlineStr">
        <is>
          <t>Status</t>
        </is>
      </c>
      <c r="E709" s="51" t="inlineStr">
        <is>
          <t>B</t>
        </is>
      </c>
    </row>
    <row r="710" ht="15" customHeight="1">
      <c r="A710" s="50">
        <f>CONCATENATE(C710,D710,E710)</f>
        <v/>
      </c>
      <c r="B710" s="51" t="inlineStr">
        <is>
          <t>PARALLELC</t>
        </is>
      </c>
      <c r="C710" s="51" t="inlineStr">
        <is>
          <t>Parallel</t>
        </is>
      </c>
      <c r="D710" s="51" t="inlineStr">
        <is>
          <t>Status</t>
        </is>
      </c>
      <c r="E710" s="51" t="inlineStr">
        <is>
          <t>C</t>
        </is>
      </c>
    </row>
    <row r="711" ht="15" customHeight="1">
      <c r="A711" s="50">
        <f>CONCATENATE(C711,D711,E711)</f>
        <v/>
      </c>
      <c r="B711" s="51" t="inlineStr">
        <is>
          <t>LBONUSABC</t>
        </is>
      </c>
      <c r="C711" s="51" t="inlineStr">
        <is>
          <t>Enabled</t>
        </is>
      </c>
      <c r="D711" s="51" t="inlineStr">
        <is>
          <t>Status</t>
        </is>
      </c>
      <c r="E711" s="51" t="inlineStr">
        <is>
          <t>ABC</t>
        </is>
      </c>
    </row>
    <row r="712" ht="15" customHeight="1">
      <c r="A712" s="50">
        <f>CONCATENATE(C712,D712,E712)</f>
        <v/>
      </c>
      <c r="B712" s="51" t="inlineStr">
        <is>
          <t>LBONUSA</t>
        </is>
      </c>
      <c r="C712" s="51" t="inlineStr">
        <is>
          <t>Enabled</t>
        </is>
      </c>
      <c r="D712" s="51" t="inlineStr">
        <is>
          <t>Status</t>
        </is>
      </c>
      <c r="E712" s="51" t="inlineStr">
        <is>
          <t>A</t>
        </is>
      </c>
    </row>
    <row r="713" ht="15" customHeight="1">
      <c r="A713" s="50">
        <f>CONCATENATE(C713,D713,E713)</f>
        <v/>
      </c>
      <c r="B713" s="51" t="inlineStr">
        <is>
          <t>LBONUSB</t>
        </is>
      </c>
      <c r="C713" s="51" t="inlineStr">
        <is>
          <t>Enabled</t>
        </is>
      </c>
      <c r="D713" s="51" t="inlineStr">
        <is>
          <t>Status</t>
        </is>
      </c>
      <c r="E713" s="51" t="inlineStr">
        <is>
          <t>B</t>
        </is>
      </c>
    </row>
    <row r="714" ht="15" customHeight="1">
      <c r="A714" s="50">
        <f>CONCATENATE(C714,D714,E714)</f>
        <v/>
      </c>
      <c r="B714" s="51" t="inlineStr">
        <is>
          <t>LBONUSC</t>
        </is>
      </c>
      <c r="C714" s="51" t="inlineStr">
        <is>
          <t>Enabled</t>
        </is>
      </c>
      <c r="D714" s="51" t="inlineStr">
        <is>
          <t>Status</t>
        </is>
      </c>
      <c r="E714" s="51" t="inlineStr">
        <is>
          <t>C</t>
        </is>
      </c>
    </row>
    <row r="715" ht="15" customHeight="1">
      <c r="A715" s="50">
        <f>CONCATENATE(C715,D715,E715)</f>
        <v/>
      </c>
      <c r="B715" s="51" t="inlineStr">
        <is>
          <t>CTRLACTSETTABC</t>
        </is>
      </c>
      <c r="C715" s="51" t="inlineStr">
        <is>
          <t>ControlActiveSetting</t>
        </is>
      </c>
      <c r="D715" s="51" t="inlineStr">
        <is>
          <t>Discrete</t>
        </is>
      </c>
      <c r="E715" s="51" t="inlineStr">
        <is>
          <t>ABC</t>
        </is>
      </c>
    </row>
    <row r="716" ht="15" customHeight="1">
      <c r="A716" s="50">
        <f>CONCATENATE(C716,D716,E716)</f>
        <v/>
      </c>
      <c r="B716" s="51" t="inlineStr">
        <is>
          <t>CTRLACTSETTA</t>
        </is>
      </c>
      <c r="C716" s="51" t="inlineStr">
        <is>
          <t>ControlActiveSetting</t>
        </is>
      </c>
      <c r="D716" s="51" t="inlineStr">
        <is>
          <t>Discrete</t>
        </is>
      </c>
      <c r="E716" s="51" t="inlineStr">
        <is>
          <t>A</t>
        </is>
      </c>
    </row>
    <row r="717" ht="15" customHeight="1">
      <c r="A717" s="50">
        <f>CONCATENATE(C717,D717,E717)</f>
        <v/>
      </c>
      <c r="B717" s="51" t="inlineStr">
        <is>
          <t>CTRLACTSETTB</t>
        </is>
      </c>
      <c r="C717" s="51" t="inlineStr">
        <is>
          <t>ControlActiveSetting</t>
        </is>
      </c>
      <c r="D717" s="51" t="inlineStr">
        <is>
          <t>Discrete</t>
        </is>
      </c>
      <c r="E717" s="51" t="inlineStr">
        <is>
          <t>B</t>
        </is>
      </c>
    </row>
    <row r="718" ht="15" customHeight="1">
      <c r="A718" s="50">
        <f>CONCATENATE(C718,D718,E718)</f>
        <v/>
      </c>
      <c r="B718" s="51" t="inlineStr">
        <is>
          <t>CTRLACTSETTC</t>
        </is>
      </c>
      <c r="C718" s="51" t="inlineStr">
        <is>
          <t>ControlActiveSetting</t>
        </is>
      </c>
      <c r="D718" s="51" t="inlineStr">
        <is>
          <t>Discrete</t>
        </is>
      </c>
      <c r="E718" s="51" t="inlineStr">
        <is>
          <t>C</t>
        </is>
      </c>
    </row>
    <row r="719" ht="15" customHeight="1">
      <c r="A719" s="50">
        <f>CONCATENATE(C719,D719,E719)</f>
        <v/>
      </c>
      <c r="B719" s="51" t="inlineStr">
        <is>
          <t>CTRLDLYABC</t>
        </is>
      </c>
      <c r="C719" s="51" t="inlineStr">
        <is>
          <t>ControlDelay</t>
        </is>
      </c>
      <c r="D719" s="51" t="inlineStr">
        <is>
          <t>Time</t>
        </is>
      </c>
      <c r="E719" s="51" t="inlineStr">
        <is>
          <t>ABC</t>
        </is>
      </c>
    </row>
    <row r="720" ht="15" customHeight="1">
      <c r="A720" s="50">
        <f>CONCATENATE(C720,D720,E720)</f>
        <v/>
      </c>
      <c r="B720" s="51" t="inlineStr">
        <is>
          <t>CTRLDLYA</t>
        </is>
      </c>
      <c r="C720" s="51" t="inlineStr">
        <is>
          <t>ControlDelay</t>
        </is>
      </c>
      <c r="D720" s="51" t="inlineStr">
        <is>
          <t>Time</t>
        </is>
      </c>
      <c r="E720" s="51" t="inlineStr">
        <is>
          <t>A</t>
        </is>
      </c>
    </row>
    <row r="721" ht="15" customHeight="1">
      <c r="A721" s="50">
        <f>CONCATENATE(C721,D721,E721)</f>
        <v/>
      </c>
      <c r="B721" s="51" t="inlineStr">
        <is>
          <t>CTRLDLYB</t>
        </is>
      </c>
      <c r="C721" s="51" t="inlineStr">
        <is>
          <t>ControlDelay</t>
        </is>
      </c>
      <c r="D721" s="51" t="inlineStr">
        <is>
          <t>Time</t>
        </is>
      </c>
      <c r="E721" s="51" t="inlineStr">
        <is>
          <t>B</t>
        </is>
      </c>
    </row>
    <row r="722" ht="15" customHeight="1">
      <c r="A722" s="50">
        <f>CONCATENATE(C722,D722,E722)</f>
        <v/>
      </c>
      <c r="B722" s="51" t="inlineStr">
        <is>
          <t>CTRLDLYC</t>
        </is>
      </c>
      <c r="C722" s="51" t="inlineStr">
        <is>
          <t>ControlDelay</t>
        </is>
      </c>
      <c r="D722" s="51" t="inlineStr">
        <is>
          <t>Time</t>
        </is>
      </c>
      <c r="E722" s="51" t="inlineStr">
        <is>
          <t>C</t>
        </is>
      </c>
    </row>
    <row r="723" ht="15" customHeight="1">
      <c r="A723" s="50">
        <f>CONCATENATE(C723,D723,E723)</f>
        <v/>
      </c>
      <c r="B723" s="51" t="inlineStr">
        <is>
          <t>CTRLLMTHGHVOLTABC</t>
        </is>
      </c>
      <c r="C723" s="51" t="inlineStr">
        <is>
          <t>ControlLimitHigh</t>
        </is>
      </c>
      <c r="D723" s="51" t="inlineStr">
        <is>
          <t>Voltage</t>
        </is>
      </c>
      <c r="E723" s="51" t="inlineStr">
        <is>
          <t>ABC</t>
        </is>
      </c>
    </row>
    <row r="724" ht="15" customHeight="1">
      <c r="A724" s="50">
        <f>CONCATENATE(C724,D724,E724)</f>
        <v/>
      </c>
      <c r="B724" s="51" t="inlineStr">
        <is>
          <t>CTRLLMTHGHVOLTA</t>
        </is>
      </c>
      <c r="C724" s="51" t="inlineStr">
        <is>
          <t>ControlLimitHigh</t>
        </is>
      </c>
      <c r="D724" s="51" t="inlineStr">
        <is>
          <t>Voltage</t>
        </is>
      </c>
      <c r="E724" s="51" t="inlineStr">
        <is>
          <t>A</t>
        </is>
      </c>
    </row>
    <row r="725" ht="15" customHeight="1">
      <c r="A725" s="50">
        <f>CONCATENATE(C725,D725,E725)</f>
        <v/>
      </c>
      <c r="B725" s="51" t="inlineStr">
        <is>
          <t>CTRLLMTHGHVOLTB</t>
        </is>
      </c>
      <c r="C725" s="51" t="inlineStr">
        <is>
          <t>ControlLimitHigh</t>
        </is>
      </c>
      <c r="D725" s="51" t="inlineStr">
        <is>
          <t>Voltage</t>
        </is>
      </c>
      <c r="E725" s="51" t="inlineStr">
        <is>
          <t>B</t>
        </is>
      </c>
    </row>
    <row r="726" ht="15" customHeight="1">
      <c r="A726" s="50">
        <f>CONCATENATE(C726,D726,E726)</f>
        <v/>
      </c>
      <c r="B726" s="51" t="inlineStr">
        <is>
          <t>CTRLLMTHGHVOLTC</t>
        </is>
      </c>
      <c r="C726" s="51" t="inlineStr">
        <is>
          <t>ControlLimitHigh</t>
        </is>
      </c>
      <c r="D726" s="51" t="inlineStr">
        <is>
          <t>Voltage</t>
        </is>
      </c>
      <c r="E726" s="51" t="inlineStr">
        <is>
          <t>C</t>
        </is>
      </c>
    </row>
    <row r="727" ht="15" customHeight="1">
      <c r="A727" s="50">
        <f>CONCATENATE(C727,D727,E727)</f>
        <v/>
      </c>
      <c r="B727" s="51" t="inlineStr">
        <is>
          <t>CTRLLMTHGHRELVOLTABC</t>
        </is>
      </c>
      <c r="C727" s="51" t="inlineStr">
        <is>
          <t>ControlLimitHigh</t>
        </is>
      </c>
      <c r="D727" s="51" t="inlineStr">
        <is>
          <t>RelativeVoltage</t>
        </is>
      </c>
      <c r="E727" s="51" t="inlineStr">
        <is>
          <t>ABC</t>
        </is>
      </c>
    </row>
    <row r="728" ht="15" customHeight="1">
      <c r="A728" s="50">
        <f>CONCATENATE(C728,D728,E728)</f>
        <v/>
      </c>
      <c r="B728" s="51" t="inlineStr">
        <is>
          <t>CTRLLMTHGHRELVOLTA</t>
        </is>
      </c>
      <c r="C728" s="51" t="inlineStr">
        <is>
          <t>ControlLimitHigh</t>
        </is>
      </c>
      <c r="D728" s="51" t="inlineStr">
        <is>
          <t>RelativeVoltage</t>
        </is>
      </c>
      <c r="E728" s="51" t="inlineStr">
        <is>
          <t>A</t>
        </is>
      </c>
    </row>
    <row r="729" ht="15" customHeight="1">
      <c r="A729" s="50">
        <f>CONCATENATE(C729,D729,E729)</f>
        <v/>
      </c>
      <c r="B729" s="51" t="inlineStr">
        <is>
          <t>CTRLLMTHGHRELVOLTB</t>
        </is>
      </c>
      <c r="C729" s="51" t="inlineStr">
        <is>
          <t>ControlLimitHigh</t>
        </is>
      </c>
      <c r="D729" s="51" t="inlineStr">
        <is>
          <t>RelativeVoltage</t>
        </is>
      </c>
      <c r="E729" s="51" t="inlineStr">
        <is>
          <t>B</t>
        </is>
      </c>
    </row>
    <row r="730" ht="15" customHeight="1">
      <c r="A730" s="50">
        <f>CONCATENATE(C730,D730,E730)</f>
        <v/>
      </c>
      <c r="B730" s="51" t="inlineStr">
        <is>
          <t>CTRLLMTHGHRELVOLTC</t>
        </is>
      </c>
      <c r="C730" s="51" t="inlineStr">
        <is>
          <t>ControlLimitHigh</t>
        </is>
      </c>
      <c r="D730" s="51" t="inlineStr">
        <is>
          <t>RelativeVoltage</t>
        </is>
      </c>
      <c r="E730" s="51" t="inlineStr">
        <is>
          <t>C</t>
        </is>
      </c>
    </row>
    <row r="731" ht="15" customHeight="1">
      <c r="A731" s="50">
        <f>CONCATENATE(C731,D731,E731)</f>
        <v/>
      </c>
      <c r="B731" s="51" t="inlineStr">
        <is>
          <t>CTRLLMTHGHAMPABC</t>
        </is>
      </c>
      <c r="C731" s="51" t="inlineStr">
        <is>
          <t>ControlLimitHigh</t>
        </is>
      </c>
      <c r="D731" s="51" t="inlineStr">
        <is>
          <t>Current</t>
        </is>
      </c>
      <c r="E731" s="51" t="inlineStr">
        <is>
          <t>ABC</t>
        </is>
      </c>
    </row>
    <row r="732" ht="15" customHeight="1">
      <c r="A732" s="50">
        <f>CONCATENATE(C732,D732,E732)</f>
        <v/>
      </c>
      <c r="B732" s="51" t="inlineStr">
        <is>
          <t>CTRLLMTHGHAMPA</t>
        </is>
      </c>
      <c r="C732" s="51" t="inlineStr">
        <is>
          <t>ControlLimitHigh</t>
        </is>
      </c>
      <c r="D732" s="51" t="inlineStr">
        <is>
          <t>Current</t>
        </is>
      </c>
      <c r="E732" s="51" t="inlineStr">
        <is>
          <t>A</t>
        </is>
      </c>
    </row>
    <row r="733" ht="15" customHeight="1">
      <c r="A733" s="50">
        <f>CONCATENATE(C733,D733,E733)</f>
        <v/>
      </c>
      <c r="B733" s="51" t="inlineStr">
        <is>
          <t>CTRLLMTHGHAMPB</t>
        </is>
      </c>
      <c r="C733" s="51" t="inlineStr">
        <is>
          <t>ControlLimitHigh</t>
        </is>
      </c>
      <c r="D733" s="51" t="inlineStr">
        <is>
          <t>Current</t>
        </is>
      </c>
      <c r="E733" s="51" t="inlineStr">
        <is>
          <t>B</t>
        </is>
      </c>
    </row>
    <row r="734" ht="15" customHeight="1">
      <c r="A734" s="50">
        <f>CONCATENATE(C734,D734,E734)</f>
        <v/>
      </c>
      <c r="B734" s="51" t="inlineStr">
        <is>
          <t>CTRLLMTHGHAMPC</t>
        </is>
      </c>
      <c r="C734" s="51" t="inlineStr">
        <is>
          <t>ControlLimitHigh</t>
        </is>
      </c>
      <c r="D734" s="51" t="inlineStr">
        <is>
          <t>Current</t>
        </is>
      </c>
      <c r="E734" s="51" t="inlineStr">
        <is>
          <t>C</t>
        </is>
      </c>
    </row>
    <row r="735" ht="15" customHeight="1">
      <c r="A735" s="50">
        <f>CONCATENATE(C735,D735,E735)</f>
        <v/>
      </c>
      <c r="B735" s="51" t="inlineStr">
        <is>
          <t>CTRLLMTHGHMWABC</t>
        </is>
      </c>
      <c r="C735" s="51" t="inlineStr">
        <is>
          <t>ControlLimitHigh</t>
        </is>
      </c>
      <c r="D735" s="51" t="inlineStr">
        <is>
          <t>ActivePower</t>
        </is>
      </c>
      <c r="E735" s="51" t="inlineStr">
        <is>
          <t>ABC</t>
        </is>
      </c>
    </row>
    <row r="736" ht="15" customHeight="1">
      <c r="A736" s="50">
        <f>CONCATENATE(C736,D736,E736)</f>
        <v/>
      </c>
      <c r="B736" s="51" t="inlineStr">
        <is>
          <t>CTRLLMTHGHMWA</t>
        </is>
      </c>
      <c r="C736" s="51" t="inlineStr">
        <is>
          <t>ControlLimitHigh</t>
        </is>
      </c>
      <c r="D736" s="51" t="inlineStr">
        <is>
          <t>ActivePower</t>
        </is>
      </c>
      <c r="E736" s="51" t="inlineStr">
        <is>
          <t>A</t>
        </is>
      </c>
    </row>
    <row r="737" ht="15" customHeight="1">
      <c r="A737" s="50">
        <f>CONCATENATE(C737,D737,E737)</f>
        <v/>
      </c>
      <c r="B737" s="51" t="inlineStr">
        <is>
          <t>CTRLLMTHGHMWB</t>
        </is>
      </c>
      <c r="C737" s="51" t="inlineStr">
        <is>
          <t>ControlLimitHigh</t>
        </is>
      </c>
      <c r="D737" s="51" t="inlineStr">
        <is>
          <t>ActivePower</t>
        </is>
      </c>
      <c r="E737" s="51" t="inlineStr">
        <is>
          <t>B</t>
        </is>
      </c>
    </row>
    <row r="738" ht="15" customHeight="1">
      <c r="A738" s="50">
        <f>CONCATENATE(C738,D738,E738)</f>
        <v/>
      </c>
      <c r="B738" s="51" t="inlineStr">
        <is>
          <t>CTRLLMTHGHMWC</t>
        </is>
      </c>
      <c r="C738" s="51" t="inlineStr">
        <is>
          <t>ControlLimitHigh</t>
        </is>
      </c>
      <c r="D738" s="51" t="inlineStr">
        <is>
          <t>ActivePower</t>
        </is>
      </c>
      <c r="E738" s="51" t="inlineStr">
        <is>
          <t>C</t>
        </is>
      </c>
    </row>
    <row r="739" ht="15" customHeight="1">
      <c r="A739" s="50">
        <f>CONCATENATE(C739,D739,E739)</f>
        <v/>
      </c>
      <c r="B739" s="51" t="inlineStr">
        <is>
          <t>CTRLLMTHGHMVAABC</t>
        </is>
      </c>
      <c r="C739" s="51" t="inlineStr">
        <is>
          <t>ControlLimitHigh</t>
        </is>
      </c>
      <c r="D739" s="51" t="inlineStr">
        <is>
          <t>ReactivePower</t>
        </is>
      </c>
      <c r="E739" s="51" t="inlineStr">
        <is>
          <t>ABC</t>
        </is>
      </c>
    </row>
    <row r="740" ht="15" customHeight="1">
      <c r="A740" s="50">
        <f>CONCATENATE(C740,D740,E740)</f>
        <v/>
      </c>
      <c r="B740" s="51" t="inlineStr">
        <is>
          <t>CTRLLMTHGHMVAA</t>
        </is>
      </c>
      <c r="C740" s="51" t="inlineStr">
        <is>
          <t>ControlLimitHigh</t>
        </is>
      </c>
      <c r="D740" s="51" t="inlineStr">
        <is>
          <t>ReactivePower</t>
        </is>
      </c>
      <c r="E740" s="51" t="inlineStr">
        <is>
          <t>A</t>
        </is>
      </c>
    </row>
    <row r="741" ht="15" customHeight="1">
      <c r="A741" s="50">
        <f>CONCATENATE(C741,D741,E741)</f>
        <v/>
      </c>
      <c r="B741" s="51" t="inlineStr">
        <is>
          <t>CTRLLMTHGHMVAB</t>
        </is>
      </c>
      <c r="C741" s="51" t="inlineStr">
        <is>
          <t>ControlLimitHigh</t>
        </is>
      </c>
      <c r="D741" s="51" t="inlineStr">
        <is>
          <t>ReactivePower</t>
        </is>
      </c>
      <c r="E741" s="51" t="inlineStr">
        <is>
          <t>B</t>
        </is>
      </c>
    </row>
    <row r="742" ht="15" customHeight="1">
      <c r="A742" s="50">
        <f>CONCATENATE(C742,D742,E742)</f>
        <v/>
      </c>
      <c r="B742" s="51" t="inlineStr">
        <is>
          <t>CTRLLMTHGHMWAC</t>
        </is>
      </c>
      <c r="C742" s="51" t="inlineStr">
        <is>
          <t>ControlLimitHigh</t>
        </is>
      </c>
      <c r="D742" s="51" t="inlineStr">
        <is>
          <t>ReactivePower</t>
        </is>
      </c>
      <c r="E742" s="51" t="inlineStr">
        <is>
          <t>C</t>
        </is>
      </c>
    </row>
    <row r="743" ht="15" customHeight="1">
      <c r="A743" s="50">
        <f>CONCATENATE(C743,D743,E743)</f>
        <v/>
      </c>
      <c r="B743" s="51" t="inlineStr">
        <is>
          <t>CTRLLMTHGHCOSPHIABC</t>
        </is>
      </c>
      <c r="C743" s="51" t="inlineStr">
        <is>
          <t>ControlLimitHigh</t>
        </is>
      </c>
      <c r="D743" s="51" t="inlineStr">
        <is>
          <t>CosPhi</t>
        </is>
      </c>
      <c r="E743" s="51" t="inlineStr">
        <is>
          <t>ABC</t>
        </is>
      </c>
    </row>
    <row r="744" ht="15" customHeight="1">
      <c r="A744" s="50">
        <f>CONCATENATE(C744,D744,E744)</f>
        <v/>
      </c>
      <c r="B744" s="51" t="inlineStr">
        <is>
          <t>CTRLLMTHGHCOSPHIA</t>
        </is>
      </c>
      <c r="C744" s="51" t="inlineStr">
        <is>
          <t>ControlLimitHigh</t>
        </is>
      </c>
      <c r="D744" s="51" t="inlineStr">
        <is>
          <t>CosPhi</t>
        </is>
      </c>
      <c r="E744" s="51" t="inlineStr">
        <is>
          <t>A</t>
        </is>
      </c>
    </row>
    <row r="745" ht="15" customHeight="1">
      <c r="A745" s="50">
        <f>CONCATENATE(C745,D745,E745)</f>
        <v/>
      </c>
      <c r="B745" s="51" t="inlineStr">
        <is>
          <t>CTRLLMTHGHCOSPHIB</t>
        </is>
      </c>
      <c r="C745" s="51" t="inlineStr">
        <is>
          <t>ControlLimitHigh</t>
        </is>
      </c>
      <c r="D745" s="51" t="inlineStr">
        <is>
          <t>CosPhi</t>
        </is>
      </c>
      <c r="E745" s="51" t="inlineStr">
        <is>
          <t>B</t>
        </is>
      </c>
    </row>
    <row r="746" ht="15" customHeight="1">
      <c r="A746" s="50">
        <f>CONCATENATE(C746,D746,E746)</f>
        <v/>
      </c>
      <c r="B746" s="51" t="inlineStr">
        <is>
          <t>CTRLLMTHGHCOSPHIC</t>
        </is>
      </c>
      <c r="C746" s="51" t="inlineStr">
        <is>
          <t>ControlLimitHigh</t>
        </is>
      </c>
      <c r="D746" s="51" t="inlineStr">
        <is>
          <t>CosPhi</t>
        </is>
      </c>
      <c r="E746" s="51" t="inlineStr">
        <is>
          <t>C</t>
        </is>
      </c>
    </row>
    <row r="747" ht="15" customHeight="1">
      <c r="A747" s="50">
        <f>CONCATENATE(C747,D747,E747)</f>
        <v/>
      </c>
      <c r="B747" s="51" t="inlineStr">
        <is>
          <t>CTRLLMTHGHTEMPABC</t>
        </is>
      </c>
      <c r="C747" s="51" t="inlineStr">
        <is>
          <t>ControlLimitHigh</t>
        </is>
      </c>
      <c r="D747" s="51" t="inlineStr">
        <is>
          <t>Temperature</t>
        </is>
      </c>
      <c r="E747" s="51" t="inlineStr">
        <is>
          <t>ABC</t>
        </is>
      </c>
    </row>
    <row r="748" ht="15" customHeight="1">
      <c r="A748" s="50">
        <f>CONCATENATE(C748,D748,E748)</f>
        <v/>
      </c>
      <c r="B748" s="51" t="inlineStr">
        <is>
          <t>CTRLLMTHGHTEMPA</t>
        </is>
      </c>
      <c r="C748" s="51" t="inlineStr">
        <is>
          <t>ControlLimitHigh</t>
        </is>
      </c>
      <c r="D748" s="51" t="inlineStr">
        <is>
          <t>Temperature</t>
        </is>
      </c>
      <c r="E748" s="51" t="inlineStr">
        <is>
          <t>A</t>
        </is>
      </c>
    </row>
    <row r="749" ht="15" customHeight="1">
      <c r="A749" s="50">
        <f>CONCATENATE(C749,D749,E749)</f>
        <v/>
      </c>
      <c r="B749" s="51" t="inlineStr">
        <is>
          <t>CTRLLMTHGHTEMPB</t>
        </is>
      </c>
      <c r="C749" s="51" t="inlineStr">
        <is>
          <t>ControlLimitHigh</t>
        </is>
      </c>
      <c r="D749" s="51" t="inlineStr">
        <is>
          <t>Temperature</t>
        </is>
      </c>
      <c r="E749" s="51" t="inlineStr">
        <is>
          <t>B</t>
        </is>
      </c>
    </row>
    <row r="750" ht="15" customHeight="1">
      <c r="A750" s="50">
        <f>CONCATENATE(C750,D750,E750)</f>
        <v/>
      </c>
      <c r="B750" s="51" t="inlineStr">
        <is>
          <t>CTRLLMTHGHTEMPC</t>
        </is>
      </c>
      <c r="C750" s="51" t="inlineStr">
        <is>
          <t>ControlLimitHigh</t>
        </is>
      </c>
      <c r="D750" s="51" t="inlineStr">
        <is>
          <t>Temperature</t>
        </is>
      </c>
      <c r="E750" s="51" t="inlineStr">
        <is>
          <t>C</t>
        </is>
      </c>
    </row>
    <row r="751" ht="15" customHeight="1">
      <c r="A751" s="50">
        <f>CONCATENATE(C751,D751,E751)</f>
        <v/>
      </c>
      <c r="B751" s="51" t="inlineStr">
        <is>
          <t>CTRLLMTLOWVOLTABC</t>
        </is>
      </c>
      <c r="C751" s="51" t="inlineStr">
        <is>
          <t>ControlLimitLow</t>
        </is>
      </c>
      <c r="D751" s="51" t="inlineStr">
        <is>
          <t>Voltage</t>
        </is>
      </c>
      <c r="E751" s="51" t="inlineStr">
        <is>
          <t>ABC</t>
        </is>
      </c>
    </row>
    <row r="752" ht="15" customHeight="1">
      <c r="A752" s="50">
        <f>CONCATENATE(C752,D752,E752)</f>
        <v/>
      </c>
      <c r="B752" s="51" t="inlineStr">
        <is>
          <t>CTRLLMTLOWVOLTA</t>
        </is>
      </c>
      <c r="C752" s="51" t="inlineStr">
        <is>
          <t>ControlLimitLow</t>
        </is>
      </c>
      <c r="D752" s="51" t="inlineStr">
        <is>
          <t>Voltage</t>
        </is>
      </c>
      <c r="E752" s="51" t="inlineStr">
        <is>
          <t>A</t>
        </is>
      </c>
    </row>
    <row r="753" ht="15" customHeight="1">
      <c r="A753" s="50">
        <f>CONCATENATE(C753,D753,E753)</f>
        <v/>
      </c>
      <c r="B753" s="51" t="inlineStr">
        <is>
          <t>CTRLLMTLOWVOLTB</t>
        </is>
      </c>
      <c r="C753" s="51" t="inlineStr">
        <is>
          <t>ControlLimitLow</t>
        </is>
      </c>
      <c r="D753" s="51" t="inlineStr">
        <is>
          <t>Voltage</t>
        </is>
      </c>
      <c r="E753" s="51" t="inlineStr">
        <is>
          <t>B</t>
        </is>
      </c>
    </row>
    <row r="754" ht="15" customHeight="1">
      <c r="A754" s="50">
        <f>CONCATENATE(C754,D754,E754)</f>
        <v/>
      </c>
      <c r="B754" s="51" t="inlineStr">
        <is>
          <t>CTRLLMTLOWVOLTC</t>
        </is>
      </c>
      <c r="C754" s="51" t="inlineStr">
        <is>
          <t>ControlLimitLow</t>
        </is>
      </c>
      <c r="D754" s="51" t="inlineStr">
        <is>
          <t>Voltage</t>
        </is>
      </c>
      <c r="E754" s="51" t="inlineStr">
        <is>
          <t>C</t>
        </is>
      </c>
    </row>
    <row r="755" ht="15" customHeight="1">
      <c r="A755" s="50">
        <f>CONCATENATE(C755,D755,E755)</f>
        <v/>
      </c>
      <c r="B755" s="51" t="inlineStr">
        <is>
          <t>CTRLLMTLOWRELVOLTABC</t>
        </is>
      </c>
      <c r="C755" s="51" t="inlineStr">
        <is>
          <t>ControlLimitLow</t>
        </is>
      </c>
      <c r="D755" s="51" t="inlineStr">
        <is>
          <t>RelativeVoltage</t>
        </is>
      </c>
      <c r="E755" s="51" t="inlineStr">
        <is>
          <t>ABC</t>
        </is>
      </c>
    </row>
    <row r="756" ht="15" customHeight="1">
      <c r="A756" s="50">
        <f>CONCATENATE(C756,D756,E756)</f>
        <v/>
      </c>
      <c r="B756" s="51" t="inlineStr">
        <is>
          <t>CTRLLMTLOWRELVOLTA</t>
        </is>
      </c>
      <c r="C756" s="51" t="inlineStr">
        <is>
          <t>ControlLimitLow</t>
        </is>
      </c>
      <c r="D756" s="51" t="inlineStr">
        <is>
          <t>RelativeVoltage</t>
        </is>
      </c>
      <c r="E756" s="51" t="inlineStr">
        <is>
          <t>A</t>
        </is>
      </c>
    </row>
    <row r="757" ht="15" customHeight="1">
      <c r="A757" s="50">
        <f>CONCATENATE(C757,D757,E757)</f>
        <v/>
      </c>
      <c r="B757" s="51" t="inlineStr">
        <is>
          <t>CTRLLMTLOWRELVOLTB</t>
        </is>
      </c>
      <c r="C757" s="51" t="inlineStr">
        <is>
          <t>ControlLimitLow</t>
        </is>
      </c>
      <c r="D757" s="51" t="inlineStr">
        <is>
          <t>RelativeVoltage</t>
        </is>
      </c>
      <c r="E757" s="51" t="inlineStr">
        <is>
          <t>B</t>
        </is>
      </c>
    </row>
    <row r="758" ht="15" customHeight="1">
      <c r="A758" s="50">
        <f>CONCATENATE(C758,D758,E758)</f>
        <v/>
      </c>
      <c r="B758" s="51" t="inlineStr">
        <is>
          <t>CTRLLMTLOWRELVOLTC</t>
        </is>
      </c>
      <c r="C758" s="51" t="inlineStr">
        <is>
          <t>ControlLimitLow</t>
        </is>
      </c>
      <c r="D758" s="51" t="inlineStr">
        <is>
          <t>RelativeVoltage</t>
        </is>
      </c>
      <c r="E758" s="51" t="inlineStr">
        <is>
          <t>C</t>
        </is>
      </c>
    </row>
    <row r="759" ht="15" customHeight="1">
      <c r="A759" s="50">
        <f>CONCATENATE(C759,D759,E759)</f>
        <v/>
      </c>
      <c r="B759" s="51" t="inlineStr">
        <is>
          <t>CTRLLMTLOWAMPABC</t>
        </is>
      </c>
      <c r="C759" s="51" t="inlineStr">
        <is>
          <t>ControlLimitLow</t>
        </is>
      </c>
      <c r="D759" s="51" t="inlineStr">
        <is>
          <t>Current</t>
        </is>
      </c>
      <c r="E759" s="51" t="inlineStr">
        <is>
          <t>ABC</t>
        </is>
      </c>
    </row>
    <row r="760" ht="15" customHeight="1">
      <c r="A760" s="50">
        <f>CONCATENATE(C760,D760,E760)</f>
        <v/>
      </c>
      <c r="B760" s="51" t="inlineStr">
        <is>
          <t>CTRLLMTLOWAMPA</t>
        </is>
      </c>
      <c r="C760" s="51" t="inlineStr">
        <is>
          <t>ControlLimitLow</t>
        </is>
      </c>
      <c r="D760" s="51" t="inlineStr">
        <is>
          <t>Current</t>
        </is>
      </c>
      <c r="E760" s="51" t="inlineStr">
        <is>
          <t>A</t>
        </is>
      </c>
    </row>
    <row r="761" ht="15" customHeight="1">
      <c r="A761" s="50">
        <f>CONCATENATE(C761,D761,E761)</f>
        <v/>
      </c>
      <c r="B761" s="51" t="inlineStr">
        <is>
          <t>CTRLLMTLOWAMPB</t>
        </is>
      </c>
      <c r="C761" s="51" t="inlineStr">
        <is>
          <t>ControlLimitLow</t>
        </is>
      </c>
      <c r="D761" s="51" t="inlineStr">
        <is>
          <t>Current</t>
        </is>
      </c>
      <c r="E761" s="51" t="inlineStr">
        <is>
          <t>B</t>
        </is>
      </c>
    </row>
    <row r="762" ht="15" customHeight="1">
      <c r="A762" s="50">
        <f>CONCATENATE(C762,D762,E762)</f>
        <v/>
      </c>
      <c r="B762" s="51" t="inlineStr">
        <is>
          <t>CTRLLMTLOWAMPC</t>
        </is>
      </c>
      <c r="C762" s="51" t="inlineStr">
        <is>
          <t>ControlLimitLow</t>
        </is>
      </c>
      <c r="D762" s="51" t="inlineStr">
        <is>
          <t>Current</t>
        </is>
      </c>
      <c r="E762" s="51" t="inlineStr">
        <is>
          <t>C</t>
        </is>
      </c>
    </row>
    <row r="763" ht="15" customHeight="1">
      <c r="A763" s="50">
        <f>CONCATENATE(C763,D763,E763)</f>
        <v/>
      </c>
      <c r="B763" s="51" t="inlineStr">
        <is>
          <t>CTRLLMTLOWMWABC</t>
        </is>
      </c>
      <c r="C763" s="51" t="inlineStr">
        <is>
          <t>ControlLimitLow</t>
        </is>
      </c>
      <c r="D763" s="51" t="inlineStr">
        <is>
          <t>ActivePower</t>
        </is>
      </c>
      <c r="E763" s="51" t="inlineStr">
        <is>
          <t>ABC</t>
        </is>
      </c>
    </row>
    <row r="764" ht="15" customHeight="1">
      <c r="A764" s="50">
        <f>CONCATENATE(C764,D764,E764)</f>
        <v/>
      </c>
      <c r="B764" s="51" t="inlineStr">
        <is>
          <t>CTRLLMTLOWMWA</t>
        </is>
      </c>
      <c r="C764" s="51" t="inlineStr">
        <is>
          <t>ControlLimitLow</t>
        </is>
      </c>
      <c r="D764" s="51" t="inlineStr">
        <is>
          <t>ActivePower</t>
        </is>
      </c>
      <c r="E764" s="51" t="inlineStr">
        <is>
          <t>A</t>
        </is>
      </c>
    </row>
    <row r="765" ht="15" customHeight="1">
      <c r="A765" s="50">
        <f>CONCATENATE(C765,D765,E765)</f>
        <v/>
      </c>
      <c r="B765" s="51" t="inlineStr">
        <is>
          <t>CTRLLMTLOWMWB</t>
        </is>
      </c>
      <c r="C765" s="51" t="inlineStr">
        <is>
          <t>ControlLimitLow</t>
        </is>
      </c>
      <c r="D765" s="51" t="inlineStr">
        <is>
          <t>ActivePower</t>
        </is>
      </c>
      <c r="E765" s="51" t="inlineStr">
        <is>
          <t>B</t>
        </is>
      </c>
    </row>
    <row r="766" ht="15" customHeight="1">
      <c r="A766" s="50">
        <f>CONCATENATE(C766,D766,E766)</f>
        <v/>
      </c>
      <c r="B766" s="51" t="inlineStr">
        <is>
          <t>CTRLLMTLOWMWC</t>
        </is>
      </c>
      <c r="C766" s="51" t="inlineStr">
        <is>
          <t>ControlLimitLow</t>
        </is>
      </c>
      <c r="D766" s="51" t="inlineStr">
        <is>
          <t>ActivePower</t>
        </is>
      </c>
      <c r="E766" s="51" t="inlineStr">
        <is>
          <t>C</t>
        </is>
      </c>
    </row>
    <row r="767" ht="15" customHeight="1">
      <c r="A767" s="50">
        <f>CONCATENATE(C767,D767,E767)</f>
        <v/>
      </c>
      <c r="B767" s="51" t="inlineStr">
        <is>
          <t>CTRLLMTLOWMVAABC</t>
        </is>
      </c>
      <c r="C767" s="51" t="inlineStr">
        <is>
          <t>ControlLimitLow</t>
        </is>
      </c>
      <c r="D767" s="51" t="inlineStr">
        <is>
          <t>ReactivePower</t>
        </is>
      </c>
      <c r="E767" s="51" t="inlineStr">
        <is>
          <t>ABC</t>
        </is>
      </c>
    </row>
    <row r="768" ht="15" customHeight="1">
      <c r="A768" s="50">
        <f>CONCATENATE(C768,D768,E768)</f>
        <v/>
      </c>
      <c r="B768" s="51" t="inlineStr">
        <is>
          <t>CTRLLMTLOWMVAA</t>
        </is>
      </c>
      <c r="C768" s="51" t="inlineStr">
        <is>
          <t>ControlLimitLow</t>
        </is>
      </c>
      <c r="D768" s="51" t="inlineStr">
        <is>
          <t>ReactivePower</t>
        </is>
      </c>
      <c r="E768" s="51" t="inlineStr">
        <is>
          <t>A</t>
        </is>
      </c>
    </row>
    <row r="769" ht="15" customHeight="1">
      <c r="A769" s="50">
        <f>CONCATENATE(C769,D769,E769)</f>
        <v/>
      </c>
      <c r="B769" s="51" t="inlineStr">
        <is>
          <t>CTRLLMTLOWMVAB</t>
        </is>
      </c>
      <c r="C769" s="51" t="inlineStr">
        <is>
          <t>ControlLimitLow</t>
        </is>
      </c>
      <c r="D769" s="51" t="inlineStr">
        <is>
          <t>ReactivePower</t>
        </is>
      </c>
      <c r="E769" s="51" t="inlineStr">
        <is>
          <t>B</t>
        </is>
      </c>
    </row>
    <row r="770" ht="15" customHeight="1">
      <c r="A770" s="50">
        <f>CONCATENATE(C770,D770,E770)</f>
        <v/>
      </c>
      <c r="B770" s="51" t="inlineStr">
        <is>
          <t>CTRLLMTLOWMWAC</t>
        </is>
      </c>
      <c r="C770" s="51" t="inlineStr">
        <is>
          <t>ControlLimitLow</t>
        </is>
      </c>
      <c r="D770" s="51" t="inlineStr">
        <is>
          <t>ReactivePower</t>
        </is>
      </c>
      <c r="E770" s="51" t="inlineStr">
        <is>
          <t>C</t>
        </is>
      </c>
    </row>
    <row r="771" ht="15" customHeight="1">
      <c r="A771" s="50">
        <f>CONCATENATE(C771,D771,E771)</f>
        <v/>
      </c>
      <c r="B771" s="51" t="inlineStr">
        <is>
          <t>CTRLLMTLOWCOSPHIABC</t>
        </is>
      </c>
      <c r="C771" s="51" t="inlineStr">
        <is>
          <t>ControlLimitLow</t>
        </is>
      </c>
      <c r="D771" s="51" t="inlineStr">
        <is>
          <t>CosPhi</t>
        </is>
      </c>
      <c r="E771" s="51" t="inlineStr">
        <is>
          <t>ABC</t>
        </is>
      </c>
    </row>
    <row r="772" ht="15" customHeight="1">
      <c r="A772" s="50">
        <f>CONCATENATE(C772,D772,E772)</f>
        <v/>
      </c>
      <c r="B772" s="51" t="inlineStr">
        <is>
          <t>CTRLLMTLOWCOSPHIA</t>
        </is>
      </c>
      <c r="C772" s="51" t="inlineStr">
        <is>
          <t>ControlLimitLow</t>
        </is>
      </c>
      <c r="D772" s="51" t="inlineStr">
        <is>
          <t>CosPhi</t>
        </is>
      </c>
      <c r="E772" s="51" t="inlineStr">
        <is>
          <t>A</t>
        </is>
      </c>
    </row>
    <row r="773" ht="15" customHeight="1">
      <c r="A773" s="50">
        <f>CONCATENATE(C773,D773,E773)</f>
        <v/>
      </c>
      <c r="B773" s="51" t="inlineStr">
        <is>
          <t>CTRLLMTLOWCOSPHIB</t>
        </is>
      </c>
      <c r="C773" s="51" t="inlineStr">
        <is>
          <t>ControlLimitLow</t>
        </is>
      </c>
      <c r="D773" s="51" t="inlineStr">
        <is>
          <t>CosPhi</t>
        </is>
      </c>
      <c r="E773" s="51" t="inlineStr">
        <is>
          <t>B</t>
        </is>
      </c>
    </row>
    <row r="774" ht="15" customHeight="1">
      <c r="A774" s="50">
        <f>CONCATENATE(C774,D774,E774)</f>
        <v/>
      </c>
      <c r="B774" s="51" t="inlineStr">
        <is>
          <t>CTRLLMTLOWCOSPHIC</t>
        </is>
      </c>
      <c r="C774" s="51" t="inlineStr">
        <is>
          <t>ControlLimitLow</t>
        </is>
      </c>
      <c r="D774" s="51" t="inlineStr">
        <is>
          <t>CosPhi</t>
        </is>
      </c>
      <c r="E774" s="51" t="inlineStr">
        <is>
          <t>C</t>
        </is>
      </c>
    </row>
    <row r="775" ht="15" customHeight="1">
      <c r="A775" s="50">
        <f>CONCATENATE(C775,D775,E775)</f>
        <v/>
      </c>
      <c r="B775" s="51" t="inlineStr">
        <is>
          <t>CTRLLMTLOWTEMPABC</t>
        </is>
      </c>
      <c r="C775" s="51" t="inlineStr">
        <is>
          <t>ControlLimitLow</t>
        </is>
      </c>
      <c r="D775" s="51" t="inlineStr">
        <is>
          <t>Temperature</t>
        </is>
      </c>
      <c r="E775" s="51" t="inlineStr">
        <is>
          <t>ABC</t>
        </is>
      </c>
    </row>
    <row r="776" ht="15" customHeight="1">
      <c r="A776" s="50">
        <f>CONCATENATE(C776,D776,E776)</f>
        <v/>
      </c>
      <c r="B776" s="51" t="inlineStr">
        <is>
          <t>CTRLLMTLOWTEMPA</t>
        </is>
      </c>
      <c r="C776" s="51" t="inlineStr">
        <is>
          <t>ControlLimitLow</t>
        </is>
      </c>
      <c r="D776" s="51" t="inlineStr">
        <is>
          <t>Temperature</t>
        </is>
      </c>
      <c r="E776" s="51" t="inlineStr">
        <is>
          <t>A</t>
        </is>
      </c>
    </row>
    <row r="777" ht="15" customHeight="1">
      <c r="A777" s="50">
        <f>CONCATENATE(C777,D777,E777)</f>
        <v/>
      </c>
      <c r="B777" s="51" t="inlineStr">
        <is>
          <t>CTRLLMTLOWTEMPB</t>
        </is>
      </c>
      <c r="C777" s="51" t="inlineStr">
        <is>
          <t>ControlLimitLow</t>
        </is>
      </c>
      <c r="D777" s="51" t="inlineStr">
        <is>
          <t>Temperature</t>
        </is>
      </c>
      <c r="E777" s="51" t="inlineStr">
        <is>
          <t>B</t>
        </is>
      </c>
    </row>
    <row r="778" ht="15" customHeight="1">
      <c r="A778" s="50">
        <f>CONCATENATE(C778,D778,E778)</f>
        <v/>
      </c>
      <c r="B778" s="51" t="inlineStr">
        <is>
          <t>CTRLLMTLOWTEMPC</t>
        </is>
      </c>
      <c r="C778" s="51" t="inlineStr">
        <is>
          <t>ControlLimitLow</t>
        </is>
      </c>
      <c r="D778" s="51" t="inlineStr">
        <is>
          <t>Temperature</t>
        </is>
      </c>
      <c r="E778" s="51" t="inlineStr">
        <is>
          <t>C</t>
        </is>
      </c>
    </row>
    <row r="779" ht="15" customHeight="1">
      <c r="A779" s="50">
        <f>CONCATENATE(C779,D779,E779)</f>
        <v/>
      </c>
      <c r="B779" s="51" t="inlineStr">
        <is>
          <t>CTRLSETVALVOLTABC</t>
        </is>
      </c>
      <c r="C779" s="51" t="inlineStr">
        <is>
          <t>ControlSetValue</t>
        </is>
      </c>
      <c r="D779" s="51" t="inlineStr">
        <is>
          <t>Voltage</t>
        </is>
      </c>
      <c r="E779" s="51" t="inlineStr">
        <is>
          <t>ABC</t>
        </is>
      </c>
    </row>
    <row r="780" ht="15" customHeight="1">
      <c r="A780" s="50">
        <f>CONCATENATE(C780,D780,E780)</f>
        <v/>
      </c>
      <c r="B780" s="51" t="inlineStr">
        <is>
          <t>CTRLSETVALVOLTA</t>
        </is>
      </c>
      <c r="C780" s="51" t="inlineStr">
        <is>
          <t>ControlSetValue</t>
        </is>
      </c>
      <c r="D780" s="51" t="inlineStr">
        <is>
          <t>Voltage</t>
        </is>
      </c>
      <c r="E780" s="51" t="inlineStr">
        <is>
          <t>A</t>
        </is>
      </c>
    </row>
    <row r="781" ht="15" customHeight="1">
      <c r="A781" s="50">
        <f>CONCATENATE(C781,D781,E781)</f>
        <v/>
      </c>
      <c r="B781" s="51" t="inlineStr">
        <is>
          <t>CTRLSETVALVOLTB</t>
        </is>
      </c>
      <c r="C781" s="51" t="inlineStr">
        <is>
          <t>ControlSetValue</t>
        </is>
      </c>
      <c r="D781" s="51" t="inlineStr">
        <is>
          <t>Voltage</t>
        </is>
      </c>
      <c r="E781" s="51" t="inlineStr">
        <is>
          <t>B</t>
        </is>
      </c>
    </row>
    <row r="782" ht="15" customHeight="1">
      <c r="A782" s="50">
        <f>CONCATENATE(C782,D782,E782)</f>
        <v/>
      </c>
      <c r="B782" s="51" t="inlineStr">
        <is>
          <t>CTRLSETVALVOLTC</t>
        </is>
      </c>
      <c r="C782" s="51" t="inlineStr">
        <is>
          <t>ControlSetValue</t>
        </is>
      </c>
      <c r="D782" s="51" t="inlineStr">
        <is>
          <t>Voltage</t>
        </is>
      </c>
      <c r="E782" s="51" t="inlineStr">
        <is>
          <t>C</t>
        </is>
      </c>
    </row>
    <row r="783" ht="15" customHeight="1">
      <c r="A783" s="50">
        <f>CONCATENATE(C783,D783,E783)</f>
        <v/>
      </c>
      <c r="B783" s="51" t="inlineStr">
        <is>
          <t>CTRLSETVALRELVOLTABC</t>
        </is>
      </c>
      <c r="C783" s="51" t="inlineStr">
        <is>
          <t>ControlSetValue</t>
        </is>
      </c>
      <c r="D783" s="51" t="inlineStr">
        <is>
          <t>RelativeVoltage</t>
        </is>
      </c>
      <c r="E783" s="51" t="inlineStr">
        <is>
          <t>ABC</t>
        </is>
      </c>
    </row>
    <row r="784" ht="15" customHeight="1">
      <c r="A784" s="50">
        <f>CONCATENATE(C784,D784,E784)</f>
        <v/>
      </c>
      <c r="B784" s="51" t="inlineStr">
        <is>
          <t>CTRLSETVALRELVOLTA</t>
        </is>
      </c>
      <c r="C784" s="51" t="inlineStr">
        <is>
          <t>ControlSetValue</t>
        </is>
      </c>
      <c r="D784" s="51" t="inlineStr">
        <is>
          <t>RelativeVoltage</t>
        </is>
      </c>
      <c r="E784" s="51" t="inlineStr">
        <is>
          <t>A</t>
        </is>
      </c>
    </row>
    <row r="785" ht="15" customHeight="1">
      <c r="A785" s="50">
        <f>CONCATENATE(C785,D785,E785)</f>
        <v/>
      </c>
      <c r="B785" s="51" t="inlineStr">
        <is>
          <t>CTRLSETVALRELVOLTB</t>
        </is>
      </c>
      <c r="C785" s="51" t="inlineStr">
        <is>
          <t>ControlSetValue</t>
        </is>
      </c>
      <c r="D785" s="51" t="inlineStr">
        <is>
          <t>RelativeVoltage</t>
        </is>
      </c>
      <c r="E785" s="51" t="inlineStr">
        <is>
          <t>B</t>
        </is>
      </c>
    </row>
    <row r="786" ht="15" customHeight="1">
      <c r="A786" s="50">
        <f>CONCATENATE(C786,D786,E786)</f>
        <v/>
      </c>
      <c r="B786" s="51" t="inlineStr">
        <is>
          <t>CTRLSETVALRELVOLTC</t>
        </is>
      </c>
      <c r="C786" s="51" t="inlineStr">
        <is>
          <t>ControlSetValue</t>
        </is>
      </c>
      <c r="D786" s="51" t="inlineStr">
        <is>
          <t>RelativeVoltage</t>
        </is>
      </c>
      <c r="E786" s="51" t="inlineStr">
        <is>
          <t>C</t>
        </is>
      </c>
    </row>
    <row r="787" ht="15" customHeight="1">
      <c r="A787" s="50">
        <f>CONCATENATE(C787,D787,E787)</f>
        <v/>
      </c>
      <c r="B787" s="51" t="inlineStr">
        <is>
          <t>CTRLSETVALAMPABC</t>
        </is>
      </c>
      <c r="C787" s="51" t="inlineStr">
        <is>
          <t>ControlSetValue</t>
        </is>
      </c>
      <c r="D787" s="51" t="inlineStr">
        <is>
          <t>Current</t>
        </is>
      </c>
      <c r="E787" s="51" t="inlineStr">
        <is>
          <t>ABC</t>
        </is>
      </c>
    </row>
    <row r="788" ht="15" customHeight="1">
      <c r="A788" s="50">
        <f>CONCATENATE(C788,D788,E788)</f>
        <v/>
      </c>
      <c r="B788" s="51" t="inlineStr">
        <is>
          <t>CTRLSETVALAMPA</t>
        </is>
      </c>
      <c r="C788" s="51" t="inlineStr">
        <is>
          <t>ControlSetValue</t>
        </is>
      </c>
      <c r="D788" s="51" t="inlineStr">
        <is>
          <t>Current</t>
        </is>
      </c>
      <c r="E788" s="51" t="inlineStr">
        <is>
          <t>A</t>
        </is>
      </c>
    </row>
    <row r="789" ht="15" customHeight="1">
      <c r="A789" s="50">
        <f>CONCATENATE(C789,D789,E789)</f>
        <v/>
      </c>
      <c r="B789" s="51" t="inlineStr">
        <is>
          <t>CTRLSETVALAMPB</t>
        </is>
      </c>
      <c r="C789" s="51" t="inlineStr">
        <is>
          <t>ControlSetValue</t>
        </is>
      </c>
      <c r="D789" s="51" t="inlineStr">
        <is>
          <t>Current</t>
        </is>
      </c>
      <c r="E789" s="51" t="inlineStr">
        <is>
          <t>B</t>
        </is>
      </c>
    </row>
    <row r="790" ht="15" customHeight="1">
      <c r="A790" s="50">
        <f>CONCATENATE(C790,D790,E790)</f>
        <v/>
      </c>
      <c r="B790" s="51" t="inlineStr">
        <is>
          <t>CTRLSETVALAMPC</t>
        </is>
      </c>
      <c r="C790" s="51" t="inlineStr">
        <is>
          <t>ControlSetValue</t>
        </is>
      </c>
      <c r="D790" s="51" t="inlineStr">
        <is>
          <t>Current</t>
        </is>
      </c>
      <c r="E790" s="51" t="inlineStr">
        <is>
          <t>C</t>
        </is>
      </c>
    </row>
    <row r="791" ht="15" customHeight="1">
      <c r="A791" s="50">
        <f>CONCATENATE(C791,D791,E791)</f>
        <v/>
      </c>
      <c r="B791" s="51" t="inlineStr">
        <is>
          <t>CTRLSETVALMWABC</t>
        </is>
      </c>
      <c r="C791" s="51" t="inlineStr">
        <is>
          <t>ControlSetValue</t>
        </is>
      </c>
      <c r="D791" s="51" t="inlineStr">
        <is>
          <t>ActivePower</t>
        </is>
      </c>
      <c r="E791" s="51" t="inlineStr">
        <is>
          <t>ABC</t>
        </is>
      </c>
    </row>
    <row r="792" ht="15" customHeight="1">
      <c r="A792" s="50">
        <f>CONCATENATE(C792,D792,E792)</f>
        <v/>
      </c>
      <c r="B792" s="51" t="inlineStr">
        <is>
          <t>CTRLSETVALMWA</t>
        </is>
      </c>
      <c r="C792" s="51" t="inlineStr">
        <is>
          <t>ControlSetValue</t>
        </is>
      </c>
      <c r="D792" s="51" t="inlineStr">
        <is>
          <t>ActivePower</t>
        </is>
      </c>
      <c r="E792" s="51" t="inlineStr">
        <is>
          <t>A</t>
        </is>
      </c>
    </row>
    <row r="793" ht="15" customHeight="1">
      <c r="A793" s="50">
        <f>CONCATENATE(C793,D793,E793)</f>
        <v/>
      </c>
      <c r="B793" s="51" t="inlineStr">
        <is>
          <t>CTRLSETVALMWB</t>
        </is>
      </c>
      <c r="C793" s="51" t="inlineStr">
        <is>
          <t>ControlSetValue</t>
        </is>
      </c>
      <c r="D793" s="51" t="inlineStr">
        <is>
          <t>ActivePower</t>
        </is>
      </c>
      <c r="E793" s="51" t="inlineStr">
        <is>
          <t>B</t>
        </is>
      </c>
    </row>
    <row r="794" ht="15" customHeight="1">
      <c r="A794" s="50">
        <f>CONCATENATE(C794,D794,E794)</f>
        <v/>
      </c>
      <c r="B794" s="51" t="inlineStr">
        <is>
          <t>CTRLSETVALMWC</t>
        </is>
      </c>
      <c r="C794" s="51" t="inlineStr">
        <is>
          <t>ControlSetValue</t>
        </is>
      </c>
      <c r="D794" s="51" t="inlineStr">
        <is>
          <t>ActivePower</t>
        </is>
      </c>
      <c r="E794" s="51" t="inlineStr">
        <is>
          <t>C</t>
        </is>
      </c>
    </row>
    <row r="795" ht="15" customHeight="1">
      <c r="A795" s="50">
        <f>CONCATENATE(C795,D795,E795)</f>
        <v/>
      </c>
      <c r="B795" s="51" t="inlineStr">
        <is>
          <t>CTRLSETVALMVARABC</t>
        </is>
      </c>
      <c r="C795" s="51" t="inlineStr">
        <is>
          <t>ControlSetValue</t>
        </is>
      </c>
      <c r="D795" s="51" t="inlineStr">
        <is>
          <t>ReactivePower</t>
        </is>
      </c>
      <c r="E795" s="51" t="inlineStr">
        <is>
          <t>ABC</t>
        </is>
      </c>
    </row>
    <row r="796" ht="15" customHeight="1">
      <c r="A796" s="50">
        <f>CONCATENATE(C796,D796,E796)</f>
        <v/>
      </c>
      <c r="B796" s="51" t="inlineStr">
        <is>
          <t>CTRLSETVALMVARA</t>
        </is>
      </c>
      <c r="C796" s="51" t="inlineStr">
        <is>
          <t>ControlSetValue</t>
        </is>
      </c>
      <c r="D796" s="51" t="inlineStr">
        <is>
          <t>ReactivePower</t>
        </is>
      </c>
      <c r="E796" s="51" t="inlineStr">
        <is>
          <t>A</t>
        </is>
      </c>
    </row>
    <row r="797" ht="15" customHeight="1">
      <c r="A797" s="50">
        <f>CONCATENATE(C797,D797,E797)</f>
        <v/>
      </c>
      <c r="B797" s="51" t="inlineStr">
        <is>
          <t>CTRLSETVALMVARB</t>
        </is>
      </c>
      <c r="C797" s="51" t="inlineStr">
        <is>
          <t>ControlSetValue</t>
        </is>
      </c>
      <c r="D797" s="51" t="inlineStr">
        <is>
          <t>ReactivePower</t>
        </is>
      </c>
      <c r="E797" s="51" t="inlineStr">
        <is>
          <t>B</t>
        </is>
      </c>
    </row>
    <row r="798" ht="15" customHeight="1">
      <c r="A798" s="50">
        <f>CONCATENATE(C798,D798,E798)</f>
        <v/>
      </c>
      <c r="B798" s="51" t="inlineStr">
        <is>
          <t>CTRLSETVALMVARC</t>
        </is>
      </c>
      <c r="C798" s="51" t="inlineStr">
        <is>
          <t>ControlSetValue</t>
        </is>
      </c>
      <c r="D798" s="51" t="inlineStr">
        <is>
          <t>ReactivePower</t>
        </is>
      </c>
      <c r="E798" s="51" t="inlineStr">
        <is>
          <t>C</t>
        </is>
      </c>
    </row>
    <row r="799" ht="15" customHeight="1">
      <c r="A799" s="50">
        <f>CONCATENATE(C799,D799,E799)</f>
        <v/>
      </c>
      <c r="B799" s="51" t="inlineStr">
        <is>
          <t>CTRLSETVALCOSPHIABC</t>
        </is>
      </c>
      <c r="C799" s="51" t="inlineStr">
        <is>
          <t>ControlSetValue</t>
        </is>
      </c>
      <c r="D799" s="51" t="inlineStr">
        <is>
          <t>CosPhi</t>
        </is>
      </c>
      <c r="E799" s="51" t="inlineStr">
        <is>
          <t>ABC</t>
        </is>
      </c>
    </row>
    <row r="800" ht="15" customHeight="1">
      <c r="A800" s="50">
        <f>CONCATENATE(C800,D800,E800)</f>
        <v/>
      </c>
      <c r="B800" s="51" t="inlineStr">
        <is>
          <t>CTRLSETVALCOSPHIA</t>
        </is>
      </c>
      <c r="C800" s="51" t="inlineStr">
        <is>
          <t>ControlSetValue</t>
        </is>
      </c>
      <c r="D800" s="51" t="inlineStr">
        <is>
          <t>CosPhi</t>
        </is>
      </c>
      <c r="E800" s="51" t="inlineStr">
        <is>
          <t>A</t>
        </is>
      </c>
    </row>
    <row r="801" ht="15" customHeight="1">
      <c r="A801" s="50">
        <f>CONCATENATE(C801,D801,E801)</f>
        <v/>
      </c>
      <c r="B801" s="51" t="inlineStr">
        <is>
          <t>CTRLSETVALCOSPHIB</t>
        </is>
      </c>
      <c r="C801" s="51" t="inlineStr">
        <is>
          <t>ControlSetValue</t>
        </is>
      </c>
      <c r="D801" s="51" t="inlineStr">
        <is>
          <t>CosPhi</t>
        </is>
      </c>
      <c r="E801" s="51" t="inlineStr">
        <is>
          <t>B</t>
        </is>
      </c>
    </row>
    <row r="802" ht="15" customHeight="1">
      <c r="A802" s="50">
        <f>CONCATENATE(C802,D802,E802)</f>
        <v/>
      </c>
      <c r="B802" s="51" t="inlineStr">
        <is>
          <t>CTRLSETVALCOSPHIC</t>
        </is>
      </c>
      <c r="C802" s="51" t="inlineStr">
        <is>
          <t>ControlSetValue</t>
        </is>
      </c>
      <c r="D802" s="51" t="inlineStr">
        <is>
          <t>CosPhi</t>
        </is>
      </c>
      <c r="E802" s="51" t="inlineStr">
        <is>
          <t>C</t>
        </is>
      </c>
    </row>
    <row r="803" ht="15" customHeight="1">
      <c r="A803" s="50">
        <f>CONCATENATE(C803,D803,E803)</f>
        <v/>
      </c>
      <c r="B803" s="51" t="inlineStr">
        <is>
          <t>CTRLSETVALIMPABC</t>
        </is>
      </c>
      <c r="C803" s="51" t="inlineStr">
        <is>
          <t>ControlSetValue</t>
        </is>
      </c>
      <c r="D803" s="51" t="inlineStr">
        <is>
          <t>Impedance</t>
        </is>
      </c>
      <c r="E803" s="51" t="inlineStr">
        <is>
          <t>ABC</t>
        </is>
      </c>
    </row>
    <row r="804" ht="15" customHeight="1">
      <c r="A804" s="50">
        <f>CONCATENATE(C804,D804,E804)</f>
        <v/>
      </c>
      <c r="B804" s="51" t="inlineStr">
        <is>
          <t>CTRLSETVALIMPA</t>
        </is>
      </c>
      <c r="C804" s="51" t="inlineStr">
        <is>
          <t>ControlSetValue</t>
        </is>
      </c>
      <c r="D804" s="51" t="inlineStr">
        <is>
          <t>Impedance</t>
        </is>
      </c>
      <c r="E804" s="51" t="inlineStr">
        <is>
          <t>A</t>
        </is>
      </c>
    </row>
    <row r="805" ht="15" customHeight="1">
      <c r="A805" s="50">
        <f>CONCATENATE(C805,D805,E805)</f>
        <v/>
      </c>
      <c r="B805" s="51" t="inlineStr">
        <is>
          <t>CTRLSETVALIMPB</t>
        </is>
      </c>
      <c r="C805" s="51" t="inlineStr">
        <is>
          <t>ControlSetValue</t>
        </is>
      </c>
      <c r="D805" s="51" t="inlineStr">
        <is>
          <t>Impedance</t>
        </is>
      </c>
      <c r="E805" s="51" t="inlineStr">
        <is>
          <t>B</t>
        </is>
      </c>
    </row>
    <row r="806" ht="15" customHeight="1">
      <c r="A806" s="50">
        <f>CONCATENATE(C806,D806,E806)</f>
        <v/>
      </c>
      <c r="B806" s="51" t="inlineStr">
        <is>
          <t>CTRLSETVALIMPC</t>
        </is>
      </c>
      <c r="C806" s="51" t="inlineStr">
        <is>
          <t>ControlSetValue</t>
        </is>
      </c>
      <c r="D806" s="51" t="inlineStr">
        <is>
          <t>Impedance</t>
        </is>
      </c>
      <c r="E806" s="51" t="inlineStr">
        <is>
          <t>C</t>
        </is>
      </c>
    </row>
    <row r="807" ht="15" customHeight="1">
      <c r="A807" s="50">
        <f>CONCATENATE(C807,D807,E807)</f>
        <v/>
      </c>
      <c r="B807" s="51" t="inlineStr">
        <is>
          <t>CTRLSETVALPCNTABC</t>
        </is>
      </c>
      <c r="C807" s="51" t="inlineStr">
        <is>
          <t>ControlSetValue</t>
        </is>
      </c>
      <c r="D807" s="51" t="inlineStr">
        <is>
          <t>Percent</t>
        </is>
      </c>
      <c r="E807" s="51" t="inlineStr">
        <is>
          <t>ABC</t>
        </is>
      </c>
    </row>
    <row r="808" ht="15" customHeight="1">
      <c r="A808" s="50">
        <f>CONCATENATE(C808,D808,E808)</f>
        <v/>
      </c>
      <c r="B808" s="51" t="inlineStr">
        <is>
          <t>CTRLBDTHVOLTABC</t>
        </is>
      </c>
      <c r="C808" s="51" t="inlineStr">
        <is>
          <t>ControlBandwidth</t>
        </is>
      </c>
      <c r="D808" s="51" t="inlineStr">
        <is>
          <t>Voltage</t>
        </is>
      </c>
      <c r="E808" s="51" t="inlineStr">
        <is>
          <t>ABC</t>
        </is>
      </c>
    </row>
    <row r="809" ht="15" customHeight="1">
      <c r="A809" s="50">
        <f>CONCATENATE(C809,D809,E809)</f>
        <v/>
      </c>
      <c r="B809" s="51" t="inlineStr">
        <is>
          <t>CTRLBDTHVOLTA</t>
        </is>
      </c>
      <c r="C809" s="51" t="inlineStr">
        <is>
          <t>ControlBandwidth</t>
        </is>
      </c>
      <c r="D809" s="51" t="inlineStr">
        <is>
          <t>Voltage</t>
        </is>
      </c>
      <c r="E809" s="51" t="inlineStr">
        <is>
          <t>A</t>
        </is>
      </c>
    </row>
    <row r="810" ht="15" customHeight="1">
      <c r="A810" s="50">
        <f>CONCATENATE(C810,D810,E810)</f>
        <v/>
      </c>
      <c r="B810" s="51" t="inlineStr">
        <is>
          <t>CTRLBDTHVOLTB</t>
        </is>
      </c>
      <c r="C810" s="51" t="inlineStr">
        <is>
          <t>ControlBandwidth</t>
        </is>
      </c>
      <c r="D810" s="51" t="inlineStr">
        <is>
          <t>Voltage</t>
        </is>
      </c>
      <c r="E810" s="51" t="inlineStr">
        <is>
          <t>B</t>
        </is>
      </c>
    </row>
    <row r="811" ht="15" customHeight="1">
      <c r="A811" s="50">
        <f>CONCATENATE(C811,D811,E811)</f>
        <v/>
      </c>
      <c r="B811" s="51" t="inlineStr">
        <is>
          <t>CTRLBDTHVOLTC</t>
        </is>
      </c>
      <c r="C811" s="51" t="inlineStr">
        <is>
          <t>ControlBandwidth</t>
        </is>
      </c>
      <c r="D811" s="51" t="inlineStr">
        <is>
          <t>Voltage</t>
        </is>
      </c>
      <c r="E811" s="51" t="inlineStr">
        <is>
          <t>C</t>
        </is>
      </c>
    </row>
    <row r="812" ht="30" customHeight="1">
      <c r="A812" s="50">
        <f>CONCATENATE(C812,D812,E812)</f>
        <v/>
      </c>
      <c r="B812" s="51" t="inlineStr">
        <is>
          <t>CTRLBDTHRELVOLTABC</t>
        </is>
      </c>
      <c r="C812" s="51" t="inlineStr">
        <is>
          <t>ControlBandwidth</t>
        </is>
      </c>
      <c r="D812" s="51" t="inlineStr">
        <is>
          <t>RelativeVoltage</t>
        </is>
      </c>
      <c r="E812" s="51" t="inlineStr">
        <is>
          <t>ABC</t>
        </is>
      </c>
    </row>
    <row r="813" ht="15" customHeight="1">
      <c r="A813" s="50">
        <f>CONCATENATE(C813,D813,E813)</f>
        <v/>
      </c>
      <c r="B813" s="51" t="inlineStr">
        <is>
          <t>CTRLBDTHRELVOLTA</t>
        </is>
      </c>
      <c r="C813" s="51" t="inlineStr">
        <is>
          <t>ControlBandwidth</t>
        </is>
      </c>
      <c r="D813" s="51" t="inlineStr">
        <is>
          <t>RelativeVoltage</t>
        </is>
      </c>
      <c r="E813" s="51" t="inlineStr">
        <is>
          <t>A</t>
        </is>
      </c>
    </row>
    <row r="814" ht="15" customHeight="1">
      <c r="A814" s="50">
        <f>CONCATENATE(C814,D814,E814)</f>
        <v/>
      </c>
      <c r="B814" s="51" t="inlineStr">
        <is>
          <t>CTRLBDTHRELVOLTB</t>
        </is>
      </c>
      <c r="C814" s="51" t="inlineStr">
        <is>
          <t>ControlBandwidth</t>
        </is>
      </c>
      <c r="D814" s="51" t="inlineStr">
        <is>
          <t>RelativeVoltage</t>
        </is>
      </c>
      <c r="E814" s="51" t="inlineStr">
        <is>
          <t>B</t>
        </is>
      </c>
    </row>
    <row r="815" ht="15" customHeight="1">
      <c r="A815" s="50">
        <f>CONCATENATE(C815,D815,E815)</f>
        <v/>
      </c>
      <c r="B815" s="51" t="inlineStr">
        <is>
          <t>CTRLBDTHRELVOLTC</t>
        </is>
      </c>
      <c r="C815" s="51" t="inlineStr">
        <is>
          <t>ControlBandwidth</t>
        </is>
      </c>
      <c r="D815" s="51" t="inlineStr">
        <is>
          <t>RelativeVoltage</t>
        </is>
      </c>
      <c r="E815" s="51" t="inlineStr">
        <is>
          <t>C</t>
        </is>
      </c>
    </row>
    <row r="816" ht="15" customHeight="1">
      <c r="A816" s="50">
        <f>CONCATENATE(C816,D816,E816)</f>
        <v/>
      </c>
      <c r="B816" s="51" t="inlineStr">
        <is>
          <t>CTRLBDTHAMPABC</t>
        </is>
      </c>
      <c r="C816" s="51" t="inlineStr">
        <is>
          <t>ControlBandwidth</t>
        </is>
      </c>
      <c r="D816" s="51" t="inlineStr">
        <is>
          <t>Current</t>
        </is>
      </c>
      <c r="E816" s="51" t="inlineStr">
        <is>
          <t>ABC</t>
        </is>
      </c>
    </row>
    <row r="817" ht="15" customHeight="1">
      <c r="A817" s="50">
        <f>CONCATENATE(C817,D817,E817)</f>
        <v/>
      </c>
      <c r="B817" s="51" t="inlineStr">
        <is>
          <t>CTRLBDTHAMPA</t>
        </is>
      </c>
      <c r="C817" s="51" t="inlineStr">
        <is>
          <t>ControlBandwidth</t>
        </is>
      </c>
      <c r="D817" s="51" t="inlineStr">
        <is>
          <t>Current</t>
        </is>
      </c>
      <c r="E817" s="51" t="inlineStr">
        <is>
          <t>A</t>
        </is>
      </c>
    </row>
    <row r="818" ht="15" customHeight="1">
      <c r="A818" s="50">
        <f>CONCATENATE(C818,D818,E818)</f>
        <v/>
      </c>
      <c r="B818" s="51" t="inlineStr">
        <is>
          <t>CTRLBDTHAMPB</t>
        </is>
      </c>
      <c r="C818" s="51" t="inlineStr">
        <is>
          <t>ControlBandwidth</t>
        </is>
      </c>
      <c r="D818" s="51" t="inlineStr">
        <is>
          <t>Current</t>
        </is>
      </c>
      <c r="E818" s="51" t="inlineStr">
        <is>
          <t>B</t>
        </is>
      </c>
    </row>
    <row r="819" ht="15" customHeight="1">
      <c r="A819" s="50">
        <f>CONCATENATE(C819,D819,E819)</f>
        <v/>
      </c>
      <c r="B819" s="51" t="inlineStr">
        <is>
          <t>CTRLBDTHAMPC</t>
        </is>
      </c>
      <c r="C819" s="51" t="inlineStr">
        <is>
          <t>ControlBandwidth</t>
        </is>
      </c>
      <c r="D819" s="51" t="inlineStr">
        <is>
          <t>Current</t>
        </is>
      </c>
      <c r="E819" s="51" t="inlineStr">
        <is>
          <t>C</t>
        </is>
      </c>
    </row>
    <row r="820" ht="15" customHeight="1">
      <c r="A820" s="50">
        <f>CONCATENATE(C820,D820,E820)</f>
        <v/>
      </c>
      <c r="B820" s="51" t="inlineStr">
        <is>
          <t>CTRLBDTHMWABC</t>
        </is>
      </c>
      <c r="C820" s="51" t="inlineStr">
        <is>
          <t>ControlBandwidth</t>
        </is>
      </c>
      <c r="D820" s="51" t="inlineStr">
        <is>
          <t>ActivePower</t>
        </is>
      </c>
      <c r="E820" s="51" t="inlineStr">
        <is>
          <t>ABC</t>
        </is>
      </c>
    </row>
    <row r="821" ht="15" customHeight="1">
      <c r="A821" s="50">
        <f>CONCATENATE(C821,D821,E821)</f>
        <v/>
      </c>
      <c r="B821" s="51" t="inlineStr">
        <is>
          <t>CTRLBDTHMWA</t>
        </is>
      </c>
      <c r="C821" s="51" t="inlineStr">
        <is>
          <t>ControlBandwidth</t>
        </is>
      </c>
      <c r="D821" s="51" t="inlineStr">
        <is>
          <t>ActivePower</t>
        </is>
      </c>
      <c r="E821" s="51" t="inlineStr">
        <is>
          <t>A</t>
        </is>
      </c>
    </row>
    <row r="822" ht="15" customHeight="1">
      <c r="A822" s="50">
        <f>CONCATENATE(C822,D822,E822)</f>
        <v/>
      </c>
      <c r="B822" s="51" t="inlineStr">
        <is>
          <t>CTRLBDTHMWB</t>
        </is>
      </c>
      <c r="C822" s="51" t="inlineStr">
        <is>
          <t>ControlBandwidth</t>
        </is>
      </c>
      <c r="D822" s="51" t="inlineStr">
        <is>
          <t>ActivePower</t>
        </is>
      </c>
      <c r="E822" s="51" t="inlineStr">
        <is>
          <t>B</t>
        </is>
      </c>
    </row>
    <row r="823" ht="15" customHeight="1">
      <c r="A823" s="50">
        <f>CONCATENATE(C823,D823,E823)</f>
        <v/>
      </c>
      <c r="B823" s="51" t="inlineStr">
        <is>
          <t>CTRLBDTHMWC</t>
        </is>
      </c>
      <c r="C823" s="51" t="inlineStr">
        <is>
          <t>ControlBandwidth</t>
        </is>
      </c>
      <c r="D823" s="51" t="inlineStr">
        <is>
          <t>ActivePower</t>
        </is>
      </c>
      <c r="E823" s="51" t="inlineStr">
        <is>
          <t>C</t>
        </is>
      </c>
    </row>
    <row r="824" ht="15" customHeight="1">
      <c r="A824" s="50">
        <f>CONCATENATE(C824,D824,E824)</f>
        <v/>
      </c>
      <c r="B824" s="51" t="inlineStr">
        <is>
          <t>CTRLBDTHMVARABC</t>
        </is>
      </c>
      <c r="C824" s="51" t="inlineStr">
        <is>
          <t>ControlBandwidth</t>
        </is>
      </c>
      <c r="D824" s="51" t="inlineStr">
        <is>
          <t>ReactivePower</t>
        </is>
      </c>
      <c r="E824" s="51" t="inlineStr">
        <is>
          <t>ABC</t>
        </is>
      </c>
    </row>
    <row r="825" ht="15" customHeight="1">
      <c r="A825" s="50">
        <f>CONCATENATE(C825,D825,E825)</f>
        <v/>
      </c>
      <c r="B825" s="51" t="inlineStr">
        <is>
          <t>CTRLBDTHMVARA</t>
        </is>
      </c>
      <c r="C825" s="51" t="inlineStr">
        <is>
          <t>ControlBandwidth</t>
        </is>
      </c>
      <c r="D825" s="51" t="inlineStr">
        <is>
          <t>ReactivePower</t>
        </is>
      </c>
      <c r="E825" s="51" t="inlineStr">
        <is>
          <t>A</t>
        </is>
      </c>
    </row>
    <row r="826" ht="15" customHeight="1">
      <c r="A826" s="50">
        <f>CONCATENATE(C826,D826,E826)</f>
        <v/>
      </c>
      <c r="B826" s="51" t="inlineStr">
        <is>
          <t>CTRLBDTHMVARB</t>
        </is>
      </c>
      <c r="C826" s="51" t="inlineStr">
        <is>
          <t>ControlBandwidth</t>
        </is>
      </c>
      <c r="D826" s="51" t="inlineStr">
        <is>
          <t>ReactivePower</t>
        </is>
      </c>
      <c r="E826" s="51" t="inlineStr">
        <is>
          <t>B</t>
        </is>
      </c>
    </row>
    <row r="827" ht="15" customHeight="1">
      <c r="A827" s="50">
        <f>CONCATENATE(C827,D827,E827)</f>
        <v/>
      </c>
      <c r="B827" s="51" t="inlineStr">
        <is>
          <t>CTRLBDTHMVARC</t>
        </is>
      </c>
      <c r="C827" s="51" t="inlineStr">
        <is>
          <t>ControlBandwidth</t>
        </is>
      </c>
      <c r="D827" s="51" t="inlineStr">
        <is>
          <t>ReactivePower</t>
        </is>
      </c>
      <c r="E827" s="51" t="inlineStr">
        <is>
          <t>C</t>
        </is>
      </c>
    </row>
    <row r="828" ht="15" customHeight="1">
      <c r="A828" s="50">
        <f>CONCATENATE(C828,D828,E828)</f>
        <v/>
      </c>
      <c r="B828" s="51" t="inlineStr">
        <is>
          <t>CTRLBDTHCOSPHIABC</t>
        </is>
      </c>
      <c r="C828" s="51" t="inlineStr">
        <is>
          <t>ControlBandwidth</t>
        </is>
      </c>
      <c r="D828" s="51" t="inlineStr">
        <is>
          <t>CosPhi</t>
        </is>
      </c>
      <c r="E828" s="51" t="inlineStr">
        <is>
          <t>ABC</t>
        </is>
      </c>
    </row>
    <row r="829" ht="15" customHeight="1">
      <c r="A829" s="50">
        <f>CONCATENATE(C829,D829,E829)</f>
        <v/>
      </c>
      <c r="B829" s="51" t="inlineStr">
        <is>
          <t>CTRLBDTHCOSPHIA</t>
        </is>
      </c>
      <c r="C829" s="51" t="inlineStr">
        <is>
          <t>ControlBandwidth</t>
        </is>
      </c>
      <c r="D829" s="51" t="inlineStr">
        <is>
          <t>CosPhi</t>
        </is>
      </c>
      <c r="E829" s="51" t="inlineStr">
        <is>
          <t>A</t>
        </is>
      </c>
    </row>
    <row r="830" ht="15" customHeight="1">
      <c r="A830" s="50">
        <f>CONCATENATE(C830,D830,E830)</f>
        <v/>
      </c>
      <c r="B830" s="51" t="inlineStr">
        <is>
          <t>CTRLBDTHCOSPHIB</t>
        </is>
      </c>
      <c r="C830" s="51" t="inlineStr">
        <is>
          <t>ControlBandwidth</t>
        </is>
      </c>
      <c r="D830" s="51" t="inlineStr">
        <is>
          <t>CosPhi</t>
        </is>
      </c>
      <c r="E830" s="51" t="inlineStr">
        <is>
          <t>B</t>
        </is>
      </c>
    </row>
    <row r="831" ht="15" customHeight="1">
      <c r="A831" s="50">
        <f>CONCATENATE(C831,D831,E831)</f>
        <v/>
      </c>
      <c r="B831" s="51" t="inlineStr">
        <is>
          <t>CTRLBDTHCOSPHIC</t>
        </is>
      </c>
      <c r="C831" s="51" t="inlineStr">
        <is>
          <t>ControlBandwidth</t>
        </is>
      </c>
      <c r="D831" s="51" t="inlineStr">
        <is>
          <t>CosPhi</t>
        </is>
      </c>
      <c r="E831" s="51" t="inlineStr">
        <is>
          <t>C</t>
        </is>
      </c>
    </row>
    <row r="832" ht="15" customHeight="1">
      <c r="A832" s="50">
        <f>CONCATENATE(C832,D832,E832)</f>
        <v/>
      </c>
      <c r="B832" s="51" t="inlineStr">
        <is>
          <t>CTRLSUBDLYABC</t>
        </is>
      </c>
      <c r="C832" s="51" t="inlineStr">
        <is>
          <t>ControlSubDelay</t>
        </is>
      </c>
      <c r="D832" s="51" t="inlineStr">
        <is>
          <t>Time</t>
        </is>
      </c>
      <c r="E832" s="51" t="inlineStr">
        <is>
          <t>ABC</t>
        </is>
      </c>
    </row>
    <row r="833" ht="15" customHeight="1">
      <c r="A833" s="50">
        <f>CONCATENATE(C833,D833,E833)</f>
        <v/>
      </c>
      <c r="B833" s="51" t="inlineStr">
        <is>
          <t>CTRLSUBDLYA</t>
        </is>
      </c>
      <c r="C833" s="51" t="inlineStr">
        <is>
          <t>ControlSubDelay</t>
        </is>
      </c>
      <c r="D833" s="51" t="inlineStr">
        <is>
          <t>Time</t>
        </is>
      </c>
      <c r="E833" s="51" t="inlineStr">
        <is>
          <t>A</t>
        </is>
      </c>
    </row>
    <row r="834" ht="15" customHeight="1">
      <c r="A834" s="50">
        <f>CONCATENATE(C834,D834,E834)</f>
        <v/>
      </c>
      <c r="B834" s="51" t="inlineStr">
        <is>
          <t>CTRLSUBDLYB</t>
        </is>
      </c>
      <c r="C834" s="51" t="inlineStr">
        <is>
          <t>ControlSubDelay</t>
        </is>
      </c>
      <c r="D834" s="51" t="inlineStr">
        <is>
          <t>Time</t>
        </is>
      </c>
      <c r="E834" s="51" t="inlineStr">
        <is>
          <t>B</t>
        </is>
      </c>
    </row>
    <row r="835" ht="15" customHeight="1">
      <c r="A835" s="50">
        <f>CONCATENATE(C835,D835,E835)</f>
        <v/>
      </c>
      <c r="B835" s="51" t="inlineStr">
        <is>
          <t>CTRLSUBDLYC</t>
        </is>
      </c>
      <c r="C835" s="51" t="inlineStr">
        <is>
          <t>ControlSubDelay</t>
        </is>
      </c>
      <c r="D835" s="51" t="inlineStr">
        <is>
          <t>Time</t>
        </is>
      </c>
      <c r="E835" s="51" t="inlineStr">
        <is>
          <t>C</t>
        </is>
      </c>
    </row>
    <row r="836" ht="15" customHeight="1">
      <c r="A836" s="50">
        <f>CONCATENATE(C836,D836,E836)</f>
        <v/>
      </c>
      <c r="B836" s="51" t="inlineStr">
        <is>
          <t>CTRLSLPREUNTLSABC</t>
        </is>
      </c>
      <c r="C836" s="51" t="inlineStr">
        <is>
          <t>ControlSlopeReal</t>
        </is>
      </c>
      <c r="D836" s="51" t="inlineStr">
        <is>
          <t>Unitless</t>
        </is>
      </c>
      <c r="E836" s="51" t="inlineStr">
        <is>
          <t>ABC</t>
        </is>
      </c>
    </row>
    <row r="837" ht="15" customHeight="1">
      <c r="A837" s="50">
        <f>CONCATENATE(C837,D837,E837)</f>
        <v/>
      </c>
      <c r="B837" s="51" t="inlineStr">
        <is>
          <t>CTRLSLPREUNTLSA</t>
        </is>
      </c>
      <c r="C837" s="51" t="inlineStr">
        <is>
          <t>ControlSlopeReal</t>
        </is>
      </c>
      <c r="D837" s="51" t="inlineStr">
        <is>
          <t>Unitless</t>
        </is>
      </c>
      <c r="E837" s="51" t="inlineStr">
        <is>
          <t>A</t>
        </is>
      </c>
    </row>
    <row r="838" ht="15" customHeight="1">
      <c r="A838" s="50">
        <f>CONCATENATE(C838,D838,E838)</f>
        <v/>
      </c>
      <c r="B838" s="51" t="inlineStr">
        <is>
          <t>CTRLSLPREUNTLSB</t>
        </is>
      </c>
      <c r="C838" s="51" t="inlineStr">
        <is>
          <t>ControlSlopeReal</t>
        </is>
      </c>
      <c r="D838" s="51" t="inlineStr">
        <is>
          <t>Unitless</t>
        </is>
      </c>
      <c r="E838" s="51" t="inlineStr">
        <is>
          <t>B</t>
        </is>
      </c>
    </row>
    <row r="839" ht="15" customHeight="1">
      <c r="A839" s="50">
        <f>CONCATENATE(C839,D839,E839)</f>
        <v/>
      </c>
      <c r="B839" s="51" t="inlineStr">
        <is>
          <t>CTRLSLPREUNTLSC</t>
        </is>
      </c>
      <c r="C839" s="51" t="inlineStr">
        <is>
          <t>ControlSlopeReal</t>
        </is>
      </c>
      <c r="D839" s="51" t="inlineStr">
        <is>
          <t>Unitless</t>
        </is>
      </c>
      <c r="E839" s="51" t="inlineStr">
        <is>
          <t>C</t>
        </is>
      </c>
    </row>
    <row r="840" ht="15" customHeight="1">
      <c r="A840" s="50">
        <f>CONCATENATE(C840,D840,E840)</f>
        <v/>
      </c>
      <c r="B840" s="51" t="inlineStr">
        <is>
          <t>CTRLSLPREIMPABC</t>
        </is>
      </c>
      <c r="C840" s="51" t="inlineStr">
        <is>
          <t>ControlSlopeReal</t>
        </is>
      </c>
      <c r="D840" s="51" t="inlineStr">
        <is>
          <t>Impedance</t>
        </is>
      </c>
      <c r="E840" s="51" t="inlineStr">
        <is>
          <t>ABC</t>
        </is>
      </c>
    </row>
    <row r="841" ht="15" customHeight="1">
      <c r="A841" s="50">
        <f>CONCATENATE(C841,D841,E841)</f>
        <v/>
      </c>
      <c r="B841" s="51" t="inlineStr">
        <is>
          <t>CTRLSLPREIMPA</t>
        </is>
      </c>
      <c r="C841" s="51" t="inlineStr">
        <is>
          <t>ControlSlopeReal</t>
        </is>
      </c>
      <c r="D841" s="51" t="inlineStr">
        <is>
          <t>Impedance</t>
        </is>
      </c>
      <c r="E841" s="51" t="inlineStr">
        <is>
          <t>A</t>
        </is>
      </c>
    </row>
    <row r="842" ht="15" customHeight="1">
      <c r="A842" s="50">
        <f>CONCATENATE(C842,D842,E842)</f>
        <v/>
      </c>
      <c r="B842" s="51" t="inlineStr">
        <is>
          <t>CTRLSLPREIMPB</t>
        </is>
      </c>
      <c r="C842" s="51" t="inlineStr">
        <is>
          <t>ControlSlopeReal</t>
        </is>
      </c>
      <c r="D842" s="51" t="inlineStr">
        <is>
          <t>Impedance</t>
        </is>
      </c>
      <c r="E842" s="51" t="inlineStr">
        <is>
          <t>B</t>
        </is>
      </c>
    </row>
    <row r="843" ht="15" customHeight="1">
      <c r="A843" s="50">
        <f>CONCATENATE(C843,D843,E843)</f>
        <v/>
      </c>
      <c r="B843" s="51" t="inlineStr">
        <is>
          <t>CTRLSLPREIMPC</t>
        </is>
      </c>
      <c r="C843" s="51" t="inlineStr">
        <is>
          <t>ControlSlopeReal</t>
        </is>
      </c>
      <c r="D843" s="51" t="inlineStr">
        <is>
          <t>Impedance</t>
        </is>
      </c>
      <c r="E843" s="51" t="inlineStr">
        <is>
          <t>C</t>
        </is>
      </c>
    </row>
    <row r="844" ht="15" customHeight="1">
      <c r="A844" s="50">
        <f>CONCATENATE(C844,D844,E844)</f>
        <v/>
      </c>
      <c r="B844" s="51" t="inlineStr">
        <is>
          <t>CTRLSLPREPCNTABC</t>
        </is>
      </c>
      <c r="C844" s="51" t="inlineStr">
        <is>
          <t>ControlSlopeReal</t>
        </is>
      </c>
      <c r="D844" s="51" t="inlineStr">
        <is>
          <t>Percent</t>
        </is>
      </c>
      <c r="E844" s="51" t="inlineStr">
        <is>
          <t>ABC</t>
        </is>
      </c>
    </row>
    <row r="845" ht="15" customHeight="1">
      <c r="A845" s="50">
        <f>CONCATENATE(C845,D845,E845)</f>
        <v/>
      </c>
      <c r="B845" s="51" t="inlineStr">
        <is>
          <t>CTRLSLPREPCNTA</t>
        </is>
      </c>
      <c r="C845" s="51" t="inlineStr">
        <is>
          <t>ControlSlopeReal</t>
        </is>
      </c>
      <c r="D845" s="51" t="inlineStr">
        <is>
          <t>Percent</t>
        </is>
      </c>
      <c r="E845" s="51" t="inlineStr">
        <is>
          <t>A</t>
        </is>
      </c>
    </row>
    <row r="846" ht="15" customHeight="1">
      <c r="A846" s="50">
        <f>CONCATENATE(C846,D846,E846)</f>
        <v/>
      </c>
      <c r="B846" s="51" t="inlineStr">
        <is>
          <t>CTRLSLPREPCNTB</t>
        </is>
      </c>
      <c r="C846" s="51" t="inlineStr">
        <is>
          <t>ControlSlopeReal</t>
        </is>
      </c>
      <c r="D846" s="51" t="inlineStr">
        <is>
          <t>Percent</t>
        </is>
      </c>
      <c r="E846" s="51" t="inlineStr">
        <is>
          <t>B</t>
        </is>
      </c>
    </row>
    <row r="847" ht="15" customHeight="1">
      <c r="A847" s="50">
        <f>CONCATENATE(C847,D847,E847)</f>
        <v/>
      </c>
      <c r="B847" s="51" t="inlineStr">
        <is>
          <t>CTRLSLPREPCNTC</t>
        </is>
      </c>
      <c r="C847" s="51" t="inlineStr">
        <is>
          <t>ControlSlopeReal</t>
        </is>
      </c>
      <c r="D847" s="51" t="inlineStr">
        <is>
          <t>Percent</t>
        </is>
      </c>
      <c r="E847" s="51" t="inlineStr">
        <is>
          <t>C</t>
        </is>
      </c>
    </row>
    <row r="848" ht="15" customHeight="1">
      <c r="A848" s="50">
        <f>CONCATENATE(C848,D848,E848)</f>
        <v/>
      </c>
      <c r="B848" s="51" t="inlineStr">
        <is>
          <t>CTRLSLPRERELVOLTABC</t>
        </is>
      </c>
      <c r="C848" s="51" t="inlineStr">
        <is>
          <t>ControlSlopeReal</t>
        </is>
      </c>
      <c r="D848" s="51" t="inlineStr">
        <is>
          <t>RelativeVoltage</t>
        </is>
      </c>
      <c r="E848" s="51" t="inlineStr">
        <is>
          <t>ABC</t>
        </is>
      </c>
    </row>
    <row r="849" ht="15" customHeight="1">
      <c r="A849" s="50">
        <f>CONCATENATE(C849,D849,E849)</f>
        <v/>
      </c>
      <c r="B849" s="51" t="inlineStr">
        <is>
          <t>CTRLSLPRERELVOLTA</t>
        </is>
      </c>
      <c r="C849" s="51" t="inlineStr">
        <is>
          <t>ControlSlopeReal</t>
        </is>
      </c>
      <c r="D849" s="51" t="inlineStr">
        <is>
          <t>RelativeVoltage</t>
        </is>
      </c>
      <c r="E849" s="51" t="inlineStr">
        <is>
          <t>A</t>
        </is>
      </c>
    </row>
    <row r="850" ht="15" customHeight="1">
      <c r="A850" s="50">
        <f>CONCATENATE(C850,D850,E850)</f>
        <v/>
      </c>
      <c r="B850" s="51" t="inlineStr">
        <is>
          <t>CTRLSLPRERELVOLTB</t>
        </is>
      </c>
      <c r="C850" s="51" t="inlineStr">
        <is>
          <t>ControlSlopeReal</t>
        </is>
      </c>
      <c r="D850" s="51" t="inlineStr">
        <is>
          <t>RelativeVoltage</t>
        </is>
      </c>
      <c r="E850" s="51" t="inlineStr">
        <is>
          <t>B</t>
        </is>
      </c>
    </row>
    <row r="851" ht="15" customHeight="1">
      <c r="A851" s="50">
        <f>CONCATENATE(C851,D851,E851)</f>
        <v/>
      </c>
      <c r="B851" s="51" t="inlineStr">
        <is>
          <t>CTRLSLPRERELVOLTC</t>
        </is>
      </c>
      <c r="C851" s="51" t="inlineStr">
        <is>
          <t>ControlSlopeReal</t>
        </is>
      </c>
      <c r="D851" s="51" t="inlineStr">
        <is>
          <t>RelativeVoltage</t>
        </is>
      </c>
      <c r="E851" s="51" t="inlineStr">
        <is>
          <t>C</t>
        </is>
      </c>
    </row>
    <row r="852" ht="15" customHeight="1">
      <c r="A852" s="50">
        <f>CONCATENATE(C852,D852,E852)</f>
        <v/>
      </c>
      <c r="B852" s="51" t="inlineStr">
        <is>
          <t>CTRLSLPIMUNTLSABC</t>
        </is>
      </c>
      <c r="C852" s="51" t="inlineStr">
        <is>
          <t>ControlSlopeImag</t>
        </is>
      </c>
      <c r="D852" s="51" t="inlineStr">
        <is>
          <t>Unitless</t>
        </is>
      </c>
      <c r="E852" s="51" t="inlineStr">
        <is>
          <t>ABC</t>
        </is>
      </c>
    </row>
    <row r="853" ht="15" customHeight="1">
      <c r="A853" s="50">
        <f>CONCATENATE(C853,D853,E853)</f>
        <v/>
      </c>
      <c r="B853" s="51" t="inlineStr">
        <is>
          <t>CTRLSLPIMUNTLSA</t>
        </is>
      </c>
      <c r="C853" s="51" t="inlineStr">
        <is>
          <t>ControlSlopeImag</t>
        </is>
      </c>
      <c r="D853" s="51" t="inlineStr">
        <is>
          <t>Unitless</t>
        </is>
      </c>
      <c r="E853" s="51" t="inlineStr">
        <is>
          <t>A</t>
        </is>
      </c>
    </row>
    <row r="854" ht="15" customHeight="1">
      <c r="A854" s="50">
        <f>CONCATENATE(C854,D854,E854)</f>
        <v/>
      </c>
      <c r="B854" s="51" t="inlineStr">
        <is>
          <t>CTRLSLPIMUNTLSB</t>
        </is>
      </c>
      <c r="C854" s="51" t="inlineStr">
        <is>
          <t>ControlSlopeImag</t>
        </is>
      </c>
      <c r="D854" s="51" t="inlineStr">
        <is>
          <t>Unitless</t>
        </is>
      </c>
      <c r="E854" s="51" t="inlineStr">
        <is>
          <t>B</t>
        </is>
      </c>
    </row>
    <row r="855" ht="15" customHeight="1">
      <c r="A855" s="50">
        <f>CONCATENATE(C855,D855,E855)</f>
        <v/>
      </c>
      <c r="B855" s="51" t="inlineStr">
        <is>
          <t>CTRLSLPIMUNTLSC</t>
        </is>
      </c>
      <c r="C855" s="51" t="inlineStr">
        <is>
          <t>ControlSlopeImag</t>
        </is>
      </c>
      <c r="D855" s="51" t="inlineStr">
        <is>
          <t>Unitless</t>
        </is>
      </c>
      <c r="E855" s="51" t="inlineStr">
        <is>
          <t>C</t>
        </is>
      </c>
    </row>
    <row r="856" ht="15" customHeight="1">
      <c r="A856" s="50">
        <f>CONCATENATE(C856,D856,E856)</f>
        <v/>
      </c>
      <c r="B856" s="51" t="inlineStr">
        <is>
          <t>CTRLSLPIMIMPABC</t>
        </is>
      </c>
      <c r="C856" s="51" t="inlineStr">
        <is>
          <t>ControlSlopeImag</t>
        </is>
      </c>
      <c r="D856" s="51" t="inlineStr">
        <is>
          <t>Impedance</t>
        </is>
      </c>
      <c r="E856" s="51" t="inlineStr">
        <is>
          <t>ABC</t>
        </is>
      </c>
    </row>
    <row r="857" ht="15" customHeight="1">
      <c r="A857" s="50">
        <f>CONCATENATE(C857,D857,E857)</f>
        <v/>
      </c>
      <c r="B857" s="51" t="inlineStr">
        <is>
          <t>CTRLSLPIMIMPA</t>
        </is>
      </c>
      <c r="C857" s="51" t="inlineStr">
        <is>
          <t>ControlSlopeImag</t>
        </is>
      </c>
      <c r="D857" s="51" t="inlineStr">
        <is>
          <t>Impedance</t>
        </is>
      </c>
      <c r="E857" s="51" t="inlineStr">
        <is>
          <t>A</t>
        </is>
      </c>
    </row>
    <row r="858" ht="15" customHeight="1">
      <c r="A858" s="50">
        <f>CONCATENATE(C858,D858,E858)</f>
        <v/>
      </c>
      <c r="B858" s="51" t="inlineStr">
        <is>
          <t>CTRLSLPIMIMPB</t>
        </is>
      </c>
      <c r="C858" s="51" t="inlineStr">
        <is>
          <t>ControlSlopeImag</t>
        </is>
      </c>
      <c r="D858" s="51" t="inlineStr">
        <is>
          <t>Impedance</t>
        </is>
      </c>
      <c r="E858" s="51" t="inlineStr">
        <is>
          <t>B</t>
        </is>
      </c>
    </row>
    <row r="859" ht="15" customHeight="1">
      <c r="A859" s="50">
        <f>CONCATENATE(C859,D859,E859)</f>
        <v/>
      </c>
      <c r="B859" s="51" t="inlineStr">
        <is>
          <t>CTRLSLPIMIMPC</t>
        </is>
      </c>
      <c r="C859" s="51" t="inlineStr">
        <is>
          <t>ControlSlopeImag</t>
        </is>
      </c>
      <c r="D859" s="51" t="inlineStr">
        <is>
          <t>Impedance</t>
        </is>
      </c>
      <c r="E859" s="51" t="inlineStr">
        <is>
          <t>C</t>
        </is>
      </c>
    </row>
    <row r="860" ht="30" customHeight="1">
      <c r="A860" s="50">
        <f>CONCATENATE(C860,D860,E860)</f>
        <v/>
      </c>
      <c r="B860" s="51" t="inlineStr">
        <is>
          <t>CTRLSLPIMRELVOLTABC</t>
        </is>
      </c>
      <c r="C860" s="51" t="inlineStr">
        <is>
          <t>ControlSlopeImag</t>
        </is>
      </c>
      <c r="D860" s="51" t="inlineStr">
        <is>
          <t>RelativeVoltage</t>
        </is>
      </c>
      <c r="E860" s="51" t="inlineStr">
        <is>
          <t>ABC</t>
        </is>
      </c>
    </row>
    <row r="861" ht="15" customHeight="1">
      <c r="A861" s="50">
        <f>CONCATENATE(C861,D861,E861)</f>
        <v/>
      </c>
      <c r="B861" s="51" t="inlineStr">
        <is>
          <t>CTRLSLPIMRELVOLTA</t>
        </is>
      </c>
      <c r="C861" s="51" t="inlineStr">
        <is>
          <t>ControlSlopeImag</t>
        </is>
      </c>
      <c r="D861" s="51" t="inlineStr">
        <is>
          <t>RelativeVoltage</t>
        </is>
      </c>
      <c r="E861" s="51" t="inlineStr">
        <is>
          <t>A</t>
        </is>
      </c>
    </row>
    <row r="862" ht="15" customHeight="1">
      <c r="A862" s="50">
        <f>CONCATENATE(C862,D862,E862)</f>
        <v/>
      </c>
      <c r="B862" s="51" t="inlineStr">
        <is>
          <t>CTRLSLPIMRELVOLTB</t>
        </is>
      </c>
      <c r="C862" s="51" t="inlineStr">
        <is>
          <t>ControlSlopeImag</t>
        </is>
      </c>
      <c r="D862" s="51" t="inlineStr">
        <is>
          <t>RelativeVoltage</t>
        </is>
      </c>
      <c r="E862" s="51" t="inlineStr">
        <is>
          <t>B</t>
        </is>
      </c>
    </row>
    <row r="863" ht="15" customHeight="1">
      <c r="A863" s="50">
        <f>CONCATENATE(C863,D863,E863)</f>
        <v/>
      </c>
      <c r="B863" s="51" t="inlineStr">
        <is>
          <t>CTRLSLPIMRELVOLTC</t>
        </is>
      </c>
      <c r="C863" s="51" t="inlineStr">
        <is>
          <t>ControlSlopeImag</t>
        </is>
      </c>
      <c r="D863" s="51" t="inlineStr">
        <is>
          <t>RelativeVoltage</t>
        </is>
      </c>
      <c r="E863" s="51" t="inlineStr">
        <is>
          <t>C</t>
        </is>
      </c>
    </row>
    <row r="864" ht="15" customHeight="1">
      <c r="A864" s="50">
        <f>CONCATENATE(C864,D864,E864)</f>
        <v/>
      </c>
      <c r="B864" s="51" t="inlineStr">
        <is>
          <t>RELTRIPABC</t>
        </is>
      </c>
      <c r="C864" s="51" t="inlineStr">
        <is>
          <t>RelayTrip</t>
        </is>
      </c>
      <c r="D864" s="51" t="inlineStr">
        <is>
          <t>Status</t>
        </is>
      </c>
      <c r="E864" s="51" t="inlineStr">
        <is>
          <t>ABC</t>
        </is>
      </c>
    </row>
    <row r="865" ht="15" customHeight="1">
      <c r="A865" s="50">
        <f>CONCATENATE(C865,D865,E865)</f>
        <v/>
      </c>
      <c r="B865" s="51" t="inlineStr">
        <is>
          <t>RELTRIPA</t>
        </is>
      </c>
      <c r="C865" s="51" t="inlineStr">
        <is>
          <t>RelayTrip</t>
        </is>
      </c>
      <c r="D865" s="51" t="inlineStr">
        <is>
          <t>Status</t>
        </is>
      </c>
      <c r="E865" s="51" t="inlineStr">
        <is>
          <t>A</t>
        </is>
      </c>
    </row>
    <row r="866" ht="15" customHeight="1">
      <c r="A866" s="50">
        <f>CONCATENATE(C866,D866,E866)</f>
        <v/>
      </c>
      <c r="B866" s="51" t="inlineStr">
        <is>
          <t>RELTRIPB</t>
        </is>
      </c>
      <c r="C866" s="51" t="inlineStr">
        <is>
          <t>RelayTrip</t>
        </is>
      </c>
      <c r="D866" s="51" t="inlineStr">
        <is>
          <t>Status</t>
        </is>
      </c>
      <c r="E866" s="51" t="inlineStr">
        <is>
          <t>B</t>
        </is>
      </c>
    </row>
    <row r="867" ht="15" customHeight="1">
      <c r="A867" s="50">
        <f>CONCATENATE(C867,D867,E867)</f>
        <v/>
      </c>
      <c r="B867" s="51" t="inlineStr">
        <is>
          <t>RELTRIPC</t>
        </is>
      </c>
      <c r="C867" s="51" t="inlineStr">
        <is>
          <t>RelayTrip</t>
        </is>
      </c>
      <c r="D867" s="51" t="inlineStr">
        <is>
          <t>Status</t>
        </is>
      </c>
      <c r="E867" s="51" t="inlineStr">
        <is>
          <t>C</t>
        </is>
      </c>
    </row>
    <row r="868" ht="15" customHeight="1">
      <c r="A868" s="50">
        <f>CONCATENATE(C868,D868,E868)</f>
        <v/>
      </c>
      <c r="B868" s="51" t="inlineStr">
        <is>
          <t>RELTRIPN</t>
        </is>
      </c>
      <c r="C868" s="51" t="inlineStr">
        <is>
          <t>RelayTrip</t>
        </is>
      </c>
      <c r="D868" s="51" t="inlineStr">
        <is>
          <t>Status</t>
        </is>
      </c>
      <c r="E868" s="51" t="inlineStr">
        <is>
          <t>N</t>
        </is>
      </c>
    </row>
    <row r="869" ht="15" customHeight="1">
      <c r="A869" s="50">
        <f>CONCATENATE(C869,D869,E869)</f>
        <v/>
      </c>
      <c r="B869" s="51" t="inlineStr">
        <is>
          <t>RECLENBLABC</t>
        </is>
      </c>
      <c r="C869" s="51" t="inlineStr">
        <is>
          <t>ReclosingEnabled</t>
        </is>
      </c>
      <c r="D869" s="51" t="inlineStr">
        <is>
          <t>Status</t>
        </is>
      </c>
      <c r="E869" s="51" t="inlineStr">
        <is>
          <t>ABC</t>
        </is>
      </c>
    </row>
    <row r="870" ht="15" customHeight="1">
      <c r="A870" s="50">
        <f>CONCATENATE(C870,D870,E870)</f>
        <v/>
      </c>
      <c r="B870" s="51" t="inlineStr">
        <is>
          <t>RECLENBLA</t>
        </is>
      </c>
      <c r="C870" s="51" t="inlineStr">
        <is>
          <t>ReclosingEnabled</t>
        </is>
      </c>
      <c r="D870" s="51" t="inlineStr">
        <is>
          <t>Status</t>
        </is>
      </c>
      <c r="E870" s="51" t="inlineStr">
        <is>
          <t>A</t>
        </is>
      </c>
    </row>
    <row r="871" ht="15" customHeight="1">
      <c r="A871" s="50">
        <f>CONCATENATE(C871,D871,E871)</f>
        <v/>
      </c>
      <c r="B871" s="51" t="inlineStr">
        <is>
          <t>RECLENBLB</t>
        </is>
      </c>
      <c r="C871" s="51" t="inlineStr">
        <is>
          <t>ReclosingEnabled</t>
        </is>
      </c>
      <c r="D871" s="51" t="inlineStr">
        <is>
          <t>Status</t>
        </is>
      </c>
      <c r="E871" s="51" t="inlineStr">
        <is>
          <t>B</t>
        </is>
      </c>
    </row>
    <row r="872" ht="15" customHeight="1">
      <c r="A872" s="50">
        <f>CONCATENATE(C872,D872,E872)</f>
        <v/>
      </c>
      <c r="B872" s="51" t="inlineStr">
        <is>
          <t>RECLENBLC</t>
        </is>
      </c>
      <c r="C872" s="51" t="inlineStr">
        <is>
          <t>ReclosingEnabled</t>
        </is>
      </c>
      <c r="D872" s="51" t="inlineStr">
        <is>
          <t>Status</t>
        </is>
      </c>
      <c r="E872" s="51" t="inlineStr">
        <is>
          <t>C</t>
        </is>
      </c>
    </row>
    <row r="873" ht="15" customHeight="1">
      <c r="A873" s="50">
        <f>CONCATENATE(C873,D873,E873)</f>
        <v/>
      </c>
      <c r="B873" s="51" t="inlineStr">
        <is>
          <t>RECLLCKTABC</t>
        </is>
      </c>
      <c r="C873" s="51" t="inlineStr">
        <is>
          <t>RecloserLockout</t>
        </is>
      </c>
      <c r="D873" s="51" t="inlineStr">
        <is>
          <t>Status</t>
        </is>
      </c>
      <c r="E873" s="51" t="inlineStr">
        <is>
          <t>ABC</t>
        </is>
      </c>
    </row>
    <row r="874" ht="15" customHeight="1">
      <c r="A874" s="50">
        <f>CONCATENATE(C874,D874,E874)</f>
        <v/>
      </c>
      <c r="B874" s="51" t="inlineStr">
        <is>
          <t>RECLLCKTA</t>
        </is>
      </c>
      <c r="C874" s="51" t="inlineStr">
        <is>
          <t>RecloserLockout</t>
        </is>
      </c>
      <c r="D874" s="51" t="inlineStr">
        <is>
          <t>Status</t>
        </is>
      </c>
      <c r="E874" s="51" t="inlineStr">
        <is>
          <t>A</t>
        </is>
      </c>
    </row>
    <row r="875" ht="15" customHeight="1">
      <c r="A875" s="50">
        <f>CONCATENATE(C875,D875,E875)</f>
        <v/>
      </c>
      <c r="B875" s="51" t="inlineStr">
        <is>
          <t>RECLLCKTB</t>
        </is>
      </c>
      <c r="C875" s="51" t="inlineStr">
        <is>
          <t>RecloserLockout</t>
        </is>
      </c>
      <c r="D875" s="51" t="inlineStr">
        <is>
          <t>Status</t>
        </is>
      </c>
      <c r="E875" s="51" t="inlineStr">
        <is>
          <t>B</t>
        </is>
      </c>
    </row>
    <row r="876" ht="15" customHeight="1">
      <c r="A876" s="50">
        <f>CONCATENATE(C876,D876,E876)</f>
        <v/>
      </c>
      <c r="B876" s="51" t="inlineStr">
        <is>
          <t>RECLLCKTC</t>
        </is>
      </c>
      <c r="C876" s="51" t="inlineStr">
        <is>
          <t>RecloserLockout</t>
        </is>
      </c>
      <c r="D876" s="51" t="inlineStr">
        <is>
          <t>Status</t>
        </is>
      </c>
      <c r="E876" s="51" t="inlineStr">
        <is>
          <t>C</t>
        </is>
      </c>
    </row>
    <row r="877" ht="15" customHeight="1">
      <c r="A877" s="50">
        <f>CONCATENATE(C877,D877,E877)</f>
        <v/>
      </c>
      <c r="B877" s="51" t="inlineStr">
        <is>
          <t>RECLDLYABC</t>
        </is>
      </c>
      <c r="C877" s="51" t="inlineStr">
        <is>
          <t>RecloseDelay</t>
        </is>
      </c>
      <c r="D877" s="51" t="inlineStr">
        <is>
          <t>Time</t>
        </is>
      </c>
      <c r="E877" s="51" t="inlineStr">
        <is>
          <t>ABC</t>
        </is>
      </c>
    </row>
    <row r="878" ht="15" customHeight="1">
      <c r="A878" s="50">
        <f>CONCATENATE(C878,D878,E878)</f>
        <v/>
      </c>
      <c r="B878" s="51" t="inlineStr">
        <is>
          <t>RECLDLYA</t>
        </is>
      </c>
      <c r="C878" s="51" t="inlineStr">
        <is>
          <t>RecloseDelay</t>
        </is>
      </c>
      <c r="D878" s="51" t="inlineStr">
        <is>
          <t>Time</t>
        </is>
      </c>
      <c r="E878" s="51" t="inlineStr">
        <is>
          <t>A</t>
        </is>
      </c>
    </row>
    <row r="879" ht="15" customHeight="1">
      <c r="A879" s="50">
        <f>CONCATENATE(C879,D879,E879)</f>
        <v/>
      </c>
      <c r="B879" s="51" t="inlineStr">
        <is>
          <t>RECLDLYB</t>
        </is>
      </c>
      <c r="C879" s="51" t="inlineStr">
        <is>
          <t>RecloseDelay</t>
        </is>
      </c>
      <c r="D879" s="51" t="inlineStr">
        <is>
          <t>Time</t>
        </is>
      </c>
      <c r="E879" s="51" t="inlineStr">
        <is>
          <t>B</t>
        </is>
      </c>
    </row>
    <row r="880" ht="15" customHeight="1">
      <c r="A880" s="50">
        <f>CONCATENATE(C880,D880,E880)</f>
        <v/>
      </c>
      <c r="B880" s="51" t="inlineStr">
        <is>
          <t>RECLDLYC</t>
        </is>
      </c>
      <c r="C880" s="51" t="inlineStr">
        <is>
          <t>RecloseDelay</t>
        </is>
      </c>
      <c r="D880" s="51" t="inlineStr">
        <is>
          <t>Time</t>
        </is>
      </c>
      <c r="E880" s="51" t="inlineStr">
        <is>
          <t>C</t>
        </is>
      </c>
    </row>
    <row r="881" ht="15" customHeight="1">
      <c r="A881" s="50">
        <f>CONCATENATE(C881,D881,E881)</f>
        <v/>
      </c>
      <c r="B881" s="51" t="inlineStr">
        <is>
          <t>UNFREQ</t>
        </is>
      </c>
      <c r="C881" s="51" t="inlineStr">
        <is>
          <t>UnderFrequencyAlarm</t>
        </is>
      </c>
      <c r="D881" s="51" t="inlineStr">
        <is>
          <t>Status</t>
        </is>
      </c>
      <c r="E881" s="51" t="inlineStr">
        <is>
          <t>ABC</t>
        </is>
      </c>
    </row>
    <row r="882" ht="15" customHeight="1">
      <c r="A882" s="50">
        <f>CONCATENATE(C882,D882,E882)</f>
        <v/>
      </c>
      <c r="B882" s="51" t="inlineStr">
        <is>
          <t>FANSTABC</t>
        </is>
      </c>
      <c r="C882" s="51" t="inlineStr">
        <is>
          <t>FanStatus</t>
        </is>
      </c>
      <c r="D882" s="51" t="inlineStr">
        <is>
          <t>Status</t>
        </is>
      </c>
      <c r="E882" s="51" t="inlineStr">
        <is>
          <t>ABC</t>
        </is>
      </c>
    </row>
    <row r="883" ht="15" customHeight="1">
      <c r="A883" s="50">
        <f>CONCATENATE(C883,D883,E883)</f>
        <v/>
      </c>
      <c r="B883" s="51" t="inlineStr">
        <is>
          <t>FANSTA</t>
        </is>
      </c>
      <c r="C883" s="51" t="inlineStr">
        <is>
          <t>FanStatus</t>
        </is>
      </c>
      <c r="D883" s="51" t="inlineStr">
        <is>
          <t>Status</t>
        </is>
      </c>
      <c r="E883" s="51" t="inlineStr">
        <is>
          <t>A</t>
        </is>
      </c>
    </row>
    <row r="884" ht="15" customHeight="1">
      <c r="A884" s="50">
        <f>CONCATENATE(C884,D884,E884)</f>
        <v/>
      </c>
      <c r="B884" s="51" t="inlineStr">
        <is>
          <t>FANSTB</t>
        </is>
      </c>
      <c r="C884" s="51" t="inlineStr">
        <is>
          <t>FanStatus</t>
        </is>
      </c>
      <c r="D884" s="51" t="inlineStr">
        <is>
          <t>Status</t>
        </is>
      </c>
      <c r="E884" s="51" t="inlineStr">
        <is>
          <t>B</t>
        </is>
      </c>
    </row>
    <row r="885" ht="15" customHeight="1">
      <c r="A885" s="50">
        <f>CONCATENATE(C885,D885,E885)</f>
        <v/>
      </c>
      <c r="B885" s="51" t="inlineStr">
        <is>
          <t>FANSTC</t>
        </is>
      </c>
      <c r="C885" s="51" t="inlineStr">
        <is>
          <t>FanStatus</t>
        </is>
      </c>
      <c r="D885" s="51" t="inlineStr">
        <is>
          <t>Status</t>
        </is>
      </c>
      <c r="E885" s="51" t="inlineStr">
        <is>
          <t>C</t>
        </is>
      </c>
    </row>
    <row r="886" ht="15" customHeight="1">
      <c r="A886" s="50">
        <f>CONCATENATE(C886,D886,E886)</f>
        <v/>
      </c>
      <c r="B886" s="51" t="inlineStr">
        <is>
          <t>OILPUMPSTABC</t>
        </is>
      </c>
      <c r="C886" s="51" t="inlineStr">
        <is>
          <t>OilPumpStatus</t>
        </is>
      </c>
      <c r="D886" s="51" t="inlineStr">
        <is>
          <t>Status</t>
        </is>
      </c>
      <c r="E886" s="51" t="inlineStr">
        <is>
          <t>ABC</t>
        </is>
      </c>
    </row>
    <row r="887" ht="15" customHeight="1">
      <c r="A887" s="50">
        <f>CONCATENATE(C887,D887,E887)</f>
        <v/>
      </c>
      <c r="B887" s="51" t="inlineStr">
        <is>
          <t>OILPUMPSTA</t>
        </is>
      </c>
      <c r="C887" s="51" t="inlineStr">
        <is>
          <t>OilPumpStatus</t>
        </is>
      </c>
      <c r="D887" s="51" t="inlineStr">
        <is>
          <t>Status</t>
        </is>
      </c>
      <c r="E887" s="51" t="inlineStr">
        <is>
          <t>A</t>
        </is>
      </c>
    </row>
    <row r="888" ht="15" customHeight="1">
      <c r="A888" s="50">
        <f>CONCATENATE(C888,D888,E888)</f>
        <v/>
      </c>
      <c r="B888" s="51" t="inlineStr">
        <is>
          <t>OILPUMPSTB</t>
        </is>
      </c>
      <c r="C888" s="51" t="inlineStr">
        <is>
          <t>OilPumpStatus</t>
        </is>
      </c>
      <c r="D888" s="51" t="inlineStr">
        <is>
          <t>Status</t>
        </is>
      </c>
      <c r="E888" s="51" t="inlineStr">
        <is>
          <t>B</t>
        </is>
      </c>
    </row>
    <row r="889" ht="15" customHeight="1">
      <c r="A889" s="50">
        <f>CONCATENATE(C889,D889,E889)</f>
        <v/>
      </c>
      <c r="B889" s="51" t="inlineStr">
        <is>
          <t>OILPUMPSTC</t>
        </is>
      </c>
      <c r="C889" s="51" t="inlineStr">
        <is>
          <t>OilPumpStatus</t>
        </is>
      </c>
      <c r="D889" s="51" t="inlineStr">
        <is>
          <t>Status</t>
        </is>
      </c>
      <c r="E889" s="51" t="inlineStr">
        <is>
          <t>C</t>
        </is>
      </c>
    </row>
    <row r="890" ht="15" customHeight="1">
      <c r="A890" s="50">
        <f>CONCATENATE(C890,D890,E890)</f>
        <v/>
      </c>
      <c r="B890" s="51" t="inlineStr">
        <is>
          <t>OILTMP</t>
        </is>
      </c>
      <c r="C890" s="51" t="inlineStr">
        <is>
          <t>MeasuredValue</t>
        </is>
      </c>
      <c r="D890" s="51" t="inlineStr">
        <is>
          <t>OilTemperature</t>
        </is>
      </c>
      <c r="E890" s="51" t="inlineStr">
        <is>
          <t>ABC</t>
        </is>
      </c>
    </row>
    <row r="891" ht="30" customHeight="1">
      <c r="A891" s="50">
        <f>CONCATENATE(C891,D891,E891)</f>
        <v/>
      </c>
      <c r="B891" s="51" t="inlineStr">
        <is>
          <t>HOTSPOTTMP</t>
        </is>
      </c>
      <c r="C891" s="51" t="inlineStr">
        <is>
          <t>MeasuredValue</t>
        </is>
      </c>
      <c r="D891" s="51" t="inlineStr">
        <is>
          <t>HotSpotTemperature</t>
        </is>
      </c>
      <c r="E891" s="51" t="inlineStr">
        <is>
          <t>ABC</t>
        </is>
      </c>
    </row>
    <row r="892" ht="30" customHeight="1">
      <c r="A892" s="50">
        <f>CONCATENATE(C892,D892,E892)</f>
        <v/>
      </c>
      <c r="B892" s="51" t="inlineStr">
        <is>
          <t>OILTMPPRIM</t>
        </is>
      </c>
      <c r="C892" s="51" t="inlineStr">
        <is>
          <t>MeasuredValue</t>
        </is>
      </c>
      <c r="D892" s="51" t="inlineStr">
        <is>
          <t>OilTemperature</t>
        </is>
      </c>
      <c r="E892" s="51" t="inlineStr">
        <is>
          <t>ABCPrimary</t>
        </is>
      </c>
    </row>
    <row r="893" ht="30" customHeight="1">
      <c r="A893" s="50">
        <f>CONCATENATE(C893,D893,E893)</f>
        <v/>
      </c>
      <c r="B893" s="51" t="inlineStr">
        <is>
          <t>HOTSPOTTMPPRIM</t>
        </is>
      </c>
      <c r="C893" s="51" t="inlineStr">
        <is>
          <t>MeasuredValue</t>
        </is>
      </c>
      <c r="D893" s="51" t="inlineStr">
        <is>
          <t>HotSpotTemperature</t>
        </is>
      </c>
      <c r="E893" s="51" t="inlineStr">
        <is>
          <t>ABCPrimary</t>
        </is>
      </c>
    </row>
    <row r="894" ht="30" customHeight="1">
      <c r="A894" s="50">
        <f>CONCATENATE(C894,D894,E894)</f>
        <v/>
      </c>
      <c r="B894" s="51" t="inlineStr">
        <is>
          <t>OILTMPSEC</t>
        </is>
      </c>
      <c r="C894" s="51" t="inlineStr">
        <is>
          <t>MeasuredValue</t>
        </is>
      </c>
      <c r="D894" s="51" t="inlineStr">
        <is>
          <t>OilTemperature</t>
        </is>
      </c>
      <c r="E894" s="51" t="inlineStr">
        <is>
          <t>ABCSecondary</t>
        </is>
      </c>
    </row>
    <row r="895" ht="30" customHeight="1">
      <c r="A895" s="50">
        <f>CONCATENATE(C895,D895,E895)</f>
        <v/>
      </c>
      <c r="B895" s="51" t="inlineStr">
        <is>
          <t>HOTSPOTTMPSEC</t>
        </is>
      </c>
      <c r="C895" s="51" t="inlineStr">
        <is>
          <t>MeasuredValue</t>
        </is>
      </c>
      <c r="D895" s="51" t="inlineStr">
        <is>
          <t>HotSpotTemperature</t>
        </is>
      </c>
      <c r="E895" s="51" t="inlineStr">
        <is>
          <t>ABCSecondary</t>
        </is>
      </c>
    </row>
    <row r="896" ht="15" customHeight="1">
      <c r="A896" s="50">
        <f>CONCATENATE(C896,D896,E896)</f>
        <v/>
      </c>
      <c r="B896" s="51" t="inlineStr">
        <is>
          <t>AMPABCTERT</t>
        </is>
      </c>
      <c r="C896" s="51" t="inlineStr">
        <is>
          <t>MeasuredValue</t>
        </is>
      </c>
      <c r="D896" s="51" t="inlineStr">
        <is>
          <t>Current</t>
        </is>
      </c>
      <c r="E896" s="51" t="inlineStr">
        <is>
          <t>ABCTertiary</t>
        </is>
      </c>
    </row>
    <row r="897" ht="15" customHeight="1">
      <c r="A897" s="50">
        <f>CONCATENATE(C897,D897,E897)</f>
        <v/>
      </c>
      <c r="B897" s="51" t="inlineStr">
        <is>
          <t>AMPATERT</t>
        </is>
      </c>
      <c r="C897" s="51" t="inlineStr">
        <is>
          <t>MeasuredValue</t>
        </is>
      </c>
      <c r="D897" s="51" t="inlineStr">
        <is>
          <t>Current</t>
        </is>
      </c>
      <c r="E897" s="51" t="inlineStr">
        <is>
          <t>ATertiary</t>
        </is>
      </c>
    </row>
    <row r="898" ht="15" customHeight="1">
      <c r="A898" s="50">
        <f>CONCATENATE(C898,D898,E898)</f>
        <v/>
      </c>
      <c r="B898" s="51" t="inlineStr">
        <is>
          <t>AMPBTERT</t>
        </is>
      </c>
      <c r="C898" s="51" t="inlineStr">
        <is>
          <t>MeasuredValue</t>
        </is>
      </c>
      <c r="D898" s="51" t="inlineStr">
        <is>
          <t>Current</t>
        </is>
      </c>
      <c r="E898" s="51" t="inlineStr">
        <is>
          <t>BTertiary</t>
        </is>
      </c>
    </row>
    <row r="899" ht="15" customHeight="1">
      <c r="A899" s="50">
        <f>CONCATENATE(C899,D899,E899)</f>
        <v/>
      </c>
      <c r="B899" s="51" t="inlineStr">
        <is>
          <t>AMPCTERT</t>
        </is>
      </c>
      <c r="C899" s="51" t="inlineStr">
        <is>
          <t>MeasuredValue</t>
        </is>
      </c>
      <c r="D899" s="51" t="inlineStr">
        <is>
          <t>Current</t>
        </is>
      </c>
      <c r="E899" s="51" t="inlineStr">
        <is>
          <t>CTertiary</t>
        </is>
      </c>
    </row>
    <row r="900" ht="15" customHeight="1">
      <c r="A900" s="50">
        <f>CONCATENATE(C900,D900,E900)</f>
        <v/>
      </c>
      <c r="B900" s="51" t="inlineStr">
        <is>
          <t>AMPNTERT</t>
        </is>
      </c>
      <c r="C900" s="51" t="inlineStr">
        <is>
          <t>MeasuredValue</t>
        </is>
      </c>
      <c r="D900" s="51" t="inlineStr">
        <is>
          <t>Current</t>
        </is>
      </c>
      <c r="E900" s="51" t="inlineStr">
        <is>
          <t>NTertiary</t>
        </is>
      </c>
    </row>
    <row r="901" ht="30" customHeight="1">
      <c r="A901" s="50">
        <f>CONCATENATE(C901,D901,E901)</f>
        <v/>
      </c>
      <c r="B901" s="51" t="inlineStr">
        <is>
          <t>MWABCTERT</t>
        </is>
      </c>
      <c r="C901" s="51" t="inlineStr">
        <is>
          <t>MeasuredValue</t>
        </is>
      </c>
      <c r="D901" s="51" t="inlineStr">
        <is>
          <t>ActivePower</t>
        </is>
      </c>
      <c r="E901" s="51" t="inlineStr">
        <is>
          <t>ABCTertiary</t>
        </is>
      </c>
    </row>
    <row r="902" ht="15" customHeight="1">
      <c r="A902" s="50">
        <f>CONCATENATE(C902,D902,E902)</f>
        <v/>
      </c>
      <c r="B902" s="51" t="inlineStr">
        <is>
          <t>MWATERT</t>
        </is>
      </c>
      <c r="C902" s="51" t="inlineStr">
        <is>
          <t>MeasuredValue</t>
        </is>
      </c>
      <c r="D902" s="51" t="inlineStr">
        <is>
          <t>ActivePower</t>
        </is>
      </c>
      <c r="E902" s="51" t="inlineStr">
        <is>
          <t>ATertiary</t>
        </is>
      </c>
    </row>
    <row r="903" ht="15" customHeight="1">
      <c r="A903" s="50">
        <f>CONCATENATE(C903,D903,E903)</f>
        <v/>
      </c>
      <c r="B903" s="51" t="inlineStr">
        <is>
          <t>MWBTERT</t>
        </is>
      </c>
      <c r="C903" s="51" t="inlineStr">
        <is>
          <t>MeasuredValue</t>
        </is>
      </c>
      <c r="D903" s="51" t="inlineStr">
        <is>
          <t>ActivePower</t>
        </is>
      </c>
      <c r="E903" s="51" t="inlineStr">
        <is>
          <t>BTertiary</t>
        </is>
      </c>
    </row>
    <row r="904" ht="15" customHeight="1">
      <c r="A904" s="50">
        <f>CONCATENATE(C904,D904,E904)</f>
        <v/>
      </c>
      <c r="B904" s="51" t="inlineStr">
        <is>
          <t>MWCTERT</t>
        </is>
      </c>
      <c r="C904" s="51" t="inlineStr">
        <is>
          <t>MeasuredValue</t>
        </is>
      </c>
      <c r="D904" s="51" t="inlineStr">
        <is>
          <t>ActivePower</t>
        </is>
      </c>
      <c r="E904" s="51" t="inlineStr">
        <is>
          <t>CTertiary</t>
        </is>
      </c>
    </row>
    <row r="905" ht="30" customHeight="1">
      <c r="A905" s="50">
        <f>CONCATENATE(C905,D905,E905)</f>
        <v/>
      </c>
      <c r="B905" s="51" t="inlineStr">
        <is>
          <t>MVARABCTERT</t>
        </is>
      </c>
      <c r="C905" s="51" t="inlineStr">
        <is>
          <t>MeasuredValue</t>
        </is>
      </c>
      <c r="D905" s="51" t="inlineStr">
        <is>
          <t>ReactivePower</t>
        </is>
      </c>
      <c r="E905" s="51" t="inlineStr">
        <is>
          <t>ABCTertiary</t>
        </is>
      </c>
    </row>
    <row r="906" ht="30" customHeight="1">
      <c r="A906" s="50">
        <f>CONCATENATE(C906,D906,E906)</f>
        <v/>
      </c>
      <c r="B906" s="51" t="inlineStr">
        <is>
          <t>MVARATERT</t>
        </is>
      </c>
      <c r="C906" s="51" t="inlineStr">
        <is>
          <t>MeasuredValue</t>
        </is>
      </c>
      <c r="D906" s="51" t="inlineStr">
        <is>
          <t>ReactivePower</t>
        </is>
      </c>
      <c r="E906" s="51" t="inlineStr">
        <is>
          <t>ATertiary</t>
        </is>
      </c>
    </row>
    <row r="907" ht="30" customHeight="1">
      <c r="A907" s="50">
        <f>CONCATENATE(C907,D907,E907)</f>
        <v/>
      </c>
      <c r="B907" s="51" t="inlineStr">
        <is>
          <t>MVARBTERT</t>
        </is>
      </c>
      <c r="C907" s="51" t="inlineStr">
        <is>
          <t>MeasuredValue</t>
        </is>
      </c>
      <c r="D907" s="51" t="inlineStr">
        <is>
          <t>ReactivePower</t>
        </is>
      </c>
      <c r="E907" s="51" t="inlineStr">
        <is>
          <t>BTertiary</t>
        </is>
      </c>
    </row>
    <row r="908" ht="30" customHeight="1">
      <c r="A908" s="50">
        <f>CONCATENATE(C908,D908,E908)</f>
        <v/>
      </c>
      <c r="B908" s="51" t="inlineStr">
        <is>
          <t>MVARCTERT</t>
        </is>
      </c>
      <c r="C908" s="51" t="inlineStr">
        <is>
          <t>MeasuredValue</t>
        </is>
      </c>
      <c r="D908" s="51" t="inlineStr">
        <is>
          <t>ReactivePower</t>
        </is>
      </c>
      <c r="E908" s="51" t="inlineStr">
        <is>
          <t>CTertiary</t>
        </is>
      </c>
    </row>
    <row r="909" ht="30" customHeight="1">
      <c r="A909" s="50">
        <f>CONCATENATE(C909,D909,E909)</f>
        <v/>
      </c>
      <c r="B909" s="51" t="inlineStr">
        <is>
          <t>MVAABCTERT</t>
        </is>
      </c>
      <c r="C909" s="51" t="inlineStr">
        <is>
          <t>MeasuredValue</t>
        </is>
      </c>
      <c r="D909" s="51" t="inlineStr">
        <is>
          <t>ApparentPower</t>
        </is>
      </c>
      <c r="E909" s="51" t="inlineStr">
        <is>
          <t>ABCTertiary</t>
        </is>
      </c>
    </row>
    <row r="910" ht="15" customHeight="1">
      <c r="A910" s="50">
        <f>CONCATENATE(C910,D910,E910)</f>
        <v/>
      </c>
      <c r="B910" s="51" t="inlineStr">
        <is>
          <t>COSPHIABCTERT</t>
        </is>
      </c>
      <c r="C910" s="51" t="inlineStr">
        <is>
          <t>MeasuredValue</t>
        </is>
      </c>
      <c r="D910" s="51" t="inlineStr">
        <is>
          <t>CosPhi</t>
        </is>
      </c>
      <c r="E910" s="51" t="inlineStr">
        <is>
          <t>ABCTertiary</t>
        </is>
      </c>
    </row>
    <row r="911" ht="15" customHeight="1">
      <c r="A911" s="50">
        <f>CONCATENATE(C911,D911,E911)</f>
        <v/>
      </c>
      <c r="B911" s="51" t="inlineStr">
        <is>
          <t>COSPHIATERT</t>
        </is>
      </c>
      <c r="C911" s="51" t="inlineStr">
        <is>
          <t>MeasuredValue</t>
        </is>
      </c>
      <c r="D911" s="51" t="inlineStr">
        <is>
          <t>CosPhi</t>
        </is>
      </c>
      <c r="E911" s="51" t="inlineStr">
        <is>
          <t>ATertiary</t>
        </is>
      </c>
    </row>
    <row r="912" ht="15" customHeight="1">
      <c r="A912" s="50">
        <f>CONCATENATE(C912,D912,E912)</f>
        <v/>
      </c>
      <c r="B912" s="51" t="inlineStr">
        <is>
          <t>COSPHIBTERT</t>
        </is>
      </c>
      <c r="C912" s="51" t="inlineStr">
        <is>
          <t>MeasuredValue</t>
        </is>
      </c>
      <c r="D912" s="51" t="inlineStr">
        <is>
          <t>CosPhi</t>
        </is>
      </c>
      <c r="E912" s="51" t="inlineStr">
        <is>
          <t>BTertiary</t>
        </is>
      </c>
    </row>
    <row r="913" ht="15" customHeight="1">
      <c r="A913" s="50">
        <f>CONCATENATE(C913,D913,E913)</f>
        <v/>
      </c>
      <c r="B913" s="51" t="inlineStr">
        <is>
          <t>COSPHICTERT</t>
        </is>
      </c>
      <c r="C913" s="51" t="inlineStr">
        <is>
          <t>MeasuredValue</t>
        </is>
      </c>
      <c r="D913" s="51" t="inlineStr">
        <is>
          <t>CosPhi</t>
        </is>
      </c>
      <c r="E913" s="51" t="inlineStr">
        <is>
          <t>CTertiary</t>
        </is>
      </c>
    </row>
    <row r="914" ht="30" customHeight="1">
      <c r="A914" s="50">
        <f>CONCATENATE(C914,D914,E914)</f>
        <v/>
      </c>
      <c r="B914" s="51" t="inlineStr">
        <is>
          <t>MWHABCTERT</t>
        </is>
      </c>
      <c r="C914" s="51" t="inlineStr">
        <is>
          <t>MeasuredValue</t>
        </is>
      </c>
      <c r="D914" s="51" t="inlineStr">
        <is>
          <t>ActiveEnergy</t>
        </is>
      </c>
      <c r="E914" s="51" t="inlineStr">
        <is>
          <t>ABCTertiary</t>
        </is>
      </c>
    </row>
    <row r="915" ht="30" customHeight="1">
      <c r="A915" s="50">
        <f>CONCATENATE(C915,D915,E915)</f>
        <v/>
      </c>
      <c r="B915" s="51" t="inlineStr">
        <is>
          <t>MWHATERT</t>
        </is>
      </c>
      <c r="C915" s="51" t="inlineStr">
        <is>
          <t>MeasuredValue</t>
        </is>
      </c>
      <c r="D915" s="51" t="inlineStr">
        <is>
          <t>ActiveEnergy</t>
        </is>
      </c>
      <c r="E915" s="51" t="inlineStr">
        <is>
          <t>ATertiary</t>
        </is>
      </c>
    </row>
    <row r="916" ht="30" customHeight="1">
      <c r="A916" s="50">
        <f>CONCATENATE(C916,D916,E916)</f>
        <v/>
      </c>
      <c r="B916" s="51" t="inlineStr">
        <is>
          <t>MWHBTERT</t>
        </is>
      </c>
      <c r="C916" s="51" t="inlineStr">
        <is>
          <t>MeasuredValue</t>
        </is>
      </c>
      <c r="D916" s="51" t="inlineStr">
        <is>
          <t>ActiveEnergy</t>
        </is>
      </c>
      <c r="E916" s="51" t="inlineStr">
        <is>
          <t>BTertiary</t>
        </is>
      </c>
    </row>
    <row r="917" ht="30" customHeight="1">
      <c r="A917" s="50">
        <f>CONCATENATE(C917,D917,E917)</f>
        <v/>
      </c>
      <c r="B917" s="51" t="inlineStr">
        <is>
          <t>MWHCTERT</t>
        </is>
      </c>
      <c r="C917" s="51" t="inlineStr">
        <is>
          <t>MeasuredValue</t>
        </is>
      </c>
      <c r="D917" s="51" t="inlineStr">
        <is>
          <t>ActiveEnergy</t>
        </is>
      </c>
      <c r="E917" s="51" t="inlineStr">
        <is>
          <t>CTertiary</t>
        </is>
      </c>
    </row>
    <row r="918" ht="30" customHeight="1">
      <c r="A918" s="50">
        <f>CONCATENATE(C918,D918,E918)</f>
        <v/>
      </c>
      <c r="B918" s="51" t="inlineStr">
        <is>
          <t>MVARHABCTERT</t>
        </is>
      </c>
      <c r="C918" s="51" t="inlineStr">
        <is>
          <t>MeasuredValue</t>
        </is>
      </c>
      <c r="D918" s="51" t="inlineStr">
        <is>
          <t>ReactiveEnergy</t>
        </is>
      </c>
      <c r="E918" s="51" t="inlineStr">
        <is>
          <t>ABCTertiary</t>
        </is>
      </c>
    </row>
    <row r="919" ht="30" customHeight="1">
      <c r="A919" s="50">
        <f>CONCATENATE(C919,D919,E919)</f>
        <v/>
      </c>
      <c r="B919" s="51" t="inlineStr">
        <is>
          <t>MVARHATERT</t>
        </is>
      </c>
      <c r="C919" s="51" t="inlineStr">
        <is>
          <t>MeasuredValue</t>
        </is>
      </c>
      <c r="D919" s="51" t="inlineStr">
        <is>
          <t>ReactiveEnergy</t>
        </is>
      </c>
      <c r="E919" s="51" t="inlineStr">
        <is>
          <t>ATertiary</t>
        </is>
      </c>
    </row>
    <row r="920" ht="30" customHeight="1">
      <c r="A920" s="50">
        <f>CONCATENATE(C920,D920,E920)</f>
        <v/>
      </c>
      <c r="B920" s="51" t="inlineStr">
        <is>
          <t>MVARHBTERT</t>
        </is>
      </c>
      <c r="C920" s="51" t="inlineStr">
        <is>
          <t>MeasuredValue</t>
        </is>
      </c>
      <c r="D920" s="51" t="inlineStr">
        <is>
          <t>ReactiveEnergy</t>
        </is>
      </c>
      <c r="E920" s="51" t="inlineStr">
        <is>
          <t>BTertiary</t>
        </is>
      </c>
    </row>
    <row r="921" ht="30" customHeight="1">
      <c r="A921" s="50">
        <f>CONCATENATE(C921,D921,E921)</f>
        <v/>
      </c>
      <c r="B921" s="51" t="inlineStr">
        <is>
          <t>MVARHCTERT</t>
        </is>
      </c>
      <c r="C921" s="51" t="inlineStr">
        <is>
          <t>MeasuredValue</t>
        </is>
      </c>
      <c r="D921" s="51" t="inlineStr">
        <is>
          <t>ReactiveEnergy</t>
        </is>
      </c>
      <c r="E921" s="51" t="inlineStr">
        <is>
          <t>CTertiary</t>
        </is>
      </c>
    </row>
    <row r="922" ht="30" customHeight="1">
      <c r="A922" s="50">
        <f>CONCATENATE(C922,D922,E922)</f>
        <v/>
      </c>
      <c r="B922" s="51" t="inlineStr">
        <is>
          <t>OILTMPTERT</t>
        </is>
      </c>
      <c r="C922" s="51" t="inlineStr">
        <is>
          <t>MeasuredValue</t>
        </is>
      </c>
      <c r="D922" s="51" t="inlineStr">
        <is>
          <t>OilTemperature</t>
        </is>
      </c>
      <c r="E922" s="51" t="inlineStr">
        <is>
          <t>ABCTertiary</t>
        </is>
      </c>
    </row>
    <row r="923" ht="30" customHeight="1">
      <c r="A923" s="50">
        <f>CONCATENATE(C923,D923,E923)</f>
        <v/>
      </c>
      <c r="B923" s="51" t="inlineStr">
        <is>
          <t>HOTSPOTTMPTERT</t>
        </is>
      </c>
      <c r="C923" s="51" t="inlineStr">
        <is>
          <t>MeasuredValue</t>
        </is>
      </c>
      <c r="D923" s="51" t="inlineStr">
        <is>
          <t>HotSpotTemperature</t>
        </is>
      </c>
      <c r="E923" s="51" t="inlineStr">
        <is>
          <t>ABCTertiary</t>
        </is>
      </c>
    </row>
    <row r="924" ht="30" customHeight="1">
      <c r="A924" s="50">
        <f>CONCATENATE(C924,D924,E924)</f>
        <v/>
      </c>
      <c r="B924" s="51" t="inlineStr">
        <is>
          <t>TMPABCTERT</t>
        </is>
      </c>
      <c r="C924" s="51" t="inlineStr">
        <is>
          <t>MeasuredValue</t>
        </is>
      </c>
      <c r="D924" s="51" t="inlineStr">
        <is>
          <t>Temperature</t>
        </is>
      </c>
      <c r="E924" s="51" t="inlineStr">
        <is>
          <t>ABCTertiary</t>
        </is>
      </c>
    </row>
    <row r="925" ht="30" customHeight="1">
      <c r="A925" s="50">
        <f>CONCATENATE(C925,D925,E925)</f>
        <v/>
      </c>
      <c r="B925" s="51" t="inlineStr">
        <is>
          <t>TMPATERT</t>
        </is>
      </c>
      <c r="C925" s="51" t="inlineStr">
        <is>
          <t>MeasuredValue</t>
        </is>
      </c>
      <c r="D925" s="51" t="inlineStr">
        <is>
          <t>Temperature</t>
        </is>
      </c>
      <c r="E925" s="51" t="inlineStr">
        <is>
          <t>ATertiary</t>
        </is>
      </c>
    </row>
    <row r="926" ht="30" customHeight="1">
      <c r="A926" s="50">
        <f>CONCATENATE(C926,D926,E926)</f>
        <v/>
      </c>
      <c r="B926" s="51" t="inlineStr">
        <is>
          <t>TMPBTERT</t>
        </is>
      </c>
      <c r="C926" s="51" t="inlineStr">
        <is>
          <t>MeasuredValue</t>
        </is>
      </c>
      <c r="D926" s="51" t="inlineStr">
        <is>
          <t>Temperature</t>
        </is>
      </c>
      <c r="E926" s="51" t="inlineStr">
        <is>
          <t>BTertiary</t>
        </is>
      </c>
    </row>
    <row r="927" ht="30" customHeight="1">
      <c r="A927" s="50">
        <f>CONCATENATE(C927,D927,E927)</f>
        <v/>
      </c>
      <c r="B927" s="51" t="inlineStr">
        <is>
          <t>TMPCTERT</t>
        </is>
      </c>
      <c r="C927" s="51" t="inlineStr">
        <is>
          <t>MeasuredValue</t>
        </is>
      </c>
      <c r="D927" s="51" t="inlineStr">
        <is>
          <t>Temperature</t>
        </is>
      </c>
      <c r="E927" s="51" t="inlineStr">
        <is>
          <t>CTertiary</t>
        </is>
      </c>
    </row>
    <row r="928" ht="30" customHeight="1">
      <c r="A928" s="50">
        <f>CONCATENATE(C928,D928,E928)</f>
        <v/>
      </c>
      <c r="B928" s="51" t="inlineStr">
        <is>
          <t>CUSTANLM1ABCTERT</t>
        </is>
      </c>
      <c r="C928" s="51" t="inlineStr">
        <is>
          <t>AnalogSignalType.Custom</t>
        </is>
      </c>
      <c r="D928" s="51" t="inlineStr">
        <is>
          <t>Unitless</t>
        </is>
      </c>
      <c r="E928" s="51" t="inlineStr">
        <is>
          <t>ABCTertiary</t>
        </is>
      </c>
    </row>
    <row r="929" ht="30" customHeight="1">
      <c r="A929" s="50">
        <f>CONCATENATE(C929,D929,E929)</f>
        <v/>
      </c>
      <c r="B929" s="51" t="inlineStr">
        <is>
          <t>CUSTANLM1ATERT</t>
        </is>
      </c>
      <c r="C929" s="51" t="inlineStr">
        <is>
          <t>AnalogSignalType.Custom</t>
        </is>
      </c>
      <c r="D929" s="51" t="inlineStr">
        <is>
          <t>Unitless</t>
        </is>
      </c>
      <c r="E929" s="51" t="inlineStr">
        <is>
          <t>ATertiary</t>
        </is>
      </c>
    </row>
    <row r="930" ht="30" customHeight="1">
      <c r="A930" s="50">
        <f>CONCATENATE(C930,D930,E930)</f>
        <v/>
      </c>
      <c r="B930" s="51" t="inlineStr">
        <is>
          <t>CUSTANLM1BTERT</t>
        </is>
      </c>
      <c r="C930" s="51" t="inlineStr">
        <is>
          <t>AnalogSignalType.Custom</t>
        </is>
      </c>
      <c r="D930" s="51" t="inlineStr">
        <is>
          <t>Unitless</t>
        </is>
      </c>
      <c r="E930" s="51" t="inlineStr">
        <is>
          <t>BTertiary</t>
        </is>
      </c>
    </row>
    <row r="931" ht="30" customHeight="1">
      <c r="A931" s="50">
        <f>CONCATENATE(C931,D931,E931)</f>
        <v/>
      </c>
      <c r="B931" s="51" t="inlineStr">
        <is>
          <t>CUSTANLM1CTERT</t>
        </is>
      </c>
      <c r="C931" s="51" t="inlineStr">
        <is>
          <t>AnalogSignalType.Custom</t>
        </is>
      </c>
      <c r="D931" s="51" t="inlineStr">
        <is>
          <t>Unitless</t>
        </is>
      </c>
      <c r="E931" s="51" t="inlineStr">
        <is>
          <t>CTertiary</t>
        </is>
      </c>
    </row>
    <row r="932" ht="30" customHeight="1">
      <c r="A932" s="50">
        <f>CONCATENATE(C932,D932,E932)</f>
        <v/>
      </c>
      <c r="B932" s="51" t="inlineStr">
        <is>
          <t>CUSTANLM2ABCTERT</t>
        </is>
      </c>
      <c r="C932" s="51" t="inlineStr">
        <is>
          <t>AnalogSignalType.Custom</t>
        </is>
      </c>
      <c r="D932" s="51" t="inlineStr">
        <is>
          <t>Voltage</t>
        </is>
      </c>
      <c r="E932" s="51" t="inlineStr">
        <is>
          <t>ABCTertiary</t>
        </is>
      </c>
    </row>
    <row r="933" ht="30" customHeight="1">
      <c r="A933" s="50">
        <f>CONCATENATE(C933,D933,E933)</f>
        <v/>
      </c>
      <c r="B933" s="51" t="inlineStr">
        <is>
          <t>CUSTANLM2ATERT</t>
        </is>
      </c>
      <c r="C933" s="51" t="inlineStr">
        <is>
          <t>AnalogSignalType.Custom</t>
        </is>
      </c>
      <c r="D933" s="51" t="inlineStr">
        <is>
          <t>Voltage</t>
        </is>
      </c>
      <c r="E933" s="51" t="inlineStr">
        <is>
          <t>ATertiary</t>
        </is>
      </c>
    </row>
    <row r="934" ht="30" customHeight="1">
      <c r="A934" s="50">
        <f>CONCATENATE(C934,D934,E934)</f>
        <v/>
      </c>
      <c r="B934" s="51" t="inlineStr">
        <is>
          <t>CUSTANLM2BTERT</t>
        </is>
      </c>
      <c r="C934" s="51" t="inlineStr">
        <is>
          <t>AnalogSignalType.Custom</t>
        </is>
      </c>
      <c r="D934" s="51" t="inlineStr">
        <is>
          <t>Voltage</t>
        </is>
      </c>
      <c r="E934" s="51" t="inlineStr">
        <is>
          <t>BTertiary</t>
        </is>
      </c>
    </row>
    <row r="935" ht="30" customHeight="1">
      <c r="A935" s="50">
        <f>CONCATENATE(C935,D935,E935)</f>
        <v/>
      </c>
      <c r="B935" s="51" t="inlineStr">
        <is>
          <t>CUSTANLM2CTERT</t>
        </is>
      </c>
      <c r="C935" s="51" t="inlineStr">
        <is>
          <t>AnalogSignalType.Custom</t>
        </is>
      </c>
      <c r="D935" s="51" t="inlineStr">
        <is>
          <t>Voltage</t>
        </is>
      </c>
      <c r="E935" s="51" t="inlineStr">
        <is>
          <t>CTertiary</t>
        </is>
      </c>
    </row>
    <row r="936" ht="30" customHeight="1">
      <c r="A936" s="50">
        <f>CONCATENATE(C936,D936,E936)</f>
        <v/>
      </c>
      <c r="B936" s="51" t="inlineStr">
        <is>
          <t>CUSTANLM3ABCTERT</t>
        </is>
      </c>
      <c r="C936" s="51" t="inlineStr">
        <is>
          <t>AnalogSignalType.Custom</t>
        </is>
      </c>
      <c r="D936" s="51" t="inlineStr">
        <is>
          <t>Current</t>
        </is>
      </c>
      <c r="E936" s="51" t="inlineStr">
        <is>
          <t>ABCTertiary</t>
        </is>
      </c>
    </row>
    <row r="937" ht="30" customHeight="1">
      <c r="A937" s="50">
        <f>CONCATENATE(C937,D937,E937)</f>
        <v/>
      </c>
      <c r="B937" s="51" t="inlineStr">
        <is>
          <t>CUSTANLM3ATERT</t>
        </is>
      </c>
      <c r="C937" s="51" t="inlineStr">
        <is>
          <t>AnalogSignalType.Custom</t>
        </is>
      </c>
      <c r="D937" s="51" t="inlineStr">
        <is>
          <t>Current</t>
        </is>
      </c>
      <c r="E937" s="51" t="inlineStr">
        <is>
          <t>ATertiary</t>
        </is>
      </c>
    </row>
    <row r="938" ht="30" customHeight="1">
      <c r="A938" s="50">
        <f>CONCATENATE(C938,D938,E938)</f>
        <v/>
      </c>
      <c r="B938" s="51" t="inlineStr">
        <is>
          <t>CUSTANLM3BTERT</t>
        </is>
      </c>
      <c r="C938" s="51" t="inlineStr">
        <is>
          <t>AnalogSignalType.Custom</t>
        </is>
      </c>
      <c r="D938" s="51" t="inlineStr">
        <is>
          <t>Current</t>
        </is>
      </c>
      <c r="E938" s="51" t="inlineStr">
        <is>
          <t>BTertiary</t>
        </is>
      </c>
    </row>
    <row r="939" ht="30" customHeight="1">
      <c r="A939" s="50">
        <f>CONCATENATE(C939,D939,E939)</f>
        <v/>
      </c>
      <c r="B939" s="51" t="inlineStr">
        <is>
          <t>CUSTANLM3CTERT</t>
        </is>
      </c>
      <c r="C939" s="51" t="inlineStr">
        <is>
          <t>AnalogSignalType.Custom</t>
        </is>
      </c>
      <c r="D939" s="51" t="inlineStr">
        <is>
          <t>Current</t>
        </is>
      </c>
      <c r="E939" s="51" t="inlineStr">
        <is>
          <t>CTertiary</t>
        </is>
      </c>
    </row>
    <row r="940" ht="30" customHeight="1">
      <c r="A940" s="50">
        <f>CONCATENATE(C940,D940,E940)</f>
        <v/>
      </c>
      <c r="B940" s="51" t="inlineStr">
        <is>
          <t>CUSTANLM3NTERT</t>
        </is>
      </c>
      <c r="C940" s="51" t="inlineStr">
        <is>
          <t>AnalogSignalType.Custom</t>
        </is>
      </c>
      <c r="D940" s="51" t="inlineStr">
        <is>
          <t>Current</t>
        </is>
      </c>
      <c r="E940" s="51" t="inlineStr">
        <is>
          <t>NTertiary</t>
        </is>
      </c>
    </row>
    <row r="941" ht="30" customHeight="1">
      <c r="A941" s="50">
        <f>CONCATENATE(C941,D941,E941)</f>
        <v/>
      </c>
      <c r="B941" s="51" t="inlineStr">
        <is>
          <t>CUSTANLM4ABCTERT</t>
        </is>
      </c>
      <c r="C941" s="51" t="inlineStr">
        <is>
          <t>AnalogSignalType.Custom</t>
        </is>
      </c>
      <c r="D941" s="51" t="inlineStr">
        <is>
          <t>ActivePower</t>
        </is>
      </c>
      <c r="E941" s="51" t="inlineStr">
        <is>
          <t>ABCTertiary</t>
        </is>
      </c>
    </row>
    <row r="942" ht="30" customHeight="1">
      <c r="A942" s="50">
        <f>CONCATENATE(C942,D942,E942)</f>
        <v/>
      </c>
      <c r="B942" s="51" t="inlineStr">
        <is>
          <t>CUSTANLM4ATERT</t>
        </is>
      </c>
      <c r="C942" s="51" t="inlineStr">
        <is>
          <t>AnalogSignalType.Custom</t>
        </is>
      </c>
      <c r="D942" s="51" t="inlineStr">
        <is>
          <t>ActivePower</t>
        </is>
      </c>
      <c r="E942" s="51" t="inlineStr">
        <is>
          <t>ATertiary</t>
        </is>
      </c>
    </row>
    <row r="943" ht="30" customHeight="1">
      <c r="A943" s="50">
        <f>CONCATENATE(C943,D943,E943)</f>
        <v/>
      </c>
      <c r="B943" s="51" t="inlineStr">
        <is>
          <t>CUSTANLM4BTERT</t>
        </is>
      </c>
      <c r="C943" s="51" t="inlineStr">
        <is>
          <t>AnalogSignalType.Custom</t>
        </is>
      </c>
      <c r="D943" s="51" t="inlineStr">
        <is>
          <t>ActivePower</t>
        </is>
      </c>
      <c r="E943" s="51" t="inlineStr">
        <is>
          <t>BTertiary</t>
        </is>
      </c>
    </row>
    <row r="944" ht="30" customHeight="1">
      <c r="A944" s="50">
        <f>CONCATENATE(C944,D944,E944)</f>
        <v/>
      </c>
      <c r="B944" s="51" t="inlineStr">
        <is>
          <t>CUSTANLM4CTERT</t>
        </is>
      </c>
      <c r="C944" s="51" t="inlineStr">
        <is>
          <t>AnalogSignalType.Custom</t>
        </is>
      </c>
      <c r="D944" s="51" t="inlineStr">
        <is>
          <t>ActivePower</t>
        </is>
      </c>
      <c r="E944" s="51" t="inlineStr">
        <is>
          <t>CTertiary</t>
        </is>
      </c>
    </row>
    <row r="945" ht="30" customHeight="1">
      <c r="A945" s="50">
        <f>CONCATENATE(C945,D945,E945)</f>
        <v/>
      </c>
      <c r="B945" s="51" t="inlineStr">
        <is>
          <t>CUSTANLM5ABCTERT</t>
        </is>
      </c>
      <c r="C945" s="51" t="inlineStr">
        <is>
          <t>AnalogSignalType.Custom</t>
        </is>
      </c>
      <c r="D945" s="51" t="inlineStr">
        <is>
          <t>ReactivePower</t>
        </is>
      </c>
      <c r="E945" s="51" t="inlineStr">
        <is>
          <t>ABCTertiary</t>
        </is>
      </c>
    </row>
    <row r="946" ht="30" customHeight="1">
      <c r="A946" s="50">
        <f>CONCATENATE(C946,D946,E946)</f>
        <v/>
      </c>
      <c r="B946" s="51" t="inlineStr">
        <is>
          <t>CUSTANLM5ATERT</t>
        </is>
      </c>
      <c r="C946" s="51" t="inlineStr">
        <is>
          <t>AnalogSignalType.Custom</t>
        </is>
      </c>
      <c r="D946" s="51" t="inlineStr">
        <is>
          <t>ReactivePower</t>
        </is>
      </c>
      <c r="E946" s="51" t="inlineStr">
        <is>
          <t>ATertiary</t>
        </is>
      </c>
    </row>
    <row r="947" ht="30" customHeight="1">
      <c r="A947" s="50">
        <f>CONCATENATE(C947,D947,E947)</f>
        <v/>
      </c>
      <c r="B947" s="51" t="inlineStr">
        <is>
          <t>CUSTANLM5BTERT</t>
        </is>
      </c>
      <c r="C947" s="51" t="inlineStr">
        <is>
          <t>AnalogSignalType.Custom</t>
        </is>
      </c>
      <c r="D947" s="51" t="inlineStr">
        <is>
          <t>ReactivePower</t>
        </is>
      </c>
      <c r="E947" s="51" t="inlineStr">
        <is>
          <t>BTertiary</t>
        </is>
      </c>
    </row>
    <row r="948" ht="30" customHeight="1">
      <c r="A948" s="50">
        <f>CONCATENATE(C948,D948,E948)</f>
        <v/>
      </c>
      <c r="B948" s="51" t="inlineStr">
        <is>
          <t>CUSTANLM5CTERT</t>
        </is>
      </c>
      <c r="C948" s="51" t="inlineStr">
        <is>
          <t>AnalogSignalType.Custom</t>
        </is>
      </c>
      <c r="D948" s="51" t="inlineStr">
        <is>
          <t>ReactivePower</t>
        </is>
      </c>
      <c r="E948" s="51" t="inlineStr">
        <is>
          <t>CTertiary</t>
        </is>
      </c>
    </row>
    <row r="949" ht="30" customHeight="1">
      <c r="A949" s="50">
        <f>CONCATENATE(C949,D949,E949)</f>
        <v/>
      </c>
      <c r="B949" s="51" t="inlineStr">
        <is>
          <t>CUSTANLM6ABCTERT</t>
        </is>
      </c>
      <c r="C949" s="51" t="inlineStr">
        <is>
          <t>AnalogSignalType.Custom</t>
        </is>
      </c>
      <c r="D949" s="51" t="inlineStr">
        <is>
          <t>Frequency</t>
        </is>
      </c>
      <c r="E949" s="51" t="inlineStr">
        <is>
          <t>ABCTertiary</t>
        </is>
      </c>
    </row>
    <row r="950" ht="30" customHeight="1">
      <c r="A950" s="50">
        <f>CONCATENATE(C950,D950,E950)</f>
        <v/>
      </c>
      <c r="B950" s="51" t="inlineStr">
        <is>
          <t>CUSTANLM6ATERT</t>
        </is>
      </c>
      <c r="C950" s="51" t="inlineStr">
        <is>
          <t>AnalogSignalType.Custom</t>
        </is>
      </c>
      <c r="D950" s="51" t="inlineStr">
        <is>
          <t>Frequency</t>
        </is>
      </c>
      <c r="E950" s="51" t="inlineStr">
        <is>
          <t>ATertiary</t>
        </is>
      </c>
    </row>
    <row r="951" ht="30" customHeight="1">
      <c r="A951" s="50">
        <f>CONCATENATE(C951,D951,E951)</f>
        <v/>
      </c>
      <c r="B951" s="51" t="inlineStr">
        <is>
          <t>CUSTANLM6BTERT</t>
        </is>
      </c>
      <c r="C951" s="51" t="inlineStr">
        <is>
          <t>AnalogSignalType.Custom</t>
        </is>
      </c>
      <c r="D951" s="51" t="inlineStr">
        <is>
          <t>Frequency</t>
        </is>
      </c>
      <c r="E951" s="51" t="inlineStr">
        <is>
          <t>BTertiary</t>
        </is>
      </c>
    </row>
    <row r="952" ht="30" customHeight="1">
      <c r="A952" s="50">
        <f>CONCATENATE(C952,D952,E952)</f>
        <v/>
      </c>
      <c r="B952" s="51" t="inlineStr">
        <is>
          <t>CUSTANLM6CTERT</t>
        </is>
      </c>
      <c r="C952" s="51" t="inlineStr">
        <is>
          <t>AnalogSignalType.Custom</t>
        </is>
      </c>
      <c r="D952" s="51" t="inlineStr">
        <is>
          <t>Frequency</t>
        </is>
      </c>
      <c r="E952" s="51" t="inlineStr">
        <is>
          <t>CTertiary</t>
        </is>
      </c>
    </row>
    <row r="953" ht="30" customHeight="1">
      <c r="A953" s="50">
        <f>CONCATENATE(C953,D953,E953)</f>
        <v/>
      </c>
      <c r="B953" s="51" t="inlineStr">
        <is>
          <t>CUSTANLM7ABCTERT</t>
        </is>
      </c>
      <c r="C953" s="51" t="inlineStr">
        <is>
          <t>AnalogSignalType.Custom</t>
        </is>
      </c>
      <c r="D953" s="51" t="inlineStr">
        <is>
          <t>Temperature</t>
        </is>
      </c>
      <c r="E953" s="51" t="inlineStr">
        <is>
          <t>ABCTertiary</t>
        </is>
      </c>
    </row>
    <row r="954" ht="30" customHeight="1">
      <c r="A954" s="50">
        <f>CONCATENATE(C954,D954,E954)</f>
        <v/>
      </c>
      <c r="B954" s="51" t="inlineStr">
        <is>
          <t>CUSTANLM7ATERT</t>
        </is>
      </c>
      <c r="C954" s="51" t="inlineStr">
        <is>
          <t>AnalogSignalType.Custom</t>
        </is>
      </c>
      <c r="D954" s="51" t="inlineStr">
        <is>
          <t>Temperature</t>
        </is>
      </c>
      <c r="E954" s="51" t="inlineStr">
        <is>
          <t>ATertiary</t>
        </is>
      </c>
    </row>
    <row r="955" ht="30" customHeight="1">
      <c r="A955" s="50">
        <f>CONCATENATE(C955,D955,E955)</f>
        <v/>
      </c>
      <c r="B955" s="51" t="inlineStr">
        <is>
          <t>CUSTANLM7BTERT</t>
        </is>
      </c>
      <c r="C955" s="51" t="inlineStr">
        <is>
          <t>AnalogSignalType.Custom</t>
        </is>
      </c>
      <c r="D955" s="51" t="inlineStr">
        <is>
          <t>Temperature</t>
        </is>
      </c>
      <c r="E955" s="51" t="inlineStr">
        <is>
          <t>BTertiary</t>
        </is>
      </c>
    </row>
    <row r="956" ht="30" customHeight="1">
      <c r="A956" s="50">
        <f>CONCATENATE(C956,D956,E956)</f>
        <v/>
      </c>
      <c r="B956" s="51" t="inlineStr">
        <is>
          <t>CUSTANLM7CTERT</t>
        </is>
      </c>
      <c r="C956" s="51" t="inlineStr">
        <is>
          <t>AnalogSignalType.Custom</t>
        </is>
      </c>
      <c r="D956" s="51" t="inlineStr">
        <is>
          <t>Temperature</t>
        </is>
      </c>
      <c r="E956" s="51" t="inlineStr">
        <is>
          <t>CTertiary</t>
        </is>
      </c>
    </row>
    <row r="957" ht="30" customHeight="1">
      <c r="A957" s="50">
        <f>CONCATENATE(C957,D957,E957)</f>
        <v/>
      </c>
      <c r="B957" s="51" t="inlineStr">
        <is>
          <t>CUSTANLM8ABCTERT</t>
        </is>
      </c>
      <c r="C957" s="51" t="inlineStr">
        <is>
          <t>AnalogSignalType.Custom</t>
        </is>
      </c>
      <c r="D957" s="51" t="inlineStr">
        <is>
          <t>ActiveEnergy</t>
        </is>
      </c>
      <c r="E957" s="51" t="inlineStr">
        <is>
          <t>ABCTertiary</t>
        </is>
      </c>
    </row>
    <row r="958" ht="30" customHeight="1">
      <c r="A958" s="50">
        <f>CONCATENATE(C958,D958,E958)</f>
        <v/>
      </c>
      <c r="B958" s="51" t="inlineStr">
        <is>
          <t>CUSTANLM8ATERT</t>
        </is>
      </c>
      <c r="C958" s="51" t="inlineStr">
        <is>
          <t>AnalogSignalType.Custom</t>
        </is>
      </c>
      <c r="D958" s="51" t="inlineStr">
        <is>
          <t>ActiveEnergy</t>
        </is>
      </c>
      <c r="E958" s="51" t="inlineStr">
        <is>
          <t>ATertiary</t>
        </is>
      </c>
    </row>
    <row r="959" ht="30" customHeight="1">
      <c r="A959" s="50">
        <f>CONCATENATE(C959,D959,E959)</f>
        <v/>
      </c>
      <c r="B959" s="51" t="inlineStr">
        <is>
          <t>CUSTANLM8BTERT</t>
        </is>
      </c>
      <c r="C959" s="51" t="inlineStr">
        <is>
          <t>AnalogSignalType.Custom</t>
        </is>
      </c>
      <c r="D959" s="51" t="inlineStr">
        <is>
          <t>ActiveEnergy</t>
        </is>
      </c>
      <c r="E959" s="51" t="inlineStr">
        <is>
          <t>BTertiary</t>
        </is>
      </c>
    </row>
    <row r="960" ht="30" customHeight="1">
      <c r="A960" s="50">
        <f>CONCATENATE(C960,D960,E960)</f>
        <v/>
      </c>
      <c r="B960" s="51" t="inlineStr">
        <is>
          <t>CUSTANLM8CTERT</t>
        </is>
      </c>
      <c r="C960" s="51" t="inlineStr">
        <is>
          <t>AnalogSignalType.Custom</t>
        </is>
      </c>
      <c r="D960" s="51" t="inlineStr">
        <is>
          <t>ActiveEnergy</t>
        </is>
      </c>
      <c r="E960" s="51" t="inlineStr">
        <is>
          <t>CTertiary</t>
        </is>
      </c>
    </row>
    <row r="961" ht="30" customHeight="1">
      <c r="A961" s="50">
        <f>CONCATENATE(C961,D961,E961)</f>
        <v/>
      </c>
      <c r="B961" s="51" t="inlineStr">
        <is>
          <t>CUSTANLM9ABCTERT</t>
        </is>
      </c>
      <c r="C961" s="51" t="inlineStr">
        <is>
          <t>AnalogSignalType.Custom</t>
        </is>
      </c>
      <c r="D961" s="51" t="inlineStr">
        <is>
          <t>ReactiveEnergy</t>
        </is>
      </c>
      <c r="E961" s="51" t="inlineStr">
        <is>
          <t>ABCTertiary</t>
        </is>
      </c>
    </row>
    <row r="962" ht="30" customHeight="1">
      <c r="A962" s="50">
        <f>CONCATENATE(C962,D962,E962)</f>
        <v/>
      </c>
      <c r="B962" s="51" t="inlineStr">
        <is>
          <t>CUSTANLM9ATERT</t>
        </is>
      </c>
      <c r="C962" s="51" t="inlineStr">
        <is>
          <t>AnalogSignalType.Custom</t>
        </is>
      </c>
      <c r="D962" s="51" t="inlineStr">
        <is>
          <t>ReactiveEnergy</t>
        </is>
      </c>
      <c r="E962" s="51" t="inlineStr">
        <is>
          <t>ATertiary</t>
        </is>
      </c>
    </row>
    <row r="963" ht="30" customHeight="1">
      <c r="A963" s="50">
        <f>CONCATENATE(C963,D963,E963)</f>
        <v/>
      </c>
      <c r="B963" s="51" t="inlineStr">
        <is>
          <t>CUSTANLM9BTERT</t>
        </is>
      </c>
      <c r="C963" s="51" t="inlineStr">
        <is>
          <t>AnalogSignalType.Custom</t>
        </is>
      </c>
      <c r="D963" s="51" t="inlineStr">
        <is>
          <t>ReactiveEnergy</t>
        </is>
      </c>
      <c r="E963" s="51" t="inlineStr">
        <is>
          <t>BTertiary</t>
        </is>
      </c>
    </row>
    <row r="964" ht="30" customHeight="1">
      <c r="A964" s="50">
        <f>CONCATENATE(C964,D964,E964)</f>
        <v/>
      </c>
      <c r="B964" s="51" t="inlineStr">
        <is>
          <t>CUSTANLM9CTERT</t>
        </is>
      </c>
      <c r="C964" s="51" t="inlineStr">
        <is>
          <t>AnalogSignalType.Custom</t>
        </is>
      </c>
      <c r="D964" s="51" t="inlineStr">
        <is>
          <t>ReactiveEnergy</t>
        </is>
      </c>
      <c r="E964" s="51" t="inlineStr">
        <is>
          <t>CTertiary</t>
        </is>
      </c>
    </row>
    <row r="965" ht="30" customHeight="1">
      <c r="A965" s="50">
        <f>CONCATENATE(C965,D965,E965)</f>
        <v/>
      </c>
      <c r="B965" s="51" t="inlineStr">
        <is>
          <t>CUSTANLM10ABCTERT</t>
        </is>
      </c>
      <c r="C965" s="51" t="inlineStr">
        <is>
          <t>AnalogSignalType.Custom</t>
        </is>
      </c>
      <c r="D965" s="51" t="inlineStr">
        <is>
          <t>ApparentPower</t>
        </is>
      </c>
      <c r="E965" s="51" t="inlineStr">
        <is>
          <t>ABCTertiary</t>
        </is>
      </c>
    </row>
    <row r="966" ht="30" customHeight="1">
      <c r="A966" s="50">
        <f>CONCATENATE(C966,D966,E966)</f>
        <v/>
      </c>
      <c r="B966" s="51" t="inlineStr">
        <is>
          <t>CUSTANLM10ATERT</t>
        </is>
      </c>
      <c r="C966" s="51" t="inlineStr">
        <is>
          <t>AnalogSignalType.Custom</t>
        </is>
      </c>
      <c r="D966" s="51" t="inlineStr">
        <is>
          <t>ApparentPower</t>
        </is>
      </c>
      <c r="E966" s="51" t="inlineStr">
        <is>
          <t>ATertiary</t>
        </is>
      </c>
    </row>
    <row r="967" ht="30" customHeight="1">
      <c r="A967" s="50">
        <f>CONCATENATE(C967,D967,E967)</f>
        <v/>
      </c>
      <c r="B967" s="51" t="inlineStr">
        <is>
          <t>CUSTANLM10BTERT</t>
        </is>
      </c>
      <c r="C967" s="51" t="inlineStr">
        <is>
          <t>AnalogSignalType.Custom</t>
        </is>
      </c>
      <c r="D967" s="51" t="inlineStr">
        <is>
          <t>ApparentPower</t>
        </is>
      </c>
      <c r="E967" s="51" t="inlineStr">
        <is>
          <t>BTertiary</t>
        </is>
      </c>
    </row>
    <row r="968" ht="30" customHeight="1">
      <c r="A968" s="50">
        <f>CONCATENATE(C968,D968,E968)</f>
        <v/>
      </c>
      <c r="B968" s="51" t="inlineStr">
        <is>
          <t>CUSTANLM10CTERT</t>
        </is>
      </c>
      <c r="C968" s="51" t="inlineStr">
        <is>
          <t>AnalogSignalType.Custom</t>
        </is>
      </c>
      <c r="D968" s="51" t="inlineStr">
        <is>
          <t>ApparentPower</t>
        </is>
      </c>
      <c r="E968" s="51" t="inlineStr">
        <is>
          <t>CTertiary</t>
        </is>
      </c>
    </row>
    <row r="969" ht="30" customHeight="1">
      <c r="A969" s="50">
        <f>CONCATENATE(C969,D969,E969)</f>
        <v/>
      </c>
      <c r="B969" s="51" t="inlineStr">
        <is>
          <t>CUSTANLM11ABCTERT</t>
        </is>
      </c>
      <c r="C969" s="51" t="inlineStr">
        <is>
          <t>AnalogSignalType.Custom</t>
        </is>
      </c>
      <c r="D969" s="51" t="inlineStr">
        <is>
          <t>VoltageAngle</t>
        </is>
      </c>
      <c r="E969" s="51" t="inlineStr">
        <is>
          <t>ABCTertiary</t>
        </is>
      </c>
    </row>
    <row r="970" ht="30" customHeight="1">
      <c r="A970" s="50">
        <f>CONCATENATE(C970,D970,E970)</f>
        <v/>
      </c>
      <c r="B970" s="51" t="inlineStr">
        <is>
          <t>CUSTANLM11ATERT</t>
        </is>
      </c>
      <c r="C970" s="51" t="inlineStr">
        <is>
          <t>AnalogSignalType.Custom</t>
        </is>
      </c>
      <c r="D970" s="51" t="inlineStr">
        <is>
          <t>VoltageAngle</t>
        </is>
      </c>
      <c r="E970" s="51" t="inlineStr">
        <is>
          <t>ATertiary</t>
        </is>
      </c>
    </row>
    <row r="971" ht="30" customHeight="1">
      <c r="A971" s="50">
        <f>CONCATENATE(C971,D971,E971)</f>
        <v/>
      </c>
      <c r="B971" s="51" t="inlineStr">
        <is>
          <t>CUSTANLM11BTERT</t>
        </is>
      </c>
      <c r="C971" s="51" t="inlineStr">
        <is>
          <t>AnalogSignalType.Custom</t>
        </is>
      </c>
      <c r="D971" s="51" t="inlineStr">
        <is>
          <t>VoltageAngle</t>
        </is>
      </c>
      <c r="E971" s="51" t="inlineStr">
        <is>
          <t>BTertiary</t>
        </is>
      </c>
    </row>
    <row r="972" ht="30" customHeight="1">
      <c r="A972" s="50">
        <f>CONCATENATE(C972,D972,E972)</f>
        <v/>
      </c>
      <c r="B972" s="51" t="inlineStr">
        <is>
          <t>CUSTANLM11CTERT</t>
        </is>
      </c>
      <c r="C972" s="51" t="inlineStr">
        <is>
          <t>AnalogSignalType.Custom</t>
        </is>
      </c>
      <c r="D972" s="51" t="inlineStr">
        <is>
          <t>VoltageAngle</t>
        </is>
      </c>
      <c r="E972" s="51" t="inlineStr">
        <is>
          <t>CTertiary</t>
        </is>
      </c>
    </row>
    <row r="973" ht="30" customHeight="1">
      <c r="A973" s="50">
        <f>CONCATENATE(C973,D973,E973)</f>
        <v/>
      </c>
      <c r="B973" s="51" t="inlineStr">
        <is>
          <t>CUSTANLM12ABCTERT</t>
        </is>
      </c>
      <c r="C973" s="51" t="inlineStr">
        <is>
          <t>AnalogSignalType.Custom</t>
        </is>
      </c>
      <c r="D973" s="51" t="inlineStr">
        <is>
          <t>Time</t>
        </is>
      </c>
      <c r="E973" s="51" t="inlineStr">
        <is>
          <t>ABCTertiary</t>
        </is>
      </c>
    </row>
    <row r="974" ht="30" customHeight="1">
      <c r="A974" s="50">
        <f>CONCATENATE(C974,D974,E974)</f>
        <v/>
      </c>
      <c r="B974" s="51" t="inlineStr">
        <is>
          <t>CUSTANLM12ATERT</t>
        </is>
      </c>
      <c r="C974" s="51" t="inlineStr">
        <is>
          <t>AnalogSignalType.Custom</t>
        </is>
      </c>
      <c r="D974" s="51" t="inlineStr">
        <is>
          <t>Time</t>
        </is>
      </c>
      <c r="E974" s="51" t="inlineStr">
        <is>
          <t>ATertiary</t>
        </is>
      </c>
    </row>
    <row r="975" ht="30" customHeight="1">
      <c r="A975" s="50">
        <f>CONCATENATE(C975,D975,E975)</f>
        <v/>
      </c>
      <c r="B975" s="51" t="inlineStr">
        <is>
          <t>CUSTANLM12BTERT</t>
        </is>
      </c>
      <c r="C975" s="51" t="inlineStr">
        <is>
          <t>AnalogSignalType.Custom</t>
        </is>
      </c>
      <c r="D975" s="51" t="inlineStr">
        <is>
          <t>Time</t>
        </is>
      </c>
      <c r="E975" s="51" t="inlineStr">
        <is>
          <t>BTertiary</t>
        </is>
      </c>
    </row>
    <row r="976" ht="30" customHeight="1">
      <c r="A976" s="50">
        <f>CONCATENATE(C976,D976,E976)</f>
        <v/>
      </c>
      <c r="B976" s="51" t="inlineStr">
        <is>
          <t>CUSTANLM12CTERT</t>
        </is>
      </c>
      <c r="C976" s="51" t="inlineStr">
        <is>
          <t>AnalogSignalType.Custom</t>
        </is>
      </c>
      <c r="D976" s="51" t="inlineStr">
        <is>
          <t>Time</t>
        </is>
      </c>
      <c r="E976" s="51" t="inlineStr">
        <is>
          <t>CTertiary</t>
        </is>
      </c>
    </row>
    <row r="977" ht="30" customHeight="1">
      <c r="A977" s="50">
        <f>CONCATENATE(C977,D977,E977)</f>
        <v/>
      </c>
      <c r="B977" s="51" t="inlineStr">
        <is>
          <t>CUSTANLM13ABCTERT</t>
        </is>
      </c>
      <c r="C977" s="51" t="inlineStr">
        <is>
          <t>AnalogSignalType.Custom</t>
        </is>
      </c>
      <c r="D977" s="51" t="inlineStr">
        <is>
          <t>Humidity</t>
        </is>
      </c>
      <c r="E977" s="51" t="inlineStr">
        <is>
          <t>ABCTertiary</t>
        </is>
      </c>
    </row>
    <row r="978" ht="30" customHeight="1">
      <c r="A978" s="50">
        <f>CONCATENATE(C978,D978,E978)</f>
        <v/>
      </c>
      <c r="B978" s="51" t="inlineStr">
        <is>
          <t>CUSTANLM13ATERT</t>
        </is>
      </c>
      <c r="C978" s="51" t="inlineStr">
        <is>
          <t>AnalogSignalType.Custom</t>
        </is>
      </c>
      <c r="D978" s="51" t="inlineStr">
        <is>
          <t>Humidity</t>
        </is>
      </c>
      <c r="E978" s="51" t="inlineStr">
        <is>
          <t>ATertiary</t>
        </is>
      </c>
    </row>
    <row r="979" ht="30" customHeight="1">
      <c r="A979" s="50">
        <f>CONCATENATE(C979,D979,E979)</f>
        <v/>
      </c>
      <c r="B979" s="51" t="inlineStr">
        <is>
          <t>CUSTANLM13BTERT</t>
        </is>
      </c>
      <c r="C979" s="51" t="inlineStr">
        <is>
          <t>AnalogSignalType.Custom</t>
        </is>
      </c>
      <c r="D979" s="51" t="inlineStr">
        <is>
          <t>Humidity</t>
        </is>
      </c>
      <c r="E979" s="51" t="inlineStr">
        <is>
          <t>BTertiary</t>
        </is>
      </c>
    </row>
    <row r="980" ht="30" customHeight="1">
      <c r="A980" s="50">
        <f>CONCATENATE(C980,D980,E980)</f>
        <v/>
      </c>
      <c r="B980" s="51" t="inlineStr">
        <is>
          <t>CUSTANLM13CTERT</t>
        </is>
      </c>
      <c r="C980" s="51" t="inlineStr">
        <is>
          <t>AnalogSignalType.Custom</t>
        </is>
      </c>
      <c r="D980" s="51" t="inlineStr">
        <is>
          <t>Humidity</t>
        </is>
      </c>
      <c r="E980" s="51" t="inlineStr">
        <is>
          <t>CTertiary</t>
        </is>
      </c>
    </row>
    <row r="981" ht="30" customHeight="1">
      <c r="A981" s="50">
        <f>CONCATENATE(C981,D981,E981)</f>
        <v/>
      </c>
      <c r="B981" s="51" t="inlineStr">
        <is>
          <t>CUSTANLM14ABCTERT</t>
        </is>
      </c>
      <c r="C981" s="51" t="inlineStr">
        <is>
          <t>AnalogSignalType.Custom</t>
        </is>
      </c>
      <c r="D981" s="51" t="inlineStr">
        <is>
          <t>WindSpeed</t>
        </is>
      </c>
      <c r="E981" s="51" t="inlineStr">
        <is>
          <t>ABCTertiary</t>
        </is>
      </c>
    </row>
    <row r="982" ht="30" customHeight="1">
      <c r="A982" s="50">
        <f>CONCATENATE(C982,D982,E982)</f>
        <v/>
      </c>
      <c r="B982" s="51" t="inlineStr">
        <is>
          <t>CUSTANLM14ATERT</t>
        </is>
      </c>
      <c r="C982" s="51" t="inlineStr">
        <is>
          <t>AnalogSignalType.Custom</t>
        </is>
      </c>
      <c r="D982" s="51" t="inlineStr">
        <is>
          <t>WindSpeed</t>
        </is>
      </c>
      <c r="E982" s="51" t="inlineStr">
        <is>
          <t>ATertiary</t>
        </is>
      </c>
    </row>
    <row r="983" ht="30" customHeight="1">
      <c r="A983" s="50">
        <f>CONCATENATE(C983,D983,E983)</f>
        <v/>
      </c>
      <c r="B983" s="51" t="inlineStr">
        <is>
          <t>CUSTANLM14BTERT</t>
        </is>
      </c>
      <c r="C983" s="51" t="inlineStr">
        <is>
          <t>AnalogSignalType.Custom</t>
        </is>
      </c>
      <c r="D983" s="51" t="inlineStr">
        <is>
          <t>WindSpeed</t>
        </is>
      </c>
      <c r="E983" s="51" t="inlineStr">
        <is>
          <t>BTertiary</t>
        </is>
      </c>
    </row>
    <row r="984" ht="30" customHeight="1">
      <c r="A984" s="50">
        <f>CONCATENATE(C984,D984,E984)</f>
        <v/>
      </c>
      <c r="B984" s="51" t="inlineStr">
        <is>
          <t>CUSTANLM14CTERT</t>
        </is>
      </c>
      <c r="C984" s="51" t="inlineStr">
        <is>
          <t>AnalogSignalType.Custom</t>
        </is>
      </c>
      <c r="D984" s="51" t="inlineStr">
        <is>
          <t>WindSpeed</t>
        </is>
      </c>
      <c r="E984" s="51" t="inlineStr">
        <is>
          <t>CTertiary</t>
        </is>
      </c>
    </row>
    <row r="985" ht="30" customHeight="1">
      <c r="A985" s="50">
        <f>CONCATENATE(C985,D985,E985)</f>
        <v/>
      </c>
      <c r="B985" s="51" t="inlineStr">
        <is>
          <t>CUSTANLM15ABCTERT</t>
        </is>
      </c>
      <c r="C985" s="51" t="inlineStr">
        <is>
          <t>AnalogSignalType.Custom</t>
        </is>
      </c>
      <c r="D985" s="51" t="inlineStr">
        <is>
          <t>FeelsLike</t>
        </is>
      </c>
      <c r="E985" s="51" t="inlineStr">
        <is>
          <t>ABCTertiary</t>
        </is>
      </c>
    </row>
    <row r="986" ht="30" customHeight="1">
      <c r="A986" s="50">
        <f>CONCATENATE(C986,D986,E986)</f>
        <v/>
      </c>
      <c r="B986" s="51" t="inlineStr">
        <is>
          <t>CUSTANLM15ATERT</t>
        </is>
      </c>
      <c r="C986" s="51" t="inlineStr">
        <is>
          <t>AnalogSignalType.Custom</t>
        </is>
      </c>
      <c r="D986" s="51" t="inlineStr">
        <is>
          <t>FeelsLike</t>
        </is>
      </c>
      <c r="E986" s="51" t="inlineStr">
        <is>
          <t>ATertiary</t>
        </is>
      </c>
    </row>
    <row r="987" ht="30" customHeight="1">
      <c r="A987" s="50">
        <f>CONCATENATE(C987,D987,E987)</f>
        <v/>
      </c>
      <c r="B987" s="51" t="inlineStr">
        <is>
          <t>CUSTANLM15BTERT</t>
        </is>
      </c>
      <c r="C987" s="51" t="inlineStr">
        <is>
          <t>AnalogSignalType.Custom</t>
        </is>
      </c>
      <c r="D987" s="51" t="inlineStr">
        <is>
          <t>FeelsLike</t>
        </is>
      </c>
      <c r="E987" s="51" t="inlineStr">
        <is>
          <t>BTertiary</t>
        </is>
      </c>
    </row>
    <row r="988" ht="30" customHeight="1">
      <c r="A988" s="50">
        <f>CONCATENATE(C988,D988,E988)</f>
        <v/>
      </c>
      <c r="B988" s="51" t="inlineStr">
        <is>
          <t>CUSTANLM15CTERT</t>
        </is>
      </c>
      <c r="C988" s="51" t="inlineStr">
        <is>
          <t>AnalogSignalType.Custom</t>
        </is>
      </c>
      <c r="D988" s="51" t="inlineStr">
        <is>
          <t>FeelsLike</t>
        </is>
      </c>
      <c r="E988" s="51" t="inlineStr">
        <is>
          <t>CTertiary</t>
        </is>
      </c>
    </row>
    <row r="989" ht="30" customHeight="1">
      <c r="A989" s="50">
        <f>CONCATENATE(C989,D989,E989)</f>
        <v/>
      </c>
      <c r="B989" s="51" t="inlineStr">
        <is>
          <t>CUSTANLM16ABCTERT</t>
        </is>
      </c>
      <c r="C989" s="51" t="inlineStr">
        <is>
          <t>AnalogSignalType.Custom</t>
        </is>
      </c>
      <c r="D989" s="51" t="inlineStr">
        <is>
          <t>SunshineMinutes</t>
        </is>
      </c>
      <c r="E989" s="51" t="inlineStr">
        <is>
          <t>ABCTertiary</t>
        </is>
      </c>
    </row>
    <row r="990" ht="30" customHeight="1">
      <c r="A990" s="50">
        <f>CONCATENATE(C990,D990,E990)</f>
        <v/>
      </c>
      <c r="B990" s="51" t="inlineStr">
        <is>
          <t>CUSTANLM16ATERT</t>
        </is>
      </c>
      <c r="C990" s="51" t="inlineStr">
        <is>
          <t>AnalogSignalType.Custom</t>
        </is>
      </c>
      <c r="D990" s="51" t="inlineStr">
        <is>
          <t>SunshineMinutes</t>
        </is>
      </c>
      <c r="E990" s="51" t="inlineStr">
        <is>
          <t>ATertiary</t>
        </is>
      </c>
    </row>
    <row r="991" ht="30" customHeight="1">
      <c r="A991" s="50">
        <f>CONCATENATE(C991,D991,E991)</f>
        <v/>
      </c>
      <c r="B991" s="51" t="inlineStr">
        <is>
          <t>CUSTANLM16BTERT</t>
        </is>
      </c>
      <c r="C991" s="51" t="inlineStr">
        <is>
          <t>AnalogSignalType.Custom</t>
        </is>
      </c>
      <c r="D991" s="51" t="inlineStr">
        <is>
          <t>SunshineMinutes</t>
        </is>
      </c>
      <c r="E991" s="51" t="inlineStr">
        <is>
          <t>BTertiary</t>
        </is>
      </c>
    </row>
    <row r="992" ht="30" customHeight="1">
      <c r="A992" s="50">
        <f>CONCATENATE(C992,D992,E992)</f>
        <v/>
      </c>
      <c r="B992" s="51" t="inlineStr">
        <is>
          <t>CUSTANLM16CTERT</t>
        </is>
      </c>
      <c r="C992" s="51" t="inlineStr">
        <is>
          <t>AnalogSignalType.Custom</t>
        </is>
      </c>
      <c r="D992" s="51" t="inlineStr">
        <is>
          <t>SunshineMinutes</t>
        </is>
      </c>
      <c r="E992" s="51" t="inlineStr">
        <is>
          <t>CTertiary</t>
        </is>
      </c>
    </row>
    <row r="993" ht="30" customHeight="1">
      <c r="A993" s="50">
        <f>CONCATENATE(C993,D993,E993)</f>
        <v/>
      </c>
      <c r="B993" s="51" t="inlineStr">
        <is>
          <t>CUSTANLM17ABCTERT</t>
        </is>
      </c>
      <c r="C993" s="51" t="inlineStr">
        <is>
          <t>AnalogSignalType.Custom</t>
        </is>
      </c>
      <c r="D993" s="51" t="inlineStr">
        <is>
          <t>SkyCover</t>
        </is>
      </c>
      <c r="E993" s="51" t="inlineStr">
        <is>
          <t>ABCTertiary</t>
        </is>
      </c>
    </row>
    <row r="994" ht="30" customHeight="1">
      <c r="A994" s="50">
        <f>CONCATENATE(C994,D994,E994)</f>
        <v/>
      </c>
      <c r="B994" s="51" t="inlineStr">
        <is>
          <t>CUSTANLM17ATERT</t>
        </is>
      </c>
      <c r="C994" s="51" t="inlineStr">
        <is>
          <t>AnalogSignalType.Custom</t>
        </is>
      </c>
      <c r="D994" s="51" t="inlineStr">
        <is>
          <t>SkyCover</t>
        </is>
      </c>
      <c r="E994" s="51" t="inlineStr">
        <is>
          <t>ATertiary</t>
        </is>
      </c>
    </row>
    <row r="995" ht="30" customHeight="1">
      <c r="A995" s="50">
        <f>CONCATENATE(C995,D995,E995)</f>
        <v/>
      </c>
      <c r="B995" s="51" t="inlineStr">
        <is>
          <t>CUSTANLM17BTERT</t>
        </is>
      </c>
      <c r="C995" s="51" t="inlineStr">
        <is>
          <t>AnalogSignalType.Custom</t>
        </is>
      </c>
      <c r="D995" s="51" t="inlineStr">
        <is>
          <t>SkyCover</t>
        </is>
      </c>
      <c r="E995" s="51" t="inlineStr">
        <is>
          <t>BTertiary</t>
        </is>
      </c>
    </row>
    <row r="996" ht="30" customHeight="1">
      <c r="A996" s="50">
        <f>CONCATENATE(C996,D996,E996)</f>
        <v/>
      </c>
      <c r="B996" s="51" t="inlineStr">
        <is>
          <t>CUSTANLM17CTERT</t>
        </is>
      </c>
      <c r="C996" s="51" t="inlineStr">
        <is>
          <t>AnalogSignalType.Custom</t>
        </is>
      </c>
      <c r="D996" s="51" t="inlineStr">
        <is>
          <t>SkyCover</t>
        </is>
      </c>
      <c r="E996" s="51" t="inlineStr">
        <is>
          <t>CTertiary</t>
        </is>
      </c>
    </row>
    <row r="997" ht="30" customHeight="1">
      <c r="A997" s="50">
        <f>CONCATENATE(C997,D997,E997)</f>
        <v/>
      </c>
      <c r="B997" s="51" t="inlineStr">
        <is>
          <t>CUSTANLM18ABCTERT</t>
        </is>
      </c>
      <c r="C997" s="51" t="inlineStr">
        <is>
          <t>AnalogSignalType.Custom</t>
        </is>
      </c>
      <c r="D997" s="51" t="inlineStr">
        <is>
          <t>Length</t>
        </is>
      </c>
      <c r="E997" s="51" t="inlineStr">
        <is>
          <t>ABCTertiary</t>
        </is>
      </c>
    </row>
    <row r="998" ht="30" customHeight="1">
      <c r="A998" s="50">
        <f>CONCATENATE(C998,D998,E998)</f>
        <v/>
      </c>
      <c r="B998" s="51" t="inlineStr">
        <is>
          <t>CUSTANLM18ATERT</t>
        </is>
      </c>
      <c r="C998" s="51" t="inlineStr">
        <is>
          <t>AnalogSignalType.Custom</t>
        </is>
      </c>
      <c r="D998" s="51" t="inlineStr">
        <is>
          <t>Length</t>
        </is>
      </c>
      <c r="E998" s="51" t="inlineStr">
        <is>
          <t>ATertiary</t>
        </is>
      </c>
    </row>
    <row r="999" ht="30" customHeight="1">
      <c r="A999" s="50">
        <f>CONCATENATE(C999,D999,E999)</f>
        <v/>
      </c>
      <c r="B999" s="51" t="inlineStr">
        <is>
          <t>CUSTANLM18BTERT</t>
        </is>
      </c>
      <c r="C999" s="51" t="inlineStr">
        <is>
          <t>AnalogSignalType.Custom</t>
        </is>
      </c>
      <c r="D999" s="51" t="inlineStr">
        <is>
          <t>Length</t>
        </is>
      </c>
      <c r="E999" s="51" t="inlineStr">
        <is>
          <t>BTertiary</t>
        </is>
      </c>
    </row>
    <row r="1000" ht="30" customHeight="1">
      <c r="A1000" s="50">
        <f>CONCATENATE(C1000,D1000,E1000)</f>
        <v/>
      </c>
      <c r="B1000" s="51" t="inlineStr">
        <is>
          <t>CUSTANLM18CTERT</t>
        </is>
      </c>
      <c r="C1000" s="51" t="inlineStr">
        <is>
          <t>AnalogSignalType.Custom</t>
        </is>
      </c>
      <c r="D1000" s="51" t="inlineStr">
        <is>
          <t>Length</t>
        </is>
      </c>
      <c r="E1000" s="51" t="inlineStr">
        <is>
          <t>CTertiary</t>
        </is>
      </c>
    </row>
    <row r="1001" ht="30" customHeight="1">
      <c r="A1001" s="50">
        <f>CONCATENATE(C1001,D1001,E1001)</f>
        <v/>
      </c>
      <c r="B1001" s="51" t="inlineStr">
        <is>
          <t>CUSTANLM19ABCTERT</t>
        </is>
      </c>
      <c r="C1001" s="51" t="inlineStr">
        <is>
          <t>AnalogSignalType.Custom</t>
        </is>
      </c>
      <c r="D1001" s="51" t="inlineStr">
        <is>
          <t>CrossSection</t>
        </is>
      </c>
      <c r="E1001" s="51" t="inlineStr">
        <is>
          <t>ABCTertiary</t>
        </is>
      </c>
    </row>
    <row r="1002" ht="30" customHeight="1">
      <c r="A1002" s="50">
        <f>CONCATENATE(C1002,D1002,E1002)</f>
        <v/>
      </c>
      <c r="B1002" s="51" t="inlineStr">
        <is>
          <t>CUSTANLM19ATERT</t>
        </is>
      </c>
      <c r="C1002" s="51" t="inlineStr">
        <is>
          <t>AnalogSignalType.Custom</t>
        </is>
      </c>
      <c r="D1002" s="51" t="inlineStr">
        <is>
          <t>CrossSection</t>
        </is>
      </c>
      <c r="E1002" s="51" t="inlineStr">
        <is>
          <t>ATertiary</t>
        </is>
      </c>
    </row>
    <row r="1003" ht="30" customHeight="1">
      <c r="A1003" s="50">
        <f>CONCATENATE(C1003,D1003,E1003)</f>
        <v/>
      </c>
      <c r="B1003" s="51" t="inlineStr">
        <is>
          <t>CUSTANLM19BTERT</t>
        </is>
      </c>
      <c r="C1003" s="51" t="inlineStr">
        <is>
          <t>AnalogSignalType.Custom</t>
        </is>
      </c>
      <c r="D1003" s="51" t="inlineStr">
        <is>
          <t>CrossSection</t>
        </is>
      </c>
      <c r="E1003" s="51" t="inlineStr">
        <is>
          <t>BTertiary</t>
        </is>
      </c>
    </row>
    <row r="1004" ht="30" customHeight="1">
      <c r="A1004" s="50">
        <f>CONCATENATE(C1004,D1004,E1004)</f>
        <v/>
      </c>
      <c r="B1004" s="51" t="inlineStr">
        <is>
          <t>CUSTANLM19CTERT</t>
        </is>
      </c>
      <c r="C1004" s="51" t="inlineStr">
        <is>
          <t>AnalogSignalType.Custom</t>
        </is>
      </c>
      <c r="D1004" s="51" t="inlineStr">
        <is>
          <t>CrossSection</t>
        </is>
      </c>
      <c r="E1004" s="51" t="inlineStr">
        <is>
          <t>CTertiary</t>
        </is>
      </c>
    </row>
    <row r="1005" ht="30" customHeight="1">
      <c r="A1005" s="50">
        <f>CONCATENATE(C1005,D1005,E1005)</f>
        <v/>
      </c>
      <c r="B1005" s="51" t="inlineStr">
        <is>
          <t>CUSTANLM20ABCTERT</t>
        </is>
      </c>
      <c r="C1005" s="51" t="inlineStr">
        <is>
          <t>AnalogSignalType.Custom</t>
        </is>
      </c>
      <c r="D1005" s="51" t="inlineStr">
        <is>
          <t>Impedance</t>
        </is>
      </c>
      <c r="E1005" s="51" t="inlineStr">
        <is>
          <t>ABCTertiary</t>
        </is>
      </c>
    </row>
    <row r="1006" ht="30" customHeight="1">
      <c r="A1006" s="50">
        <f>CONCATENATE(C1006,D1006,E1006)</f>
        <v/>
      </c>
      <c r="B1006" s="51" t="inlineStr">
        <is>
          <t>CUSTANLM20ATERT</t>
        </is>
      </c>
      <c r="C1006" s="51" t="inlineStr">
        <is>
          <t>AnalogSignalType.Custom</t>
        </is>
      </c>
      <c r="D1006" s="51" t="inlineStr">
        <is>
          <t>Impedance</t>
        </is>
      </c>
      <c r="E1006" s="51" t="inlineStr">
        <is>
          <t>ATertiary</t>
        </is>
      </c>
    </row>
    <row r="1007" ht="30" customHeight="1">
      <c r="A1007" s="50">
        <f>CONCATENATE(C1007,D1007,E1007)</f>
        <v/>
      </c>
      <c r="B1007" s="51" t="inlineStr">
        <is>
          <t>CUSTANLM20BTERT</t>
        </is>
      </c>
      <c r="C1007" s="51" t="inlineStr">
        <is>
          <t>AnalogSignalType.Custom</t>
        </is>
      </c>
      <c r="D1007" s="51" t="inlineStr">
        <is>
          <t>Impedance</t>
        </is>
      </c>
      <c r="E1007" s="51" t="inlineStr">
        <is>
          <t>BTertiary</t>
        </is>
      </c>
    </row>
    <row r="1008" ht="30" customHeight="1">
      <c r="A1008" s="50">
        <f>CONCATENATE(C1008,D1008,E1008)</f>
        <v/>
      </c>
      <c r="B1008" s="51" t="inlineStr">
        <is>
          <t>CUSTANLM20CTERT</t>
        </is>
      </c>
      <c r="C1008" s="51" t="inlineStr">
        <is>
          <t>AnalogSignalType.Custom</t>
        </is>
      </c>
      <c r="D1008" s="51" t="inlineStr">
        <is>
          <t>Impedance</t>
        </is>
      </c>
      <c r="E1008" s="51" t="inlineStr">
        <is>
          <t>CTertiary</t>
        </is>
      </c>
    </row>
    <row r="1009" ht="30" customHeight="1">
      <c r="A1009" s="50">
        <f>CONCATENATE(C1009,D1009,E1009)</f>
        <v/>
      </c>
      <c r="B1009" s="51" t="inlineStr">
        <is>
          <t>CUSTANLM21ABCTERT</t>
        </is>
      </c>
      <c r="C1009" s="51" t="inlineStr">
        <is>
          <t>AnalogSignalType.Custom</t>
        </is>
      </c>
      <c r="D1009" s="51" t="inlineStr">
        <is>
          <t>Admittance</t>
        </is>
      </c>
      <c r="E1009" s="51" t="inlineStr">
        <is>
          <t>ABCTertiary</t>
        </is>
      </c>
    </row>
    <row r="1010" ht="30" customHeight="1">
      <c r="A1010" s="50">
        <f>CONCATENATE(C1010,D1010,E1010)</f>
        <v/>
      </c>
      <c r="B1010" s="51" t="inlineStr">
        <is>
          <t>CUSTANLM21ATERT</t>
        </is>
      </c>
      <c r="C1010" s="51" t="inlineStr">
        <is>
          <t>AnalogSignalType.Custom</t>
        </is>
      </c>
      <c r="D1010" s="51" t="inlineStr">
        <is>
          <t>Admittance</t>
        </is>
      </c>
      <c r="E1010" s="51" t="inlineStr">
        <is>
          <t>ATertiary</t>
        </is>
      </c>
    </row>
    <row r="1011" ht="30" customHeight="1">
      <c r="A1011" s="50">
        <f>CONCATENATE(C1011,D1011,E1011)</f>
        <v/>
      </c>
      <c r="B1011" s="51" t="inlineStr">
        <is>
          <t>CUSTANLM21BTERT</t>
        </is>
      </c>
      <c r="C1011" s="51" t="inlineStr">
        <is>
          <t>AnalogSignalType.Custom</t>
        </is>
      </c>
      <c r="D1011" s="51" t="inlineStr">
        <is>
          <t>Admittance</t>
        </is>
      </c>
      <c r="E1011" s="51" t="inlineStr">
        <is>
          <t>BTertiary</t>
        </is>
      </c>
    </row>
    <row r="1012" ht="30" customHeight="1">
      <c r="A1012" s="50">
        <f>CONCATENATE(C1012,D1012,E1012)</f>
        <v/>
      </c>
      <c r="B1012" s="51" t="inlineStr">
        <is>
          <t>CUSTANLM21CTERT</t>
        </is>
      </c>
      <c r="C1012" s="51" t="inlineStr">
        <is>
          <t>AnalogSignalType.Custom</t>
        </is>
      </c>
      <c r="D1012" s="51" t="inlineStr">
        <is>
          <t>Admittance</t>
        </is>
      </c>
      <c r="E1012" s="51" t="inlineStr">
        <is>
          <t>CTertiary</t>
        </is>
      </c>
    </row>
    <row r="1013" ht="30" customHeight="1">
      <c r="A1013" s="50">
        <f>CONCATENATE(C1013,D1013,E1013)</f>
        <v/>
      </c>
      <c r="B1013" s="51" t="inlineStr">
        <is>
          <t>CUSTANLM22ABCTERT</t>
        </is>
      </c>
      <c r="C1013" s="51" t="inlineStr">
        <is>
          <t>AnalogSignalType.Custom</t>
        </is>
      </c>
      <c r="D1013" s="51" t="inlineStr">
        <is>
          <t>ImpedancePerLength</t>
        </is>
      </c>
      <c r="E1013" s="51" t="inlineStr">
        <is>
          <t>ABCTertiary</t>
        </is>
      </c>
    </row>
    <row r="1014" ht="30" customHeight="1">
      <c r="A1014" s="50">
        <f>CONCATENATE(C1014,D1014,E1014)</f>
        <v/>
      </c>
      <c r="B1014" s="51" t="inlineStr">
        <is>
          <t>CUSTANLM22ATERT</t>
        </is>
      </c>
      <c r="C1014" s="51" t="inlineStr">
        <is>
          <t>AnalogSignalType.Custom</t>
        </is>
      </c>
      <c r="D1014" s="51" t="inlineStr">
        <is>
          <t>ImpedancePerLength</t>
        </is>
      </c>
      <c r="E1014" s="51" t="inlineStr">
        <is>
          <t>ATertiary</t>
        </is>
      </c>
    </row>
    <row r="1015" ht="30" customHeight="1">
      <c r="A1015" s="50">
        <f>CONCATENATE(C1015,D1015,E1015)</f>
        <v/>
      </c>
      <c r="B1015" s="51" t="inlineStr">
        <is>
          <t>CUSTANLM22BTERT</t>
        </is>
      </c>
      <c r="C1015" s="51" t="inlineStr">
        <is>
          <t>AnalogSignalType.Custom</t>
        </is>
      </c>
      <c r="D1015" s="51" t="inlineStr">
        <is>
          <t>ImpedancePerLength</t>
        </is>
      </c>
      <c r="E1015" s="51" t="inlineStr">
        <is>
          <t>BTertiary</t>
        </is>
      </c>
    </row>
    <row r="1016" ht="30" customHeight="1">
      <c r="A1016" s="50">
        <f>CONCATENATE(C1016,D1016,E1016)</f>
        <v/>
      </c>
      <c r="B1016" s="51" t="inlineStr">
        <is>
          <t>CUSTANLM22CTERT</t>
        </is>
      </c>
      <c r="C1016" s="51" t="inlineStr">
        <is>
          <t>AnalogSignalType.Custom</t>
        </is>
      </c>
      <c r="D1016" s="51" t="inlineStr">
        <is>
          <t>ImpedancePerLength</t>
        </is>
      </c>
      <c r="E1016" s="51" t="inlineStr">
        <is>
          <t>CTertiary</t>
        </is>
      </c>
    </row>
    <row r="1017" ht="30" customHeight="1">
      <c r="A1017" s="50">
        <f>CONCATENATE(C1017,D1017,E1017)</f>
        <v/>
      </c>
      <c r="B1017" s="51" t="inlineStr">
        <is>
          <t>CUSTANLM23ABCTERT</t>
        </is>
      </c>
      <c r="C1017" s="51" t="inlineStr">
        <is>
          <t>AnalogSignalType.Custom</t>
        </is>
      </c>
      <c r="D1017" s="51" t="inlineStr">
        <is>
          <t>AdmittancePerLength</t>
        </is>
      </c>
      <c r="E1017" s="51" t="inlineStr">
        <is>
          <t>ABCTertiary</t>
        </is>
      </c>
    </row>
    <row r="1018" ht="30" customHeight="1">
      <c r="A1018" s="50">
        <f>CONCATENATE(C1018,D1018,E1018)</f>
        <v/>
      </c>
      <c r="B1018" s="51" t="inlineStr">
        <is>
          <t>CUSTANLM23ATERT</t>
        </is>
      </c>
      <c r="C1018" s="51" t="inlineStr">
        <is>
          <t>AnalogSignalType.Custom</t>
        </is>
      </c>
      <c r="D1018" s="51" t="inlineStr">
        <is>
          <t>AdmittancePerLength</t>
        </is>
      </c>
      <c r="E1018" s="51" t="inlineStr">
        <is>
          <t>ATertiary</t>
        </is>
      </c>
    </row>
    <row r="1019" ht="30" customHeight="1">
      <c r="A1019" s="50">
        <f>CONCATENATE(C1019,D1019,E1019)</f>
        <v/>
      </c>
      <c r="B1019" s="51" t="inlineStr">
        <is>
          <t>CUSTANLM23BTERT</t>
        </is>
      </c>
      <c r="C1019" s="51" t="inlineStr">
        <is>
          <t>AnalogSignalType.Custom</t>
        </is>
      </c>
      <c r="D1019" s="51" t="inlineStr">
        <is>
          <t>AdmittancePerLength</t>
        </is>
      </c>
      <c r="E1019" s="51" t="inlineStr">
        <is>
          <t>BTertiary</t>
        </is>
      </c>
    </row>
    <row r="1020" ht="30" customHeight="1">
      <c r="A1020" s="50">
        <f>CONCATENATE(C1020,D1020,E1020)</f>
        <v/>
      </c>
      <c r="B1020" s="51" t="inlineStr">
        <is>
          <t>CUSTANLM23CTERT</t>
        </is>
      </c>
      <c r="C1020" s="51" t="inlineStr">
        <is>
          <t>AnalogSignalType.Custom</t>
        </is>
      </c>
      <c r="D1020" s="51" t="inlineStr">
        <is>
          <t>AdmittancePerLength</t>
        </is>
      </c>
      <c r="E1020" s="51" t="inlineStr">
        <is>
          <t>CTertiary</t>
        </is>
      </c>
    </row>
    <row r="1021" ht="30" customHeight="1">
      <c r="A1021" s="50">
        <f>CONCATENATE(C1021,D1021,E1021)</f>
        <v/>
      </c>
      <c r="B1021" s="51" t="inlineStr">
        <is>
          <t>CUSTANLM24ABCTERT</t>
        </is>
      </c>
      <c r="C1021" s="51" t="inlineStr">
        <is>
          <t>AnalogSignalType.Custom</t>
        </is>
      </c>
      <c r="D1021" s="51" t="inlineStr">
        <is>
          <t>Percent</t>
        </is>
      </c>
      <c r="E1021" s="51" t="inlineStr">
        <is>
          <t>ABCTertiary</t>
        </is>
      </c>
    </row>
    <row r="1022" ht="30" customHeight="1">
      <c r="A1022" s="50">
        <f>CONCATENATE(C1022,D1022,E1022)</f>
        <v/>
      </c>
      <c r="B1022" s="51" t="inlineStr">
        <is>
          <t>CUSTANLM24ATERT</t>
        </is>
      </c>
      <c r="C1022" s="51" t="inlineStr">
        <is>
          <t>AnalogSignalType.Custom</t>
        </is>
      </c>
      <c r="D1022" s="51" t="inlineStr">
        <is>
          <t>Percent</t>
        </is>
      </c>
      <c r="E1022" s="51" t="inlineStr">
        <is>
          <t>ATertiary</t>
        </is>
      </c>
    </row>
    <row r="1023" ht="30" customHeight="1">
      <c r="A1023" s="50">
        <f>CONCATENATE(C1023,D1023,E1023)</f>
        <v/>
      </c>
      <c r="B1023" s="51" t="inlineStr">
        <is>
          <t>CUSTANLM24BTERT</t>
        </is>
      </c>
      <c r="C1023" s="51" t="inlineStr">
        <is>
          <t>AnalogSignalType.Custom</t>
        </is>
      </c>
      <c r="D1023" s="51" t="inlineStr">
        <is>
          <t>Percent</t>
        </is>
      </c>
      <c r="E1023" s="51" t="inlineStr">
        <is>
          <t>BTertiary</t>
        </is>
      </c>
    </row>
    <row r="1024" ht="30" customHeight="1">
      <c r="A1024" s="50">
        <f>CONCATENATE(C1024,D1024,E1024)</f>
        <v/>
      </c>
      <c r="B1024" s="51" t="inlineStr">
        <is>
          <t>CUSTANLM24CTERT</t>
        </is>
      </c>
      <c r="C1024" s="51" t="inlineStr">
        <is>
          <t>AnalogSignalType.Custom</t>
        </is>
      </c>
      <c r="D1024" s="51" t="inlineStr">
        <is>
          <t>Percent</t>
        </is>
      </c>
      <c r="E1024" s="51" t="inlineStr">
        <is>
          <t>CTertiary</t>
        </is>
      </c>
    </row>
    <row r="1025" ht="30" customHeight="1">
      <c r="A1025" s="50">
        <f>CONCATENATE(C1025,D1025,E1025)</f>
        <v/>
      </c>
      <c r="B1025" s="51" t="inlineStr">
        <is>
          <t>CUSTANLM25ABCTERT</t>
        </is>
      </c>
      <c r="C1025" s="51" t="inlineStr">
        <is>
          <t>AnalogSignalType.Custom</t>
        </is>
      </c>
      <c r="D1025" s="51" t="inlineStr">
        <is>
          <t>Money</t>
        </is>
      </c>
      <c r="E1025" s="51" t="inlineStr">
        <is>
          <t>ABCTertiary</t>
        </is>
      </c>
    </row>
    <row r="1026" ht="30" customHeight="1">
      <c r="A1026" s="50">
        <f>CONCATENATE(C1026,D1026,E1026)</f>
        <v/>
      </c>
      <c r="B1026" s="51" t="inlineStr">
        <is>
          <t>CUSTANLM25ATERT</t>
        </is>
      </c>
      <c r="C1026" s="51" t="inlineStr">
        <is>
          <t>AnalogSignalType.Custom</t>
        </is>
      </c>
      <c r="D1026" s="51" t="inlineStr">
        <is>
          <t>Money</t>
        </is>
      </c>
      <c r="E1026" s="51" t="inlineStr">
        <is>
          <t>ATertiary</t>
        </is>
      </c>
    </row>
    <row r="1027" ht="30" customHeight="1">
      <c r="A1027" s="50">
        <f>CONCATENATE(C1027,D1027,E1027)</f>
        <v/>
      </c>
      <c r="B1027" s="51" t="inlineStr">
        <is>
          <t>CUSTANLM25BTERT</t>
        </is>
      </c>
      <c r="C1027" s="51" t="inlineStr">
        <is>
          <t>AnalogSignalType.Custom</t>
        </is>
      </c>
      <c r="D1027" s="51" t="inlineStr">
        <is>
          <t>Money</t>
        </is>
      </c>
      <c r="E1027" s="51" t="inlineStr">
        <is>
          <t>BTertiary</t>
        </is>
      </c>
    </row>
    <row r="1028" ht="30" customHeight="1">
      <c r="A1028" s="50">
        <f>CONCATENATE(C1028,D1028,E1028)</f>
        <v/>
      </c>
      <c r="B1028" s="51" t="inlineStr">
        <is>
          <t>CUSTANLM25CTERT</t>
        </is>
      </c>
      <c r="C1028" s="51" t="inlineStr">
        <is>
          <t>AnalogSignalType.Custom</t>
        </is>
      </c>
      <c r="D1028" s="51" t="inlineStr">
        <is>
          <t>Money</t>
        </is>
      </c>
      <c r="E1028" s="51" t="inlineStr">
        <is>
          <t>CTertiary</t>
        </is>
      </c>
    </row>
    <row r="1029" ht="30" customHeight="1">
      <c r="A1029" s="50">
        <f>CONCATENATE(C1029,D1029,E1029)</f>
        <v/>
      </c>
      <c r="B1029" s="51" t="inlineStr">
        <is>
          <t>CUSTANLM26ABCTERT</t>
        </is>
      </c>
      <c r="C1029" s="51" t="inlineStr">
        <is>
          <t>AnalogSignalType.Custom</t>
        </is>
      </c>
      <c r="D1029" s="51" t="inlineStr">
        <is>
          <t>RelativeVoltage</t>
        </is>
      </c>
      <c r="E1029" s="51" t="inlineStr">
        <is>
          <t>ABCTertiary</t>
        </is>
      </c>
    </row>
    <row r="1030" ht="30" customHeight="1">
      <c r="A1030" s="50">
        <f>CONCATENATE(C1030,D1030,E1030)</f>
        <v/>
      </c>
      <c r="B1030" s="51" t="inlineStr">
        <is>
          <t>CUSTANLM26ATERT</t>
        </is>
      </c>
      <c r="C1030" s="51" t="inlineStr">
        <is>
          <t>AnalogSignalType.Custom</t>
        </is>
      </c>
      <c r="D1030" s="51" t="inlineStr">
        <is>
          <t>RelativeVoltage</t>
        </is>
      </c>
      <c r="E1030" s="51" t="inlineStr">
        <is>
          <t>ATertiary</t>
        </is>
      </c>
    </row>
    <row r="1031" ht="30" customHeight="1">
      <c r="A1031" s="50">
        <f>CONCATENATE(C1031,D1031,E1031)</f>
        <v/>
      </c>
      <c r="B1031" s="51" t="inlineStr">
        <is>
          <t>CUSTANLM26BTERT</t>
        </is>
      </c>
      <c r="C1031" s="51" t="inlineStr">
        <is>
          <t>AnalogSignalType.Custom</t>
        </is>
      </c>
      <c r="D1031" s="51" t="inlineStr">
        <is>
          <t>RelativeVoltage</t>
        </is>
      </c>
      <c r="E1031" s="51" t="inlineStr">
        <is>
          <t>BTertiary</t>
        </is>
      </c>
    </row>
    <row r="1032" ht="30" customHeight="1">
      <c r="A1032" s="50">
        <f>CONCATENATE(C1032,D1032,E1032)</f>
        <v/>
      </c>
      <c r="B1032" s="51" t="inlineStr">
        <is>
          <t>CUSTANLM26CTERT</t>
        </is>
      </c>
      <c r="C1032" s="51" t="inlineStr">
        <is>
          <t>AnalogSignalType.Custom</t>
        </is>
      </c>
      <c r="D1032" s="51" t="inlineStr">
        <is>
          <t>RelativeVoltage</t>
        </is>
      </c>
      <c r="E1032" s="51" t="inlineStr">
        <is>
          <t>CTertiary</t>
        </is>
      </c>
    </row>
    <row r="1033" ht="30" customHeight="1">
      <c r="A1033" s="50">
        <f>CONCATENATE(C1033,D1033,E1033)</f>
        <v/>
      </c>
      <c r="B1033" s="51" t="inlineStr">
        <is>
          <t>CUSTANLM27ABCTERT</t>
        </is>
      </c>
      <c r="C1033" s="51" t="inlineStr">
        <is>
          <t>AnalogSignalType.Custom</t>
        </is>
      </c>
      <c r="D1033" s="51" t="inlineStr">
        <is>
          <t>Insolation</t>
        </is>
      </c>
      <c r="E1033" s="51" t="inlineStr">
        <is>
          <t>ABCTertiary</t>
        </is>
      </c>
    </row>
    <row r="1034" ht="30" customHeight="1">
      <c r="A1034" s="50">
        <f>CONCATENATE(C1034,D1034,E1034)</f>
        <v/>
      </c>
      <c r="B1034" s="51" t="inlineStr">
        <is>
          <t>CUSTANLM27ATERT</t>
        </is>
      </c>
      <c r="C1034" s="51" t="inlineStr">
        <is>
          <t>AnalogSignalType.Custom</t>
        </is>
      </c>
      <c r="D1034" s="51" t="inlineStr">
        <is>
          <t>Insolation</t>
        </is>
      </c>
      <c r="E1034" s="51" t="inlineStr">
        <is>
          <t>ATertiary</t>
        </is>
      </c>
    </row>
    <row r="1035" ht="30" customHeight="1">
      <c r="A1035" s="50">
        <f>CONCATENATE(C1035,D1035,E1035)</f>
        <v/>
      </c>
      <c r="B1035" s="51" t="inlineStr">
        <is>
          <t>CUSTANLM27BTERT</t>
        </is>
      </c>
      <c r="C1035" s="51" t="inlineStr">
        <is>
          <t>AnalogSignalType.Custom</t>
        </is>
      </c>
      <c r="D1035" s="51" t="inlineStr">
        <is>
          <t>Insolation</t>
        </is>
      </c>
      <c r="E1035" s="51" t="inlineStr">
        <is>
          <t>BTertiary</t>
        </is>
      </c>
    </row>
    <row r="1036" ht="30" customHeight="1">
      <c r="A1036" s="50">
        <f>CONCATENATE(C1036,D1036,E1036)</f>
        <v/>
      </c>
      <c r="B1036" s="51" t="inlineStr">
        <is>
          <t>CUSTANLM27CTERT</t>
        </is>
      </c>
      <c r="C1036" s="51" t="inlineStr">
        <is>
          <t>AnalogSignalType.Custom</t>
        </is>
      </c>
      <c r="D1036" s="51" t="inlineStr">
        <is>
          <t>Insolation</t>
        </is>
      </c>
      <c r="E1036" s="51" t="inlineStr">
        <is>
          <t>CTertiary</t>
        </is>
      </c>
    </row>
    <row r="1037" ht="30" customHeight="1">
      <c r="A1037" s="50">
        <f>CONCATENATE(C1037,D1037,E1037)</f>
        <v/>
      </c>
      <c r="B1037" s="51" t="inlineStr">
        <is>
          <t>CUSTANLM28ABCTERT</t>
        </is>
      </c>
      <c r="C1037" s="51" t="inlineStr">
        <is>
          <t>AnalogSignalType.Custom</t>
        </is>
      </c>
      <c r="D1037" s="51" t="inlineStr">
        <is>
          <t>CurrentAngle</t>
        </is>
      </c>
      <c r="E1037" s="51" t="inlineStr">
        <is>
          <t>ABCTertiary</t>
        </is>
      </c>
    </row>
    <row r="1038" ht="30" customHeight="1">
      <c r="A1038" s="50">
        <f>CONCATENATE(C1038,D1038,E1038)</f>
        <v/>
      </c>
      <c r="B1038" s="51" t="inlineStr">
        <is>
          <t>CUSTANLM28ATERT</t>
        </is>
      </c>
      <c r="C1038" s="51" t="inlineStr">
        <is>
          <t>AnalogSignalType.Custom</t>
        </is>
      </c>
      <c r="D1038" s="51" t="inlineStr">
        <is>
          <t>CurrentAngle</t>
        </is>
      </c>
      <c r="E1038" s="51" t="inlineStr">
        <is>
          <t>ATertiary</t>
        </is>
      </c>
    </row>
    <row r="1039" ht="30" customHeight="1">
      <c r="A1039" s="50">
        <f>CONCATENATE(C1039,D1039,E1039)</f>
        <v/>
      </c>
      <c r="B1039" s="51" t="inlineStr">
        <is>
          <t>CUSTANLM28BTERT</t>
        </is>
      </c>
      <c r="C1039" s="51" t="inlineStr">
        <is>
          <t>AnalogSignalType.Custom</t>
        </is>
      </c>
      <c r="D1039" s="51" t="inlineStr">
        <is>
          <t>CurrentAngle</t>
        </is>
      </c>
      <c r="E1039" s="51" t="inlineStr">
        <is>
          <t>BTertiary</t>
        </is>
      </c>
    </row>
    <row r="1040" ht="30" customHeight="1">
      <c r="A1040" s="50">
        <f>CONCATENATE(C1040,D1040,E1040)</f>
        <v/>
      </c>
      <c r="B1040" s="51" t="inlineStr">
        <is>
          <t>CUSTANLM28CTERT</t>
        </is>
      </c>
      <c r="C1040" s="51" t="inlineStr">
        <is>
          <t>AnalogSignalType.Custom</t>
        </is>
      </c>
      <c r="D1040" s="51" t="inlineStr">
        <is>
          <t>CurrentAngle</t>
        </is>
      </c>
      <c r="E1040" s="51" t="inlineStr">
        <is>
          <t>CTertiary</t>
        </is>
      </c>
    </row>
    <row r="1041" ht="30" customHeight="1">
      <c r="A1041" s="50">
        <f>CONCATENATE(C1041,D1041,E1041)</f>
        <v/>
      </c>
      <c r="B1041" s="51" t="inlineStr">
        <is>
          <t>CUSTANLM29ABCTERT</t>
        </is>
      </c>
      <c r="C1041" s="51" t="inlineStr">
        <is>
          <t>AnalogSignalType.Custom</t>
        </is>
      </c>
      <c r="D1041" s="51" t="inlineStr">
        <is>
          <t>RotationSpeed</t>
        </is>
      </c>
      <c r="E1041" s="51" t="inlineStr">
        <is>
          <t>ABCTertiary</t>
        </is>
      </c>
    </row>
    <row r="1042" ht="30" customHeight="1">
      <c r="A1042" s="50">
        <f>CONCATENATE(C1042,D1042,E1042)</f>
        <v/>
      </c>
      <c r="B1042" s="51" t="inlineStr">
        <is>
          <t>CUSTANLM29ATERT</t>
        </is>
      </c>
      <c r="C1042" s="51" t="inlineStr">
        <is>
          <t>AnalogSignalType.Custom</t>
        </is>
      </c>
      <c r="D1042" s="51" t="inlineStr">
        <is>
          <t>RotationSpeed</t>
        </is>
      </c>
      <c r="E1042" s="51" t="inlineStr">
        <is>
          <t>ATertiary</t>
        </is>
      </c>
    </row>
    <row r="1043" ht="30" customHeight="1">
      <c r="A1043" s="50">
        <f>CONCATENATE(C1043,D1043,E1043)</f>
        <v/>
      </c>
      <c r="B1043" s="51" t="inlineStr">
        <is>
          <t>CUSTANLM29BTERT</t>
        </is>
      </c>
      <c r="C1043" s="51" t="inlineStr">
        <is>
          <t>AnalogSignalType.Custom</t>
        </is>
      </c>
      <c r="D1043" s="51" t="inlineStr">
        <is>
          <t>RotationSpeed</t>
        </is>
      </c>
      <c r="E1043" s="51" t="inlineStr">
        <is>
          <t>BTertiary</t>
        </is>
      </c>
    </row>
    <row r="1044" ht="30" customHeight="1">
      <c r="A1044" s="50">
        <f>CONCATENATE(C1044,D1044,E1044)</f>
        <v/>
      </c>
      <c r="B1044" s="51" t="inlineStr">
        <is>
          <t>CUSTANLM29CTERT</t>
        </is>
      </c>
      <c r="C1044" s="51" t="inlineStr">
        <is>
          <t>AnalogSignalType.Custom</t>
        </is>
      </c>
      <c r="D1044" s="51" t="inlineStr">
        <is>
          <t>RotationSpeed</t>
        </is>
      </c>
      <c r="E1044" s="51" t="inlineStr">
        <is>
          <t>CTertiary</t>
        </is>
      </c>
    </row>
    <row r="1045" ht="30" customHeight="1">
      <c r="A1045" s="50">
        <f>CONCATENATE(C1045,D1045,E1045)</f>
        <v/>
      </c>
      <c r="B1045" s="51" t="inlineStr">
        <is>
          <t>CUSTANLM30ABCTERT</t>
        </is>
      </c>
      <c r="C1045" s="51" t="inlineStr">
        <is>
          <t>AnalogSignalType.Custom</t>
        </is>
      </c>
      <c r="D1045" s="51" t="inlineStr">
        <is>
          <t>Mass</t>
        </is>
      </c>
      <c r="E1045" s="51" t="inlineStr">
        <is>
          <t>ABCTertiary</t>
        </is>
      </c>
    </row>
    <row r="1046" ht="30" customHeight="1">
      <c r="A1046" s="50">
        <f>CONCATENATE(C1046,D1046,E1046)</f>
        <v/>
      </c>
      <c r="B1046" s="51" t="inlineStr">
        <is>
          <t>CUSTANLM30ATERT</t>
        </is>
      </c>
      <c r="C1046" s="51" t="inlineStr">
        <is>
          <t>AnalogSignalType.Custom</t>
        </is>
      </c>
      <c r="D1046" s="51" t="inlineStr">
        <is>
          <t>Mass</t>
        </is>
      </c>
      <c r="E1046" s="51" t="inlineStr">
        <is>
          <t>ATertiary</t>
        </is>
      </c>
    </row>
    <row r="1047" ht="30" customHeight="1">
      <c r="A1047" s="50">
        <f>CONCATENATE(C1047,D1047,E1047)</f>
        <v/>
      </c>
      <c r="B1047" s="51" t="inlineStr">
        <is>
          <t>CUSTANLM30BTERT</t>
        </is>
      </c>
      <c r="C1047" s="51" t="inlineStr">
        <is>
          <t>AnalogSignalType.Custom</t>
        </is>
      </c>
      <c r="D1047" s="51" t="inlineStr">
        <is>
          <t>Mass</t>
        </is>
      </c>
      <c r="E1047" s="51" t="inlineStr">
        <is>
          <t>BTertiary</t>
        </is>
      </c>
    </row>
    <row r="1048" ht="30" customHeight="1">
      <c r="A1048" s="50">
        <f>CONCATENATE(C1048,D1048,E1048)</f>
        <v/>
      </c>
      <c r="B1048" s="51" t="inlineStr">
        <is>
          <t>CUSTANLM30CTERT</t>
        </is>
      </c>
      <c r="C1048" s="51" t="inlineStr">
        <is>
          <t>AnalogSignalType.Custom</t>
        </is>
      </c>
      <c r="D1048" s="51" t="inlineStr">
        <is>
          <t>Mass</t>
        </is>
      </c>
      <c r="E1048" s="51" t="inlineStr">
        <is>
          <t>CTertiary</t>
        </is>
      </c>
    </row>
    <row r="1049" ht="30" customHeight="1">
      <c r="A1049" s="50">
        <f>CONCATENATE(C1049,D1049,E1049)</f>
        <v/>
      </c>
      <c r="B1049" s="51" t="inlineStr">
        <is>
          <t>CUSTANLM31ABCTERT</t>
        </is>
      </c>
      <c r="C1049" s="51" t="inlineStr">
        <is>
          <t>AnalogSignalType.Custom</t>
        </is>
      </c>
      <c r="D1049" s="51" t="inlineStr">
        <is>
          <t>FailureRate</t>
        </is>
      </c>
      <c r="E1049" s="51" t="inlineStr">
        <is>
          <t>ABCTertiary</t>
        </is>
      </c>
    </row>
    <row r="1050" ht="30" customHeight="1">
      <c r="A1050" s="50">
        <f>CONCATENATE(C1050,D1050,E1050)</f>
        <v/>
      </c>
      <c r="B1050" s="51" t="inlineStr">
        <is>
          <t>CUSTANLM31ATERT</t>
        </is>
      </c>
      <c r="C1050" s="51" t="inlineStr">
        <is>
          <t>AnalogSignalType.Custom</t>
        </is>
      </c>
      <c r="D1050" s="51" t="inlineStr">
        <is>
          <t>FailureRate</t>
        </is>
      </c>
      <c r="E1050" s="51" t="inlineStr">
        <is>
          <t>ATertiary</t>
        </is>
      </c>
    </row>
    <row r="1051" ht="30" customHeight="1">
      <c r="A1051" s="50">
        <f>CONCATENATE(C1051,D1051,E1051)</f>
        <v/>
      </c>
      <c r="B1051" s="51" t="inlineStr">
        <is>
          <t>CUSTANLM31BTERT</t>
        </is>
      </c>
      <c r="C1051" s="51" t="inlineStr">
        <is>
          <t>AnalogSignalType.Custom</t>
        </is>
      </c>
      <c r="D1051" s="51" t="inlineStr">
        <is>
          <t>FailureRate</t>
        </is>
      </c>
      <c r="E1051" s="51" t="inlineStr">
        <is>
          <t>BTertiary</t>
        </is>
      </c>
    </row>
    <row r="1052" ht="30" customHeight="1">
      <c r="A1052" s="50">
        <f>CONCATENATE(C1052,D1052,E1052)</f>
        <v/>
      </c>
      <c r="B1052" s="51" t="inlineStr">
        <is>
          <t>CUSTANLM31CTERT</t>
        </is>
      </c>
      <c r="C1052" s="51" t="inlineStr">
        <is>
          <t>AnalogSignalType.Custom</t>
        </is>
      </c>
      <c r="D1052" s="51" t="inlineStr">
        <is>
          <t>FailureRate</t>
        </is>
      </c>
      <c r="E1052" s="51" t="inlineStr">
        <is>
          <t>CTertiary</t>
        </is>
      </c>
    </row>
    <row r="1053" ht="30" customHeight="1">
      <c r="A1053" s="50">
        <f>CONCATENATE(C1053,D1053,E1053)</f>
        <v/>
      </c>
      <c r="B1053" s="51" t="inlineStr">
        <is>
          <t>CUSTANLM32ABCTERT</t>
        </is>
      </c>
      <c r="C1053" s="51" t="inlineStr">
        <is>
          <t>AnalogSignalType.Custom</t>
        </is>
      </c>
      <c r="D1053" s="51" t="inlineStr">
        <is>
          <t>SoilTemperature</t>
        </is>
      </c>
      <c r="E1053" s="51" t="inlineStr">
        <is>
          <t>ABCTertiary</t>
        </is>
      </c>
    </row>
    <row r="1054" ht="30" customHeight="1">
      <c r="A1054" s="50">
        <f>CONCATENATE(C1054,D1054,E1054)</f>
        <v/>
      </c>
      <c r="B1054" s="51" t="inlineStr">
        <is>
          <t>CUSTANLM32ATERT</t>
        </is>
      </c>
      <c r="C1054" s="51" t="inlineStr">
        <is>
          <t>AnalogSignalType.Custom</t>
        </is>
      </c>
      <c r="D1054" s="51" t="inlineStr">
        <is>
          <t>SoilTemperature</t>
        </is>
      </c>
      <c r="E1054" s="51" t="inlineStr">
        <is>
          <t>ATertiary</t>
        </is>
      </c>
    </row>
    <row r="1055" ht="30" customHeight="1">
      <c r="A1055" s="50">
        <f>CONCATENATE(C1055,D1055,E1055)</f>
        <v/>
      </c>
      <c r="B1055" s="51" t="inlineStr">
        <is>
          <t>CUSTANLM32BTERT</t>
        </is>
      </c>
      <c r="C1055" s="51" t="inlineStr">
        <is>
          <t>AnalogSignalType.Custom</t>
        </is>
      </c>
      <c r="D1055" s="51" t="inlineStr">
        <is>
          <t>SoilTemperature</t>
        </is>
      </c>
      <c r="E1055" s="51" t="inlineStr">
        <is>
          <t>BTertiary</t>
        </is>
      </c>
    </row>
    <row r="1056" ht="30" customHeight="1">
      <c r="A1056" s="50">
        <f>CONCATENATE(C1056,D1056,E1056)</f>
        <v/>
      </c>
      <c r="B1056" s="51" t="inlineStr">
        <is>
          <t>CUSTANLM32CTERT</t>
        </is>
      </c>
      <c r="C1056" s="51" t="inlineStr">
        <is>
          <t>AnalogSignalType.Custom</t>
        </is>
      </c>
      <c r="D1056" s="51" t="inlineStr">
        <is>
          <t>SoilTemperature</t>
        </is>
      </c>
      <c r="E1056" s="51" t="inlineStr">
        <is>
          <t>CTertiary</t>
        </is>
      </c>
    </row>
    <row r="1057" ht="30" customHeight="1">
      <c r="A1057" s="50">
        <f>CONCATENATE(C1057,D1057,E1057)</f>
        <v/>
      </c>
      <c r="B1057" s="51" t="inlineStr">
        <is>
          <t>CUSTANLM33ABCTERT</t>
        </is>
      </c>
      <c r="C1057" s="51" t="inlineStr">
        <is>
          <t>AnalogSignalType.Custom</t>
        </is>
      </c>
      <c r="D1057" s="51" t="inlineStr">
        <is>
          <t>OilTemperature</t>
        </is>
      </c>
      <c r="E1057" s="51" t="inlineStr">
        <is>
          <t>ABCTertiary</t>
        </is>
      </c>
    </row>
    <row r="1058" ht="30" customHeight="1">
      <c r="A1058" s="50">
        <f>CONCATENATE(C1058,D1058,E1058)</f>
        <v/>
      </c>
      <c r="B1058" s="51" t="inlineStr">
        <is>
          <t>CUSTANLM33ATERT</t>
        </is>
      </c>
      <c r="C1058" s="51" t="inlineStr">
        <is>
          <t>AnalogSignalType.Custom</t>
        </is>
      </c>
      <c r="D1058" s="51" t="inlineStr">
        <is>
          <t>OilTemperature</t>
        </is>
      </c>
      <c r="E1058" s="51" t="inlineStr">
        <is>
          <t>ATertiary</t>
        </is>
      </c>
    </row>
    <row r="1059" ht="30" customHeight="1">
      <c r="A1059" s="50">
        <f>CONCATENATE(C1059,D1059,E1059)</f>
        <v/>
      </c>
      <c r="B1059" s="51" t="inlineStr">
        <is>
          <t>CUSTANLM33BTERT</t>
        </is>
      </c>
      <c r="C1059" s="51" t="inlineStr">
        <is>
          <t>AnalogSignalType.Custom</t>
        </is>
      </c>
      <c r="D1059" s="51" t="inlineStr">
        <is>
          <t>OilTemperature</t>
        </is>
      </c>
      <c r="E1059" s="51" t="inlineStr">
        <is>
          <t>BTertiary</t>
        </is>
      </c>
    </row>
    <row r="1060" ht="30" customHeight="1">
      <c r="A1060" s="50">
        <f>CONCATENATE(C1060,D1060,E1060)</f>
        <v/>
      </c>
      <c r="B1060" s="51" t="inlineStr">
        <is>
          <t>CUSTANLM33CTERT</t>
        </is>
      </c>
      <c r="C1060" s="51" t="inlineStr">
        <is>
          <t>AnalogSignalType.Custom</t>
        </is>
      </c>
      <c r="D1060" s="51" t="inlineStr">
        <is>
          <t>OilTemperature</t>
        </is>
      </c>
      <c r="E1060" s="51" t="inlineStr">
        <is>
          <t>CTertiary</t>
        </is>
      </c>
    </row>
    <row r="1061" ht="30" customHeight="1">
      <c r="A1061" s="50">
        <f>CONCATENATE(C1061,D1061,E1061)</f>
        <v/>
      </c>
      <c r="B1061" s="51" t="inlineStr">
        <is>
          <t>CUSTANLM34ABCTERT</t>
        </is>
      </c>
      <c r="C1061" s="51" t="inlineStr">
        <is>
          <t>AnalogSignalType.Custom</t>
        </is>
      </c>
      <c r="D1061" s="51" t="inlineStr">
        <is>
          <t>HotSpotTemperature</t>
        </is>
      </c>
      <c r="E1061" s="51" t="inlineStr">
        <is>
          <t>ABCTertiary</t>
        </is>
      </c>
    </row>
    <row r="1062" ht="30" customHeight="1">
      <c r="A1062" s="50">
        <f>CONCATENATE(C1062,D1062,E1062)</f>
        <v/>
      </c>
      <c r="B1062" s="51" t="inlineStr">
        <is>
          <t>CUSTANLM34ATERT</t>
        </is>
      </c>
      <c r="C1062" s="51" t="inlineStr">
        <is>
          <t>AnalogSignalType.Custom</t>
        </is>
      </c>
      <c r="D1062" s="51" t="inlineStr">
        <is>
          <t>HotSpotTemperature</t>
        </is>
      </c>
      <c r="E1062" s="51" t="inlineStr">
        <is>
          <t>ATertiary</t>
        </is>
      </c>
    </row>
    <row r="1063" ht="30" customHeight="1">
      <c r="A1063" s="50">
        <f>CONCATENATE(C1063,D1063,E1063)</f>
        <v/>
      </c>
      <c r="B1063" s="51" t="inlineStr">
        <is>
          <t>CUSTANLM34BTERT</t>
        </is>
      </c>
      <c r="C1063" s="51" t="inlineStr">
        <is>
          <t>AnalogSignalType.Custom</t>
        </is>
      </c>
      <c r="D1063" s="51" t="inlineStr">
        <is>
          <t>HotSpotTemperature</t>
        </is>
      </c>
      <c r="E1063" s="51" t="inlineStr">
        <is>
          <t>BTertiary</t>
        </is>
      </c>
    </row>
    <row r="1064" ht="30" customHeight="1">
      <c r="A1064" s="50">
        <f>CONCATENATE(C1064,D1064,E1064)</f>
        <v/>
      </c>
      <c r="B1064" s="51" t="inlineStr">
        <is>
          <t>CUSTANLM34CTERT</t>
        </is>
      </c>
      <c r="C1064" s="51" t="inlineStr">
        <is>
          <t>AnalogSignalType.Custom</t>
        </is>
      </c>
      <c r="D1064" s="51" t="inlineStr">
        <is>
          <t>HotSpotTemperature</t>
        </is>
      </c>
      <c r="E1064" s="51" t="inlineStr">
        <is>
          <t>CTertiary</t>
        </is>
      </c>
    </row>
    <row r="1065" ht="30" customHeight="1">
      <c r="A1065" s="50">
        <f>CONCATENATE(C1065,D1065,E1065)</f>
        <v/>
      </c>
      <c r="B1065" s="51" t="inlineStr">
        <is>
          <t>CUSTANLM35ABCTERT</t>
        </is>
      </c>
      <c r="C1065" s="51" t="inlineStr">
        <is>
          <t>AnalogSignalType.Custom</t>
        </is>
      </c>
      <c r="D1065" s="51" t="inlineStr">
        <is>
          <t>AbsoluteDateTime</t>
        </is>
      </c>
      <c r="E1065" s="51" t="inlineStr">
        <is>
          <t>ABCTertiary</t>
        </is>
      </c>
    </row>
    <row r="1066" ht="30" customHeight="1">
      <c r="A1066" s="50">
        <f>CONCATENATE(C1066,D1066,E1066)</f>
        <v/>
      </c>
      <c r="B1066" s="51" t="inlineStr">
        <is>
          <t>CUSTANLM35ATERT</t>
        </is>
      </c>
      <c r="C1066" s="51" t="inlineStr">
        <is>
          <t>AnalogSignalType.Custom</t>
        </is>
      </c>
      <c r="D1066" s="51" t="inlineStr">
        <is>
          <t>AbsoluteDateTime</t>
        </is>
      </c>
      <c r="E1066" s="51" t="inlineStr">
        <is>
          <t>ATertiary</t>
        </is>
      </c>
    </row>
    <row r="1067" ht="30" customHeight="1">
      <c r="A1067" s="50">
        <f>CONCATENATE(C1067,D1067,E1067)</f>
        <v/>
      </c>
      <c r="B1067" s="51" t="inlineStr">
        <is>
          <t>CUSTANLM35BTERT</t>
        </is>
      </c>
      <c r="C1067" s="51" t="inlineStr">
        <is>
          <t>AnalogSignalType.Custom</t>
        </is>
      </c>
      <c r="D1067" s="51" t="inlineStr">
        <is>
          <t>AbsoluteDateTime</t>
        </is>
      </c>
      <c r="E1067" s="51" t="inlineStr">
        <is>
          <t>BTertiary</t>
        </is>
      </c>
    </row>
    <row r="1068" ht="30" customHeight="1">
      <c r="A1068" s="50">
        <f>CONCATENATE(C1068,D1068,E1068)</f>
        <v/>
      </c>
      <c r="B1068" s="51" t="inlineStr">
        <is>
          <t>CUSTANLM35CTERT</t>
        </is>
      </c>
      <c r="C1068" s="51" t="inlineStr">
        <is>
          <t>AnalogSignalType.Custom</t>
        </is>
      </c>
      <c r="D1068" s="51" t="inlineStr">
        <is>
          <t>AbsoluteDateTime</t>
        </is>
      </c>
      <c r="E1068" s="51" t="inlineStr">
        <is>
          <t>CTertiary</t>
        </is>
      </c>
    </row>
    <row r="1069" ht="30" customHeight="1">
      <c r="A1069" s="50">
        <f>CONCATENATE(C1069,D1069,E1069)</f>
        <v/>
      </c>
      <c r="B1069" s="51" t="inlineStr">
        <is>
          <t>CUSTANLM36ABCTERT</t>
        </is>
      </c>
      <c r="C1069" s="51" t="inlineStr">
        <is>
          <t>AnalogSignalType.Custom</t>
        </is>
      </c>
      <c r="D1069" s="51" t="inlineStr">
        <is>
          <t>LatLong</t>
        </is>
      </c>
      <c r="E1069" s="51" t="inlineStr">
        <is>
          <t>ABCTertiary</t>
        </is>
      </c>
    </row>
    <row r="1070" ht="30" customHeight="1">
      <c r="A1070" s="50">
        <f>CONCATENATE(C1070,D1070,E1070)</f>
        <v/>
      </c>
      <c r="B1070" s="51" t="inlineStr">
        <is>
          <t>CUSTANLM36ATERT</t>
        </is>
      </c>
      <c r="C1070" s="51" t="inlineStr">
        <is>
          <t>AnalogSignalType.Custom</t>
        </is>
      </c>
      <c r="D1070" s="51" t="inlineStr">
        <is>
          <t>LatLong</t>
        </is>
      </c>
      <c r="E1070" s="51" t="inlineStr">
        <is>
          <t>ATertiary</t>
        </is>
      </c>
    </row>
    <row r="1071" ht="30" customHeight="1">
      <c r="A1071" s="50">
        <f>CONCATENATE(C1071,D1071,E1071)</f>
        <v/>
      </c>
      <c r="B1071" s="51" t="inlineStr">
        <is>
          <t>CUSTANLM36BTERT</t>
        </is>
      </c>
      <c r="C1071" s="51" t="inlineStr">
        <is>
          <t>AnalogSignalType.Custom</t>
        </is>
      </c>
      <c r="D1071" s="51" t="inlineStr">
        <is>
          <t>LatLong</t>
        </is>
      </c>
      <c r="E1071" s="51" t="inlineStr">
        <is>
          <t>BTertiary</t>
        </is>
      </c>
    </row>
    <row r="1072" ht="30" customHeight="1">
      <c r="A1072" s="50">
        <f>CONCATENATE(C1072,D1072,E1072)</f>
        <v/>
      </c>
      <c r="B1072" s="51" t="inlineStr">
        <is>
          <t>CUSTANLM36CTERT</t>
        </is>
      </c>
      <c r="C1072" s="51" t="inlineStr">
        <is>
          <t>AnalogSignalType.Custom</t>
        </is>
      </c>
      <c r="D1072" s="51" t="inlineStr">
        <is>
          <t>LatLong</t>
        </is>
      </c>
      <c r="E1072" s="51" t="inlineStr">
        <is>
          <t>CTertiary</t>
        </is>
      </c>
    </row>
    <row r="1073" ht="15" customHeight="1">
      <c r="A1073" s="50">
        <f>CONCATENATE(C1073,D1073,E1073)</f>
        <v/>
      </c>
      <c r="B1073" s="51" t="inlineStr">
        <is>
          <t>SOURCESTABC</t>
        </is>
      </c>
      <c r="C1073" s="51" t="inlineStr">
        <is>
          <t>SourceStatus</t>
        </is>
      </c>
      <c r="D1073" s="51" t="inlineStr">
        <is>
          <t>Status</t>
        </is>
      </c>
      <c r="E1073" s="51" t="inlineStr">
        <is>
          <t>ABC</t>
        </is>
      </c>
    </row>
    <row r="1074" ht="15" customHeight="1">
      <c r="A1074" s="50">
        <f>CONCATENATE(C1074,D1074,E1074)</f>
        <v/>
      </c>
      <c r="B1074" s="51" t="inlineStr">
        <is>
          <t>SOURCESTA</t>
        </is>
      </c>
      <c r="C1074" s="51" t="inlineStr">
        <is>
          <t>SourceStatus</t>
        </is>
      </c>
      <c r="D1074" s="51" t="inlineStr">
        <is>
          <t>Status</t>
        </is>
      </c>
      <c r="E1074" s="51" t="inlineStr">
        <is>
          <t>A</t>
        </is>
      </c>
    </row>
    <row r="1075" ht="15" customHeight="1">
      <c r="A1075" s="50">
        <f>CONCATENATE(C1075,D1075,E1075)</f>
        <v/>
      </c>
      <c r="B1075" s="51" t="inlineStr">
        <is>
          <t>SOURCESTB</t>
        </is>
      </c>
      <c r="C1075" s="51" t="inlineStr">
        <is>
          <t>SourceStatus</t>
        </is>
      </c>
      <c r="D1075" s="51" t="inlineStr">
        <is>
          <t>Status</t>
        </is>
      </c>
      <c r="E1075" s="51" t="inlineStr">
        <is>
          <t>B</t>
        </is>
      </c>
    </row>
    <row r="1076" ht="15" customHeight="1">
      <c r="A1076" s="50">
        <f>CONCATENATE(C1076,D1076,E1076)</f>
        <v/>
      </c>
      <c r="B1076" s="51" t="inlineStr">
        <is>
          <t>SOURCESTC</t>
        </is>
      </c>
      <c r="C1076" s="51" t="inlineStr">
        <is>
          <t>SourceStatus</t>
        </is>
      </c>
      <c r="D1076" s="51" t="inlineStr">
        <is>
          <t>Status</t>
        </is>
      </c>
      <c r="E1076" s="51" t="inlineStr">
        <is>
          <t>C</t>
        </is>
      </c>
    </row>
    <row r="1077" ht="15" customHeight="1">
      <c r="A1077" s="50">
        <f>CONCATENATE(C1077,D1077,E1077)</f>
        <v/>
      </c>
      <c r="B1077" s="51" t="inlineStr">
        <is>
          <t>FLTAMPSUB</t>
        </is>
      </c>
      <c r="C1077" s="51" t="inlineStr">
        <is>
          <t>FaultCurrentSub</t>
        </is>
      </c>
      <c r="D1077" s="51" t="inlineStr">
        <is>
          <t>Current</t>
        </is>
      </c>
      <c r="E1077" s="51" t="inlineStr">
        <is>
          <t>ABC</t>
        </is>
      </c>
    </row>
    <row r="1078" ht="15" customHeight="1">
      <c r="A1078" s="50">
        <f>CONCATENATE(C1078,D1078,E1078)</f>
        <v/>
      </c>
      <c r="B1078" s="51" t="inlineStr">
        <is>
          <t>FLTANGSUB</t>
        </is>
      </c>
      <c r="C1078" s="51" t="inlineStr">
        <is>
          <t>FaultAngleSub</t>
        </is>
      </c>
      <c r="D1078" s="51" t="inlineStr">
        <is>
          <t>CurrentAngle</t>
        </is>
      </c>
      <c r="E1078" s="51" t="inlineStr">
        <is>
          <t>ABC</t>
        </is>
      </c>
    </row>
    <row r="1079" ht="15" customHeight="1">
      <c r="A1079" s="50">
        <f>CONCATENATE(C1079,D1079,E1079)</f>
        <v/>
      </c>
      <c r="B1079" s="51" t="inlineStr">
        <is>
          <t>FLTAMPTRANS</t>
        </is>
      </c>
      <c r="C1079" s="51" t="inlineStr">
        <is>
          <t>FaultCurrentTrans</t>
        </is>
      </c>
      <c r="D1079" s="51" t="inlineStr">
        <is>
          <t>Current</t>
        </is>
      </c>
      <c r="E1079" s="51" t="inlineStr">
        <is>
          <t>ABC</t>
        </is>
      </c>
    </row>
    <row r="1080" ht="15" customHeight="1">
      <c r="A1080" s="50">
        <f>CONCATENATE(C1080,D1080,E1080)</f>
        <v/>
      </c>
      <c r="B1080" s="51" t="inlineStr">
        <is>
          <t>FLTANGTRANS</t>
        </is>
      </c>
      <c r="C1080" s="51" t="inlineStr">
        <is>
          <t>FaultAngleTrans</t>
        </is>
      </c>
      <c r="D1080" s="51" t="inlineStr">
        <is>
          <t>CurrentAngle</t>
        </is>
      </c>
      <c r="E1080" s="51" t="inlineStr">
        <is>
          <t>ABC</t>
        </is>
      </c>
    </row>
    <row r="1081" ht="15" customHeight="1">
      <c r="A1081" s="50">
        <f>CONCATENATE(C1081,D1081,E1081)</f>
        <v/>
      </c>
      <c r="B1081" s="51" t="inlineStr">
        <is>
          <t>BLWTRAMPABC</t>
        </is>
      </c>
      <c r="C1081" s="51" t="inlineStr">
        <is>
          <t>BellwetherMeter</t>
        </is>
      </c>
      <c r="D1081" s="51" t="inlineStr">
        <is>
          <t>Current</t>
        </is>
      </c>
      <c r="E1081" s="51" t="inlineStr">
        <is>
          <t>ABC</t>
        </is>
      </c>
    </row>
    <row r="1082" ht="15" customHeight="1">
      <c r="A1082" s="50">
        <f>CONCATENATE(C1082,D1082,E1082)</f>
        <v/>
      </c>
      <c r="B1082" s="51" t="inlineStr">
        <is>
          <t>BLWTRAMPA</t>
        </is>
      </c>
      <c r="C1082" s="51" t="inlineStr">
        <is>
          <t>BellwetherMeter</t>
        </is>
      </c>
      <c r="D1082" s="51" t="inlineStr">
        <is>
          <t>Current</t>
        </is>
      </c>
      <c r="E1082" s="51" t="inlineStr">
        <is>
          <t>A</t>
        </is>
      </c>
    </row>
    <row r="1083" ht="15" customHeight="1">
      <c r="A1083" s="50">
        <f>CONCATENATE(C1083,D1083,E1083)</f>
        <v/>
      </c>
      <c r="B1083" s="51" t="inlineStr">
        <is>
          <t>BLWTRAMPB</t>
        </is>
      </c>
      <c r="C1083" s="51" t="inlineStr">
        <is>
          <t>BellwetherMeter</t>
        </is>
      </c>
      <c r="D1083" s="51" t="inlineStr">
        <is>
          <t>Current</t>
        </is>
      </c>
      <c r="E1083" s="51" t="inlineStr">
        <is>
          <t>B</t>
        </is>
      </c>
    </row>
    <row r="1084" ht="15" customHeight="1">
      <c r="A1084" s="50">
        <f>CONCATENATE(C1084,D1084,E1084)</f>
        <v/>
      </c>
      <c r="B1084" s="51" t="inlineStr">
        <is>
          <t>BLWTRAMPC</t>
        </is>
      </c>
      <c r="C1084" s="51" t="inlineStr">
        <is>
          <t>BellwetherMeter</t>
        </is>
      </c>
      <c r="D1084" s="51" t="inlineStr">
        <is>
          <t>Current</t>
        </is>
      </c>
      <c r="E1084" s="51" t="inlineStr">
        <is>
          <t>C</t>
        </is>
      </c>
    </row>
    <row r="1085" ht="15" customHeight="1">
      <c r="A1085" s="50">
        <f>CONCATENATE(C1085,D1085,E1085)</f>
        <v/>
      </c>
      <c r="B1085" s="51" t="inlineStr">
        <is>
          <t>BLWTRMWABC</t>
        </is>
      </c>
      <c r="C1085" s="51" t="inlineStr">
        <is>
          <t>BellwetherMeter</t>
        </is>
      </c>
      <c r="D1085" s="51" t="inlineStr">
        <is>
          <t>ActivePower</t>
        </is>
      </c>
      <c r="E1085" s="51" t="inlineStr">
        <is>
          <t>ABC</t>
        </is>
      </c>
    </row>
    <row r="1086" ht="15" customHeight="1">
      <c r="A1086" s="50">
        <f>CONCATENATE(C1086,D1086,E1086)</f>
        <v/>
      </c>
      <c r="B1086" s="51" t="inlineStr">
        <is>
          <t>BLWTRMWA</t>
        </is>
      </c>
      <c r="C1086" s="51" t="inlineStr">
        <is>
          <t>BellwetherMeter</t>
        </is>
      </c>
      <c r="D1086" s="51" t="inlineStr">
        <is>
          <t>ActivePower</t>
        </is>
      </c>
      <c r="E1086" s="51" t="inlineStr">
        <is>
          <t>A</t>
        </is>
      </c>
    </row>
    <row r="1087" ht="15" customHeight="1">
      <c r="A1087" s="50">
        <f>CONCATENATE(C1087,D1087,E1087)</f>
        <v/>
      </c>
      <c r="B1087" s="51" t="inlineStr">
        <is>
          <t>BLWTRMWB</t>
        </is>
      </c>
      <c r="C1087" s="51" t="inlineStr">
        <is>
          <t>BellwetherMeter</t>
        </is>
      </c>
      <c r="D1087" s="51" t="inlineStr">
        <is>
          <t>ActivePower</t>
        </is>
      </c>
      <c r="E1087" s="51" t="inlineStr">
        <is>
          <t>B</t>
        </is>
      </c>
    </row>
    <row r="1088" ht="15" customHeight="1">
      <c r="A1088" s="50">
        <f>CONCATENATE(C1088,D1088,E1088)</f>
        <v/>
      </c>
      <c r="B1088" s="51" t="inlineStr">
        <is>
          <t>BLWTRMWC</t>
        </is>
      </c>
      <c r="C1088" s="51" t="inlineStr">
        <is>
          <t>BellwetherMeter</t>
        </is>
      </c>
      <c r="D1088" s="51" t="inlineStr">
        <is>
          <t>ActivePower</t>
        </is>
      </c>
      <c r="E1088" s="51" t="inlineStr">
        <is>
          <t>C</t>
        </is>
      </c>
    </row>
    <row r="1089" ht="15" customHeight="1">
      <c r="A1089" s="50">
        <f>CONCATENATE(C1089,D1089,E1089)</f>
        <v/>
      </c>
      <c r="B1089" s="51" t="inlineStr">
        <is>
          <t>BLWTRMVARABC</t>
        </is>
      </c>
      <c r="C1089" s="51" t="inlineStr">
        <is>
          <t>BellwetherMeter</t>
        </is>
      </c>
      <c r="D1089" s="51" t="inlineStr">
        <is>
          <t>ActivePower</t>
        </is>
      </c>
      <c r="E1089" s="51" t="inlineStr">
        <is>
          <t>ABC</t>
        </is>
      </c>
    </row>
    <row r="1090" ht="15" customHeight="1">
      <c r="A1090" s="50">
        <f>CONCATENATE(C1090,D1090,E1090)</f>
        <v/>
      </c>
      <c r="B1090" s="51" t="inlineStr">
        <is>
          <t>BLWTRMVARA</t>
        </is>
      </c>
      <c r="C1090" s="51" t="inlineStr">
        <is>
          <t>BellwetherMeter</t>
        </is>
      </c>
      <c r="D1090" s="51" t="inlineStr">
        <is>
          <t>ActivePower</t>
        </is>
      </c>
      <c r="E1090" s="51" t="inlineStr">
        <is>
          <t>A</t>
        </is>
      </c>
    </row>
    <row r="1091" ht="15" customHeight="1">
      <c r="A1091" s="50">
        <f>CONCATENATE(C1091,D1091,E1091)</f>
        <v/>
      </c>
      <c r="B1091" s="51" t="inlineStr">
        <is>
          <t>BLWTRMVARB</t>
        </is>
      </c>
      <c r="C1091" s="51" t="inlineStr">
        <is>
          <t>BellwetherMeter</t>
        </is>
      </c>
      <c r="D1091" s="51" t="inlineStr">
        <is>
          <t>ActivePower</t>
        </is>
      </c>
      <c r="E1091" s="51" t="inlineStr">
        <is>
          <t>B</t>
        </is>
      </c>
    </row>
    <row r="1092" ht="15" customHeight="1">
      <c r="A1092" s="50">
        <f>CONCATENATE(C1092,D1092,E1092)</f>
        <v/>
      </c>
      <c r="B1092" s="51" t="inlineStr">
        <is>
          <t>BLWTRMVARC</t>
        </is>
      </c>
      <c r="C1092" s="51" t="inlineStr">
        <is>
          <t>BellwetherMeter</t>
        </is>
      </c>
      <c r="D1092" s="51" t="inlineStr">
        <is>
          <t>ActivePower</t>
        </is>
      </c>
      <c r="E1092" s="51" t="inlineStr">
        <is>
          <t>C</t>
        </is>
      </c>
    </row>
    <row r="1093" ht="15" customHeight="1">
      <c r="A1093" s="50">
        <f>CONCATENATE(C1093,D1093,E1093)</f>
        <v/>
      </c>
      <c r="B1093" s="51" t="inlineStr">
        <is>
          <t>BLWTRMVAABC</t>
        </is>
      </c>
      <c r="C1093" s="51" t="inlineStr">
        <is>
          <t>BellwetherMeter</t>
        </is>
      </c>
      <c r="D1093" s="51" t="inlineStr">
        <is>
          <t>ApparentPower</t>
        </is>
      </c>
      <c r="E1093" s="51" t="inlineStr">
        <is>
          <t>ABC</t>
        </is>
      </c>
    </row>
    <row r="1094" ht="15" customHeight="1">
      <c r="A1094" s="50">
        <f>CONCATENATE(C1094,D1094,E1094)</f>
        <v/>
      </c>
      <c r="B1094" s="51" t="inlineStr">
        <is>
          <t>BLWTRMVAA</t>
        </is>
      </c>
      <c r="C1094" s="51" t="inlineStr">
        <is>
          <t>BellwetherMeter</t>
        </is>
      </c>
      <c r="D1094" s="51" t="inlineStr">
        <is>
          <t>ApparentPower</t>
        </is>
      </c>
      <c r="E1094" s="51" t="inlineStr">
        <is>
          <t>A</t>
        </is>
      </c>
    </row>
    <row r="1095" ht="15" customHeight="1">
      <c r="A1095" s="50">
        <f>CONCATENATE(C1095,D1095,E1095)</f>
        <v/>
      </c>
      <c r="B1095" s="51" t="inlineStr">
        <is>
          <t>BLWTRMVAB</t>
        </is>
      </c>
      <c r="C1095" s="51" t="inlineStr">
        <is>
          <t>BellwetherMeter</t>
        </is>
      </c>
      <c r="D1095" s="51" t="inlineStr">
        <is>
          <t>ApparentPower</t>
        </is>
      </c>
      <c r="E1095" s="51" t="inlineStr">
        <is>
          <t>B</t>
        </is>
      </c>
    </row>
    <row r="1096" ht="15" customHeight="1">
      <c r="A1096" s="50">
        <f>CONCATENATE(C1096,D1096,E1096)</f>
        <v/>
      </c>
      <c r="B1096" s="51" t="inlineStr">
        <is>
          <t>BLWTRMVAC</t>
        </is>
      </c>
      <c r="C1096" s="51" t="inlineStr">
        <is>
          <t>BellwetherMeter</t>
        </is>
      </c>
      <c r="D1096" s="51" t="inlineStr">
        <is>
          <t>ApparentPower</t>
        </is>
      </c>
      <c r="E1096" s="51" t="inlineStr">
        <is>
          <t>C</t>
        </is>
      </c>
    </row>
    <row r="1097" ht="15" customHeight="1">
      <c r="A1097" s="50">
        <f>CONCATENATE(C1097,D1097,E1097)</f>
        <v/>
      </c>
      <c r="B1097" s="51" t="inlineStr">
        <is>
          <t>BLWTRCOSPHIABC</t>
        </is>
      </c>
      <c r="C1097" s="51" t="inlineStr">
        <is>
          <t>BellwetherMeter</t>
        </is>
      </c>
      <c r="D1097" s="51" t="inlineStr">
        <is>
          <t>CosPhi</t>
        </is>
      </c>
      <c r="E1097" s="51" t="inlineStr">
        <is>
          <t>ABC</t>
        </is>
      </c>
    </row>
    <row r="1098" ht="15" customHeight="1">
      <c r="A1098" s="50">
        <f>CONCATENATE(C1098,D1098,E1098)</f>
        <v/>
      </c>
      <c r="B1098" s="51" t="inlineStr">
        <is>
          <t>BLWTRCOSPHIA</t>
        </is>
      </c>
      <c r="C1098" s="51" t="inlineStr">
        <is>
          <t>BellwetherMeter</t>
        </is>
      </c>
      <c r="D1098" s="51" t="inlineStr">
        <is>
          <t>CosPhi</t>
        </is>
      </c>
      <c r="E1098" s="51" t="inlineStr">
        <is>
          <t>A</t>
        </is>
      </c>
    </row>
    <row r="1099" ht="15" customHeight="1">
      <c r="A1099" s="50">
        <f>CONCATENATE(C1099,D1099,E1099)</f>
        <v/>
      </c>
      <c r="B1099" s="51" t="inlineStr">
        <is>
          <t>BLWTRCOSPHIB</t>
        </is>
      </c>
      <c r="C1099" s="51" t="inlineStr">
        <is>
          <t>BellwetherMeter</t>
        </is>
      </c>
      <c r="D1099" s="51" t="inlineStr">
        <is>
          <t>CosPhi</t>
        </is>
      </c>
      <c r="E1099" s="51" t="inlineStr">
        <is>
          <t>B</t>
        </is>
      </c>
    </row>
    <row r="1100" ht="15" customHeight="1">
      <c r="A1100" s="50">
        <f>CONCATENATE(C1100,D1100,E1100)</f>
        <v/>
      </c>
      <c r="B1100" s="51" t="inlineStr">
        <is>
          <t>BLWTRCOSPHIC</t>
        </is>
      </c>
      <c r="C1100" s="51" t="inlineStr">
        <is>
          <t>BellwetherMeter</t>
        </is>
      </c>
      <c r="D1100" s="51" t="inlineStr">
        <is>
          <t>CosPhi</t>
        </is>
      </c>
      <c r="E1100" s="51" t="inlineStr">
        <is>
          <t>C</t>
        </is>
      </c>
    </row>
    <row r="1101" ht="15" customHeight="1">
      <c r="A1101" s="50">
        <f>CONCATENATE(C1101,D1101,E1101)</f>
        <v/>
      </c>
      <c r="B1101" s="51" t="inlineStr">
        <is>
          <t>BLWTRMWHABC</t>
        </is>
      </c>
      <c r="C1101" s="51" t="inlineStr">
        <is>
          <t>BellwetherMeter</t>
        </is>
      </c>
      <c r="D1101" s="51" t="inlineStr">
        <is>
          <t>ActiveEnergy</t>
        </is>
      </c>
      <c r="E1101" s="51" t="inlineStr">
        <is>
          <t>ABC</t>
        </is>
      </c>
    </row>
    <row r="1102" ht="15" customHeight="1">
      <c r="A1102" s="50">
        <f>CONCATENATE(C1102,D1102,E1102)</f>
        <v/>
      </c>
      <c r="B1102" s="51" t="inlineStr">
        <is>
          <t>BLWTRMWHA</t>
        </is>
      </c>
      <c r="C1102" s="51" t="inlineStr">
        <is>
          <t>BellwetherMeter</t>
        </is>
      </c>
      <c r="D1102" s="51" t="inlineStr">
        <is>
          <t>ActiveEnergy</t>
        </is>
      </c>
      <c r="E1102" s="51" t="inlineStr">
        <is>
          <t>A</t>
        </is>
      </c>
    </row>
    <row r="1103" ht="15" customHeight="1">
      <c r="A1103" s="50">
        <f>CONCATENATE(C1103,D1103,E1103)</f>
        <v/>
      </c>
      <c r="B1103" s="51" t="inlineStr">
        <is>
          <t>BLWTRMWHB</t>
        </is>
      </c>
      <c r="C1103" s="51" t="inlineStr">
        <is>
          <t>BellwetherMeter</t>
        </is>
      </c>
      <c r="D1103" s="51" t="inlineStr">
        <is>
          <t>ActiveEnergy</t>
        </is>
      </c>
      <c r="E1103" s="51" t="inlineStr">
        <is>
          <t>B</t>
        </is>
      </c>
    </row>
    <row r="1104" ht="15" customHeight="1">
      <c r="A1104" s="50">
        <f>CONCATENATE(C1104,D1104,E1104)</f>
        <v/>
      </c>
      <c r="B1104" s="51" t="inlineStr">
        <is>
          <t>BLWTRMWHC</t>
        </is>
      </c>
      <c r="C1104" s="51" t="inlineStr">
        <is>
          <t>BellwetherMeter</t>
        </is>
      </c>
      <c r="D1104" s="51" t="inlineStr">
        <is>
          <t>ActiveEnergy</t>
        </is>
      </c>
      <c r="E1104" s="51" t="inlineStr">
        <is>
          <t>C</t>
        </is>
      </c>
    </row>
    <row r="1105" ht="15" customHeight="1">
      <c r="A1105" s="50">
        <f>CONCATENATE(C1105,D1105,E1105)</f>
        <v/>
      </c>
      <c r="B1105" s="51" t="inlineStr">
        <is>
          <t>BLWTRMVARHABC</t>
        </is>
      </c>
      <c r="C1105" s="51" t="inlineStr">
        <is>
          <t>BellwetherMeter</t>
        </is>
      </c>
      <c r="D1105" s="51" t="inlineStr">
        <is>
          <t>ReactiveEnergy</t>
        </is>
      </c>
      <c r="E1105" s="51" t="inlineStr">
        <is>
          <t>ABC</t>
        </is>
      </c>
    </row>
    <row r="1106" ht="15" customHeight="1">
      <c r="A1106" s="50">
        <f>CONCATENATE(C1106,D1106,E1106)</f>
        <v/>
      </c>
      <c r="B1106" s="51" t="inlineStr">
        <is>
          <t>BLWTRMVARHA</t>
        </is>
      </c>
      <c r="C1106" s="51" t="inlineStr">
        <is>
          <t>BellwetherMeter</t>
        </is>
      </c>
      <c r="D1106" s="51" t="inlineStr">
        <is>
          <t>ReactiveEnergy</t>
        </is>
      </c>
      <c r="E1106" s="51" t="inlineStr">
        <is>
          <t>A</t>
        </is>
      </c>
    </row>
    <row r="1107" ht="15" customHeight="1">
      <c r="A1107" s="50">
        <f>CONCATENATE(C1107,D1107,E1107)</f>
        <v/>
      </c>
      <c r="B1107" s="51" t="inlineStr">
        <is>
          <t>BLWTRMVARHB</t>
        </is>
      </c>
      <c r="C1107" s="51" t="inlineStr">
        <is>
          <t>BellwetherMeter</t>
        </is>
      </c>
      <c r="D1107" s="51" t="inlineStr">
        <is>
          <t>ReactiveEnergy</t>
        </is>
      </c>
      <c r="E1107" s="51" t="inlineStr">
        <is>
          <t>B</t>
        </is>
      </c>
    </row>
    <row r="1108" ht="15" customHeight="1">
      <c r="A1108" s="50">
        <f>CONCATENATE(C1108,D1108,E1108)</f>
        <v/>
      </c>
      <c r="B1108" s="51" t="inlineStr">
        <is>
          <t>BLWTRMVARHC</t>
        </is>
      </c>
      <c r="C1108" s="51" t="inlineStr">
        <is>
          <t>BellwetherMeter</t>
        </is>
      </c>
      <c r="D1108" s="51" t="inlineStr">
        <is>
          <t>ReactiveEnergy</t>
        </is>
      </c>
      <c r="E1108" s="51" t="inlineStr">
        <is>
          <t>C</t>
        </is>
      </c>
    </row>
    <row r="1109" ht="15" customHeight="1">
      <c r="A1109" s="50">
        <f>CONCATENATE(C1109,D1109,E1109)</f>
        <v/>
      </c>
      <c r="B1109" s="51" t="inlineStr">
        <is>
          <t>BLWTRVOLTABC</t>
        </is>
      </c>
      <c r="C1109" s="51" t="inlineStr">
        <is>
          <t>BellwetherMeter</t>
        </is>
      </c>
      <c r="D1109" s="51" t="inlineStr">
        <is>
          <t>Voltage</t>
        </is>
      </c>
      <c r="E1109" s="51" t="inlineStr">
        <is>
          <t>ABC</t>
        </is>
      </c>
    </row>
    <row r="1110" ht="15" customHeight="1">
      <c r="A1110" s="50">
        <f>CONCATENATE(C1110,D1110,E1110)</f>
        <v/>
      </c>
      <c r="B1110" s="51" t="inlineStr">
        <is>
          <t>BLWTRVOLTAB</t>
        </is>
      </c>
      <c r="C1110" s="51" t="inlineStr">
        <is>
          <t>BellwetherMeter</t>
        </is>
      </c>
      <c r="D1110" s="51" t="inlineStr">
        <is>
          <t>Voltage</t>
        </is>
      </c>
      <c r="E1110" s="51" t="inlineStr">
        <is>
          <t>AB</t>
        </is>
      </c>
    </row>
    <row r="1111" ht="15" customHeight="1">
      <c r="A1111" s="50">
        <f>CONCATENATE(C1111,D1111,E1111)</f>
        <v/>
      </c>
      <c r="B1111" s="51" t="inlineStr">
        <is>
          <t>BLWTRVOLTBC</t>
        </is>
      </c>
      <c r="C1111" s="51" t="inlineStr">
        <is>
          <t>BellwetherMeter</t>
        </is>
      </c>
      <c r="D1111" s="51" t="inlineStr">
        <is>
          <t>Voltage</t>
        </is>
      </c>
      <c r="E1111" s="51" t="inlineStr">
        <is>
          <t>BC</t>
        </is>
      </c>
    </row>
    <row r="1112" ht="15" customHeight="1">
      <c r="A1112" s="50">
        <f>CONCATENATE(C1112,D1112,E1112)</f>
        <v/>
      </c>
      <c r="B1112" s="51" t="inlineStr">
        <is>
          <t>BLWTRVOLTAC</t>
        </is>
      </c>
      <c r="C1112" s="51" t="inlineStr">
        <is>
          <t>BellwetherMeter</t>
        </is>
      </c>
      <c r="D1112" s="51" t="inlineStr">
        <is>
          <t>Voltage</t>
        </is>
      </c>
      <c r="E1112" s="51" t="inlineStr">
        <is>
          <t>AC</t>
        </is>
      </c>
    </row>
    <row r="1113" ht="15" customHeight="1">
      <c r="A1113" s="50">
        <f>CONCATENATE(C1113,D1113,E1113)</f>
        <v/>
      </c>
      <c r="B1113" s="51" t="inlineStr">
        <is>
          <t>BLWTRVOLTA</t>
        </is>
      </c>
      <c r="C1113" s="51" t="inlineStr">
        <is>
          <t>BellwetherMeter</t>
        </is>
      </c>
      <c r="D1113" s="51" t="inlineStr">
        <is>
          <t>Voltage</t>
        </is>
      </c>
      <c r="E1113" s="51" t="inlineStr">
        <is>
          <t>A</t>
        </is>
      </c>
    </row>
    <row r="1114" ht="15" customHeight="1">
      <c r="A1114" s="50">
        <f>CONCATENATE(C1114,D1114,E1114)</f>
        <v/>
      </c>
      <c r="B1114" s="51" t="inlineStr">
        <is>
          <t>BLWTRVOLTB</t>
        </is>
      </c>
      <c r="C1114" s="51" t="inlineStr">
        <is>
          <t>BellwetherMeter</t>
        </is>
      </c>
      <c r="D1114" s="51" t="inlineStr">
        <is>
          <t>Voltage</t>
        </is>
      </c>
      <c r="E1114" s="51" t="inlineStr">
        <is>
          <t>B</t>
        </is>
      </c>
    </row>
    <row r="1115" ht="15" customHeight="1">
      <c r="A1115" s="50">
        <f>CONCATENATE(C1115,D1115,E1115)</f>
        <v/>
      </c>
      <c r="B1115" s="51" t="inlineStr">
        <is>
          <t>BLWTRVOLTC</t>
        </is>
      </c>
      <c r="C1115" s="51" t="inlineStr">
        <is>
          <t>BellwetherMeter</t>
        </is>
      </c>
      <c r="D1115" s="51" t="inlineStr">
        <is>
          <t>Voltage</t>
        </is>
      </c>
      <c r="E1115" s="51" t="inlineStr">
        <is>
          <t>C</t>
        </is>
      </c>
    </row>
    <row r="1116" ht="15" customHeight="1">
      <c r="A1116" s="50">
        <f>CONCATENATE(C1116,D1116,E1116)</f>
        <v/>
      </c>
      <c r="B1116" s="51" t="inlineStr">
        <is>
          <t>BLWTRVOLTANGABC</t>
        </is>
      </c>
      <c r="C1116" s="51" t="inlineStr">
        <is>
          <t>BellwetherMeter</t>
        </is>
      </c>
      <c r="D1116" s="51" t="inlineStr">
        <is>
          <t>VoltageAngle</t>
        </is>
      </c>
      <c r="E1116" s="51" t="inlineStr">
        <is>
          <t>ABC</t>
        </is>
      </c>
    </row>
    <row r="1117" ht="15" customHeight="1">
      <c r="A1117" s="50">
        <f>CONCATENATE(C1117,D1117,E1117)</f>
        <v/>
      </c>
      <c r="B1117" s="51" t="inlineStr">
        <is>
          <t>BLWTRVOLTANGAB</t>
        </is>
      </c>
      <c r="C1117" s="51" t="inlineStr">
        <is>
          <t>BellwetherMeter</t>
        </is>
      </c>
      <c r="D1117" s="51" t="inlineStr">
        <is>
          <t>VoltageAngle</t>
        </is>
      </c>
      <c r="E1117" s="51" t="inlineStr">
        <is>
          <t>AB</t>
        </is>
      </c>
    </row>
    <row r="1118" ht="15" customHeight="1">
      <c r="A1118" s="50">
        <f>CONCATENATE(C1118,D1118,E1118)</f>
        <v/>
      </c>
      <c r="B1118" s="51" t="inlineStr">
        <is>
          <t>BLWTRVOLTANGBC</t>
        </is>
      </c>
      <c r="C1118" s="51" t="inlineStr">
        <is>
          <t>BellwetherMeter</t>
        </is>
      </c>
      <c r="D1118" s="51" t="inlineStr">
        <is>
          <t>VoltageAngle</t>
        </is>
      </c>
      <c r="E1118" s="51" t="inlineStr">
        <is>
          <t>BC</t>
        </is>
      </c>
    </row>
    <row r="1119" ht="15" customHeight="1">
      <c r="A1119" s="50">
        <f>CONCATENATE(C1119,D1119,E1119)</f>
        <v/>
      </c>
      <c r="B1119" s="51" t="inlineStr">
        <is>
          <t>BLWTRVOLTANGAC</t>
        </is>
      </c>
      <c r="C1119" s="51" t="inlineStr">
        <is>
          <t>BellwetherMeter</t>
        </is>
      </c>
      <c r="D1119" s="51" t="inlineStr">
        <is>
          <t>VoltageAngle</t>
        </is>
      </c>
      <c r="E1119" s="51" t="inlineStr">
        <is>
          <t>AC</t>
        </is>
      </c>
    </row>
    <row r="1120" ht="15" customHeight="1">
      <c r="A1120" s="50">
        <f>CONCATENATE(C1120,D1120,E1120)</f>
        <v/>
      </c>
      <c r="B1120" s="51" t="inlineStr">
        <is>
          <t>BLWTRVOLTANGA</t>
        </is>
      </c>
      <c r="C1120" s="51" t="inlineStr">
        <is>
          <t>BellwetherMeter</t>
        </is>
      </c>
      <c r="D1120" s="51" t="inlineStr">
        <is>
          <t>VoltageAngle</t>
        </is>
      </c>
      <c r="E1120" s="51" t="inlineStr">
        <is>
          <t>A</t>
        </is>
      </c>
    </row>
    <row r="1121" ht="15" customHeight="1">
      <c r="A1121" s="50">
        <f>CONCATENATE(C1121,D1121,E1121)</f>
        <v/>
      </c>
      <c r="B1121" s="51" t="inlineStr">
        <is>
          <t>BLWTRVOLTANGB</t>
        </is>
      </c>
      <c r="C1121" s="51" t="inlineStr">
        <is>
          <t>BellwetherMeter</t>
        </is>
      </c>
      <c r="D1121" s="51" t="inlineStr">
        <is>
          <t>VoltageAngle</t>
        </is>
      </c>
      <c r="E1121" s="51" t="inlineStr">
        <is>
          <t>B</t>
        </is>
      </c>
    </row>
    <row r="1122" ht="15" customHeight="1">
      <c r="A1122" s="50">
        <f>CONCATENATE(C1122,D1122,E1122)</f>
        <v/>
      </c>
      <c r="B1122" s="51" t="inlineStr">
        <is>
          <t>BLWTRVOLTANGC</t>
        </is>
      </c>
      <c r="C1122" s="51" t="inlineStr">
        <is>
          <t>BellwetherMeter</t>
        </is>
      </c>
      <c r="D1122" s="51" t="inlineStr">
        <is>
          <t>VoltageAngle</t>
        </is>
      </c>
      <c r="E1122" s="51" t="inlineStr">
        <is>
          <t>C</t>
        </is>
      </c>
    </row>
    <row r="1123" ht="15" customHeight="1">
      <c r="A1123" s="50">
        <f>CONCATENATE(C1123,D1123,E1123)</f>
        <v/>
      </c>
      <c r="B1123" s="51" t="inlineStr">
        <is>
          <t>BLWTRFREQ</t>
        </is>
      </c>
      <c r="C1123" s="51" t="inlineStr">
        <is>
          <t>BellwetherMeter</t>
        </is>
      </c>
      <c r="D1123" s="51" t="inlineStr">
        <is>
          <t>Frequency</t>
        </is>
      </c>
      <c r="E1123" s="51" t="inlineStr">
        <is>
          <t>ABC</t>
        </is>
      </c>
    </row>
    <row r="1124" ht="15" customHeight="1">
      <c r="A1124" s="50">
        <f>CONCATENATE(C1124,D1124,E1124)</f>
        <v/>
      </c>
      <c r="B1124" s="51" t="inlineStr">
        <is>
          <t>BLWTRRELVOLTABC</t>
        </is>
      </c>
      <c r="C1124" s="51" t="inlineStr">
        <is>
          <t>BellwetherMeter</t>
        </is>
      </c>
      <c r="D1124" s="51" t="inlineStr">
        <is>
          <t>RelativeVoltage</t>
        </is>
      </c>
      <c r="E1124" s="51" t="inlineStr">
        <is>
          <t>ABC</t>
        </is>
      </c>
    </row>
    <row r="1125" ht="15" customHeight="1">
      <c r="A1125" s="50">
        <f>CONCATENATE(C1125,D1125,E1125)</f>
        <v/>
      </c>
      <c r="B1125" s="51" t="inlineStr">
        <is>
          <t>BLWTRRELVOLTAB</t>
        </is>
      </c>
      <c r="C1125" s="51" t="inlineStr">
        <is>
          <t>BellwetherMeter</t>
        </is>
      </c>
      <c r="D1125" s="51" t="inlineStr">
        <is>
          <t>RelativeVoltage</t>
        </is>
      </c>
      <c r="E1125" s="51" t="inlineStr">
        <is>
          <t>AB</t>
        </is>
      </c>
    </row>
    <row r="1126" ht="15" customHeight="1">
      <c r="A1126" s="50">
        <f>CONCATENATE(C1126,D1126,E1126)</f>
        <v/>
      </c>
      <c r="B1126" s="51" t="inlineStr">
        <is>
          <t>BLWTRRELVOLTBC</t>
        </is>
      </c>
      <c r="C1126" s="51" t="inlineStr">
        <is>
          <t>BellwetherMeter</t>
        </is>
      </c>
      <c r="D1126" s="51" t="inlineStr">
        <is>
          <t>RelativeVoltage</t>
        </is>
      </c>
      <c r="E1126" s="51" t="inlineStr">
        <is>
          <t>BC</t>
        </is>
      </c>
    </row>
    <row r="1127" ht="15" customHeight="1">
      <c r="A1127" s="50">
        <f>CONCATENATE(C1127,D1127,E1127)</f>
        <v/>
      </c>
      <c r="B1127" s="51" t="inlineStr">
        <is>
          <t>BLWTRRELVOLTAC</t>
        </is>
      </c>
      <c r="C1127" s="51" t="inlineStr">
        <is>
          <t>BellwetherMeter</t>
        </is>
      </c>
      <c r="D1127" s="51" t="inlineStr">
        <is>
          <t>RelativeVoltage</t>
        </is>
      </c>
      <c r="E1127" s="51" t="inlineStr">
        <is>
          <t>AC</t>
        </is>
      </c>
    </row>
    <row r="1128" ht="15" customHeight="1">
      <c r="A1128" s="50">
        <f>CONCATENATE(C1128,D1128,E1128)</f>
        <v/>
      </c>
      <c r="B1128" s="51" t="inlineStr">
        <is>
          <t>BLWTRRELVOLTA</t>
        </is>
      </c>
      <c r="C1128" s="51" t="inlineStr">
        <is>
          <t>BellwetherMeter</t>
        </is>
      </c>
      <c r="D1128" s="51" t="inlineStr">
        <is>
          <t>RelativeVoltage</t>
        </is>
      </c>
      <c r="E1128" s="51" t="inlineStr">
        <is>
          <t>A</t>
        </is>
      </c>
    </row>
    <row r="1129" ht="15" customHeight="1">
      <c r="A1129" s="50">
        <f>CONCATENATE(C1129,D1129,E1129)</f>
        <v/>
      </c>
      <c r="B1129" s="51" t="inlineStr">
        <is>
          <t>BLWTRRELVOLTB</t>
        </is>
      </c>
      <c r="C1129" s="51" t="inlineStr">
        <is>
          <t>BellwetherMeter</t>
        </is>
      </c>
      <c r="D1129" s="51" t="inlineStr">
        <is>
          <t>RelativeVoltage</t>
        </is>
      </c>
      <c r="E1129" s="51" t="inlineStr">
        <is>
          <t>B</t>
        </is>
      </c>
    </row>
    <row r="1130" ht="15" customHeight="1">
      <c r="A1130" s="50">
        <f>CONCATENATE(C1130,D1130,E1130)</f>
        <v/>
      </c>
      <c r="B1130" s="51" t="inlineStr">
        <is>
          <t>BLWTRRELVOLTC</t>
        </is>
      </c>
      <c r="C1130" s="51" t="inlineStr">
        <is>
          <t>BellwetherMeter</t>
        </is>
      </c>
      <c r="D1130" s="51" t="inlineStr">
        <is>
          <t>RelativeVoltage</t>
        </is>
      </c>
      <c r="E1130" s="51" t="inlineStr">
        <is>
          <t>C</t>
        </is>
      </c>
    </row>
    <row r="1131" ht="15" customHeight="1">
      <c r="A1131" s="50">
        <f>CONCATENATE(C1131,D1131,E1131)</f>
        <v/>
      </c>
      <c r="B1131" s="51" t="inlineStr">
        <is>
          <t>BLWTRTMP</t>
        </is>
      </c>
      <c r="C1131" s="51" t="inlineStr">
        <is>
          <t>BellwetherMeter</t>
        </is>
      </c>
      <c r="D1131" s="51" t="inlineStr">
        <is>
          <t>Temperature</t>
        </is>
      </c>
      <c r="E1131" s="51" t="inlineStr">
        <is>
          <t>ABC</t>
        </is>
      </c>
    </row>
    <row r="1132" ht="15" customHeight="1">
      <c r="A1132" s="50">
        <f>CONCATENATE(C1132,D1132,E1132)</f>
        <v/>
      </c>
      <c r="B1132" s="51" t="inlineStr">
        <is>
          <t>BLWTROILTMP</t>
        </is>
      </c>
      <c r="C1132" s="51" t="inlineStr">
        <is>
          <t>BellwetherMeter</t>
        </is>
      </c>
      <c r="D1132" s="51" t="inlineStr">
        <is>
          <t>OilTemperature</t>
        </is>
      </c>
      <c r="E1132" s="51" t="inlineStr">
        <is>
          <t>ABC</t>
        </is>
      </c>
    </row>
    <row r="1133" ht="30" customHeight="1">
      <c r="A1133" s="50">
        <f>CONCATENATE(C1133,D1133,E1133)</f>
        <v/>
      </c>
      <c r="B1133" s="51" t="inlineStr">
        <is>
          <t>BLWTRHOTSPOTTMP</t>
        </is>
      </c>
      <c r="C1133" s="51" t="inlineStr">
        <is>
          <t>BellwetherMeter</t>
        </is>
      </c>
      <c r="D1133" s="51" t="inlineStr">
        <is>
          <t>HotSpotTemperature</t>
        </is>
      </c>
      <c r="E1133" s="51" t="inlineStr">
        <is>
          <t>ABC</t>
        </is>
      </c>
    </row>
    <row r="1134" ht="15" customHeight="1">
      <c r="A1134" s="50">
        <f>CONCATENATE(C1134,D1134,E1134)</f>
        <v/>
      </c>
      <c r="B1134" s="51" t="inlineStr">
        <is>
          <t>WTHRDATATEMP</t>
        </is>
      </c>
      <c r="C1134" s="51" t="inlineStr">
        <is>
          <t>WeatherData</t>
        </is>
      </c>
      <c r="D1134" s="51" t="inlineStr">
        <is>
          <t>Temperature</t>
        </is>
      </c>
      <c r="E1134" s="51" t="inlineStr">
        <is>
          <t>ABC</t>
        </is>
      </c>
    </row>
    <row r="1135" ht="15" customHeight="1">
      <c r="A1135" s="50">
        <f>CONCATENATE(C1135,D1135,E1135)</f>
        <v/>
      </c>
      <c r="B1135" s="51" t="inlineStr">
        <is>
          <t>WTHRDATAHMDT</t>
        </is>
      </c>
      <c r="C1135" s="51" t="inlineStr">
        <is>
          <t>WeatherData</t>
        </is>
      </c>
      <c r="D1135" s="51" t="inlineStr">
        <is>
          <t>Humidity</t>
        </is>
      </c>
      <c r="E1135" s="51" t="inlineStr">
        <is>
          <t>ABC</t>
        </is>
      </c>
    </row>
    <row r="1136" ht="15" customHeight="1">
      <c r="A1136" s="50">
        <f>CONCATENATE(C1136,D1136,E1136)</f>
        <v/>
      </c>
      <c r="B1136" s="51" t="inlineStr">
        <is>
          <t>WTHRDATAWNDSPD</t>
        </is>
      </c>
      <c r="C1136" s="51" t="inlineStr">
        <is>
          <t>WeatherData</t>
        </is>
      </c>
      <c r="D1136" s="51" t="inlineStr">
        <is>
          <t>WindSpeed</t>
        </is>
      </c>
      <c r="E1136" s="51" t="inlineStr">
        <is>
          <t>ABC</t>
        </is>
      </c>
    </row>
    <row r="1137" ht="15" customHeight="1">
      <c r="A1137" s="50">
        <f>CONCATENATE(C1137,D1137,E1137)</f>
        <v/>
      </c>
      <c r="B1137" s="51" t="inlineStr">
        <is>
          <t>WTHRDATAFLSLK</t>
        </is>
      </c>
      <c r="C1137" s="51" t="inlineStr">
        <is>
          <t>WeatherData</t>
        </is>
      </c>
      <c r="D1137" s="51" t="inlineStr">
        <is>
          <t>FeelsLike</t>
        </is>
      </c>
      <c r="E1137" s="51" t="inlineStr">
        <is>
          <t>ABC</t>
        </is>
      </c>
    </row>
    <row r="1138" ht="15" customHeight="1">
      <c r="A1138" s="50">
        <f>CONCATENATE(C1138,D1138,E1138)</f>
        <v/>
      </c>
      <c r="B1138" s="51" t="inlineStr">
        <is>
          <t>WTHRDATASUNMIN</t>
        </is>
      </c>
      <c r="C1138" s="51" t="inlineStr">
        <is>
          <t>WeatherData</t>
        </is>
      </c>
      <c r="D1138" s="51" t="inlineStr">
        <is>
          <t>SunshineMinutes</t>
        </is>
      </c>
      <c r="E1138" s="51" t="inlineStr">
        <is>
          <t>ABC</t>
        </is>
      </c>
    </row>
    <row r="1139" ht="15" customHeight="1">
      <c r="A1139" s="50">
        <f>CONCATENATE(C1139,D1139,E1139)</f>
        <v/>
      </c>
      <c r="B1139" s="51" t="inlineStr">
        <is>
          <t>WTHRDATASKYCOV</t>
        </is>
      </c>
      <c r="C1139" s="51" t="inlineStr">
        <is>
          <t>WeatherData</t>
        </is>
      </c>
      <c r="D1139" s="51" t="inlineStr">
        <is>
          <t>SkyCover</t>
        </is>
      </c>
      <c r="E1139" s="51" t="inlineStr">
        <is>
          <t>ABC</t>
        </is>
      </c>
    </row>
    <row r="1140" ht="15" customHeight="1">
      <c r="A1140" s="50">
        <f>CONCATENATE(C1140,D1140,E1140)</f>
        <v/>
      </c>
      <c r="B1140" s="51" t="inlineStr">
        <is>
          <t>WTHRDATAINSL</t>
        </is>
      </c>
      <c r="C1140" s="51" t="inlineStr">
        <is>
          <t>WeatherData</t>
        </is>
      </c>
      <c r="D1140" s="51" t="inlineStr">
        <is>
          <t>Insolation</t>
        </is>
      </c>
      <c r="E1140" s="51" t="inlineStr">
        <is>
          <t>ABC</t>
        </is>
      </c>
    </row>
    <row r="1141" ht="15" customHeight="1">
      <c r="A1141" s="50">
        <f>CONCATENATE(C1141,D1141,E1141)</f>
        <v/>
      </c>
      <c r="B1141" s="51" t="inlineStr">
        <is>
          <t>WTHRDATASLTEMP</t>
        </is>
      </c>
      <c r="C1141" s="51" t="inlineStr">
        <is>
          <t>WeatherData</t>
        </is>
      </c>
      <c r="D1141" s="51" t="inlineStr">
        <is>
          <t>SoilTemperature</t>
        </is>
      </c>
      <c r="E1141" s="51" t="inlineStr">
        <is>
          <t>ABC</t>
        </is>
      </c>
    </row>
  </sheetData>
  <conditionalFormatting sqref="B129">
    <cfRule type="colorScale" priority="50">
      <colorScale>
        <cfvo type="min"/>
        <cfvo type="max"/>
        <color rgb="FFFE9C9C"/>
        <color rgb="FFFF0000"/>
      </colorScale>
    </cfRule>
    <cfRule type="colorScale" priority="51">
      <colorScale>
        <cfvo type="min"/>
        <cfvo type="max"/>
        <color rgb="FFFE9C9C"/>
        <color rgb="FFFF0000"/>
      </colorScale>
    </cfRule>
    <cfRule type="colorScale" priority="52">
      <colorScale>
        <cfvo type="min"/>
        <cfvo type="max"/>
        <color rgb="FFFE9C9C"/>
        <color rgb="FFFF0000"/>
      </colorScale>
    </cfRule>
    <cfRule type="colorScale" priority="53">
      <colorScale>
        <cfvo type="min"/>
        <cfvo type="max"/>
        <color rgb="FFFE9C9C"/>
        <color rgb="FFFF0000"/>
      </colorScale>
    </cfRule>
  </conditionalFormatting>
  <conditionalFormatting sqref="B288">
    <cfRule type="colorScale" priority="46">
      <colorScale>
        <cfvo type="min"/>
        <cfvo type="max"/>
        <color rgb="FFFE9C9C"/>
        <color rgb="FFFF0000"/>
      </colorScale>
    </cfRule>
    <cfRule type="colorScale" priority="47">
      <colorScale>
        <cfvo type="min"/>
        <cfvo type="max"/>
        <color rgb="FFFE9C9C"/>
        <color rgb="FFFF0000"/>
      </colorScale>
    </cfRule>
    <cfRule type="colorScale" priority="48">
      <colorScale>
        <cfvo type="min"/>
        <cfvo type="max"/>
        <color rgb="FFFE9C9C"/>
        <color rgb="FFFF0000"/>
      </colorScale>
    </cfRule>
    <cfRule type="colorScale" priority="49">
      <colorScale>
        <cfvo type="min"/>
        <cfvo type="max"/>
        <color rgb="FFFE9C9C"/>
        <color rgb="FFFF0000"/>
      </colorScale>
    </cfRule>
  </conditionalFormatting>
  <conditionalFormatting sqref="B342">
    <cfRule type="colorScale" priority="42">
      <colorScale>
        <cfvo type="min"/>
        <cfvo type="max"/>
        <color rgb="FFFE9C9C"/>
        <color rgb="FFFF0000"/>
      </colorScale>
    </cfRule>
    <cfRule type="colorScale" priority="43">
      <colorScale>
        <cfvo type="min"/>
        <cfvo type="max"/>
        <color rgb="FFFE9C9C"/>
        <color rgb="FFFF0000"/>
      </colorScale>
    </cfRule>
    <cfRule type="colorScale" priority="44">
      <colorScale>
        <cfvo type="min"/>
        <cfvo type="max"/>
        <color rgb="FFFE9C9C"/>
        <color rgb="FFFF0000"/>
      </colorScale>
    </cfRule>
    <cfRule type="colorScale" priority="45">
      <colorScale>
        <cfvo type="min"/>
        <cfvo type="max"/>
        <color rgb="FFFE9C9C"/>
        <color rgb="FFFF0000"/>
      </colorScale>
    </cfRule>
  </conditionalFormatting>
  <conditionalFormatting sqref="B501">
    <cfRule type="colorScale" priority="38">
      <colorScale>
        <cfvo type="min"/>
        <cfvo type="max"/>
        <color rgb="FFFE9C9C"/>
        <color rgb="FFFF0000"/>
      </colorScale>
    </cfRule>
    <cfRule type="colorScale" priority="39">
      <colorScale>
        <cfvo type="min"/>
        <cfvo type="max"/>
        <color rgb="FFFE9C9C"/>
        <color rgb="FFFF0000"/>
      </colorScale>
    </cfRule>
    <cfRule type="colorScale" priority="40">
      <colorScale>
        <cfvo type="min"/>
        <cfvo type="max"/>
        <color rgb="FFFE9C9C"/>
        <color rgb="FFFF0000"/>
      </colorScale>
    </cfRule>
    <cfRule type="colorScale" priority="41">
      <colorScale>
        <cfvo type="min"/>
        <cfvo type="max"/>
        <color rgb="FFFE9C9C"/>
        <color rgb="FFFF0000"/>
      </colorScale>
    </cfRule>
  </conditionalFormatting>
  <conditionalFormatting sqref="B555">
    <cfRule type="colorScale" priority="34">
      <colorScale>
        <cfvo type="min"/>
        <cfvo type="max"/>
        <color rgb="FFFE9C9C"/>
        <color rgb="FFFF0000"/>
      </colorScale>
    </cfRule>
    <cfRule type="colorScale" priority="35">
      <colorScale>
        <cfvo type="min"/>
        <cfvo type="max"/>
        <color rgb="FFFE9C9C"/>
        <color rgb="FFFF0000"/>
      </colorScale>
    </cfRule>
    <cfRule type="colorScale" priority="36">
      <colorScale>
        <cfvo type="min"/>
        <cfvo type="max"/>
        <color rgb="FFFE9C9C"/>
        <color rgb="FFFF0000"/>
      </colorScale>
    </cfRule>
    <cfRule type="colorScale" priority="37">
      <colorScale>
        <cfvo type="min"/>
        <cfvo type="max"/>
        <color rgb="FFFE9C9C"/>
        <color rgb="FFFF0000"/>
      </colorScale>
    </cfRule>
  </conditionalFormatting>
  <conditionalFormatting sqref="B867">
    <cfRule type="colorScale" priority="22">
      <colorScale>
        <cfvo type="min"/>
        <cfvo type="max"/>
        <color rgb="FFFE9C9C"/>
        <color rgb="FFFF0000"/>
      </colorScale>
    </cfRule>
    <cfRule type="colorScale" priority="23">
      <colorScale>
        <cfvo type="min"/>
        <cfvo type="max"/>
        <color rgb="FFFE9C9C"/>
        <color rgb="FFFF0000"/>
      </colorScale>
    </cfRule>
    <cfRule type="colorScale" priority="24">
      <colorScale>
        <cfvo type="min"/>
        <cfvo type="max"/>
        <color rgb="FFFE9C9C"/>
        <color rgb="FFFF0000"/>
      </colorScale>
    </cfRule>
    <cfRule type="colorScale" priority="25">
      <colorScale>
        <cfvo type="min"/>
        <cfvo type="max"/>
        <color rgb="FFFE9C9C"/>
        <color rgb="FFFF0000"/>
      </colorScale>
    </cfRule>
  </conditionalFormatting>
  <conditionalFormatting sqref="B899">
    <cfRule type="colorScale" priority="30">
      <colorScale>
        <cfvo type="min"/>
        <cfvo type="max"/>
        <color rgb="FFFE9C9C"/>
        <color rgb="FFFF0000"/>
      </colorScale>
    </cfRule>
    <cfRule type="colorScale" priority="31">
      <colorScale>
        <cfvo type="min"/>
        <cfvo type="max"/>
        <color rgb="FFFE9C9C"/>
        <color rgb="FFFF0000"/>
      </colorScale>
    </cfRule>
    <cfRule type="colorScale" priority="32">
      <colorScale>
        <cfvo type="min"/>
        <cfvo type="max"/>
        <color rgb="FFFE9C9C"/>
        <color rgb="FFFF0000"/>
      </colorScale>
    </cfRule>
    <cfRule type="colorScale" priority="33">
      <colorScale>
        <cfvo type="min"/>
        <cfvo type="max"/>
        <color rgb="FFFE9C9C"/>
        <color rgb="FFFF0000"/>
      </colorScale>
    </cfRule>
  </conditionalFormatting>
  <conditionalFormatting sqref="B1:B128 B130:B287 B289:B341 B343:B500 B502:B554 B556:B866 B868:B898 B900:B938 B940:B1048576">
    <cfRule type="colorScale" priority="75">
      <colorScale>
        <cfvo type="min"/>
        <cfvo type="max"/>
        <color rgb="FFFE9C9C"/>
        <color rgb="FFFF0000"/>
      </colorScale>
    </cfRule>
    <cfRule type="colorScale" priority="76">
      <colorScale>
        <cfvo type="min"/>
        <cfvo type="max"/>
        <color rgb="FFFE9C9C"/>
        <color rgb="FFFF0000"/>
      </colorScale>
    </cfRule>
    <cfRule type="colorScale" priority="77">
      <colorScale>
        <cfvo type="min"/>
        <cfvo type="max"/>
        <color rgb="FFFE9C9C"/>
        <color rgb="FFFF0000"/>
      </colorScale>
    </cfRule>
    <cfRule type="colorScale" priority="78">
      <colorScale>
        <cfvo type="min"/>
        <cfvo type="max"/>
        <color rgb="FFFE9C9C"/>
        <color rgb="FFFF0000"/>
      </colorScale>
    </cfRule>
  </conditionalFormatting>
  <conditionalFormatting sqref="B939">
    <cfRule type="colorScale" priority="26">
      <colorScale>
        <cfvo type="min"/>
        <cfvo type="max"/>
        <color rgb="FFFE9C9C"/>
        <color rgb="FFFF0000"/>
      </colorScale>
    </cfRule>
    <cfRule type="colorScale" priority="27">
      <colorScale>
        <cfvo type="min"/>
        <cfvo type="max"/>
        <color rgb="FFFE9C9C"/>
        <color rgb="FFFF0000"/>
      </colorScale>
    </cfRule>
    <cfRule type="colorScale" priority="28">
      <colorScale>
        <cfvo type="min"/>
        <cfvo type="max"/>
        <color rgb="FFFE9C9C"/>
        <color rgb="FFFF0000"/>
      </colorScale>
    </cfRule>
    <cfRule type="colorScale" priority="29">
      <colorScale>
        <cfvo type="min"/>
        <cfvo type="max"/>
        <color rgb="FFFE9C9C"/>
        <color rgb="FFFF0000"/>
      </colorScale>
    </cfRule>
  </conditionalFormatting>
  <conditionalFormatting sqref="P1:P2 P4:P1048576 Q3">
    <cfRule type="colorScale" priority="61">
      <colorScale>
        <cfvo type="min"/>
        <cfvo type="max"/>
        <color rgb="FFFE9C9C"/>
        <color rgb="FFFF0000"/>
      </colorScale>
    </cfRule>
  </conditionalFormatting>
  <conditionalFormatting sqref="Q1:Q2 Q4:Q1048576">
    <cfRule type="colorScale" priority="54">
      <colorScale>
        <cfvo type="min"/>
        <cfvo type="max"/>
        <color rgb="FFFE9C9C"/>
        <color rgb="FFFF0000"/>
      </colorScale>
    </cfRule>
    <cfRule type="colorScale" priority="55">
      <colorScale>
        <cfvo type="min"/>
        <cfvo type="max"/>
        <color rgb="FFFE9C9C"/>
        <color rgb="FFFF0000"/>
      </colorScale>
    </cfRule>
    <cfRule type="colorScale" priority="56">
      <colorScale>
        <cfvo type="min"/>
        <cfvo type="max"/>
        <color rgb="FFFE9C9C"/>
        <color rgb="FFFF0000"/>
      </colorScale>
    </cfRule>
    <cfRule type="colorScale" priority="57">
      <colorScale>
        <cfvo type="min"/>
        <cfvo type="max"/>
        <color rgb="FFFE9C9C"/>
        <color rgb="FFFF0000"/>
      </colorScale>
    </cfRule>
    <cfRule type="colorScale" priority="58">
      <colorScale>
        <cfvo type="min"/>
        <cfvo type="max"/>
        <color rgb="FFFE9C9C"/>
        <color rgb="FFFF0000"/>
      </colorScale>
    </cfRule>
    <cfRule type="colorScale" priority="59">
      <colorScale>
        <cfvo type="min"/>
        <cfvo type="max"/>
        <color rgb="FFFE9C9C"/>
        <color rgb="FFFF0000"/>
      </colorScale>
    </cfRule>
    <cfRule type="colorScale" priority="60">
      <colorScale>
        <cfvo type="min"/>
        <cfvo type="max"/>
        <color rgb="FFFE9C9C"/>
        <color rgb="FFFF0000"/>
      </colorScale>
    </cfRule>
    <cfRule type="colorScale" priority="62">
      <colorScale>
        <cfvo type="min"/>
        <cfvo type="max"/>
        <color rgb="FFFE9C9C"/>
        <color rgb="FFFF0000"/>
      </colorScale>
    </cfRule>
    <cfRule type="colorScale" priority="63">
      <colorScale>
        <cfvo type="min"/>
        <cfvo type="max"/>
        <color rgb="FFFE9C9C"/>
        <color rgb="FFFF0000"/>
      </colorScale>
    </cfRule>
    <cfRule type="colorScale" priority="64">
      <colorScale>
        <cfvo type="min"/>
        <cfvo type="max"/>
        <color rgb="FFFE9C9C"/>
        <color rgb="FFFF0000"/>
      </colorScale>
    </cfRule>
    <cfRule type="colorScale" priority="65">
      <colorScale>
        <cfvo type="min"/>
        <cfvo type="max"/>
        <color rgb="FFFE9C9C"/>
        <color rgb="FFFF0000"/>
      </colorScale>
    </cfRule>
    <cfRule type="colorScale" priority="66">
      <colorScale>
        <cfvo type="min"/>
        <cfvo type="max"/>
        <color rgb="FFFE9C9C"/>
        <color rgb="FFFF0000"/>
      </colorScale>
    </cfRule>
    <cfRule type="colorScale" priority="67">
      <colorScale>
        <cfvo type="min"/>
        <cfvo type="max"/>
        <color rgb="FFFE9C9C"/>
        <color rgb="FFFF0000"/>
      </colorScale>
    </cfRule>
    <cfRule type="colorScale" priority="68">
      <colorScale>
        <cfvo type="min"/>
        <cfvo type="max"/>
        <color rgb="FFFE9C9C"/>
        <color rgb="FFFF0000"/>
      </colorScale>
    </cfRule>
    <cfRule type="colorScale" priority="69">
      <colorScale>
        <cfvo type="min"/>
        <cfvo type="max"/>
        <color rgb="FFFE9C9C"/>
        <color rgb="FFFF0000"/>
      </colorScale>
    </cfRule>
    <cfRule type="colorScale" priority="70">
      <colorScale>
        <cfvo type="min"/>
        <cfvo type="max"/>
        <color rgb="FFFE9C9C"/>
        <color rgb="FFFF0000"/>
      </colorScale>
    </cfRule>
    <cfRule type="colorScale" priority="71">
      <colorScale>
        <cfvo type="min"/>
        <cfvo type="max"/>
        <color rgb="FFFE9C9C"/>
        <color rgb="FFFF0000"/>
      </colorScale>
    </cfRule>
    <cfRule type="colorScale" priority="72">
      <colorScale>
        <cfvo type="min"/>
        <cfvo type="max"/>
        <color rgb="FFFE9C9C"/>
        <color rgb="FFFF0000"/>
      </colorScale>
    </cfRule>
    <cfRule type="colorScale" priority="73">
      <colorScale>
        <cfvo type="min"/>
        <cfvo type="max"/>
        <color rgb="FFFE9C9C"/>
        <color rgb="FFFF0000"/>
      </colorScale>
    </cfRule>
    <cfRule type="colorScale" priority="74">
      <colorScale>
        <cfvo type="min"/>
        <cfvo type="max"/>
        <color rgb="FFFE9C9C"/>
        <color rgb="FFFF0000"/>
      </colorScale>
    </cfRule>
  </conditionalFormatting>
  <conditionalFormatting sqref="Q1:Q1048576">
    <cfRule type="colorScale" priority="1">
      <colorScale>
        <cfvo type="min"/>
        <cfvo type="max"/>
        <color rgb="FFFE9C9C"/>
        <color rgb="FFFF0000"/>
      </colorScale>
    </cfRule>
    <cfRule type="colorScale" priority="2">
      <colorScale>
        <cfvo type="min"/>
        <cfvo type="max"/>
        <color rgb="FFFE9C9C"/>
        <color rgb="FFFF0000"/>
      </colorScale>
    </cfRule>
    <cfRule type="colorScale" priority="3">
      <colorScale>
        <cfvo type="min"/>
        <cfvo type="max"/>
        <color rgb="FFFE9C9C"/>
        <color rgb="FFFF0000"/>
      </colorScale>
    </cfRule>
    <cfRule type="colorScale" priority="4">
      <colorScale>
        <cfvo type="min"/>
        <cfvo type="max"/>
        <color rgb="FFFE9C9C"/>
        <color rgb="FFFF0000"/>
      </colorScale>
    </cfRule>
    <cfRule type="colorScale" priority="5">
      <colorScale>
        <cfvo type="min"/>
        <cfvo type="max"/>
        <color rgb="FFFE9C9C"/>
        <color rgb="FFFF0000"/>
      </colorScale>
    </cfRule>
    <cfRule type="colorScale" priority="6">
      <colorScale>
        <cfvo type="min"/>
        <cfvo type="max"/>
        <color rgb="FFFE9C9C"/>
        <color rgb="FFFF0000"/>
      </colorScale>
    </cfRule>
    <cfRule type="colorScale" priority="7">
      <colorScale>
        <cfvo type="min"/>
        <cfvo type="max"/>
        <color rgb="FFFE9C9C"/>
        <color rgb="FFFF0000"/>
      </colorScale>
    </cfRule>
    <cfRule type="colorScale" priority="8">
      <colorScale>
        <cfvo type="min"/>
        <cfvo type="max"/>
        <color rgb="FFFE9C9C"/>
        <color rgb="FFFF0000"/>
      </colorScale>
    </cfRule>
    <cfRule type="colorScale" priority="9">
      <colorScale>
        <cfvo type="min"/>
        <cfvo type="max"/>
        <color rgb="FFFE9C9C"/>
        <color rgb="FFFF0000"/>
      </colorScale>
    </cfRule>
    <cfRule type="colorScale" priority="10">
      <colorScale>
        <cfvo type="min"/>
        <cfvo type="max"/>
        <color rgb="FFFE9C9C"/>
        <color rgb="FFFF0000"/>
      </colorScale>
    </cfRule>
    <cfRule type="colorScale" priority="11">
      <colorScale>
        <cfvo type="min"/>
        <cfvo type="max"/>
        <color rgb="FFFE9C9C"/>
        <color rgb="FFFF0000"/>
      </colorScale>
    </cfRule>
    <cfRule type="colorScale" priority="12">
      <colorScale>
        <cfvo type="min"/>
        <cfvo type="max"/>
        <color rgb="FFFE9C9C"/>
        <color rgb="FFFF0000"/>
      </colorScale>
    </cfRule>
    <cfRule type="colorScale" priority="13">
      <colorScale>
        <cfvo type="min"/>
        <cfvo type="max"/>
        <color rgb="FFFE9C9C"/>
        <color rgb="FFFF0000"/>
      </colorScale>
    </cfRule>
    <cfRule type="colorScale" priority="14">
      <colorScale>
        <cfvo type="min"/>
        <cfvo type="max"/>
        <color rgb="FFFE9C9C"/>
        <color rgb="FFFF0000"/>
      </colorScale>
    </cfRule>
    <cfRule type="colorScale" priority="15">
      <colorScale>
        <cfvo type="min"/>
        <cfvo type="max"/>
        <color rgb="FFFE9C9C"/>
        <color rgb="FFFF0000"/>
      </colorScale>
    </cfRule>
    <cfRule type="colorScale" priority="16">
      <colorScale>
        <cfvo type="min"/>
        <cfvo type="max"/>
        <color rgb="FFFE9C9C"/>
        <color rgb="FFFF0000"/>
      </colorScale>
    </cfRule>
    <cfRule type="colorScale" priority="17">
      <colorScale>
        <cfvo type="min"/>
        <cfvo type="max"/>
        <color rgb="FFFE9C9C"/>
        <color rgb="FFFF0000"/>
      </colorScale>
    </cfRule>
    <cfRule type="colorScale" priority="18">
      <colorScale>
        <cfvo type="min"/>
        <cfvo type="max"/>
        <color rgb="FFFE9C9C"/>
        <color rgb="FFFF0000"/>
      </colorScale>
    </cfRule>
    <cfRule type="colorScale" priority="19">
      <colorScale>
        <cfvo type="min"/>
        <cfvo type="max"/>
        <color rgb="FFFE9C9C"/>
        <color rgb="FFFF0000"/>
      </colorScale>
    </cfRule>
    <cfRule type="colorScale" priority="20">
      <colorScale>
        <cfvo type="min"/>
        <cfvo type="max"/>
        <color rgb="FFFE9C9C"/>
        <color rgb="FFFF0000"/>
      </colorScale>
    </cfRule>
    <cfRule type="colorScale" priority="21">
      <colorScale>
        <cfvo type="min"/>
        <cfvo type="max"/>
        <color rgb="FFFE9C9C"/>
        <color rgb="FFFF0000"/>
      </colorScale>
    </cfRule>
  </conditionalFormatting>
  <pageMargins left="0.511811024" right="0.511811024" top="0.787401575" bottom="0.787401575" header="0.31496062" footer="0.31496062"/>
  <pageSetup orientation="portrait"/>
  <headerFooter>
    <oddHeader>&amp;L&amp;"Calibri"&amp;1 &amp;K0000FF Uso Interno CPFL#_x000d_</oddHeader>
    <oddFooter/>
    <evenHeader/>
    <evenFooter/>
    <firstHeader/>
    <firstFooter/>
  </headerFooter>
  <drawing xmlns:r="http://schemas.openxmlformats.org/officeDocument/2006/relationships" r:id="rId1"/>
</worksheet>
</file>

<file path=xl/worksheets/sheet8.xml><?xml version="1.0" encoding="utf-8"?>
<worksheet xmlns="http://schemas.openxmlformats.org/spreadsheetml/2006/main">
  <sheetPr codeName="Planilha7">
    <tabColor rgb="FFFFC000"/>
    <outlinePr summaryBelow="1" summaryRight="1"/>
    <pageSetUpPr/>
  </sheetPr>
  <dimension ref="A1:L809"/>
  <sheetViews>
    <sheetView zoomScale="90" zoomScaleNormal="90" workbookViewId="0">
      <selection activeCell="A1" sqref="A1:XFD1"/>
    </sheetView>
  </sheetViews>
  <sheetFormatPr baseColWidth="8" defaultRowHeight="15"/>
  <cols>
    <col width="104.140625" customWidth="1" min="1" max="1"/>
    <col width="47.5703125" customWidth="1" min="3" max="3"/>
    <col width="10" bestFit="1" customWidth="1" min="4" max="4"/>
    <col width="10.85546875" bestFit="1" customWidth="1" min="5" max="5"/>
    <col hidden="1" width="22.140625" customWidth="1" min="6" max="6"/>
    <col hidden="1" width="9.7109375" customWidth="1" min="7" max="7"/>
    <col hidden="1" width="40.28515625" customWidth="1" min="8" max="8"/>
    <col hidden="1" width="2.140625" customWidth="1" min="9" max="9"/>
    <col hidden="1" width="38.7109375" customWidth="1" min="10" max="10"/>
    <col width="42.140625" customWidth="1" min="11" max="11"/>
    <col width="21.85546875" customWidth="1" min="12" max="12"/>
  </cols>
  <sheetData>
    <row r="1" ht="16.5" customFormat="1" customHeight="1" s="67" thickBot="1">
      <c r="A1" s="61" t="inlineStr">
        <is>
          <t xml:space="preserve">Name </t>
        </is>
      </c>
      <c r="B1" s="62" t="inlineStr">
        <is>
          <t>Alias</t>
        </is>
      </c>
      <c r="C1" s="63" t="inlineStr">
        <is>
          <t>State (Message)</t>
        </is>
      </c>
      <c r="D1" s="61" t="inlineStr">
        <is>
          <t>Value</t>
        </is>
      </c>
      <c r="E1" s="61" t="inlineStr">
        <is>
          <t>SCADA Value</t>
        </is>
      </c>
      <c r="F1" s="64" t="inlineStr">
        <is>
          <t>Commanding message</t>
        </is>
      </c>
      <c r="G1" s="64" t="inlineStr">
        <is>
          <t>Color</t>
        </is>
      </c>
      <c r="H1" s="64" t="inlineStr">
        <is>
          <t>Abnormal Status</t>
        </is>
      </c>
      <c r="I1" s="65" t="inlineStr">
        <is>
          <t>Allow Manual Override</t>
        </is>
      </c>
      <c r="J1" s="64" t="inlineStr">
        <is>
          <t>Alarm Catalog</t>
        </is>
      </c>
      <c r="K1" s="66" t="inlineStr">
        <is>
          <t>Coluna1</t>
        </is>
      </c>
      <c r="L1" s="66" t="inlineStr">
        <is>
          <t>Severidade</t>
        </is>
      </c>
    </row>
    <row r="2" ht="16.5" customFormat="1" customHeight="1" s="67">
      <c r="A2" s="68" t="inlineStr">
        <is>
          <t>DI_null@null___NORMAL@ATUADO___RelayTrip___INV_S_TS_SEV1</t>
        </is>
      </c>
      <c r="B2" s="68" t="inlineStr"/>
      <c r="C2" s="68" t="inlineStr">
        <is>
          <t>Transit;NORMAL;ATUADO;Error</t>
        </is>
      </c>
      <c r="D2" s="68" t="inlineStr">
        <is>
          <t>0;1;2;3</t>
        </is>
      </c>
      <c r="E2" s="68" t="inlineStr">
        <is>
          <t>2;1;0;3</t>
        </is>
      </c>
      <c r="F2" s="68" t="inlineStr">
        <is>
          <t>;;;</t>
        </is>
      </c>
      <c r="G2" s="68" t="inlineStr">
        <is>
          <t>#FF000000;#FF00FF00;#FFFF0000;#FFA9A9A9</t>
        </is>
      </c>
      <c r="H2" s="68" t="inlineStr">
        <is>
          <t>Normal;Normal;Abnormal;Normal</t>
        </is>
      </c>
      <c r="I2" s="68" t="inlineStr">
        <is>
          <t>FALSE;TRUE;TRUE;FALSE</t>
        </is>
      </c>
      <c r="J2" s="68" t="inlineStr">
        <is>
          <t>Alarme de Estado em Ponto Telessinalizado SEV1</t>
        </is>
      </c>
      <c r="K2" s="69" t="inlineStr">
        <is>
          <t>Alarme de Estado em Ponto Telessinalizado SEV1</t>
        </is>
      </c>
      <c r="L2" s="69">
        <f>VLOOKUP(LinkTable6789[[#This Row],[Coluna1]],[4]AlarmCatalog!$A:$M,11,FALSE)</f>
        <v/>
      </c>
    </row>
    <row r="3" ht="16.5" customFormat="1" customHeight="1" s="67">
      <c r="A3" s="68" t="inlineStr">
        <is>
          <t>DI_null@null___NORMAL@ATUADO___Custom_S_TS_SEV1</t>
        </is>
      </c>
      <c r="B3" s="68" t="inlineStr"/>
      <c r="C3" s="68" t="inlineStr">
        <is>
          <t>Transit;NORMAL;ATUADO;Error</t>
        </is>
      </c>
      <c r="D3" s="68" t="inlineStr">
        <is>
          <t>0;1;2;3</t>
        </is>
      </c>
      <c r="E3" s="68" t="inlineStr">
        <is>
          <t>2;0;1;3</t>
        </is>
      </c>
      <c r="F3" s="68" t="inlineStr">
        <is>
          <t>;;;</t>
        </is>
      </c>
      <c r="G3" s="68" t="inlineStr">
        <is>
          <t>#FF000000;#FF00FF00;#FFFF0000;#FFA9A9A9</t>
        </is>
      </c>
      <c r="H3" s="68" t="inlineStr">
        <is>
          <t>Normal;Normal;Abnormal;Normal</t>
        </is>
      </c>
      <c r="I3" s="68" t="inlineStr">
        <is>
          <t>FALSE;TRUE;TRUE;FALSE</t>
        </is>
      </c>
      <c r="J3" s="68" t="inlineStr">
        <is>
          <t>Alarme de Estado em Ponto Telessinalizado SEV1</t>
        </is>
      </c>
      <c r="K3" s="69" t="inlineStr">
        <is>
          <t>Alarme de Estado em Ponto Telessinalizado SEV1</t>
        </is>
      </c>
      <c r="L3" s="69">
        <f>VLOOKUP(LinkTable6789[[#This Row],[Coluna1]],[4]AlarmCatalog!$A:$M,11,FALSE)</f>
        <v/>
      </c>
    </row>
    <row r="4" ht="16.5" customFormat="1" customHeight="1" s="67">
      <c r="A4" s="68" t="inlineStr">
        <is>
          <t>DI_null@null___NORMAL@ATUADO___RelayTrip_S_TS_SEV1</t>
        </is>
      </c>
      <c r="B4" s="68" t="inlineStr"/>
      <c r="C4" s="68" t="inlineStr">
        <is>
          <t>Transit;NORMAL;ATUADO;Error</t>
        </is>
      </c>
      <c r="D4" s="68" t="inlineStr">
        <is>
          <t>0;1;2;3</t>
        </is>
      </c>
      <c r="E4" s="68" t="inlineStr">
        <is>
          <t>2;0;1;3</t>
        </is>
      </c>
      <c r="F4" s="68" t="inlineStr">
        <is>
          <t>;;;</t>
        </is>
      </c>
      <c r="G4" s="68" t="inlineStr">
        <is>
          <t>#FF000000;#FF00FF00;#FFFF0000;#FFA9A9A9</t>
        </is>
      </c>
      <c r="H4" s="68" t="inlineStr">
        <is>
          <t>Normal;Normal;Abnormal;Normal</t>
        </is>
      </c>
      <c r="I4" s="68" t="inlineStr">
        <is>
          <t>FALSE;TRUE;TRUE;FALSE</t>
        </is>
      </c>
      <c r="J4" s="68" t="inlineStr">
        <is>
          <t>Alarme de Estado em Ponto Telessinalizado SEV1</t>
        </is>
      </c>
      <c r="K4" s="69" t="inlineStr">
        <is>
          <t>Alarme de Estado em Ponto Telessinalizado SEV1</t>
        </is>
      </c>
      <c r="L4" s="69">
        <f>VLOOKUP(LinkTable6789[[#This Row],[Coluna1]],[4]AlarmCatalog!$A:$M,11,FALSE)</f>
        <v/>
      </c>
    </row>
    <row r="5" ht="16.5" customFormat="1" customHeight="1" s="67">
      <c r="A5" s="68" t="inlineStr">
        <is>
          <t>DI_INCLUIR@EXCLUIR___INCLUIDO@EXCLUIDO___Custom___INV_S_TC</t>
        </is>
      </c>
      <c r="B5" s="68" t="inlineStr"/>
      <c r="C5" s="68" t="inlineStr">
        <is>
          <t>Transit;INCLUIDO;EXCLUIDO;Error</t>
        </is>
      </c>
      <c r="D5" s="68" t="inlineStr">
        <is>
          <t>0;1;2;3</t>
        </is>
      </c>
      <c r="E5" s="68" t="inlineStr">
        <is>
          <t>2;1;0;3</t>
        </is>
      </c>
      <c r="F5" s="68" t="inlineStr">
        <is>
          <t>;INCLUIR;EXCLUIR;</t>
        </is>
      </c>
      <c r="G5" s="68" t="inlineStr">
        <is>
          <t>#FF000000;#FFFF0000;#FF00FF00;#FFA9A9A9</t>
        </is>
      </c>
      <c r="H5" s="68" t="inlineStr">
        <is>
          <t>Abnormal;Auto;Auto;Abnormal</t>
        </is>
      </c>
      <c r="I5" s="68" t="inlineStr">
        <is>
          <t>FALSE;TRUE;TRUE;FALSE</t>
        </is>
      </c>
      <c r="J5" s="68" t="inlineStr">
        <is>
          <t>Alarme de Estado em Ponto Telecontrolado</t>
        </is>
      </c>
      <c r="K5" s="69" t="inlineStr">
        <is>
          <t>Alarme de Estado em Ponto Telecontrolado</t>
        </is>
      </c>
      <c r="L5" s="69">
        <f>VLOOKUP(LinkTable6789[[#This Row],[Coluna1]],[4]AlarmCatalog!$A:$M,11,FALSE)</f>
        <v/>
      </c>
    </row>
    <row r="6" ht="16.5" customFormat="1" customHeight="1" s="67">
      <c r="A6" s="68" t="inlineStr">
        <is>
          <t>DI_INCLUIR@EXCLUIR___INCLUIDO@EXCLUIDO___Custom___INV_S_TC_DS</t>
        </is>
      </c>
      <c r="B6" s="68" t="inlineStr"/>
      <c r="C6" s="68" t="inlineStr">
        <is>
          <t>Transit;INCLUIDO;EXCLUIDO;Error</t>
        </is>
      </c>
      <c r="D6" s="68" t="inlineStr">
        <is>
          <t>0;1;2;3</t>
        </is>
      </c>
      <c r="E6" s="68" t="inlineStr">
        <is>
          <t>2;1;0;3</t>
        </is>
      </c>
      <c r="F6" s="68" t="inlineStr">
        <is>
          <t>;INCLUIR;EXCLUIR;</t>
        </is>
      </c>
      <c r="G6" s="68" t="inlineStr">
        <is>
          <t>#FF000000;#FFFF0000;#FF00FF00;#FFA9A9A9</t>
        </is>
      </c>
      <c r="H6" s="68" t="inlineStr">
        <is>
          <t>Abnormal;Auto;Auto;Abnormal</t>
        </is>
      </c>
      <c r="I6" s="68" t="inlineStr">
        <is>
          <t>FALSE;TRUE;TRUE;FALSE</t>
        </is>
      </c>
      <c r="J6" s="68" t="inlineStr">
        <is>
          <t>Alarme de Estado em Ponto Telecontrolado DS</t>
        </is>
      </c>
      <c r="K6" s="69" t="inlineStr">
        <is>
          <t>Alarme de Estado em Ponto Telecontrolado DS</t>
        </is>
      </c>
      <c r="L6" s="69">
        <f>VLOOKUP(LinkTable6789[[#This Row],[Coluna1]],[4]AlarmCatalog!$A:$M,11,FALSE)</f>
        <v/>
      </c>
    </row>
    <row r="7" ht="16.5" customFormat="1" customHeight="1" s="67">
      <c r="A7" s="68" t="inlineStr">
        <is>
          <t>LIGAR@null___DESLIGADO@LIGADO___SwitchStatus_D_TC</t>
        </is>
      </c>
      <c r="B7" s="68" t="inlineStr"/>
      <c r="C7" s="68" t="inlineStr">
        <is>
          <t>Error;DESLIGADO;LIGADO;Transit</t>
        </is>
      </c>
      <c r="D7" s="68" t="inlineStr">
        <is>
          <t>0;1;2;3</t>
        </is>
      </c>
      <c r="E7" s="68" t="inlineStr">
        <is>
          <t>1;0;2;3</t>
        </is>
      </c>
      <c r="F7" s="68" t="inlineStr">
        <is>
          <t>;LIGAR;null;</t>
        </is>
      </c>
      <c r="G7" s="68" t="inlineStr">
        <is>
          <t>#FF000000;#FF00FF00;#FFFF0000;#FFA9A9A9</t>
        </is>
      </c>
      <c r="H7" s="68" t="inlineStr">
        <is>
          <t>Abnormal;Abnormal;Normal;Normal</t>
        </is>
      </c>
      <c r="I7" s="68" t="inlineStr">
        <is>
          <t>FALSE;TRUE;TRUE;FALSE</t>
        </is>
      </c>
      <c r="J7" s="68" t="inlineStr">
        <is>
          <t>Alarme de Estado em Ponto Telecontrolado</t>
        </is>
      </c>
      <c r="K7" s="69" t="inlineStr">
        <is>
          <t>Alarme de Estado em Ponto Telecontrolado</t>
        </is>
      </c>
      <c r="L7" s="69">
        <f>VLOOKUP(LinkTable6789[[#This Row],[Coluna1]],[4]AlarmCatalog!$A:$M,11,FALSE)</f>
        <v/>
      </c>
    </row>
    <row r="8" ht="16.5" customFormat="1" customHeight="1" s="67">
      <c r="A8" s="68" t="inlineStr">
        <is>
          <t>DI_INCLUIR@EXCLUIR___INCLUIDO@EXCLUIDO___Custom___INV_S_TC_DS_AUTO</t>
        </is>
      </c>
      <c r="B8" s="68" t="inlineStr"/>
      <c r="C8" s="68" t="inlineStr">
        <is>
          <t>Transit;INCLUIDO;EXCLUIDO;Error</t>
        </is>
      </c>
      <c r="D8" s="68" t="inlineStr">
        <is>
          <t>0;1;2;3</t>
        </is>
      </c>
      <c r="E8" s="68" t="inlineStr">
        <is>
          <t>2;1;0;3</t>
        </is>
      </c>
      <c r="F8" s="68" t="inlineStr">
        <is>
          <t>;INCLUIR;EXCLUIR;</t>
        </is>
      </c>
      <c r="G8" s="68" t="inlineStr">
        <is>
          <t>#FF000000;#FFFF0000;#FF00FF00;#FFA9A9A9</t>
        </is>
      </c>
      <c r="H8" s="68" t="inlineStr">
        <is>
          <t>Abnormal;Normal;Normal;Abnormal</t>
        </is>
      </c>
      <c r="I8" s="68" t="inlineStr">
        <is>
          <t>FALSE;TRUE;TRUE;FALSE</t>
        </is>
      </c>
      <c r="J8" s="68" t="inlineStr">
        <is>
          <t>Alarme de Estado em Ponto Telecontrolado DS</t>
        </is>
      </c>
      <c r="K8" s="69" t="inlineStr">
        <is>
          <t>Alarme de Estado em Ponto Telecontrolado DS</t>
        </is>
      </c>
      <c r="L8" s="69">
        <f>VLOOKUP(LinkTable6789[[#This Row],[Coluna1]],[4]AlarmCatalog!$A:$M,11,FALSE)</f>
        <v/>
      </c>
    </row>
    <row r="9" ht="16.5" customFormat="1" customHeight="1" s="67">
      <c r="A9" s="68" t="inlineStr">
        <is>
          <t>DI_INCLUIR@EXCLUIR___INCLUIDO@EXCLUIDO___Enabled___admsINV_S_TC_DS</t>
        </is>
      </c>
      <c r="B9" s="68" t="inlineStr"/>
      <c r="C9" s="68" t="inlineStr">
        <is>
          <t>Transit;INCLUIDO;EXCLUIDO;Error</t>
        </is>
      </c>
      <c r="D9" s="68" t="inlineStr">
        <is>
          <t>0;2;1;3</t>
        </is>
      </c>
      <c r="E9" s="68" t="inlineStr">
        <is>
          <t>2;0;1;3</t>
        </is>
      </c>
      <c r="F9" s="68" t="inlineStr">
        <is>
          <t>;INCLUIR;EXCLUIR;</t>
        </is>
      </c>
      <c r="G9" s="68" t="inlineStr">
        <is>
          <t>#FF000000;#FFFF0000;#FF00FF00;#FFA9A9A9</t>
        </is>
      </c>
      <c r="H9" s="68" t="inlineStr">
        <is>
          <t>Abnormal;Auto;Auto;Abnormal</t>
        </is>
      </c>
      <c r="I9" s="68" t="inlineStr">
        <is>
          <t>FALSE;TRUE;TRUE;FALSE</t>
        </is>
      </c>
      <c r="J9" s="68" t="inlineStr">
        <is>
          <t>Alarme de Estado em Ponto Telecontrolado DS</t>
        </is>
      </c>
      <c r="K9" s="69" t="inlineStr">
        <is>
          <t>Alarme de Estado em Ponto Telecontrolado DS</t>
        </is>
      </c>
      <c r="L9" s="69">
        <f>VLOOKUP(LinkTable6789[[#This Row],[Coluna1]],[4]AlarmCatalog!$A:$M,11,FALSE)</f>
        <v/>
      </c>
    </row>
    <row r="10" ht="16.5" customFormat="1" customHeight="1" s="67">
      <c r="A10" s="68" t="inlineStr">
        <is>
          <t>ABRIR@null___ABERTO@FECHADO___SwitchStatus_D_TC</t>
        </is>
      </c>
      <c r="B10" s="68" t="inlineStr"/>
      <c r="C10" s="68" t="inlineStr">
        <is>
          <t>Error;ABERTO;FECHADO;Transit</t>
        </is>
      </c>
      <c r="D10" s="68" t="inlineStr">
        <is>
          <t>0;1;2;3</t>
        </is>
      </c>
      <c r="E10" s="68" t="inlineStr">
        <is>
          <t>1;0;2;3</t>
        </is>
      </c>
      <c r="F10" s="68" t="inlineStr">
        <is>
          <t>;ABRIR;null;</t>
        </is>
      </c>
      <c r="G10" s="68" t="inlineStr">
        <is>
          <t>#FF000000;#FF00FF00;#FFFF0000;#FFA9A9A9</t>
        </is>
      </c>
      <c r="H10" s="68" t="inlineStr">
        <is>
          <t>Abnormal;Auto;Auto;Abnormal</t>
        </is>
      </c>
      <c r="I10" s="68" t="inlineStr">
        <is>
          <t>FALSE;TRUE;TRUE;FALSE</t>
        </is>
      </c>
      <c r="J10" s="68" t="inlineStr">
        <is>
          <t>Alarme de Estado em Ponto Telecontrolado</t>
        </is>
      </c>
      <c r="K10" s="69" t="inlineStr">
        <is>
          <t>Alarme de Estado em Ponto Telecontrolado</t>
        </is>
      </c>
      <c r="L10" s="69">
        <f>VLOOKUP(LinkTable6789[[#This Row],[Coluna1]],[4]AlarmCatalog!$A:$M,11,FALSE)</f>
        <v/>
      </c>
    </row>
    <row r="11" ht="16.5" customFormat="1" customHeight="1" s="67">
      <c r="A11" s="68" t="inlineStr">
        <is>
          <t>DI_INCLUIR@EXCLUIR___INCLUIDO@EXCLUIDO___Enabled___admsINV_S_TC_DS_SGF_DESAB</t>
        </is>
      </c>
      <c r="B11" s="68" t="inlineStr"/>
      <c r="C11" s="68" t="inlineStr">
        <is>
          <t>Transit;INCLUIDO;EXCLUIDO;Error</t>
        </is>
      </c>
      <c r="D11" s="68" t="inlineStr">
        <is>
          <t>0;2;1;3</t>
        </is>
      </c>
      <c r="E11" s="68" t="inlineStr">
        <is>
          <t>2;0;1;3</t>
        </is>
      </c>
      <c r="F11" s="68" t="inlineStr">
        <is>
          <t>;INCLUIR;EXCLUIR;</t>
        </is>
      </c>
      <c r="G11" s="68" t="inlineStr">
        <is>
          <t>#FF000000;#FFFF0000;#FF00FF00;#FFA9A9A9</t>
        </is>
      </c>
      <c r="H11" s="68" t="inlineStr">
        <is>
          <t>Abnormal;Normal;Normal;Abnormal</t>
        </is>
      </c>
      <c r="I11" s="68" t="inlineStr">
        <is>
          <t>FALSE;TRUE;TRUE;FALSE</t>
        </is>
      </c>
      <c r="J11" s="68" t="inlineStr">
        <is>
          <t>Alarme de Estado em Ponto Telecontrolado DS</t>
        </is>
      </c>
      <c r="K11" s="69" t="inlineStr">
        <is>
          <t>Alarme de Estado em Ponto Telecontrolado DS</t>
        </is>
      </c>
      <c r="L11" s="69">
        <f>VLOOKUP(LinkTable6789[[#This Row],[Coluna1]],[4]AlarmCatalog!$A:$M,11,FALSE)</f>
        <v/>
      </c>
    </row>
    <row r="12" ht="16.5" customFormat="1" customHeight="1" s="67">
      <c r="A12" s="68" t="inlineStr">
        <is>
          <t>LIGAR@null___DESLIGADO@LIGADO___Custom_S_TC</t>
        </is>
      </c>
      <c r="B12" s="68" t="inlineStr"/>
      <c r="C12" s="68" t="inlineStr">
        <is>
          <t>Error;DESLIGADO;LIGADO;Transit</t>
        </is>
      </c>
      <c r="D12" s="68" t="inlineStr">
        <is>
          <t>0;1;2;3</t>
        </is>
      </c>
      <c r="E12" s="68" t="inlineStr">
        <is>
          <t>1;0;2;3</t>
        </is>
      </c>
      <c r="F12" s="68" t="inlineStr">
        <is>
          <t>;LIGAR;null;</t>
        </is>
      </c>
      <c r="G12" s="68" t="inlineStr">
        <is>
          <t>#FF000000;#FF00FF00;#FFFF0000;#FFA9A9A9</t>
        </is>
      </c>
      <c r="H12" s="68" t="inlineStr">
        <is>
          <t>Normal;Normal;Normal;Normal</t>
        </is>
      </c>
      <c r="I12" s="68" t="inlineStr">
        <is>
          <t>FALSE;TRUE;TRUE;FALSE</t>
        </is>
      </c>
      <c r="J12" s="68" t="inlineStr">
        <is>
          <t>Alarme de Estado em Ponto Telecontrolado</t>
        </is>
      </c>
      <c r="K12" s="69" t="inlineStr">
        <is>
          <t>Alarme de Estado em Ponto Telecontrolado</t>
        </is>
      </c>
      <c r="L12" s="69">
        <f>VLOOKUP(LinkTable6789[[#This Row],[Coluna1]],[4]AlarmCatalog!$A:$M,11,FALSE)</f>
        <v/>
      </c>
    </row>
    <row r="13" ht="16.5" customFormat="1" customHeight="1" s="67">
      <c r="A13" s="68" t="inlineStr">
        <is>
          <t>DI_INCLUIR@EXCLUIR___INCLUIDO@EXCLUIDO___Enabled___admsINV_S_TC_DS_SGF_INC</t>
        </is>
      </c>
      <c r="B13" s="68" t="inlineStr"/>
      <c r="C13" s="68" t="inlineStr">
        <is>
          <t>Transit;INCLUIDO;EXCLUIDO;Error</t>
        </is>
      </c>
      <c r="D13" s="68" t="inlineStr">
        <is>
          <t>0;2;1;3</t>
        </is>
      </c>
      <c r="E13" s="68" t="inlineStr">
        <is>
          <t>2;0;1;3</t>
        </is>
      </c>
      <c r="F13" s="68" t="inlineStr">
        <is>
          <t>;INCLUIR;EXCLUIR;</t>
        </is>
      </c>
      <c r="G13" s="68" t="inlineStr">
        <is>
          <t>#FF000000;#FFFF0000;#FF00FF00;#FFA9A9A9</t>
        </is>
      </c>
      <c r="H13" s="68" t="inlineStr">
        <is>
          <t>Abnormal;Normal;Abnormal;Abnormal</t>
        </is>
      </c>
      <c r="I13" s="68" t="inlineStr">
        <is>
          <t>FALSE;TRUE;TRUE;FALSE</t>
        </is>
      </c>
      <c r="J13" s="68" t="inlineStr">
        <is>
          <t>Alarme de Estado em Ponto Telecontrolado DS</t>
        </is>
      </c>
      <c r="K13" s="69" t="inlineStr">
        <is>
          <t>Alarme de Estado em Ponto Telecontrolado DS</t>
        </is>
      </c>
      <c r="L13" s="69">
        <f>VLOOKUP(LinkTable6789[[#This Row],[Coluna1]],[4]AlarmCatalog!$A:$M,11,FALSE)</f>
        <v/>
      </c>
    </row>
    <row r="14" ht="16.5" customFormat="1" customHeight="1" s="67">
      <c r="A14" s="68" t="inlineStr">
        <is>
          <t>null@REARMAR___NORMAL@ATUADO___Custom_S_TC</t>
        </is>
      </c>
      <c r="B14" s="68" t="inlineStr"/>
      <c r="C14" s="68" t="inlineStr">
        <is>
          <t>Transit;NORMAL;ATUADO;Error</t>
        </is>
      </c>
      <c r="D14" s="68" t="inlineStr">
        <is>
          <t>0;1;2;3</t>
        </is>
      </c>
      <c r="E14" s="68" t="inlineStr">
        <is>
          <t>2;0;1;3</t>
        </is>
      </c>
      <c r="F14" s="68" t="inlineStr">
        <is>
          <t>;REARMAR;;</t>
        </is>
      </c>
      <c r="G14" s="68" t="inlineStr">
        <is>
          <t>#FF000000;#FF00FF00;#FFFF0000;#FFA9A9A9</t>
        </is>
      </c>
      <c r="H14" s="68" t="inlineStr">
        <is>
          <t>Abnormal;Auto;Auto;Abnormal</t>
        </is>
      </c>
      <c r="I14" s="68" t="inlineStr">
        <is>
          <t>FALSE;TRUE;TRUE;FALSE</t>
        </is>
      </c>
      <c r="J14" s="68" t="inlineStr">
        <is>
          <t>Alarme de Estado em Ponto Telecontrolado</t>
        </is>
      </c>
      <c r="K14" s="69" t="inlineStr">
        <is>
          <t>Alarme de Estado em Ponto Telecontrolado</t>
        </is>
      </c>
      <c r="L14" s="69">
        <f>VLOOKUP(LinkTable6789[[#This Row],[Coluna1]],[4]AlarmCatalog!$A:$M,11,FALSE)</f>
        <v/>
      </c>
    </row>
    <row r="15" ht="16.5" customFormat="1" customHeight="1" s="67">
      <c r="A15" s="68" t="inlineStr">
        <is>
          <t>DI_INCLUIR@EXCLUIR___INCLUIDO@EXCLUIDO___Enabled___INV___admsINV_S_TC_DS</t>
        </is>
      </c>
      <c r="B15" s="68" t="inlineStr"/>
      <c r="C15" s="68" t="inlineStr">
        <is>
          <t>Transit;INCLUIDO;EXCLUIDO;Error</t>
        </is>
      </c>
      <c r="D15" s="68" t="inlineStr">
        <is>
          <t>0;2;1;3</t>
        </is>
      </c>
      <c r="E15" s="68" t="inlineStr">
        <is>
          <t>2;1;0;3</t>
        </is>
      </c>
      <c r="F15" s="68" t="inlineStr">
        <is>
          <t>;INCLUIR;EXCLUIR;</t>
        </is>
      </c>
      <c r="G15" s="68" t="inlineStr">
        <is>
          <t>#FF000000;#FFFF0000;#FF00FF00;#FFA9A9A9</t>
        </is>
      </c>
      <c r="H15" s="68" t="inlineStr">
        <is>
          <t>Abnormal;Auto;Auto;Abnormal</t>
        </is>
      </c>
      <c r="I15" s="68" t="inlineStr">
        <is>
          <t>FALSE;TRUE;TRUE;FALSE</t>
        </is>
      </c>
      <c r="J15" s="68" t="inlineStr">
        <is>
          <t>Alarme de Estado em Ponto Telecontrolado DS</t>
        </is>
      </c>
      <c r="K15" s="69" t="inlineStr">
        <is>
          <t>Alarme de Estado em Ponto Telecontrolado DS</t>
        </is>
      </c>
      <c r="L15" s="69">
        <f>VLOOKUP(LinkTable6789[[#This Row],[Coluna1]],[4]AlarmCatalog!$A:$M,11,FALSE)</f>
        <v/>
      </c>
    </row>
    <row r="16" ht="16.5" customFormat="1" customHeight="1" s="67">
      <c r="A16" s="68" t="inlineStr">
        <is>
          <t>DI_INCLUIR@EXCLUIR___INCLUIDO@EXCLUIDO___Enabled___INV___admsINV_S_TC_DS_SGF_DESAB</t>
        </is>
      </c>
      <c r="B16" s="68" t="inlineStr"/>
      <c r="C16" s="68" t="inlineStr">
        <is>
          <t>Transit;INCLUIDO;EXCLUIDO;Error</t>
        </is>
      </c>
      <c r="D16" s="68" t="inlineStr">
        <is>
          <t>0;2;1;3</t>
        </is>
      </c>
      <c r="E16" s="68" t="inlineStr">
        <is>
          <t>2;1;0;3</t>
        </is>
      </c>
      <c r="F16" s="68" t="inlineStr">
        <is>
          <t>;INCLUIR;EXCLUIR;</t>
        </is>
      </c>
      <c r="G16" s="68" t="inlineStr">
        <is>
          <t>#FF000000;#FFFF0000;#FF00FF00;#FFA9A9A9</t>
        </is>
      </c>
      <c r="H16" s="68" t="inlineStr">
        <is>
          <t>Abnormal;Normal;Normal;Abnormal</t>
        </is>
      </c>
      <c r="I16" s="68" t="inlineStr">
        <is>
          <t>FALSE;TRUE;TRUE;FALSE</t>
        </is>
      </c>
      <c r="J16" s="68" t="inlineStr">
        <is>
          <t>Alarme de Estado em Ponto Telecontrolado DS</t>
        </is>
      </c>
      <c r="K16" s="69" t="inlineStr">
        <is>
          <t>Alarme de Estado em Ponto Telecontrolado DS</t>
        </is>
      </c>
      <c r="L16" s="69">
        <f>VLOOKUP(LinkTable6789[[#This Row],[Coluna1]],[4]AlarmCatalog!$A:$M,11,FALSE)</f>
        <v/>
      </c>
    </row>
    <row r="17" ht="16.5" customFormat="1" customHeight="1" s="67">
      <c r="A17" s="68" t="inlineStr">
        <is>
          <t>DESATIVA@ATIVA___DESATIVADO@ATIVADO___Custom_S_TC</t>
        </is>
      </c>
      <c r="B17" s="68" t="inlineStr"/>
      <c r="C17" s="68" t="inlineStr">
        <is>
          <t>Transit;DESATIVADO;ATIVADO;Error</t>
        </is>
      </c>
      <c r="D17" s="68" t="inlineStr">
        <is>
          <t>0;1;2;3</t>
        </is>
      </c>
      <c r="E17" s="68" t="inlineStr">
        <is>
          <t>2;0;1;3</t>
        </is>
      </c>
      <c r="F17" s="68" t="inlineStr">
        <is>
          <t>;DESATIVA;ATIVA;</t>
        </is>
      </c>
      <c r="G17" s="68" t="inlineStr">
        <is>
          <t>#FF000000;#FF00FF00;#FFFF0000;#FFA9A9A9</t>
        </is>
      </c>
      <c r="H17" s="68" t="inlineStr">
        <is>
          <t>Abnormal;Auto;Auto;Abnormal</t>
        </is>
      </c>
      <c r="I17" s="68" t="inlineStr">
        <is>
          <t>FALSE;TRUE;TRUE;FALSE</t>
        </is>
      </c>
      <c r="J17" s="68" t="inlineStr">
        <is>
          <t>Alarme de Estado em Ponto Telecontrolado</t>
        </is>
      </c>
      <c r="K17" s="69" t="inlineStr">
        <is>
          <t>Alarme de Estado em Ponto Telecontrolado</t>
        </is>
      </c>
      <c r="L17" s="69">
        <f>VLOOKUP(LinkTable6789[[#This Row],[Coluna1]],[4]AlarmCatalog!$A:$M,11,FALSE)</f>
        <v/>
      </c>
    </row>
    <row r="18" ht="16.5" customFormat="1" customHeight="1" s="67">
      <c r="A18" s="68" t="inlineStr">
        <is>
          <t>DESATIVA@null___DESATIVADO@ATIVADO___Custom_S_TC</t>
        </is>
      </c>
      <c r="B18" s="68" t="inlineStr"/>
      <c r="C18" s="68" t="inlineStr">
        <is>
          <t>Error;DESATIVADO;ATIVADO;Transit</t>
        </is>
      </c>
      <c r="D18" s="68" t="inlineStr">
        <is>
          <t>0;1;2;3</t>
        </is>
      </c>
      <c r="E18" s="68" t="inlineStr">
        <is>
          <t>1;0;2;3</t>
        </is>
      </c>
      <c r="F18" s="68" t="inlineStr">
        <is>
          <t>;DESATIVA;null;</t>
        </is>
      </c>
      <c r="G18" s="68" t="inlineStr">
        <is>
          <t>#FF000000;#FF00FF00;#FFFF0000;#FFA9A9A9</t>
        </is>
      </c>
      <c r="H18" s="68" t="inlineStr">
        <is>
          <t>Abnormal;Auto;Auto;Abnormal</t>
        </is>
      </c>
      <c r="I18" s="68" t="inlineStr">
        <is>
          <t>FALSE;TRUE;TRUE;FALSE</t>
        </is>
      </c>
      <c r="J18" s="68" t="inlineStr">
        <is>
          <t>Alarme de Estado em Ponto Telecontrolado</t>
        </is>
      </c>
      <c r="K18" s="69" t="inlineStr">
        <is>
          <t>Alarme de Estado em Ponto Telecontrolado</t>
        </is>
      </c>
      <c r="L18" s="69">
        <f>VLOOKUP(LinkTable6789[[#This Row],[Coluna1]],[4]AlarmCatalog!$A:$M,11,FALSE)</f>
        <v/>
      </c>
    </row>
    <row r="19" ht="16.5" customFormat="1" customHeight="1" s="67">
      <c r="A19" s="68" t="inlineStr">
        <is>
          <t>DI_INCLUIR@EXCLUIR___INCLUIDO@EXCLUIDO___Enabled___INV___admsINV_S_TC_DS_SGF_INC</t>
        </is>
      </c>
      <c r="B19" s="68" t="inlineStr"/>
      <c r="C19" s="68" t="inlineStr">
        <is>
          <t>Transit;INCLUIDO;EXCLUIDO;Error</t>
        </is>
      </c>
      <c r="D19" s="68" t="inlineStr">
        <is>
          <t>0;2;1;3</t>
        </is>
      </c>
      <c r="E19" s="68" t="inlineStr">
        <is>
          <t>2;1;0;3</t>
        </is>
      </c>
      <c r="F19" s="68" t="inlineStr">
        <is>
          <t>;INCLUIR;EXCLUIR;</t>
        </is>
      </c>
      <c r="G19" s="68" t="inlineStr">
        <is>
          <t>#FF000000;#FFFF0000;#FF00FF00;#FFA9A9A9</t>
        </is>
      </c>
      <c r="H19" s="68" t="inlineStr">
        <is>
          <t>Abnormal;Normal;Abnormal;Abnormal</t>
        </is>
      </c>
      <c r="I19" s="68" t="inlineStr">
        <is>
          <t>FALSE;TRUE;TRUE;FALSE</t>
        </is>
      </c>
      <c r="J19" s="68" t="inlineStr">
        <is>
          <t>Alarme de Estado em Ponto Telecontrolado DS</t>
        </is>
      </c>
      <c r="K19" s="69" t="inlineStr">
        <is>
          <t>Alarme de Estado em Ponto Telecontrolado DS</t>
        </is>
      </c>
      <c r="L19" s="69">
        <f>VLOOKUP(LinkTable6789[[#This Row],[Coluna1]],[4]AlarmCatalog!$A:$M,11,FALSE)</f>
        <v/>
      </c>
    </row>
    <row r="20" ht="16.5" customFormat="1" customHeight="1" s="67">
      <c r="A20" s="68" t="inlineStr">
        <is>
          <t>null@null___NORMAL@ATUADO___Custom_S_TC</t>
        </is>
      </c>
      <c r="B20" s="68" t="inlineStr"/>
      <c r="C20" s="68" t="inlineStr">
        <is>
          <t>Error;NORMAL;ATUADO;Transit</t>
        </is>
      </c>
      <c r="D20" s="68" t="inlineStr">
        <is>
          <t>0;1;2;3</t>
        </is>
      </c>
      <c r="E20" s="68" t="inlineStr">
        <is>
          <t>1;0;2;3</t>
        </is>
      </c>
      <c r="F20" s="68" t="inlineStr">
        <is>
          <t>;null;null;</t>
        </is>
      </c>
      <c r="G20" s="68" t="inlineStr">
        <is>
          <t>#FF000000;#FF00FF00;#FFFF0000;#FFA9A9A9</t>
        </is>
      </c>
      <c r="H20" s="68" t="inlineStr">
        <is>
          <t>Abnormal;Auto;Auto;Abnormal</t>
        </is>
      </c>
      <c r="I20" s="68" t="inlineStr">
        <is>
          <t>FALSE;TRUE;TRUE;FALSE</t>
        </is>
      </c>
      <c r="J20" s="68" t="inlineStr">
        <is>
          <t>Alarme de Estado em Ponto Telecontrolado</t>
        </is>
      </c>
      <c r="K20" s="69" t="inlineStr">
        <is>
          <t>Alarme de Estado em Ponto Telecontrolado</t>
        </is>
      </c>
      <c r="L20" s="69">
        <f>VLOOKUP(LinkTable6789[[#This Row],[Coluna1]],[4]AlarmCatalog!$A:$M,11,FALSE)</f>
        <v/>
      </c>
    </row>
    <row r="21" ht="16.5" customFormat="1" customHeight="1" s="67">
      <c r="A21" s="68" t="inlineStr">
        <is>
          <t>@null___DESATIVADO@ATIVADO___Custom_S_TC</t>
        </is>
      </c>
      <c r="B21" s="68" t="inlineStr"/>
      <c r="C21" s="68" t="inlineStr">
        <is>
          <t>Error;DESATIVADO;ATIVADO;Transit</t>
        </is>
      </c>
      <c r="D21" s="68" t="inlineStr">
        <is>
          <t>0;1;2;3</t>
        </is>
      </c>
      <c r="E21" s="68" t="inlineStr">
        <is>
          <t>1;0;2;3</t>
        </is>
      </c>
      <c r="F21" s="68" t="inlineStr">
        <is>
          <t>;;null;</t>
        </is>
      </c>
      <c r="G21" s="68" t="inlineStr">
        <is>
          <t>#FF000000;#FF00FF00;#FFFF0000;#FFA9A9A9</t>
        </is>
      </c>
      <c r="H21" s="68" t="inlineStr">
        <is>
          <t>Abnormal;Auto;Auto;Abnormal</t>
        </is>
      </c>
      <c r="I21" s="68" t="inlineStr">
        <is>
          <t>FALSE;TRUE;TRUE;FALSE</t>
        </is>
      </c>
      <c r="J21" s="68" t="inlineStr">
        <is>
          <t>Alarme de Estado em Ponto Telecontrolado</t>
        </is>
      </c>
      <c r="K21" s="69" t="inlineStr">
        <is>
          <t>Alarme de Estado em Ponto Telecontrolado</t>
        </is>
      </c>
      <c r="L21" s="69">
        <f>VLOOKUP(LinkTable6789[[#This Row],[Coluna1]],[4]AlarmCatalog!$A:$M,11,FALSE)</f>
        <v/>
      </c>
    </row>
    <row r="22" ht="16.5" customFormat="1" customHeight="1" s="67">
      <c r="A22" s="68" t="inlineStr">
        <is>
          <t>LIGAR@DESLIGAR___DESLIGADO@LIGADO___SwitchStatus_D_TC</t>
        </is>
      </c>
      <c r="B22" s="68" t="inlineStr"/>
      <c r="C22" s="68" t="inlineStr">
        <is>
          <t>Transit;DESLIGADO;LIGADO;Error</t>
        </is>
      </c>
      <c r="D22" s="68" t="inlineStr">
        <is>
          <t>0;1;2;3</t>
        </is>
      </c>
      <c r="E22" s="68" t="inlineStr">
        <is>
          <t>0;1;2;3</t>
        </is>
      </c>
      <c r="F22" s="68" t="inlineStr">
        <is>
          <t>;LIGAR;DESLIGAR;</t>
        </is>
      </c>
      <c r="G22" s="68" t="inlineStr">
        <is>
          <t>#FF000000;#FF00FF00;#FFFF0000;#FFA9A9A9</t>
        </is>
      </c>
      <c r="H22" s="68" t="inlineStr">
        <is>
          <t>Abnormal;Auto;Auto;Abnormal</t>
        </is>
      </c>
      <c r="I22" s="68" t="inlineStr">
        <is>
          <t>FALSE;TRUE;TRUE;FALSE</t>
        </is>
      </c>
      <c r="J22" s="68" t="inlineStr">
        <is>
          <t>Alarme de Estado em Ponto Telecontrolado</t>
        </is>
      </c>
      <c r="K22" s="69" t="inlineStr">
        <is>
          <t>Alarme de Estado em Ponto Telecontrolado</t>
        </is>
      </c>
      <c r="L22" s="69">
        <f>VLOOKUP(LinkTable6789[[#This Row],[Coluna1]],[4]AlarmCatalog!$A:$M,11,FALSE)</f>
        <v/>
      </c>
    </row>
    <row r="23" ht="16.5" customFormat="1" customHeight="1" s="67">
      <c r="A23" s="68" t="inlineStr">
        <is>
          <t>ABRIR@FECHAR___ABERTO@FECHADO___SwitchStatus_D_TC</t>
        </is>
      </c>
      <c r="B23" s="68" t="inlineStr"/>
      <c r="C23" s="68" t="inlineStr">
        <is>
          <t>Transit;ABERTO;FECHADO;Error</t>
        </is>
      </c>
      <c r="D23" s="68" t="inlineStr">
        <is>
          <t>0;1;2;3</t>
        </is>
      </c>
      <c r="E23" s="68" t="inlineStr">
        <is>
          <t>0;1;2;3</t>
        </is>
      </c>
      <c r="F23" s="68" t="inlineStr">
        <is>
          <t>;ABRIR;FECHAR;</t>
        </is>
      </c>
      <c r="G23" s="68" t="inlineStr">
        <is>
          <t>#FF000000;#FF00FF00;#FFFF0000;#FFA9A9A9</t>
        </is>
      </c>
      <c r="H23" s="68" t="inlineStr">
        <is>
          <t>Abnormal;Auto;Auto;Abnormal</t>
        </is>
      </c>
      <c r="I23" s="68" t="inlineStr">
        <is>
          <t>FALSE;TRUE;TRUE;FALSE</t>
        </is>
      </c>
      <c r="J23" s="68" t="inlineStr">
        <is>
          <t>Alarme de Estado em Ponto Telecontrolado</t>
        </is>
      </c>
      <c r="K23" s="69" t="inlineStr">
        <is>
          <t>Alarme de Estado em Ponto Telecontrolado</t>
        </is>
      </c>
      <c r="L23" s="69">
        <f>VLOOKUP(LinkTable6789[[#This Row],[Coluna1]],[4]AlarmCatalog!$A:$M,11,FALSE)</f>
        <v/>
      </c>
    </row>
    <row r="24" ht="16.5" customFormat="1" customHeight="1" s="67">
      <c r="A24" s="68" t="inlineStr">
        <is>
          <t>LIGAR@DESLIGAR___DESLIGADO@LIGADO___Custom_S_TC</t>
        </is>
      </c>
      <c r="B24" s="68" t="inlineStr"/>
      <c r="C24" s="68" t="inlineStr">
        <is>
          <t>Transit;DESLIGADO;LIGADO;Error</t>
        </is>
      </c>
      <c r="D24" s="68" t="inlineStr">
        <is>
          <t>0;1;2;3</t>
        </is>
      </c>
      <c r="E24" s="68" t="inlineStr">
        <is>
          <t>2;0;1;3</t>
        </is>
      </c>
      <c r="F24" s="68" t="inlineStr">
        <is>
          <t>;LIGAR;DESLIGAR;</t>
        </is>
      </c>
      <c r="G24" s="68" t="inlineStr">
        <is>
          <t>#FF000000;#FF00FF00;#FFFF0000;#FFA9A9A9</t>
        </is>
      </c>
      <c r="H24" s="68" t="inlineStr">
        <is>
          <t>Abnormal;Auto;Auto;Abnormal</t>
        </is>
      </c>
      <c r="I24" s="68" t="inlineStr">
        <is>
          <t>FALSE;TRUE;TRUE;FALSE</t>
        </is>
      </c>
      <c r="J24" s="68" t="inlineStr">
        <is>
          <t>Alarme de Estado em Ponto Telecontrolado</t>
        </is>
      </c>
      <c r="K24" s="69" t="inlineStr">
        <is>
          <t>Alarme de Estado em Ponto Telecontrolado</t>
        </is>
      </c>
      <c r="L24" s="69">
        <f>VLOOKUP(LinkTable6789[[#This Row],[Coluna1]],[4]AlarmCatalog!$A:$M,11,FALSE)</f>
        <v/>
      </c>
    </row>
    <row r="25" ht="16.5" customFormat="1" customHeight="1" s="67">
      <c r="A25" s="68" t="inlineStr">
        <is>
          <t>DI_INCLUIR@EXCLUIR___INCLUIDO@EXCLUIDO___Enabled___INV___admsINV_S_TS_DS</t>
        </is>
      </c>
      <c r="B25" s="68" t="inlineStr"/>
      <c r="C25" s="68" t="inlineStr">
        <is>
          <t>Transit;INCLUIDO;EXCLUIDO;Error</t>
        </is>
      </c>
      <c r="D25" s="68" t="inlineStr">
        <is>
          <t>0;2;1;3</t>
        </is>
      </c>
      <c r="E25" s="68" t="inlineStr">
        <is>
          <t>2;1;0;3</t>
        </is>
      </c>
      <c r="F25" s="68" t="inlineStr">
        <is>
          <t>;;;</t>
        </is>
      </c>
      <c r="G25" s="68" t="inlineStr">
        <is>
          <t>#FF000000;#FFFF0000;#FF00FF00;#FFA9A9A9</t>
        </is>
      </c>
      <c r="H25" s="68" t="inlineStr">
        <is>
          <t>Abnormal;Auto;Auto;Abnormal</t>
        </is>
      </c>
      <c r="I25" s="68" t="inlineStr">
        <is>
          <t>FALSE;TRUE;TRUE;FALSE</t>
        </is>
      </c>
      <c r="J25" s="68" t="inlineStr">
        <is>
          <t>Alarme de Estado em Ponto Telessinalizado DS</t>
        </is>
      </c>
      <c r="K25" s="69" t="inlineStr">
        <is>
          <t>Alarme de Estado em Ponto Telessinalizado DS</t>
        </is>
      </c>
      <c r="L25" s="69">
        <f>VLOOKUP(LinkTable6789[[#This Row],[Coluna1]],[4]AlarmCatalog!$A:$M,11,FALSE)</f>
        <v/>
      </c>
    </row>
    <row r="26" ht="16.5" customFormat="1" customHeight="1" s="67">
      <c r="A26" s="68" t="inlineStr">
        <is>
          <t>DIMINUIR@AUMENTAR___null@null___TapIncrement_S_TC</t>
        </is>
      </c>
      <c r="B26" s="68" t="inlineStr"/>
      <c r="C26" s="68" t="inlineStr">
        <is>
          <t>Transit;;;Error</t>
        </is>
      </c>
      <c r="D26" s="68" t="inlineStr">
        <is>
          <t>0;1;2;3</t>
        </is>
      </c>
      <c r="E26" s="68" t="inlineStr">
        <is>
          <t>2;0;1;3</t>
        </is>
      </c>
      <c r="F26" s="68" t="inlineStr">
        <is>
          <t>;DIMINUIR;AUMENTAR;</t>
        </is>
      </c>
      <c r="G26" s="68" t="inlineStr">
        <is>
          <t>#FF000000;#FF00FF00;#FFFF0000;#FFA9A9A9</t>
        </is>
      </c>
      <c r="H26" s="68" t="inlineStr">
        <is>
          <t>Normal;Normal;Normal;Normal</t>
        </is>
      </c>
      <c r="I26" s="68" t="inlineStr">
        <is>
          <t>FALSE;TRUE;TRUE;FALSE</t>
        </is>
      </c>
      <c r="J26" s="68" t="inlineStr">
        <is>
          <t>Alarme de Estado em Ponto Telecontrolado</t>
        </is>
      </c>
      <c r="K26" s="69" t="inlineStr">
        <is>
          <t>Alarme de Estado em Ponto Telecontrolado</t>
        </is>
      </c>
      <c r="L26" s="69">
        <f>VLOOKUP(LinkTable6789[[#This Row],[Coluna1]],[4]AlarmCatalog!$A:$M,11,FALSE)</f>
        <v/>
      </c>
    </row>
    <row r="27" ht="16.5" customFormat="1" customHeight="1" s="67">
      <c r="A27" s="68" t="inlineStr">
        <is>
          <t>RELIGADOR@null___NORMAL DESATIVAD@NORMAL ATIVADO___Custom___admsINV_S_TC</t>
        </is>
      </c>
      <c r="B27" s="68" t="inlineStr"/>
      <c r="C27" s="68" t="inlineStr">
        <is>
          <t>Error;NORMAL DESATIVAD;NORMAL ATIVADO;Transit</t>
        </is>
      </c>
      <c r="D27" s="68" t="inlineStr">
        <is>
          <t>0;2;1;3</t>
        </is>
      </c>
      <c r="E27" s="68" t="inlineStr">
        <is>
          <t>2;0;1;3</t>
        </is>
      </c>
      <c r="F27" s="68" t="inlineStr">
        <is>
          <t>;RELIGADOR;;</t>
        </is>
      </c>
      <c r="G27" s="68" t="inlineStr">
        <is>
          <t>#FF000000;#FF00FF00;#FFFF0000;#FFA9A9A9</t>
        </is>
      </c>
      <c r="H27" s="68" t="inlineStr">
        <is>
          <t>Abnormal;Auto;Auto;Abnormal</t>
        </is>
      </c>
      <c r="I27" s="68" t="inlineStr">
        <is>
          <t>FALSE;TRUE;TRUE;FALSE</t>
        </is>
      </c>
      <c r="J27" s="68" t="inlineStr">
        <is>
          <t>Alarme de Estado em Ponto Telecontrolado</t>
        </is>
      </c>
      <c r="K27" s="69" t="inlineStr">
        <is>
          <t>Alarme de Estado em Ponto Telecontrolado</t>
        </is>
      </c>
      <c r="L27" s="69">
        <f>VLOOKUP(LinkTable6789[[#This Row],[Coluna1]],[4]AlarmCatalog!$A:$M,11,FALSE)</f>
        <v/>
      </c>
    </row>
    <row r="28" ht="16.5" customFormat="1" customHeight="1" s="67">
      <c r="A28" s="68" t="inlineStr">
        <is>
          <t>LIGAR@DESLIGAR___DESLIGADO@LIGADO___SwitchStatus___INV_S_TC</t>
        </is>
      </c>
      <c r="B28" s="68" t="inlineStr"/>
      <c r="C28" s="68" t="inlineStr">
        <is>
          <t>Error;DESLIGADO;LIGADO;Transit</t>
        </is>
      </c>
      <c r="D28" s="68" t="inlineStr">
        <is>
          <t>0;1;2;3</t>
        </is>
      </c>
      <c r="E28" s="68" t="inlineStr">
        <is>
          <t>2;1;0;3</t>
        </is>
      </c>
      <c r="F28" s="68" t="inlineStr">
        <is>
          <t>;LIGAR;DESLIGAR;</t>
        </is>
      </c>
      <c r="G28" s="68" t="inlineStr">
        <is>
          <t>#FF000000;#FF00FF00;#FFFF0000;#FFA9A9A9</t>
        </is>
      </c>
      <c r="H28" s="68" t="inlineStr">
        <is>
          <t>Abnormal;Auto;Auto;Abnormal</t>
        </is>
      </c>
      <c r="I28" s="68" t="inlineStr">
        <is>
          <t>FALSE;TRUE;TRUE;FALSE</t>
        </is>
      </c>
      <c r="J28" s="68" t="inlineStr">
        <is>
          <t>Alarme de Estado em Ponto Telecontrolado</t>
        </is>
      </c>
      <c r="K28" s="69" t="inlineStr">
        <is>
          <t>Alarme de Estado em Ponto Telecontrolado</t>
        </is>
      </c>
      <c r="L28" s="69">
        <f>VLOOKUP(LinkTable6789[[#This Row],[Coluna1]],[4]AlarmCatalog!$A:$M,11,FALSE)</f>
        <v/>
      </c>
    </row>
    <row r="29" ht="16.5" customFormat="1" customHeight="1" s="67">
      <c r="A29" s="68" t="inlineStr">
        <is>
          <t>@null___REMOTO@LOCAL___Custom___INV_S_TC</t>
        </is>
      </c>
      <c r="B29" s="68" t="inlineStr"/>
      <c r="C29" s="68" t="inlineStr">
        <is>
          <t>Error;REMOTO;LOCAL;Transit</t>
        </is>
      </c>
      <c r="D29" s="68" t="inlineStr">
        <is>
          <t>0;1;2;3</t>
        </is>
      </c>
      <c r="E29" s="68" t="inlineStr">
        <is>
          <t>1;2;0;3</t>
        </is>
      </c>
      <c r="F29" s="68" t="inlineStr">
        <is>
          <t>;;null;</t>
        </is>
      </c>
      <c r="G29" s="68" t="inlineStr">
        <is>
          <t>#FF000000;#FF00FF00;#FFFF0000;#FFA9A9A9</t>
        </is>
      </c>
      <c r="H29" s="68" t="inlineStr">
        <is>
          <t>Abnormal;Auto;Auto;Abnormal</t>
        </is>
      </c>
      <c r="I29" s="68" t="inlineStr">
        <is>
          <t>FALSE;TRUE;TRUE;FALSE</t>
        </is>
      </c>
      <c r="J29" s="68" t="inlineStr">
        <is>
          <t>Alarme de Estado em Ponto Telecontrolado</t>
        </is>
      </c>
      <c r="K29" s="69" t="inlineStr">
        <is>
          <t>Alarme de Estado em Ponto Telecontrolado</t>
        </is>
      </c>
      <c r="L29" s="69">
        <f>VLOOKUP(LinkTable6789[[#This Row],[Coluna1]],[4]AlarmCatalog!$A:$M,11,FALSE)</f>
        <v/>
      </c>
    </row>
    <row r="30" ht="16.5" customFormat="1" customHeight="1" s="67">
      <c r="A30" s="68" t="inlineStr">
        <is>
          <t>LIGAR@DESLIGAR___DESLIGADO@LIGADO___SwitchStatus_S_TC</t>
        </is>
      </c>
      <c r="B30" s="68" t="inlineStr"/>
      <c r="C30" s="68" t="inlineStr">
        <is>
          <t>Error;DESLIGADO;LIGADO;Transit</t>
        </is>
      </c>
      <c r="D30" s="68" t="inlineStr">
        <is>
          <t>0;1;2;3</t>
        </is>
      </c>
      <c r="E30" s="68" t="inlineStr">
        <is>
          <t>2;0;1;3</t>
        </is>
      </c>
      <c r="F30" s="68" t="inlineStr">
        <is>
          <t>;LIGAR;DESLIGAR;</t>
        </is>
      </c>
      <c r="G30" s="68" t="inlineStr">
        <is>
          <t>#FF000000;#FF00FF00;#FFFF0000;#FFA9A9A9</t>
        </is>
      </c>
      <c r="H30" s="68" t="inlineStr">
        <is>
          <t>Abnormal;Auto;Auto;Abnormal</t>
        </is>
      </c>
      <c r="I30" s="68" t="inlineStr">
        <is>
          <t>FALSE;TRUE;TRUE;FALSE</t>
        </is>
      </c>
      <c r="J30" s="68" t="inlineStr">
        <is>
          <t>Alarme de Estado em Ponto Telecontrolado</t>
        </is>
      </c>
      <c r="K30" s="69" t="inlineStr">
        <is>
          <t>Alarme de Estado em Ponto Telecontrolado</t>
        </is>
      </c>
      <c r="L30" s="69">
        <f>VLOOKUP(LinkTable6789[[#This Row],[Coluna1]],[4]AlarmCatalog!$A:$M,11,FALSE)</f>
        <v/>
      </c>
    </row>
    <row r="31" ht="16.5" customFormat="1" customHeight="1" s="67">
      <c r="A31" s="68" t="inlineStr">
        <is>
          <t>ABRIR@FECHAR___ABERTO@FECHADO___SwitchStatus_S_TC_ELETROSUL</t>
        </is>
      </c>
      <c r="B31" s="68" t="inlineStr"/>
      <c r="C31" s="68" t="inlineStr">
        <is>
          <t>Transit;ABERTO;FECHADO;Erro</t>
        </is>
      </c>
      <c r="D31" s="68" t="inlineStr">
        <is>
          <t>0;1;2;3</t>
        </is>
      </c>
      <c r="E31" s="68" t="inlineStr">
        <is>
          <t>1;0;3;2</t>
        </is>
      </c>
      <c r="F31" s="68" t="inlineStr">
        <is>
          <t>;ABRIR;FECHAR;</t>
        </is>
      </c>
      <c r="G31" s="68" t="inlineStr">
        <is>
          <t>#FF000000;#FF00FF00;#FFFF0000;#FFA9A9A9</t>
        </is>
      </c>
      <c r="H31" s="68" t="inlineStr">
        <is>
          <t>Abnormal;Auto;Auto;Abnormal</t>
        </is>
      </c>
      <c r="I31" s="68" t="inlineStr">
        <is>
          <t>TRUE;TRUE;TRUE;TRUE</t>
        </is>
      </c>
      <c r="J31" s="68" t="inlineStr">
        <is>
          <t>Alarme de Estado em Ponto Telecontrolado</t>
        </is>
      </c>
      <c r="K31" s="69" t="inlineStr">
        <is>
          <t>Alarme de Estado em Ponto Telecontrolado</t>
        </is>
      </c>
      <c r="L31" s="69">
        <f>VLOOKUP(LinkTable6789[[#This Row],[Coluna1]],[4]AlarmCatalog!$A:$M,11,FALSE)</f>
        <v/>
      </c>
    </row>
    <row r="32" ht="16.5" customFormat="1" customHeight="1" s="67">
      <c r="A32" s="68" t="inlineStr">
        <is>
          <t>DESATIVA@ATIVA___DESATIVADO@ATIVADO___Custom___INV_S_TC</t>
        </is>
      </c>
      <c r="B32" s="68" t="inlineStr"/>
      <c r="C32" s="68" t="inlineStr">
        <is>
          <t>Error;DESATIVADO;ATIVADO;Transit</t>
        </is>
      </c>
      <c r="D32" s="68" t="inlineStr">
        <is>
          <t>0;1;2;3</t>
        </is>
      </c>
      <c r="E32" s="68" t="inlineStr">
        <is>
          <t>2;1;0;3</t>
        </is>
      </c>
      <c r="F32" s="68" t="inlineStr">
        <is>
          <t>;DESATIVA;ATIVA;</t>
        </is>
      </c>
      <c r="G32" s="68" t="inlineStr">
        <is>
          <t>#FF000000;#FF00FF00;#FFFF0000;#FFA9A9A9</t>
        </is>
      </c>
      <c r="H32" s="68" t="inlineStr">
        <is>
          <t>Abnormal;Auto;Auto;Abnormal</t>
        </is>
      </c>
      <c r="I32" s="68" t="inlineStr">
        <is>
          <t>FALSE;TRUE;TRUE;FALSE</t>
        </is>
      </c>
      <c r="J32" s="68" t="inlineStr">
        <is>
          <t>Alarme de Estado em Ponto Telecontrolado</t>
        </is>
      </c>
      <c r="K32" s="69" t="inlineStr">
        <is>
          <t>Alarme de Estado em Ponto Telecontrolado</t>
        </is>
      </c>
      <c r="L32" s="69">
        <f>VLOOKUP(LinkTable6789[[#This Row],[Coluna1]],[4]AlarmCatalog!$A:$M,11,FALSE)</f>
        <v/>
      </c>
    </row>
    <row r="33" ht="16.5" customFormat="1" customHeight="1" s="67">
      <c r="A33" s="68" t="inlineStr">
        <is>
          <t>@null___REMOTO@LOCAL___Custom_S_TC</t>
        </is>
      </c>
      <c r="B33" s="68" t="inlineStr"/>
      <c r="C33" s="68" t="inlineStr">
        <is>
          <t>Error;REMOTO;LOCAL;Transit</t>
        </is>
      </c>
      <c r="D33" s="68" t="inlineStr">
        <is>
          <t>0;1;2;3</t>
        </is>
      </c>
      <c r="E33" s="68" t="inlineStr">
        <is>
          <t>1;0;2;3</t>
        </is>
      </c>
      <c r="F33" s="68" t="inlineStr">
        <is>
          <t>;;null;</t>
        </is>
      </c>
      <c r="G33" s="68" t="inlineStr">
        <is>
          <t>#FF000000;#FF00FF00;#FFFF0000;#FFA9A9A9</t>
        </is>
      </c>
      <c r="H33" s="68" t="inlineStr">
        <is>
          <t>Abnormal;Auto;Auto;Abnormal</t>
        </is>
      </c>
      <c r="I33" s="68" t="inlineStr">
        <is>
          <t>FALSE;TRUE;TRUE;FALSE</t>
        </is>
      </c>
      <c r="J33" s="68" t="inlineStr">
        <is>
          <t>Alarme de Estado em Ponto Telecontrolado</t>
        </is>
      </c>
      <c r="K33" s="69" t="inlineStr">
        <is>
          <t>Alarme de Estado em Ponto Telecontrolado</t>
        </is>
      </c>
      <c r="L33" s="69">
        <f>VLOOKUP(LinkTable6789[[#This Row],[Coluna1]],[4]AlarmCatalog!$A:$M,11,FALSE)</f>
        <v/>
      </c>
    </row>
    <row r="34" ht="16.5" customFormat="1" customHeight="1" s="67">
      <c r="A34" s="68" t="inlineStr">
        <is>
          <t>MESTRE@INDIVIDUAL@COMANDO___MESTRE@INDIVIDUAL@COMANDO___Custom___admsINV_D_TC</t>
        </is>
      </c>
      <c r="B34" s="68" t="inlineStr"/>
      <c r="C34" s="68" t="inlineStr">
        <is>
          <t>MESTRE;COMANDADO;INDIVIDUAL;</t>
        </is>
      </c>
      <c r="D34" s="68" t="inlineStr">
        <is>
          <t>0;1;2;3</t>
        </is>
      </c>
      <c r="E34" s="68" t="inlineStr">
        <is>
          <t>0;1;2;3</t>
        </is>
      </c>
      <c r="F34" s="68" t="inlineStr">
        <is>
          <t>MESTRE;;INDIVIDUAL;</t>
        </is>
      </c>
      <c r="G34" s="68" t="inlineStr">
        <is>
          <t>#FF00FF00;#FF00FF00;#FF00FF00;#FF000000</t>
        </is>
      </c>
      <c r="H34" s="68" t="inlineStr">
        <is>
          <t>Normal;Normal;Normal;Abnormal</t>
        </is>
      </c>
      <c r="I34" s="68" t="inlineStr">
        <is>
          <t>TRUE;TRUE;TRUE;FALSE</t>
        </is>
      </c>
      <c r="J34" s="68" t="inlineStr">
        <is>
          <t>Alarme de Estado em Ponto Telecontrolado SS</t>
        </is>
      </c>
      <c r="K34" s="69" t="inlineStr">
        <is>
          <t>Alarme de Estado em Ponto Telecontrolado</t>
        </is>
      </c>
      <c r="L34" s="69">
        <f>VLOOKUP(LinkTable6789[[#This Row],[Coluna1]],[4]AlarmCatalog!$A:$M,11,FALSE)</f>
        <v/>
      </c>
    </row>
    <row r="35" ht="16.5" customFormat="1" customHeight="1" s="67">
      <c r="A35" s="68" t="inlineStr">
        <is>
          <t>null@ATIV_DES___DESATIVADO@ATIVADO___Custom_S_TC</t>
        </is>
      </c>
      <c r="B35" s="68" t="inlineStr"/>
      <c r="C35" s="68" t="inlineStr">
        <is>
          <t>Error;DESATIVADO;ATIVADO;Transit</t>
        </is>
      </c>
      <c r="D35" s="68" t="inlineStr">
        <is>
          <t>0;1;2;3</t>
        </is>
      </c>
      <c r="E35" s="68" t="inlineStr">
        <is>
          <t>1;0;2;3</t>
        </is>
      </c>
      <c r="F35" s="68" t="inlineStr">
        <is>
          <t>;null;ATIV_DES;</t>
        </is>
      </c>
      <c r="G35" s="68" t="inlineStr">
        <is>
          <t>#FF000000;#FF00FF00;#FFFF0000;#FFA9A9A9</t>
        </is>
      </c>
      <c r="H35" s="68" t="inlineStr">
        <is>
          <t>Normal;Normal;Normal;Normal</t>
        </is>
      </c>
      <c r="I35" s="68" t="inlineStr">
        <is>
          <t>FALSE;TRUE;TRUE;FALSE</t>
        </is>
      </c>
      <c r="J35" s="68" t="inlineStr">
        <is>
          <t>Alarme de Estado em Ponto Telecontrolado</t>
        </is>
      </c>
      <c r="K35" s="69" t="inlineStr">
        <is>
          <t>Alarme de Estado em Ponto Telecontrolado</t>
        </is>
      </c>
      <c r="L35" s="69">
        <f>VLOOKUP(LinkTable6789[[#This Row],[Coluna1]],[4]AlarmCatalog!$A:$M,11,FALSE)</f>
        <v/>
      </c>
    </row>
    <row r="36" ht="16.5" customFormat="1" customHeight="1" s="67">
      <c r="A36" s="68" t="inlineStr">
        <is>
          <t>DIMINUIR@AUMENTAR___@___TapIncrement_S_TC</t>
        </is>
      </c>
      <c r="B36" s="68" t="inlineStr"/>
      <c r="C36" s="68" t="inlineStr">
        <is>
          <t>Transit;null;null;Error</t>
        </is>
      </c>
      <c r="D36" s="68" t="inlineStr">
        <is>
          <t>0;1;2;3</t>
        </is>
      </c>
      <c r="E36" s="68" t="inlineStr">
        <is>
          <t>2;0;1;3</t>
        </is>
      </c>
      <c r="F36" s="68" t="inlineStr">
        <is>
          <t>;DIMINUIR;AUMENTAR;</t>
        </is>
      </c>
      <c r="G36" s="68" t="inlineStr">
        <is>
          <t>#FF000000;#FF00FF00;#FFFF0000;#FFA9A9A9</t>
        </is>
      </c>
      <c r="H36" s="68" t="inlineStr">
        <is>
          <t>Normal;Normal;Normal;Normal</t>
        </is>
      </c>
      <c r="I36" s="68" t="inlineStr">
        <is>
          <t>FALSE;TRUE;TRUE;FALSE</t>
        </is>
      </c>
      <c r="J36" s="68" t="inlineStr">
        <is>
          <t>Alarme de Estado em Ponto Telecontrolado</t>
        </is>
      </c>
      <c r="K36" s="69" t="inlineStr">
        <is>
          <t>Alarme de Estado em Ponto Telecontrolado</t>
        </is>
      </c>
      <c r="L36" s="69">
        <f>VLOOKUP(LinkTable6789[[#This Row],[Coluna1]],[4]AlarmCatalog!$A:$M,11,FALSE)</f>
        <v/>
      </c>
    </row>
    <row r="37" ht="16.5" customFormat="1" customHeight="1" s="67">
      <c r="A37" s="68" t="inlineStr">
        <is>
          <t>null@MESTRE___DESATIVADO@ATIVADO___CustomCR_S_TC</t>
        </is>
      </c>
      <c r="B37" s="68" t="inlineStr"/>
      <c r="C37" s="68" t="inlineStr">
        <is>
          <t>Transit;DESATIVADO;ATIVADO;Error</t>
        </is>
      </c>
      <c r="D37" s="68" t="inlineStr">
        <is>
          <t>0;1;2;3</t>
        </is>
      </c>
      <c r="E37" s="68" t="inlineStr">
        <is>
          <t>2;0;1;3</t>
        </is>
      </c>
      <c r="F37" s="68" t="inlineStr">
        <is>
          <t>;;INDIVIDUAL;</t>
        </is>
      </c>
      <c r="G37" s="68" t="inlineStr">
        <is>
          <t>#FF000000;#FF00FF00;#FFFF0000;#FFA9A9A9</t>
        </is>
      </c>
      <c r="H37" s="68" t="inlineStr">
        <is>
          <t>Abnormal;Auto;Auto;Abnormal</t>
        </is>
      </c>
      <c r="I37" s="68" t="inlineStr">
        <is>
          <t>FALSE;TRUE;TRUE;FALSE</t>
        </is>
      </c>
      <c r="J37" s="68" t="inlineStr">
        <is>
          <t>Alarme de Estado em Ponto Telecontrolado SS</t>
        </is>
      </c>
      <c r="K37" s="69" t="inlineStr">
        <is>
          <t>Alarme de Estado em Ponto Telecontrolado</t>
        </is>
      </c>
      <c r="L37" s="69">
        <f>VLOOKUP(LinkTable6789[[#This Row],[Coluna1]],[4]AlarmCatalog!$A:$M,11,FALSE)</f>
        <v/>
      </c>
    </row>
    <row r="38" ht="16.5" customFormat="1" customHeight="1" s="67">
      <c r="A38" s="68" t="inlineStr">
        <is>
          <t>null@INDIVIDUAL___DESATIVADO@ATIVADO___Custom_S_TC</t>
        </is>
      </c>
      <c r="B38" s="68" t="inlineStr"/>
      <c r="C38" s="68" t="inlineStr">
        <is>
          <t>Transit;DESATIVADO;ATIVADO;Error</t>
        </is>
      </c>
      <c r="D38" s="68" t="inlineStr">
        <is>
          <t>0;1;2;3</t>
        </is>
      </c>
      <c r="E38" s="68" t="inlineStr">
        <is>
          <t>2;0;1;3</t>
        </is>
      </c>
      <c r="F38" s="68" t="inlineStr">
        <is>
          <t>;;INDIVIDUAL;</t>
        </is>
      </c>
      <c r="G38" s="68" t="inlineStr">
        <is>
          <t>#FF000000;#FF00FF00;#FFFF0000;#FFA9A9A9</t>
        </is>
      </c>
      <c r="H38" s="68" t="inlineStr">
        <is>
          <t>Abnormal;Auto;Auto;Abnormal</t>
        </is>
      </c>
      <c r="I38" s="68" t="inlineStr">
        <is>
          <t>FALSE;TRUE;TRUE;FALSE</t>
        </is>
      </c>
      <c r="J38" s="68" t="inlineStr">
        <is>
          <t>Alarme de Estado em Ponto Telecontrolado</t>
        </is>
      </c>
      <c r="K38" s="69" t="inlineStr">
        <is>
          <t>Alarme de Estado em Ponto Telecontrolado</t>
        </is>
      </c>
      <c r="L38" s="69">
        <f>VLOOKUP(LinkTable6789[[#This Row],[Coluna1]],[4]AlarmCatalog!$A:$M,11,FALSE)</f>
        <v/>
      </c>
    </row>
    <row r="39" ht="16.5" customFormat="1" customHeight="1" s="67">
      <c r="A39" s="68" t="inlineStr">
        <is>
          <t>CMD_COS@null___REMOTO@LOCAL___Custom___INV_D_TC_SS</t>
        </is>
      </c>
      <c r="B39" s="68" t="inlineStr"/>
      <c r="C39" s="68" t="inlineStr">
        <is>
          <t>Transit;REMOTO;LOCAL;Error</t>
        </is>
      </c>
      <c r="D39" s="68" t="inlineStr">
        <is>
          <t>0;2;1;3</t>
        </is>
      </c>
      <c r="E39" s="68" t="inlineStr">
        <is>
          <t>0;2;1;3</t>
        </is>
      </c>
      <c r="F39" s="68" t="inlineStr">
        <is>
          <t>;CMD_COS;;</t>
        </is>
      </c>
      <c r="G39" s="68" t="inlineStr">
        <is>
          <t>#FF000000;#FFFF0000;#FF00FF00;#FFA9A9A9</t>
        </is>
      </c>
      <c r="H39" s="68" t="inlineStr">
        <is>
          <t>Abnormal;Normal;Abnormal;Normal</t>
        </is>
      </c>
      <c r="I39" s="68" t="inlineStr">
        <is>
          <t>FALSE;TRUE;TRUE;FALSE</t>
        </is>
      </c>
      <c r="J39" s="68" t="inlineStr">
        <is>
          <t>Alarme de Estado em Ponto Telecontrolado SS</t>
        </is>
      </c>
      <c r="K39" s="69" t="inlineStr">
        <is>
          <t>Alarme de Estado em Ponto Telecontrolado SS</t>
        </is>
      </c>
      <c r="L39" s="69">
        <f>VLOOKUP(LinkTable6789[[#This Row],[Coluna1]],[4]AlarmCatalog!$A:$M,11,FALSE)</f>
        <v/>
      </c>
    </row>
    <row r="40" ht="16.5" customFormat="1" customHeight="1" s="67">
      <c r="A40" s="68" t="inlineStr">
        <is>
          <t>LIGAR@DESLIGAR___DESLIGADO@LIGADO___Custom___INV_S_TC</t>
        </is>
      </c>
      <c r="B40" s="68" t="inlineStr"/>
      <c r="C40" s="68" t="inlineStr">
        <is>
          <t>Error;DESLIGADO;LIGADO;Transit</t>
        </is>
      </c>
      <c r="D40" s="68" t="inlineStr">
        <is>
          <t>0;1;2;3</t>
        </is>
      </c>
      <c r="E40" s="68" t="inlineStr">
        <is>
          <t>2;1;0;3</t>
        </is>
      </c>
      <c r="F40" s="68" t="inlineStr">
        <is>
          <t>;LIGAR;DESLIGAR;</t>
        </is>
      </c>
      <c r="G40" s="68" t="inlineStr">
        <is>
          <t>#FF000000;#FF00FF00;#FFFF0000;#FFA9A9A9</t>
        </is>
      </c>
      <c r="H40" s="68" t="inlineStr">
        <is>
          <t>Normal;Normal;Normal;Normal</t>
        </is>
      </c>
      <c r="I40" s="68" t="inlineStr">
        <is>
          <t>FALSE;TRUE;TRUE;FALSE</t>
        </is>
      </c>
      <c r="J40" s="68" t="inlineStr">
        <is>
          <t>Alarme de Estado em Ponto Telecontrolado</t>
        </is>
      </c>
      <c r="K40" s="69" t="inlineStr">
        <is>
          <t>Alarme de Estado em Ponto Telecontrolado</t>
        </is>
      </c>
      <c r="L40" s="69">
        <f>VLOOKUP(LinkTable6789[[#This Row],[Coluna1]],[4]AlarmCatalog!$A:$M,11,FALSE)</f>
        <v/>
      </c>
    </row>
    <row r="41" ht="16.5" customFormat="1" customHeight="1" s="67">
      <c r="A41" s="68" t="inlineStr">
        <is>
          <t>RELIGAD@ALTERNATIVO___@___Custom_S_TC</t>
        </is>
      </c>
      <c r="B41" s="68" t="inlineStr"/>
      <c r="C41" s="68" t="inlineStr">
        <is>
          <t>Error;null;null;Transit</t>
        </is>
      </c>
      <c r="D41" s="68" t="inlineStr">
        <is>
          <t>0;1;2;3</t>
        </is>
      </c>
      <c r="E41" s="68" t="inlineStr">
        <is>
          <t>2;0;1;3</t>
        </is>
      </c>
      <c r="F41" s="68" t="inlineStr">
        <is>
          <t>;RELIGAD;ALTERNATIVO;</t>
        </is>
      </c>
      <c r="G41" s="68" t="inlineStr">
        <is>
          <t>#FF000000;#FF00FF00;#FFFF0000;#FFA9A9A9</t>
        </is>
      </c>
      <c r="H41" s="68" t="inlineStr">
        <is>
          <t>Normal;Normal;Normal;Normal</t>
        </is>
      </c>
      <c r="I41" s="68" t="inlineStr">
        <is>
          <t>FALSE;TRUE;TRUE;FALSE</t>
        </is>
      </c>
      <c r="J41" s="68" t="inlineStr">
        <is>
          <t>Alarme de Estado em Ponto Telecontrolado</t>
        </is>
      </c>
      <c r="K41" s="69" t="inlineStr">
        <is>
          <t>Alarme de Estado em Ponto Telecontrolado</t>
        </is>
      </c>
      <c r="L41" s="69">
        <f>VLOOKUP(LinkTable6789[[#This Row],[Coluna1]],[4]AlarmCatalog!$A:$M,11,FALSE)</f>
        <v/>
      </c>
    </row>
    <row r="42" ht="16.5" customFormat="1" customHeight="1" s="67">
      <c r="A42" s="68" t="inlineStr">
        <is>
          <t>null@null___DESATIVADO@ATIVADO___Custom_S_TC</t>
        </is>
      </c>
      <c r="B42" s="68" t="inlineStr"/>
      <c r="C42" s="68" t="inlineStr">
        <is>
          <t>Transit;DESATIVADO;ATIVADO;Error</t>
        </is>
      </c>
      <c r="D42" s="68" t="inlineStr">
        <is>
          <t>0;1;2;3</t>
        </is>
      </c>
      <c r="E42" s="68" t="inlineStr">
        <is>
          <t>2;0;1;3</t>
        </is>
      </c>
      <c r="F42" s="68" t="inlineStr">
        <is>
          <t>;;;</t>
        </is>
      </c>
      <c r="G42" s="68" t="inlineStr">
        <is>
          <t>#FF000000;#FF00FF00;#FFFF0000;#FFA9A9A9</t>
        </is>
      </c>
      <c r="H42" s="68" t="inlineStr">
        <is>
          <t>Abnormal;Auto;Auto;Abnormal</t>
        </is>
      </c>
      <c r="I42" s="68" t="inlineStr">
        <is>
          <t>FALSE;TRUE;TRUE;FALSE</t>
        </is>
      </c>
      <c r="J42" s="68" t="inlineStr">
        <is>
          <t>Alarme de Estado em Ponto Telecontrolado</t>
        </is>
      </c>
      <c r="K42" s="69" t="inlineStr">
        <is>
          <t>Alarme de Estado em Ponto Telecontrolado</t>
        </is>
      </c>
      <c r="L42" s="69">
        <f>VLOOKUP(LinkTable6789[[#This Row],[Coluna1]],[4]AlarmCatalog!$A:$M,11,FALSE)</f>
        <v/>
      </c>
    </row>
    <row r="43" ht="16.5" customFormat="1" customHeight="1" s="67">
      <c r="A43" s="68" t="inlineStr">
        <is>
          <t>null@null___DESATIVADO@ATIVADO___Custom___INV_S_TC</t>
        </is>
      </c>
      <c r="B43" s="68" t="inlineStr"/>
      <c r="C43" s="68" t="inlineStr">
        <is>
          <t>Transit;DESATIVADO;ATIVADO;Error</t>
        </is>
      </c>
      <c r="D43" s="68" t="inlineStr">
        <is>
          <t>0;1;2;3</t>
        </is>
      </c>
      <c r="E43" s="68" t="inlineStr">
        <is>
          <t>2;1;0;3</t>
        </is>
      </c>
      <c r="F43" s="68" t="inlineStr">
        <is>
          <t>;;;</t>
        </is>
      </c>
      <c r="G43" s="68" t="inlineStr">
        <is>
          <t>#FF000000;#FF00FF00;#FFFF0000;#FFA9A9A9</t>
        </is>
      </c>
      <c r="H43" s="68" t="inlineStr">
        <is>
          <t>Abnormal;Auto;Auto;Abnormal</t>
        </is>
      </c>
      <c r="I43" s="68" t="inlineStr">
        <is>
          <t>FALSE;TRUE;TRUE;FALSE</t>
        </is>
      </c>
      <c r="J43" s="68" t="inlineStr">
        <is>
          <t>Alarme de Estado em Ponto Telecontrolado</t>
        </is>
      </c>
      <c r="K43" s="69" t="inlineStr">
        <is>
          <t>Alarme de Estado em Ponto Telecontrolado</t>
        </is>
      </c>
      <c r="L43" s="69">
        <f>VLOOKUP(LinkTable6789[[#This Row],[Coluna1]],[4]AlarmCatalog!$A:$M,11,FALSE)</f>
        <v/>
      </c>
    </row>
    <row r="44" ht="16.5" customFormat="1" customHeight="1" s="67">
      <c r="A44" s="68" t="inlineStr">
        <is>
          <t>RELIGADOR@null___NORMAL DESATIVAD@NORMAL ATIVADO___Custom___INV___admsINV_S_TC</t>
        </is>
      </c>
      <c r="B44" s="68" t="inlineStr"/>
      <c r="C44" s="68" t="inlineStr">
        <is>
          <t>Error;NORMAL DESATIVAD;NORMAL ATIVADO;Transit</t>
        </is>
      </c>
      <c r="D44" s="68" t="inlineStr">
        <is>
          <t>0;2;1;3</t>
        </is>
      </c>
      <c r="E44" s="68" t="inlineStr">
        <is>
          <t>2;1;0;3</t>
        </is>
      </c>
      <c r="F44" s="68" t="inlineStr">
        <is>
          <t>;RELIGADOR;;</t>
        </is>
      </c>
      <c r="G44" s="68" t="inlineStr">
        <is>
          <t>#FF000000;#FF00FF00;#FFFF0000;#FFA9A9A9</t>
        </is>
      </c>
      <c r="H44" s="68" t="inlineStr">
        <is>
          <t>Abnormal;Auto;Auto;Abnormal</t>
        </is>
      </c>
      <c r="I44" s="68" t="inlineStr">
        <is>
          <t>FALSE;TRUE;TRUE;FALSE</t>
        </is>
      </c>
      <c r="J44" s="68" t="inlineStr">
        <is>
          <t>Alarme de Estado em Ponto Telecontrolado</t>
        </is>
      </c>
      <c r="K44" s="69" t="inlineStr">
        <is>
          <t>Alarme de Estado em Ponto Telecontrolado</t>
        </is>
      </c>
      <c r="L44" s="69">
        <f>VLOOKUP(LinkTable6789[[#This Row],[Coluna1]],[4]AlarmCatalog!$A:$M,11,FALSE)</f>
        <v/>
      </c>
    </row>
    <row r="45" ht="16.5" customFormat="1" customHeight="1" s="67">
      <c r="A45" s="68" t="inlineStr">
        <is>
          <t>RELIGADOR@ALTERNATIVO___NORMAL@ALTERNATIVO___Custom_S_TC</t>
        </is>
      </c>
      <c r="B45" s="68" t="inlineStr"/>
      <c r="C45" s="68" t="inlineStr">
        <is>
          <t>Error;NORMAL;ALTERNATIVO;Transit</t>
        </is>
      </c>
      <c r="D45" s="68" t="inlineStr">
        <is>
          <t>0;1;2;3</t>
        </is>
      </c>
      <c r="E45" s="68" t="inlineStr">
        <is>
          <t>2;0;1;3</t>
        </is>
      </c>
      <c r="F45" s="68" t="inlineStr">
        <is>
          <t>;RELIGADOR;ALTERNATIVO;</t>
        </is>
      </c>
      <c r="G45" s="68" t="inlineStr">
        <is>
          <t>#FF000000;#FF00FF00;#FFFF0000;#FFA9A9A9</t>
        </is>
      </c>
      <c r="H45" s="68" t="inlineStr">
        <is>
          <t>Normal;Normal;Normal;Normal</t>
        </is>
      </c>
      <c r="I45" s="68" t="inlineStr">
        <is>
          <t>FALSE;TRUE;TRUE;FALSE</t>
        </is>
      </c>
      <c r="J45" s="68" t="inlineStr">
        <is>
          <t>Alarme de Estado em Ponto Telecontrolado</t>
        </is>
      </c>
      <c r="K45" s="69" t="inlineStr">
        <is>
          <t>Alarme de Estado em Ponto Telecontrolado</t>
        </is>
      </c>
      <c r="L45" s="69">
        <f>VLOOKUP(LinkTable6789[[#This Row],[Coluna1]],[4]AlarmCatalog!$A:$M,11,FALSE)</f>
        <v/>
      </c>
    </row>
    <row r="46" ht="16.5" customFormat="1" customHeight="1" s="67">
      <c r="A46" s="68" t="inlineStr">
        <is>
          <t>CMD_RGE@null___CEEE@RGE___Custom___INV___admsINV_S_TC</t>
        </is>
      </c>
      <c r="B46" s="68" t="inlineStr"/>
      <c r="C46" s="68" t="inlineStr">
        <is>
          <t>Error;CEEE;RGE;Transit</t>
        </is>
      </c>
      <c r="D46" s="68" t="inlineStr">
        <is>
          <t>0;2;1;3</t>
        </is>
      </c>
      <c r="E46" s="68" t="inlineStr">
        <is>
          <t>2;1;0;3</t>
        </is>
      </c>
      <c r="F46" s="68" t="inlineStr">
        <is>
          <t>;CMD_RGE;;</t>
        </is>
      </c>
      <c r="G46" s="68" t="inlineStr">
        <is>
          <t>#FF000000;#FF00FF00;#FFFF0000;#FFA9A9A9</t>
        </is>
      </c>
      <c r="H46" s="68" t="inlineStr">
        <is>
          <t>Abnormal;Auto;Auto;Abnormal</t>
        </is>
      </c>
      <c r="I46" s="68" t="inlineStr">
        <is>
          <t>FALSE;TRUE;TRUE;FALSE</t>
        </is>
      </c>
      <c r="J46" s="68" t="inlineStr">
        <is>
          <t>Alarme de Estado em Ponto Telecontrolado</t>
        </is>
      </c>
      <c r="K46" s="69" t="inlineStr">
        <is>
          <t>Alarme de Estado em Ponto Telecontrolado</t>
        </is>
      </c>
      <c r="L46" s="69">
        <f>VLOOKUP(LinkTable6789[[#This Row],[Coluna1]],[4]AlarmCatalog!$A:$M,11,FALSE)</f>
        <v/>
      </c>
    </row>
    <row r="47" ht="16.5" customFormat="1" customHeight="1" s="67">
      <c r="A47" s="68" t="inlineStr">
        <is>
          <t>MESTRE@INDIVIDUAL@COMANDO___MESTRE@INDIVIDUAL@COMANDO___Parallel___admsINV_D_TC</t>
        </is>
      </c>
      <c r="B47" s="68" t="inlineStr"/>
      <c r="C47" s="68" t="inlineStr">
        <is>
          <t>MESTRE;INDIVIDUAL;COMANDADO;</t>
        </is>
      </c>
      <c r="D47" s="68" t="inlineStr">
        <is>
          <t>0;1;2;3</t>
        </is>
      </c>
      <c r="E47" s="68" t="inlineStr">
        <is>
          <t>0;1;2;3</t>
        </is>
      </c>
      <c r="F47" s="68" t="inlineStr">
        <is>
          <t>MESTRE;INDIVIDUAL;COMANDO;</t>
        </is>
      </c>
      <c r="G47" s="68" t="inlineStr">
        <is>
          <t>#FF00FF00;#FF00FF00;#FF00FF00;#FF000000</t>
        </is>
      </c>
      <c r="H47" s="68" t="inlineStr">
        <is>
          <t>Normal;Normal;Normal;Abnormal</t>
        </is>
      </c>
      <c r="I47" s="68" t="inlineStr">
        <is>
          <t>TRUE;TRUE;TRUE;FALSE</t>
        </is>
      </c>
      <c r="J47" s="68" t="inlineStr">
        <is>
          <t>Alarme de Estado em Ponto Telecontrolado</t>
        </is>
      </c>
      <c r="K47" s="69" t="inlineStr">
        <is>
          <t>Alarme de Estado em Ponto Telecontrolado</t>
        </is>
      </c>
      <c r="L47" s="69">
        <f>VLOOKUP(LinkTable6789[[#This Row],[Coluna1]],[4]AlarmCatalog!$A:$M,11,FALSE)</f>
        <v/>
      </c>
    </row>
    <row r="48" ht="16.5" customFormat="1" customHeight="1" s="67">
      <c r="A48" s="68" t="inlineStr">
        <is>
          <t>null@MESTRE___null@MESTRE___Custom_S_TC_scd</t>
        </is>
      </c>
      <c r="B48" s="68" t="inlineStr"/>
      <c r="C48" s="68" t="inlineStr">
        <is>
          <t>Error;;MESTRE;Transit</t>
        </is>
      </c>
      <c r="D48" s="68" t="inlineStr">
        <is>
          <t>0;1;2;3</t>
        </is>
      </c>
      <c r="E48" s="68" t="inlineStr">
        <is>
          <t>2;0;1;3</t>
        </is>
      </c>
      <c r="F48" s="68" t="inlineStr">
        <is>
          <t>;;MESTRE;</t>
        </is>
      </c>
      <c r="G48" s="68" t="inlineStr">
        <is>
          <t>#FF000000;#FF00FF00;#FFFF0000;#FFA9A9A9</t>
        </is>
      </c>
      <c r="H48" s="68" t="inlineStr">
        <is>
          <t>Abnormal;Auto;Auto;Abnormal</t>
        </is>
      </c>
      <c r="I48" s="68" t="inlineStr">
        <is>
          <t>FALSE;TRUE;TRUE;FALSE</t>
        </is>
      </c>
      <c r="J48" s="68" t="inlineStr">
        <is>
          <t>Alarme de Estado em Ponto Telecontrolado</t>
        </is>
      </c>
      <c r="K48" s="69" t="inlineStr">
        <is>
          <t>Alarme de Estado em Ponto Telecontrolado</t>
        </is>
      </c>
      <c r="L48" s="69">
        <f>VLOOKUP(LinkTable6789[[#This Row],[Coluna1]],[4]AlarmCatalog!$A:$M,11,FALSE)</f>
        <v/>
      </c>
    </row>
    <row r="49" ht="16.5" customFormat="1" customHeight="1" s="67">
      <c r="A49" s="68" t="inlineStr">
        <is>
          <t>null@INDIVIDUAL___null@INDIVIDUAL___Custom_S_TC</t>
        </is>
      </c>
      <c r="B49" s="68" t="inlineStr"/>
      <c r="C49" s="68" t="inlineStr">
        <is>
          <t>Error;INATIVO;COMANDADO;Transit</t>
        </is>
      </c>
      <c r="D49" s="68" t="inlineStr">
        <is>
          <t>0;1;2;3</t>
        </is>
      </c>
      <c r="E49" s="68" t="inlineStr">
        <is>
          <t>2;0;1;3</t>
        </is>
      </c>
      <c r="F49" s="68" t="inlineStr">
        <is>
          <t>;;INDIVIDUAL;</t>
        </is>
      </c>
      <c r="G49" s="68" t="inlineStr">
        <is>
          <t>#FF000000;#FF00FF00;#FFFF0000;#FFA9A9A9</t>
        </is>
      </c>
      <c r="H49" s="68" t="inlineStr">
        <is>
          <t>Abnormal;Auto;Auto;Abnormal</t>
        </is>
      </c>
      <c r="I49" s="68" t="inlineStr">
        <is>
          <t>FALSE;TRUE;TRUE;FALSE</t>
        </is>
      </c>
      <c r="J49" s="68" t="inlineStr">
        <is>
          <t>Alarme de Estado em Ponto Telecontrolado</t>
        </is>
      </c>
      <c r="K49" s="69" t="inlineStr">
        <is>
          <t>Alarme de Estado em Ponto Telecontrolado</t>
        </is>
      </c>
      <c r="L49" s="69">
        <f>VLOOKUP(LinkTable6789[[#This Row],[Coluna1]],[4]AlarmCatalog!$A:$M,11,FALSE)</f>
        <v/>
      </c>
    </row>
    <row r="50" ht="16.5" customFormat="1" customHeight="1" s="67">
      <c r="A50" s="68" t="inlineStr">
        <is>
          <t>null@COMANDADO___MESTRE@COMANDADO___Custom_S_TC</t>
        </is>
      </c>
      <c r="B50" s="68" t="inlineStr"/>
      <c r="C50" s="68" t="inlineStr">
        <is>
          <t>Error;MESTRE;COMANDADO;Transit</t>
        </is>
      </c>
      <c r="D50" s="68" t="inlineStr">
        <is>
          <t>0;1;2;3</t>
        </is>
      </c>
      <c r="E50" s="68" t="inlineStr">
        <is>
          <t>2;1;0;3</t>
        </is>
      </c>
      <c r="F50" s="68" t="inlineStr">
        <is>
          <t>;;;</t>
        </is>
      </c>
      <c r="G50" s="68" t="inlineStr">
        <is>
          <t>#FF000000;#FF00FF00;#FFFF0000;#FFA9A9A9</t>
        </is>
      </c>
      <c r="H50" s="68" t="inlineStr">
        <is>
          <t>Abnormal;Auto;Auto;Abnormal</t>
        </is>
      </c>
      <c r="I50" s="68" t="inlineStr">
        <is>
          <t>FALSE;TRUE;TRUE;FALSE</t>
        </is>
      </c>
      <c r="J50" s="68" t="inlineStr">
        <is>
          <t>Alarme de Estado em Ponto Telecontrolado</t>
        </is>
      </c>
      <c r="K50" s="69" t="inlineStr">
        <is>
          <t>Alarme de Estado em Ponto Telecontrolado</t>
        </is>
      </c>
      <c r="L50" s="69">
        <f>VLOOKUP(LinkTable6789[[#This Row],[Coluna1]],[4]AlarmCatalog!$A:$M,11,FALSE)</f>
        <v/>
      </c>
    </row>
    <row r="51" ht="16.5" customFormat="1" customHeight="1" s="67">
      <c r="A51" s="68" t="inlineStr">
        <is>
          <t>CMD_COS@null___REMOTO@LOCAL___Custom___INV_D_TS_SS</t>
        </is>
      </c>
      <c r="B51" s="68" t="inlineStr"/>
      <c r="C51" s="68" t="inlineStr">
        <is>
          <t>Transit;REMOTO;LOCAL;Error</t>
        </is>
      </c>
      <c r="D51" s="68" t="inlineStr">
        <is>
          <t>0;1;2;3</t>
        </is>
      </c>
      <c r="E51" s="68" t="inlineStr">
        <is>
          <t>2;1;0;3</t>
        </is>
      </c>
      <c r="F51" s="68" t="inlineStr">
        <is>
          <t>;;;</t>
        </is>
      </c>
      <c r="G51" s="68" t="inlineStr">
        <is>
          <t>#FF000000;#FF00FF00;#FFFF0000;#FFA9A9A9</t>
        </is>
      </c>
      <c r="H51" s="68" t="inlineStr">
        <is>
          <t>Abnormal;Normal;Normal;Normal</t>
        </is>
      </c>
      <c r="I51" s="68" t="inlineStr">
        <is>
          <t>FALSE;TRUE;TRUE;FALSE</t>
        </is>
      </c>
      <c r="J51" s="68" t="inlineStr">
        <is>
          <t>Alarme de Estado em Ponto Telessinalizado SS</t>
        </is>
      </c>
      <c r="K51" s="69" t="inlineStr">
        <is>
          <t>Alarme de Estado em Ponto Telessinalizado SS</t>
        </is>
      </c>
      <c r="L51" s="69">
        <f>VLOOKUP(LinkTable6789[[#This Row],[Coluna1]],[4]AlarmCatalog!$A:$M,11,FALSE)</f>
        <v/>
      </c>
    </row>
    <row r="52" ht="16.5" customFormat="1" customHeight="1" s="67">
      <c r="A52" s="68" t="inlineStr">
        <is>
          <t>DI_INCLUIR@EXCLUIR___INCLUIDO@EXCLUIDO___Enabled___INV___admsINV_S_TS_DS_SGF_DESAB</t>
        </is>
      </c>
      <c r="B52" s="68" t="inlineStr"/>
      <c r="C52" s="68" t="inlineStr">
        <is>
          <t>Transit;INCLUIDO;EXCLUIDO;Error</t>
        </is>
      </c>
      <c r="D52" s="68" t="inlineStr">
        <is>
          <t>0;2;1;3</t>
        </is>
      </c>
      <c r="E52" s="68" t="inlineStr">
        <is>
          <t>2;1;0;3</t>
        </is>
      </c>
      <c r="F52" s="68" t="inlineStr">
        <is>
          <t>;;;</t>
        </is>
      </c>
      <c r="G52" s="68" t="inlineStr">
        <is>
          <t>#FF000000;#FFFF0000;#FF00FF00;#FFA9A9A9</t>
        </is>
      </c>
      <c r="H52" s="68" t="inlineStr">
        <is>
          <t>Abnormal;Normal;Normal;Abnormal</t>
        </is>
      </c>
      <c r="I52" s="68" t="inlineStr">
        <is>
          <t>FALSE;TRUE;TRUE;FALSE</t>
        </is>
      </c>
      <c r="J52" s="68" t="inlineStr">
        <is>
          <t>Alarme de Estado em Ponto Telessinalizado DS</t>
        </is>
      </c>
      <c r="K52" s="69" t="inlineStr">
        <is>
          <t>Alarme de Estado em Ponto Telessinalizado DS</t>
        </is>
      </c>
      <c r="L52" s="69">
        <f>VLOOKUP(LinkTable6789[[#This Row],[Coluna1]],[4]AlarmCatalog!$A:$M,11,FALSE)</f>
        <v/>
      </c>
    </row>
    <row r="53" ht="16.5" customFormat="1" customHeight="1" s="67">
      <c r="A53" s="68" t="inlineStr">
        <is>
          <t>REARMAR@BLOQUEAR___NORMAL@ATUADO___Custom_S_TC</t>
        </is>
      </c>
      <c r="B53" s="68" t="inlineStr"/>
      <c r="C53" s="68" t="inlineStr">
        <is>
          <t>Transit;NORMAL;ATUADO;Error</t>
        </is>
      </c>
      <c r="D53" s="68" t="inlineStr">
        <is>
          <t>0;1;2;3</t>
        </is>
      </c>
      <c r="E53" s="68" t="inlineStr">
        <is>
          <t>2;0;1;3</t>
        </is>
      </c>
      <c r="F53" s="68" t="inlineStr">
        <is>
          <t>;REARMAR;BLOQUEAR;</t>
        </is>
      </c>
      <c r="G53" s="68" t="inlineStr">
        <is>
          <t>#FF000000;#FF00FF00;#FFFF0000;#FFA9A9A9</t>
        </is>
      </c>
      <c r="H53" s="68" t="inlineStr">
        <is>
          <t>Abnormal;Auto;Auto;Abnormal</t>
        </is>
      </c>
      <c r="I53" s="68" t="inlineStr">
        <is>
          <t>FALSE;TRUE;TRUE;FALSE</t>
        </is>
      </c>
      <c r="J53" s="68" t="inlineStr">
        <is>
          <t>Alarme de Estado em Ponto Telecontrolado</t>
        </is>
      </c>
      <c r="K53" s="69" t="inlineStr">
        <is>
          <t>Alarme de Estado em Ponto Telecontrolado</t>
        </is>
      </c>
      <c r="L53" s="69">
        <f>VLOOKUP(LinkTable6789[[#This Row],[Coluna1]],[4]AlarmCatalog!$A:$M,11,FALSE)</f>
        <v/>
      </c>
    </row>
    <row r="54" ht="16.5" customFormat="1" customHeight="1" s="67">
      <c r="A54" s="68" t="inlineStr">
        <is>
          <t>RELIGADOR@ALTERNATIVO@CHAVE___RELIGADOR@ALTERNATIVO@CHAVE___Custom_S_TC</t>
        </is>
      </c>
      <c r="B54" s="68" t="inlineStr"/>
      <c r="C54" s="68" t="inlineStr">
        <is>
          <t>RELIGADOR;ALTERNATIVO;CHAVE;</t>
        </is>
      </c>
      <c r="D54" s="68" t="inlineStr">
        <is>
          <t>0;1;2;3</t>
        </is>
      </c>
      <c r="E54" s="68" t="inlineStr">
        <is>
          <t>0;1;2;3</t>
        </is>
      </c>
      <c r="F54" s="68" t="inlineStr">
        <is>
          <t>RELIGADOR;ALTERNATIVO;CHAVE;</t>
        </is>
      </c>
      <c r="G54" s="68" t="inlineStr">
        <is>
          <t>#FF00FF00;#FF00FF00;#FF00FF00;#FF000000</t>
        </is>
      </c>
      <c r="H54" s="68" t="inlineStr">
        <is>
          <t>Normal;Normal;Normal;Abnormal</t>
        </is>
      </c>
      <c r="I54" s="68" t="inlineStr">
        <is>
          <t>TRUE;TRUE;TRUE;FALSE</t>
        </is>
      </c>
      <c r="J54" s="68" t="inlineStr">
        <is>
          <t>Alarme de Estado em Ponto Telecontrolado</t>
        </is>
      </c>
      <c r="K54" s="69" t="inlineStr">
        <is>
          <t>Alarme de Estado em Ponto Telecontrolado</t>
        </is>
      </c>
      <c r="L54" s="69">
        <f>VLOOKUP(LinkTable6789[[#This Row],[Coluna1]],[4]AlarmCatalog!$A:$M,11,FALSE)</f>
        <v/>
      </c>
    </row>
    <row r="55" ht="16.5" customFormat="1" customHeight="1" s="67">
      <c r="A55" s="68" t="inlineStr">
        <is>
          <t>DI_INCLUIR@EXCLUIR___INCLUIDO@EXCLUIDO___Enabled___INV___admsINV_S_TS_DS_SGF_INC</t>
        </is>
      </c>
      <c r="B55" s="68" t="inlineStr"/>
      <c r="C55" s="68" t="inlineStr">
        <is>
          <t>Transit;INCLUIDO;EXCLUIDO;Error</t>
        </is>
      </c>
      <c r="D55" s="68" t="inlineStr">
        <is>
          <t>0;2;1;3</t>
        </is>
      </c>
      <c r="E55" s="68" t="inlineStr">
        <is>
          <t>2;1;0;3</t>
        </is>
      </c>
      <c r="F55" s="68" t="inlineStr">
        <is>
          <t>;;;</t>
        </is>
      </c>
      <c r="G55" s="68" t="inlineStr">
        <is>
          <t>#FF000000;#FFFF0000;#FF00FF00;#FFA9A9A9</t>
        </is>
      </c>
      <c r="H55" s="68" t="inlineStr">
        <is>
          <t>Abnormal;Normal;Abnormal;Abnormal</t>
        </is>
      </c>
      <c r="I55" s="68" t="inlineStr">
        <is>
          <t>FALSE;TRUE;TRUE;FALSE</t>
        </is>
      </c>
      <c r="J55" s="68" t="inlineStr">
        <is>
          <t>Alarme de Estado em Ponto Telessinalizado DS</t>
        </is>
      </c>
      <c r="K55" s="69" t="inlineStr">
        <is>
          <t>Alarme de Estado em Ponto Telessinalizado DS</t>
        </is>
      </c>
      <c r="L55" s="69">
        <f>VLOOKUP(LinkTable6789[[#This Row],[Coluna1]],[4]AlarmCatalog!$A:$M,11,FALSE)</f>
        <v/>
      </c>
    </row>
    <row r="56" ht="16.5" customFormat="1" customHeight="1" s="67">
      <c r="A56" s="68" t="inlineStr">
        <is>
          <t>RELIGAD@ALTERNATIVO___null@null___Custom_D_TC</t>
        </is>
      </c>
      <c r="B56" s="68" t="inlineStr"/>
      <c r="C56" s="68" t="inlineStr">
        <is>
          <t>Error;null;null;Transit</t>
        </is>
      </c>
      <c r="D56" s="68" t="inlineStr">
        <is>
          <t>0;1;2;3</t>
        </is>
      </c>
      <c r="E56" s="68" t="inlineStr">
        <is>
          <t>1;0;2;3</t>
        </is>
      </c>
      <c r="F56" s="68" t="inlineStr">
        <is>
          <t>;RELIGAD;ALTERNATIVO;</t>
        </is>
      </c>
      <c r="G56" s="68" t="inlineStr">
        <is>
          <t>#FF000000;#FF00FF00;#FFFF0000;#FFA9A9A9</t>
        </is>
      </c>
      <c r="H56" s="68" t="inlineStr">
        <is>
          <t>Normal;Normal;Normal;Normal</t>
        </is>
      </c>
      <c r="I56" s="68" t="inlineStr">
        <is>
          <t>FALSE;TRUE;TRUE;FALSE</t>
        </is>
      </c>
      <c r="J56" s="68" t="inlineStr">
        <is>
          <t>Alarme de Estado em Ponto Telecontrolado</t>
        </is>
      </c>
      <c r="K56" s="69" t="inlineStr">
        <is>
          <t>Alarme de Estado em Ponto Telecontrolado</t>
        </is>
      </c>
      <c r="L56" s="69">
        <f>VLOOKUP(LinkTable6789[[#This Row],[Coluna1]],[4]AlarmCatalog!$A:$M,11,FALSE)</f>
        <v/>
      </c>
    </row>
    <row r="57" ht="16.5" customFormat="1" customHeight="1" s="67">
      <c r="A57" s="68" t="inlineStr">
        <is>
          <t>RELIGAD@ALTERNATIVO___null@null___Custom_S_TC</t>
        </is>
      </c>
      <c r="B57" s="68" t="inlineStr"/>
      <c r="C57" s="68" t="inlineStr">
        <is>
          <t>Error;null;null;Transit</t>
        </is>
      </c>
      <c r="D57" s="68" t="inlineStr">
        <is>
          <t>0;1;2;3</t>
        </is>
      </c>
      <c r="E57" s="68" t="inlineStr">
        <is>
          <t>1;0;2;3</t>
        </is>
      </c>
      <c r="F57" s="68" t="inlineStr">
        <is>
          <t>;RELIGAD;ALTERNATIVO;</t>
        </is>
      </c>
      <c r="G57" s="68" t="inlineStr">
        <is>
          <t>#FF000000;#FF00FF00;#FFFF0000;#FFA9A9A9</t>
        </is>
      </c>
      <c r="H57" s="68" t="inlineStr">
        <is>
          <t>Normal;Normal;Normal;Normal</t>
        </is>
      </c>
      <c r="I57" s="68" t="inlineStr">
        <is>
          <t>FALSE;TRUE;TRUE;FALSE</t>
        </is>
      </c>
      <c r="J57" s="68" t="inlineStr">
        <is>
          <t>Alarme de Estado em Ponto Telecontrolado</t>
        </is>
      </c>
      <c r="K57" s="69" t="inlineStr">
        <is>
          <t>Alarme de Estado em Ponto Telecontrolado</t>
        </is>
      </c>
      <c r="L57" s="69">
        <f>VLOOKUP(LinkTable6789[[#This Row],[Coluna1]],[4]AlarmCatalog!$A:$M,11,FALSE)</f>
        <v/>
      </c>
    </row>
    <row r="58" ht="16.5" customFormat="1" customHeight="1" s="67">
      <c r="A58" s="68" t="inlineStr">
        <is>
          <t>RELIGAD@ALTERNATIVO___@___Custom_D_TC</t>
        </is>
      </c>
      <c r="B58" s="68" t="inlineStr"/>
      <c r="C58" s="68" t="inlineStr">
        <is>
          <t>Error;;;Transit</t>
        </is>
      </c>
      <c r="D58" s="68" t="inlineStr">
        <is>
          <t>0;1;2;3</t>
        </is>
      </c>
      <c r="E58" s="68" t="inlineStr">
        <is>
          <t>2;0;1;3</t>
        </is>
      </c>
      <c r="F58" s="68" t="inlineStr">
        <is>
          <t>;RELIGAD;ALTERNATIVO;</t>
        </is>
      </c>
      <c r="G58" s="68" t="inlineStr">
        <is>
          <t>#FF000000;#FF00FF00;#FFFF0000;#FFA9A9A9</t>
        </is>
      </c>
      <c r="H58" s="68" t="inlineStr">
        <is>
          <t>Normal;Normal;Normal;Normal</t>
        </is>
      </c>
      <c r="I58" s="68" t="inlineStr">
        <is>
          <t>FALSE;TRUE;TRUE;FALSE</t>
        </is>
      </c>
      <c r="J58" s="68" t="inlineStr">
        <is>
          <t>Alarme de Estado em Ponto Telecontrolado</t>
        </is>
      </c>
      <c r="K58" s="69" t="inlineStr">
        <is>
          <t>Alarme de Estado em Ponto Telecontrolado</t>
        </is>
      </c>
      <c r="L58" s="69">
        <f>VLOOKUP(LinkTable6789[[#This Row],[Coluna1]],[4]AlarmCatalog!$A:$M,11,FALSE)</f>
        <v/>
      </c>
    </row>
    <row r="59" ht="16.5" customFormat="1" customHeight="1" s="67">
      <c r="A59" s="68" t="inlineStr">
        <is>
          <t>MANUAL@AUTOMATICO___AUTOMATICO@MANUAL___Custom___INV_S_TC</t>
        </is>
      </c>
      <c r="B59" s="68" t="inlineStr"/>
      <c r="C59" s="68" t="inlineStr">
        <is>
          <t>Error;AUTOMATICO;MANUAL;Transit</t>
        </is>
      </c>
      <c r="D59" s="68" t="inlineStr">
        <is>
          <t>0;1;2;3</t>
        </is>
      </c>
      <c r="E59" s="68" t="inlineStr">
        <is>
          <t>2;1;0;3</t>
        </is>
      </c>
      <c r="F59" s="68" t="inlineStr">
        <is>
          <t>;MANUAL;AUTOMATICO;</t>
        </is>
      </c>
      <c r="G59" s="68" t="inlineStr">
        <is>
          <t>#FF000000;#FF00FF00;#FFFF0000;#FFA9A9A9</t>
        </is>
      </c>
      <c r="H59" s="68" t="inlineStr">
        <is>
          <t>Normal;Normal;Normal;Normal</t>
        </is>
      </c>
      <c r="I59" s="68" t="inlineStr">
        <is>
          <t>FALSE;TRUE;TRUE;FALSE</t>
        </is>
      </c>
      <c r="J59" s="68" t="inlineStr">
        <is>
          <t>Alarme de Estado em Ponto Telecontrolado</t>
        </is>
      </c>
      <c r="K59" s="69" t="inlineStr">
        <is>
          <t>Alarme de Estado em Ponto Telecontrolado</t>
        </is>
      </c>
      <c r="L59" s="69">
        <f>VLOOKUP(LinkTable6789[[#This Row],[Coluna1]],[4]AlarmCatalog!$A:$M,11,FALSE)</f>
        <v/>
      </c>
    </row>
    <row r="60" ht="16.5" customFormat="1" customHeight="1" s="67">
      <c r="A60" s="68" t="inlineStr">
        <is>
          <t>G2@G1___GRUPO 1@GRUPO 2___Custom_S_TC</t>
        </is>
      </c>
      <c r="B60" s="68" t="inlineStr"/>
      <c r="C60" s="68" t="inlineStr">
        <is>
          <t>Error;GRUPO 1;GRUPO 2;Transit</t>
        </is>
      </c>
      <c r="D60" s="68" t="inlineStr">
        <is>
          <t>0;1;2;3</t>
        </is>
      </c>
      <c r="E60" s="68" t="inlineStr">
        <is>
          <t>2;0;1;3</t>
        </is>
      </c>
      <c r="F60" s="68" t="inlineStr">
        <is>
          <t>;G2;G1;</t>
        </is>
      </c>
      <c r="G60" s="68" t="inlineStr">
        <is>
          <t>#FF000000;#FF00FF00;#FFFF0000;#FFA9A9A9</t>
        </is>
      </c>
      <c r="H60" s="68" t="inlineStr">
        <is>
          <t>Normal;Normal;Normal;Normal</t>
        </is>
      </c>
      <c r="I60" s="68" t="inlineStr">
        <is>
          <t>FALSE;TRUE;TRUE;FALSE</t>
        </is>
      </c>
      <c r="J60" s="68" t="inlineStr">
        <is>
          <t>Alarme de Estado em Ponto Telecontrolado</t>
        </is>
      </c>
      <c r="K60" s="69" t="inlineStr">
        <is>
          <t>Alarme de Estado em Ponto Telecontrolado</t>
        </is>
      </c>
      <c r="L60" s="69">
        <f>VLOOKUP(LinkTable6789[[#This Row],[Coluna1]],[4]AlarmCatalog!$A:$M,11,FALSE)</f>
        <v/>
      </c>
    </row>
    <row r="61" ht="16.5" customFormat="1" customHeight="1" s="67">
      <c r="A61" s="68" t="inlineStr">
        <is>
          <t>MANUAL@AUTOMATICO___AUTOMATICO@MANUAL___Custom_D_TC</t>
        </is>
      </c>
      <c r="B61" s="68" t="inlineStr"/>
      <c r="C61" s="68" t="inlineStr">
        <is>
          <t>Error;AUTOMATICO;MANUAL;Transit</t>
        </is>
      </c>
      <c r="D61" s="68" t="inlineStr">
        <is>
          <t>0;1;2;3</t>
        </is>
      </c>
      <c r="E61" s="68" t="inlineStr">
        <is>
          <t>2;0;1;3</t>
        </is>
      </c>
      <c r="F61" s="68" t="inlineStr">
        <is>
          <t>;MANUAL;AUTOMATICO;</t>
        </is>
      </c>
      <c r="G61" s="68" t="inlineStr">
        <is>
          <t>#FF000000;#FF00FF00;#FFFF0000;#FFA9A9A9</t>
        </is>
      </c>
      <c r="H61" s="68" t="inlineStr">
        <is>
          <t>Normal;Normal;Normal;Normal</t>
        </is>
      </c>
      <c r="I61" s="68" t="inlineStr">
        <is>
          <t>FALSE;TRUE;TRUE;FALSE</t>
        </is>
      </c>
      <c r="J61" s="68" t="inlineStr">
        <is>
          <t>Alarme de Estado em Ponto Telecontrolado</t>
        </is>
      </c>
      <c r="K61" s="69" t="inlineStr">
        <is>
          <t>Alarme de Estado em Ponto Telecontrolado</t>
        </is>
      </c>
      <c r="L61" s="69">
        <f>VLOOKUP(LinkTable6789[[#This Row],[Coluna1]],[4]AlarmCatalog!$A:$M,11,FALSE)</f>
        <v/>
      </c>
    </row>
    <row r="62" ht="16.5" customFormat="1" customHeight="1" s="67">
      <c r="A62" s="68" t="inlineStr">
        <is>
          <t>ABRIR@FECHAR___ABERTO@FECHADO___SwitchStatus___INV_S_TC</t>
        </is>
      </c>
      <c r="B62" s="68" t="inlineStr"/>
      <c r="C62" s="68" t="inlineStr">
        <is>
          <t>Error;ABERTO;FECHADO;Transit</t>
        </is>
      </c>
      <c r="D62" s="68" t="inlineStr">
        <is>
          <t>0;1;2;3</t>
        </is>
      </c>
      <c r="E62" s="68" t="inlineStr">
        <is>
          <t>2;1;0;3</t>
        </is>
      </c>
      <c r="F62" s="68" t="inlineStr">
        <is>
          <t>;ABRIR;FECHAR;</t>
        </is>
      </c>
      <c r="G62" s="68" t="inlineStr">
        <is>
          <t>#FF000000;#FF00FF00;#FFFF0000;#FFA9A9A9</t>
        </is>
      </c>
      <c r="H62" s="68" t="inlineStr">
        <is>
          <t>Abnormal;Auto;Auto;Abnormal</t>
        </is>
      </c>
      <c r="I62" s="68" t="inlineStr">
        <is>
          <t>FALSE;TRUE;TRUE;FALSE</t>
        </is>
      </c>
      <c r="J62" s="68" t="inlineStr">
        <is>
          <t>Alarme de Estado em Ponto Telecontrolado</t>
        </is>
      </c>
      <c r="K62" s="69" t="inlineStr">
        <is>
          <t>Alarme de Estado em Ponto Telecontrolado</t>
        </is>
      </c>
      <c r="L62" s="69">
        <f>VLOOKUP(LinkTable6789[[#This Row],[Coluna1]],[4]AlarmCatalog!$A:$M,11,FALSE)</f>
        <v/>
      </c>
    </row>
    <row r="63" ht="16.5" customFormat="1" customHeight="1" s="67">
      <c r="A63" s="68" t="inlineStr">
        <is>
          <t>DI_DESLIGAR@LIGAR___DESLIGADO@LIGADO___SwitchStatus___SINV_D_TC_E2</t>
        </is>
      </c>
      <c r="B63" s="68" t="inlineStr"/>
      <c r="C63" s="68" t="inlineStr">
        <is>
          <t>Transit;DESLIGADO;LIGADO;Error</t>
        </is>
      </c>
      <c r="D63" s="68" t="inlineStr">
        <is>
          <t>0;1;2;3</t>
        </is>
      </c>
      <c r="E63" s="68" t="inlineStr">
        <is>
          <t>0;2;1;3</t>
        </is>
      </c>
      <c r="F63" s="68" t="inlineStr">
        <is>
          <t>;DESLIGAR;LIGAR;</t>
        </is>
      </c>
      <c r="G63" s="68" t="inlineStr">
        <is>
          <t>#FF000000;#FF00FF00;#FFFF0000;#FFA9A9A9</t>
        </is>
      </c>
      <c r="H63" s="68" t="inlineStr">
        <is>
          <t>Abnormal;Abnormal;Normal;Normal</t>
        </is>
      </c>
      <c r="I63" s="68" t="inlineStr">
        <is>
          <t>FALSE;TRUE;TRUE;FALSE</t>
        </is>
      </c>
      <c r="J63" s="68" t="inlineStr">
        <is>
          <t>Alarme de Estado em Ponto Telecontrolado E2</t>
        </is>
      </c>
      <c r="K63" s="69" t="inlineStr">
        <is>
          <t>Alarme de Estado em Ponto Telecontrolado E2</t>
        </is>
      </c>
      <c r="L63" s="69">
        <f>VLOOKUP(LinkTable6789[[#This Row],[Coluna1]],[4]AlarmCatalog!$A:$M,11,FALSE)</f>
        <v/>
      </c>
    </row>
    <row r="64" ht="16.5" customFormat="1" customHeight="1" s="67">
      <c r="A64" s="68" t="inlineStr">
        <is>
          <t>null@null___DESLIGADO@LIGADO___Custom_S_TS_SE</t>
        </is>
      </c>
      <c r="B64" s="68" t="inlineStr"/>
      <c r="C64" s="68" t="inlineStr">
        <is>
          <t>Transit;DESLIGADO;LIGADO;Error</t>
        </is>
      </c>
      <c r="D64" s="68" t="inlineStr">
        <is>
          <t>0;1;2;3</t>
        </is>
      </c>
      <c r="E64" s="68" t="inlineStr">
        <is>
          <t>2;0;1;3</t>
        </is>
      </c>
      <c r="F64" s="68" t="inlineStr">
        <is>
          <t>;;;</t>
        </is>
      </c>
      <c r="G64" s="68" t="inlineStr">
        <is>
          <t>#FF000000;#FF00FF00;#FFFF0000;#FFA9A9A9</t>
        </is>
      </c>
      <c r="H64" s="68" t="inlineStr">
        <is>
          <t>Abnormal;Auto;Auto;Abnormal</t>
        </is>
      </c>
      <c r="I64" s="68" t="inlineStr">
        <is>
          <t>FALSE;TRUE;TRUE;FALSE</t>
        </is>
      </c>
      <c r="J64" s="68" t="inlineStr">
        <is>
          <t>Alarme de Estado em Ponto Telessinalizado SE</t>
        </is>
      </c>
      <c r="K64" s="69" t="inlineStr">
        <is>
          <t>Alarme de Estado em Ponto Telessinalizado SE</t>
        </is>
      </c>
      <c r="L64" s="69">
        <f>VLOOKUP(LinkTable6789[[#This Row],[Coluna1]],[4]AlarmCatalog!$A:$M,11,FALSE)</f>
        <v/>
      </c>
    </row>
    <row r="65" ht="16.5" customFormat="1" customHeight="1" s="67">
      <c r="A65" s="68" t="inlineStr">
        <is>
          <t>DI_DESLIGAR@LIGAR___DESLIGADO@LIGADO___SwitchStatus___INV_D_TC_E2</t>
        </is>
      </c>
      <c r="B65" s="68" t="inlineStr"/>
      <c r="C65" s="68" t="inlineStr">
        <is>
          <t>Transit;DESLIGADO;LIGADO;Error</t>
        </is>
      </c>
      <c r="D65" s="68" t="inlineStr">
        <is>
          <t>0;1;2;3</t>
        </is>
      </c>
      <c r="E65" s="68" t="inlineStr">
        <is>
          <t>0;2;1;3</t>
        </is>
      </c>
      <c r="F65" s="68" t="inlineStr">
        <is>
          <t>;DESLIGAR;LIGAR;</t>
        </is>
      </c>
      <c r="G65" s="68" t="inlineStr">
        <is>
          <t>#FF000000;#FF00FF00;#FFFF0000;#FFA9A9A9</t>
        </is>
      </c>
      <c r="H65" s="68" t="inlineStr">
        <is>
          <t>Abnormal;Auto;Auto;Abnormal</t>
        </is>
      </c>
      <c r="I65" s="68" t="inlineStr">
        <is>
          <t>FALSE;TRUE;TRUE;FALSE</t>
        </is>
      </c>
      <c r="J65" s="68" t="inlineStr">
        <is>
          <t>Alarme de Estado em Ponto Telecontrolado E2</t>
        </is>
      </c>
      <c r="K65" s="69" t="inlineStr">
        <is>
          <t>Alarme de Estado em Ponto Telecontrolado E2</t>
        </is>
      </c>
      <c r="L65" s="69">
        <f>VLOOKUP(LinkTable6789[[#This Row],[Coluna1]],[4]AlarmCatalog!$A:$M,11,FALSE)</f>
        <v/>
      </c>
    </row>
    <row r="66" ht="16.5" customFormat="1" customHeight="1" s="67">
      <c r="A66" s="68" t="inlineStr">
        <is>
          <t>ABRIR@FECHAR___ABERTO@FECHADO___SwitchStatus_D_TC_SE</t>
        </is>
      </c>
      <c r="B66" s="68" t="inlineStr"/>
      <c r="C66" s="68" t="inlineStr">
        <is>
          <t>Transit;ABERTO;FECHADO;Error</t>
        </is>
      </c>
      <c r="D66" s="68" t="inlineStr">
        <is>
          <t>0;1;2;3</t>
        </is>
      </c>
      <c r="E66" s="68" t="inlineStr">
        <is>
          <t>0;1;2;3</t>
        </is>
      </c>
      <c r="F66" s="68" t="inlineStr">
        <is>
          <t>;ABRIR;FECHAR;</t>
        </is>
      </c>
      <c r="G66" s="68" t="inlineStr">
        <is>
          <t>#FF000000;#FF00FF00;#FFFF0000;#FFA9A9A9</t>
        </is>
      </c>
      <c r="H66" s="68" t="inlineStr">
        <is>
          <t>Abnormal;Auto;Auto;Abnormal</t>
        </is>
      </c>
      <c r="I66" s="68" t="inlineStr">
        <is>
          <t>FALSE;TRUE;TRUE;FALSE</t>
        </is>
      </c>
      <c r="J66" s="68" t="inlineStr">
        <is>
          <t>Alarme de Estado em Ponto Telecontrolado SE</t>
        </is>
      </c>
      <c r="K66" s="69" t="inlineStr">
        <is>
          <t>Alarme de Estado em Ponto Telecontrolado SE</t>
        </is>
      </c>
      <c r="L66" s="69">
        <f>VLOOKUP(LinkTable6789[[#This Row],[Coluna1]],[4]AlarmCatalog!$A:$M,11,FALSE)</f>
        <v/>
      </c>
    </row>
    <row r="67" ht="16.5" customFormat="1" customHeight="1" s="67">
      <c r="A67" s="68" t="inlineStr">
        <is>
          <t>null@INDIVIDUAL___COMANDADO@INDIVIDUAL___Custom_S_TC</t>
        </is>
      </c>
      <c r="B67" s="68" t="inlineStr"/>
      <c r="C67" s="68" t="inlineStr">
        <is>
          <t>Error;INATIVO;COMANDADO;Transit</t>
        </is>
      </c>
      <c r="D67" s="68" t="inlineStr">
        <is>
          <t>0;1;2;3</t>
        </is>
      </c>
      <c r="E67" s="68" t="inlineStr">
        <is>
          <t>2;0;1;3</t>
        </is>
      </c>
      <c r="F67" s="68" t="inlineStr">
        <is>
          <t>;;;</t>
        </is>
      </c>
      <c r="G67" s="68" t="inlineStr">
        <is>
          <t>#FF000000;#FF00FF00;#FFFF0000;#FFA9A9A9</t>
        </is>
      </c>
      <c r="H67" s="68" t="inlineStr">
        <is>
          <t>Abnormal;Auto;Auto;Abnormal</t>
        </is>
      </c>
      <c r="I67" s="68" t="inlineStr">
        <is>
          <t>FALSE;TRUE;TRUE;FALSE</t>
        </is>
      </c>
      <c r="J67" s="68" t="inlineStr">
        <is>
          <t>Alarme de Estado em Ponto Telecontrolado</t>
        </is>
      </c>
      <c r="K67" s="69" t="inlineStr">
        <is>
          <t>Alarme de Estado em Ponto Telecontrolado</t>
        </is>
      </c>
      <c r="L67" s="69">
        <f>VLOOKUP(LinkTable6789[[#This Row],[Coluna1]],[4]AlarmCatalog!$A:$M,11,FALSE)</f>
        <v/>
      </c>
    </row>
    <row r="68" ht="16.5" customFormat="1" customHeight="1" s="67">
      <c r="A68" s="68" t="inlineStr">
        <is>
          <t>MESTRE@INDIVIDUAL@COMANDO___MESTRE@INDIVIDUAL@COMANDO___Custom_S_TC</t>
        </is>
      </c>
      <c r="B68" s="68" t="inlineStr"/>
      <c r="C68" s="68" t="inlineStr">
        <is>
          <t>MESTRE;INDIVIDUAL;COMANDADO;</t>
        </is>
      </c>
      <c r="D68" s="68" t="inlineStr">
        <is>
          <t>0;1;2;3</t>
        </is>
      </c>
      <c r="E68" s="68" t="inlineStr">
        <is>
          <t>0;1;2;3</t>
        </is>
      </c>
      <c r="F68" s="68" t="inlineStr">
        <is>
          <t>MESTRE;INDIVIDUAL;COMANDO;</t>
        </is>
      </c>
      <c r="G68" s="68" t="inlineStr">
        <is>
          <t>#FF00FF00;#FF00FF00;#FF00FF00;#FF000000</t>
        </is>
      </c>
      <c r="H68" s="68" t="inlineStr">
        <is>
          <t>Normal;Normal;Normal;Abnormal</t>
        </is>
      </c>
      <c r="I68" s="68" t="inlineStr">
        <is>
          <t>TRUE;TRUE;TRUE;FALSE</t>
        </is>
      </c>
      <c r="J68" s="68" t="inlineStr">
        <is>
          <t>Alarme de Estado em Ponto Telecontrolado</t>
        </is>
      </c>
      <c r="K68" s="69" t="inlineStr">
        <is>
          <t>Alarme de Estado em Ponto Telecontrolado</t>
        </is>
      </c>
      <c r="L68" s="69">
        <f>VLOOKUP(LinkTable6789[[#This Row],[Coluna1]],[4]AlarmCatalog!$A:$M,11,FALSE)</f>
        <v/>
      </c>
    </row>
    <row r="69" ht="16.5" customFormat="1" customHeight="1" s="67">
      <c r="A69" s="68" t="inlineStr">
        <is>
          <t>MESTRE@INDIVIDUAL@COMANDO___MESTRE@INDIVIDUAL@COMANDO___Parallel___admsINV_D_TC_SS</t>
        </is>
      </c>
      <c r="B69" s="68" t="inlineStr"/>
      <c r="C69" s="68" t="inlineStr">
        <is>
          <t>MESTRE;INDIVIDUAL;COMANDADO;</t>
        </is>
      </c>
      <c r="D69" s="68" t="inlineStr">
        <is>
          <t>2;0;1;3</t>
        </is>
      </c>
      <c r="E69" s="68" t="inlineStr">
        <is>
          <t>0;2;1;3</t>
        </is>
      </c>
      <c r="F69" s="68" t="inlineStr">
        <is>
          <t>MESTRE;INDIVIDUAL;COMANDO;</t>
        </is>
      </c>
      <c r="G69" s="68" t="inlineStr">
        <is>
          <t>#FFFF0000;#FF00FF00;#FF00FF00;#FF000000</t>
        </is>
      </c>
      <c r="H69" s="68" t="inlineStr">
        <is>
          <t>Normal;Abnormal;Abnormal;Abnormal</t>
        </is>
      </c>
      <c r="I69" s="68" t="inlineStr">
        <is>
          <t>TRUE;TRUE;TRUE;FALSE</t>
        </is>
      </c>
      <c r="J69" s="68" t="inlineStr">
        <is>
          <t>Alarme de Estado em Ponto Telecontrolado SS</t>
        </is>
      </c>
      <c r="K69" s="69" t="inlineStr">
        <is>
          <t>Alarme de Estado em Ponto Telecontrolado SS</t>
        </is>
      </c>
      <c r="L69" s="69">
        <f>VLOOKUP(LinkTable6789[[#This Row],[Coluna1]],[4]AlarmCatalog!$A:$M,11,FALSE)</f>
        <v/>
      </c>
    </row>
    <row r="70" ht="16.5" customFormat="1" customHeight="1" s="67">
      <c r="A70" s="68" t="inlineStr">
        <is>
          <t>DI_INCLUIR@EXCLUIR___INCLUIDO@EXCLUIDO___Enabled___INV_S_TC</t>
        </is>
      </c>
      <c r="B70" s="68" t="inlineStr"/>
      <c r="C70" s="68" t="inlineStr">
        <is>
          <t>Transit;INCLUIDO;EXCLUIDO;Error</t>
        </is>
      </c>
      <c r="D70" s="68" t="inlineStr">
        <is>
          <t>0;1;2;3</t>
        </is>
      </c>
      <c r="E70" s="68" t="inlineStr">
        <is>
          <t>2;1;0;3</t>
        </is>
      </c>
      <c r="F70" s="68" t="inlineStr">
        <is>
          <t>;INCLUIR;EXCLUIR;</t>
        </is>
      </c>
      <c r="G70" s="68" t="inlineStr">
        <is>
          <t>#FF000000;#FFFF0000;#FF00FF00;#FFA9A9A9</t>
        </is>
      </c>
      <c r="H70" s="68" t="inlineStr">
        <is>
          <t>Abnormal;Auto;Auto;Abnormal</t>
        </is>
      </c>
      <c r="I70" s="68" t="inlineStr">
        <is>
          <t>FALSE;TRUE;TRUE;FALSE</t>
        </is>
      </c>
      <c r="J70" s="68" t="inlineStr">
        <is>
          <t>Alarme de Estado em Ponto Telecontrolado</t>
        </is>
      </c>
      <c r="K70" s="69" t="inlineStr">
        <is>
          <t>Alarme de Estado em Ponto Telecontrolado</t>
        </is>
      </c>
      <c r="L70" s="69">
        <f>VLOOKUP(LinkTable6789[[#This Row],[Coluna1]],[4]AlarmCatalog!$A:$M,11,FALSE)</f>
        <v/>
      </c>
    </row>
    <row r="71" ht="16.5" customFormat="1" customHeight="1" s="67">
      <c r="A71" s="68" t="inlineStr">
        <is>
          <t>RELIGADOR@null___NORMAL DESATIVAD@NORMAL ATIVADO___Custom_S_TC</t>
        </is>
      </c>
      <c r="B71" s="68" t="inlineStr"/>
      <c r="C71" s="68" t="inlineStr">
        <is>
          <t>Error;NORMAL DESATIVAD;NORMAL ATIVADO;Transit</t>
        </is>
      </c>
      <c r="D71" s="68" t="inlineStr">
        <is>
          <t>0;1;2;3</t>
        </is>
      </c>
      <c r="E71" s="68" t="inlineStr">
        <is>
          <t>2;0;1;3</t>
        </is>
      </c>
      <c r="F71" s="68" t="inlineStr">
        <is>
          <t>;RELIGADOR;;</t>
        </is>
      </c>
      <c r="G71" s="68" t="inlineStr">
        <is>
          <t>#FF000000;#FF00FF00;#FFFF0000;#FFA9A9A9</t>
        </is>
      </c>
      <c r="H71" s="68" t="inlineStr">
        <is>
          <t>Abnormal;Auto;Auto;Abnormal</t>
        </is>
      </c>
      <c r="I71" s="68" t="inlineStr">
        <is>
          <t>FALSE;TRUE;TRUE;FALSE</t>
        </is>
      </c>
      <c r="J71" s="68" t="inlineStr">
        <is>
          <t>Alarme de Estado em Ponto Telecontrolado</t>
        </is>
      </c>
      <c r="K71" s="69" t="inlineStr">
        <is>
          <t>Alarme de Estado em Ponto Telecontrolado</t>
        </is>
      </c>
      <c r="L71" s="69">
        <f>VLOOKUP(LinkTable6789[[#This Row],[Coluna1]],[4]AlarmCatalog!$A:$M,11,FALSE)</f>
        <v/>
      </c>
    </row>
    <row r="72" ht="16.5" customFormat="1" customHeight="1" s="67">
      <c r="A72" s="68" t="inlineStr">
        <is>
          <t>DESLIGAR@LIGAR___DESLIGADO@LIGADO___SwitchStatus___INV_S_TC</t>
        </is>
      </c>
      <c r="B72" s="68" t="inlineStr"/>
      <c r="C72" s="68" t="inlineStr">
        <is>
          <t>Transit;DESLIGADO;LIGADO;Error</t>
        </is>
      </c>
      <c r="D72" s="68" t="inlineStr">
        <is>
          <t>0;1;2;3</t>
        </is>
      </c>
      <c r="E72" s="68" t="inlineStr">
        <is>
          <t>2;1;0;3</t>
        </is>
      </c>
      <c r="F72" s="68" t="inlineStr">
        <is>
          <t>;DESLIGAR;LIGAR;</t>
        </is>
      </c>
      <c r="G72" s="68" t="inlineStr">
        <is>
          <t>#FF000000;#FF00FF00;#FFFF0000;#FFA9A9A9</t>
        </is>
      </c>
      <c r="H72" s="68" t="inlineStr">
        <is>
          <t>Abnormal;Auto;Auto;Abnormal</t>
        </is>
      </c>
      <c r="I72" s="68" t="inlineStr">
        <is>
          <t>FALSE;TRUE;TRUE;FALSE</t>
        </is>
      </c>
      <c r="J72" s="68" t="inlineStr">
        <is>
          <t>Alarme de Estado em Ponto Telecontrolado</t>
        </is>
      </c>
      <c r="K72" s="69" t="inlineStr">
        <is>
          <t>Alarme de Estado em Ponto Telecontrolado</t>
        </is>
      </c>
      <c r="L72" s="69">
        <f>VLOOKUP(LinkTable6789[[#This Row],[Coluna1]],[4]AlarmCatalog!$A:$M,11,FALSE)</f>
        <v/>
      </c>
    </row>
    <row r="73" ht="16.5" customFormat="1" customHeight="1" s="67">
      <c r="A73" s="68" t="inlineStr">
        <is>
          <t>RELIGADOR@ALTERNATIVO___@___Custom_S_TC</t>
        </is>
      </c>
      <c r="B73" s="68" t="inlineStr"/>
      <c r="C73" s="68" t="inlineStr">
        <is>
          <t>Transit;null;null;Error</t>
        </is>
      </c>
      <c r="D73" s="68" t="inlineStr">
        <is>
          <t>0;1;2;3</t>
        </is>
      </c>
      <c r="E73" s="68" t="inlineStr">
        <is>
          <t>2;0;1;3</t>
        </is>
      </c>
      <c r="F73" s="68" t="inlineStr">
        <is>
          <t>;RELIGADOR;ALTERNATIVO;</t>
        </is>
      </c>
      <c r="G73" s="68" t="inlineStr">
        <is>
          <t>#FF000000;#FF00FF00;#FFFF0000;#FFA9A9A9</t>
        </is>
      </c>
      <c r="H73" s="68" t="inlineStr">
        <is>
          <t>Abnormal;Auto;Auto;Abnormal</t>
        </is>
      </c>
      <c r="I73" s="68" t="inlineStr">
        <is>
          <t>FALSE;TRUE;TRUE;FALSE</t>
        </is>
      </c>
      <c r="J73" s="68" t="inlineStr">
        <is>
          <t>Alarme de Estado em Ponto Telecontrolado</t>
        </is>
      </c>
      <c r="K73" s="69" t="inlineStr">
        <is>
          <t>Alarme de Estado em Ponto Telecontrolado</t>
        </is>
      </c>
      <c r="L73" s="69">
        <f>VLOOKUP(LinkTable6789[[#This Row],[Coluna1]],[4]AlarmCatalog!$A:$M,11,FALSE)</f>
        <v/>
      </c>
    </row>
    <row r="74" ht="16.5" customFormat="1" customHeight="1" s="67">
      <c r="A74" s="68" t="inlineStr">
        <is>
          <t>CMD_COS@null___REMOTO@LOCAL___Custom___INV_S_TC</t>
        </is>
      </c>
      <c r="B74" s="68" t="inlineStr"/>
      <c r="C74" s="68" t="inlineStr">
        <is>
          <t>Transit;REMOTO;LOCAL;Error</t>
        </is>
      </c>
      <c r="D74" s="68" t="inlineStr">
        <is>
          <t>0;1;2;3</t>
        </is>
      </c>
      <c r="E74" s="68" t="inlineStr">
        <is>
          <t>2;1;0;3</t>
        </is>
      </c>
      <c r="F74" s="68" t="inlineStr">
        <is>
          <t>;CMD_COS;;</t>
        </is>
      </c>
      <c r="G74" s="68" t="inlineStr">
        <is>
          <t>#FF000000;#FF00FF00;#FFFF0000;#FFA9A9A9</t>
        </is>
      </c>
      <c r="H74" s="68" t="inlineStr">
        <is>
          <t>Abnormal;Auto;Auto;Abnormal</t>
        </is>
      </c>
      <c r="I74" s="68" t="inlineStr">
        <is>
          <t>FALSE;TRUE;TRUE;FALSE</t>
        </is>
      </c>
      <c r="J74" s="68" t="inlineStr">
        <is>
          <t>Alarme de Estado em Ponto Telecontrolado</t>
        </is>
      </c>
      <c r="K74" s="69" t="inlineStr">
        <is>
          <t>Alarme de Estado em Ponto Telecontrolado</t>
        </is>
      </c>
      <c r="L74" s="69">
        <f>VLOOKUP(LinkTable6789[[#This Row],[Coluna1]],[4]AlarmCatalog!$A:$M,11,FALSE)</f>
        <v/>
      </c>
    </row>
    <row r="75" ht="16.5" customFormat="1" customHeight="1" s="67">
      <c r="A75" s="68" t="inlineStr">
        <is>
          <t>DESLIGAR@LIGAR___DESLIGADO@LIGADO___SwitchStatus___INV_D_TC</t>
        </is>
      </c>
      <c r="B75" s="68" t="inlineStr"/>
      <c r="C75" s="68" t="inlineStr">
        <is>
          <t>Transit;DESLIGADO;LIGADO;Error</t>
        </is>
      </c>
      <c r="D75" s="68" t="inlineStr">
        <is>
          <t>0;1;2;3</t>
        </is>
      </c>
      <c r="E75" s="68" t="inlineStr">
        <is>
          <t>0;2;1;3</t>
        </is>
      </c>
      <c r="F75" s="68" t="inlineStr">
        <is>
          <t>;DESLIGAR;LIGAR;</t>
        </is>
      </c>
      <c r="G75" s="68" t="inlineStr">
        <is>
          <t>#FF000000;#FF00FF00;#FFFF0000;#FFA9A9A9</t>
        </is>
      </c>
      <c r="H75" s="68" t="inlineStr">
        <is>
          <t>Normal;Abnormal;Abnormal;Normal</t>
        </is>
      </c>
      <c r="I75" s="68" t="inlineStr">
        <is>
          <t>FALSE;TRUE;TRUE;FALSE</t>
        </is>
      </c>
      <c r="J75" s="68" t="inlineStr">
        <is>
          <t>Alarme de Estado em Ponto Telecontrolado</t>
        </is>
      </c>
      <c r="K75" s="69" t="inlineStr">
        <is>
          <t>Alarme de Estado em Ponto Telecontrolado</t>
        </is>
      </c>
      <c r="L75" s="69">
        <f>VLOOKUP(LinkTable6789[[#This Row],[Coluna1]],[4]AlarmCatalog!$A:$M,11,FALSE)</f>
        <v/>
      </c>
    </row>
    <row r="76" ht="16.5" customFormat="1" customHeight="1" s="67">
      <c r="A76" s="68" t="inlineStr">
        <is>
          <t>DESLIGAR@LIGAR___DESLIGADO@LIGADO___SwitchStatus_D_TC</t>
        </is>
      </c>
      <c r="B76" s="68" t="inlineStr"/>
      <c r="C76" s="68" t="inlineStr">
        <is>
          <t>Transit;DESLIGADO;LIGADO;Error</t>
        </is>
      </c>
      <c r="D76" s="68" t="inlineStr">
        <is>
          <t>0;1;2;3</t>
        </is>
      </c>
      <c r="E76" s="68" t="inlineStr">
        <is>
          <t>0;1;2;3</t>
        </is>
      </c>
      <c r="F76" s="68" t="inlineStr">
        <is>
          <t>;DESLIGAR;LIGAR;</t>
        </is>
      </c>
      <c r="G76" s="68" t="inlineStr">
        <is>
          <t>#FF000000;#FF00FF00;#FFFF0000;#FFA9A9A9</t>
        </is>
      </c>
      <c r="H76" s="68" t="inlineStr">
        <is>
          <t>Abnormal;Auto;Auto;Abnormal</t>
        </is>
      </c>
      <c r="I76" s="68" t="inlineStr">
        <is>
          <t>FALSE;TRUE;TRUE;FALSE</t>
        </is>
      </c>
      <c r="J76" s="68" t="inlineStr">
        <is>
          <t>Alarme de Estado em Ponto Telecontrolado</t>
        </is>
      </c>
      <c r="K76" s="69" t="inlineStr">
        <is>
          <t>Alarme de Estado em Ponto Telecontrolado</t>
        </is>
      </c>
      <c r="L76" s="69">
        <f>VLOOKUP(LinkTable6789[[#This Row],[Coluna1]],[4]AlarmCatalog!$A:$M,11,FALSE)</f>
        <v/>
      </c>
    </row>
    <row r="77" ht="16.5" customFormat="1" customHeight="1" s="67">
      <c r="A77" s="68" t="inlineStr">
        <is>
          <t>CMD_COS@null___REMOTO@LOCAL___Custom___INV_S_TC_SS</t>
        </is>
      </c>
      <c r="B77" s="68" t="inlineStr"/>
      <c r="C77" s="68" t="inlineStr">
        <is>
          <t>Transit;REMOTO;LOCAL;Error</t>
        </is>
      </c>
      <c r="D77" s="68" t="inlineStr">
        <is>
          <t>0;1;2;3</t>
        </is>
      </c>
      <c r="E77" s="68" t="inlineStr">
        <is>
          <t>2;1;0;3</t>
        </is>
      </c>
      <c r="F77" s="68" t="inlineStr">
        <is>
          <t>;CMD_COS;;</t>
        </is>
      </c>
      <c r="G77" s="68" t="inlineStr">
        <is>
          <t>#FF000000;#FF00FF00;#FFFF0000;#FFA9A9A9</t>
        </is>
      </c>
      <c r="H77" s="68" t="inlineStr">
        <is>
          <t>Abnormal;Auto;Auto;Abnormal</t>
        </is>
      </c>
      <c r="I77" s="68" t="inlineStr">
        <is>
          <t>FALSE;TRUE;TRUE;FALSE</t>
        </is>
      </c>
      <c r="J77" s="68" t="inlineStr">
        <is>
          <t>Alarme de Estado em Ponto Telecontrolado SS</t>
        </is>
      </c>
      <c r="K77" s="69" t="inlineStr">
        <is>
          <t>Alarme de Estado em Ponto Telecontrolado SS</t>
        </is>
      </c>
      <c r="L77" s="69">
        <f>VLOOKUP(LinkTable6789[[#This Row],[Coluna1]],[4]AlarmCatalog!$A:$M,11,FALSE)</f>
        <v/>
      </c>
    </row>
    <row r="78" ht="16.5" customFormat="1" customHeight="1" s="67">
      <c r="A78" s="68" t="inlineStr">
        <is>
          <t>DESLIGAR@LIGAR___DESLIGADO@LIGADO___Custom_S_TC</t>
        </is>
      </c>
      <c r="B78" s="68" t="inlineStr"/>
      <c r="C78" s="68" t="inlineStr">
        <is>
          <t>Transit;DESLIGADO;LIGADO;Error</t>
        </is>
      </c>
      <c r="D78" s="68" t="inlineStr">
        <is>
          <t>0;1;2;3</t>
        </is>
      </c>
      <c r="E78" s="68" t="inlineStr">
        <is>
          <t>2;0;1;3</t>
        </is>
      </c>
      <c r="F78" s="68" t="inlineStr">
        <is>
          <t>;DESLIGAR;LIGAR;</t>
        </is>
      </c>
      <c r="G78" s="68" t="inlineStr">
        <is>
          <t>#FF000000;#FF00FF00;#FFFF0000;#FFA9A9A9</t>
        </is>
      </c>
      <c r="H78" s="68" t="inlineStr">
        <is>
          <t>Abnormal;Auto;Auto;Abnormal</t>
        </is>
      </c>
      <c r="I78" s="68" t="inlineStr">
        <is>
          <t>TRUE;TRUE;TRUE;FALSE</t>
        </is>
      </c>
      <c r="J78" s="68" t="inlineStr">
        <is>
          <t>Alarme de Estado em Ponto Telecontrolado</t>
        </is>
      </c>
      <c r="K78" s="69" t="inlineStr">
        <is>
          <t>Alarme de Estado em Ponto Telecontrolado</t>
        </is>
      </c>
      <c r="L78" s="69">
        <f>VLOOKUP(LinkTable6789[[#This Row],[Coluna1]],[4]AlarmCatalog!$A:$M,11,FALSE)</f>
        <v/>
      </c>
    </row>
    <row r="79" ht="16.5" customFormat="1" customHeight="1" s="67">
      <c r="A79" s="68" t="inlineStr">
        <is>
          <t>ATIVAR@DESATIVAR___ATIVADO@DESATIVADO___Custom___INV_S_TC_SS</t>
        </is>
      </c>
      <c r="B79" s="68" t="inlineStr"/>
      <c r="C79" s="68" t="inlineStr">
        <is>
          <t>Transit;ATIVADO;DESATIVADO;Error</t>
        </is>
      </c>
      <c r="D79" s="68" t="inlineStr">
        <is>
          <t>0;1;2;3</t>
        </is>
      </c>
      <c r="E79" s="68" t="inlineStr">
        <is>
          <t>2;1;0;3</t>
        </is>
      </c>
      <c r="F79" s="68" t="inlineStr">
        <is>
          <t>;ATIVAR;DESATIVAR;</t>
        </is>
      </c>
      <c r="G79" s="68" t="inlineStr">
        <is>
          <t>#FF000000;#FF00FF00;#FFFF0000;#FFA9A9A9</t>
        </is>
      </c>
      <c r="H79" s="68" t="inlineStr">
        <is>
          <t>Abnormal;Auto;Auto;Abnormal</t>
        </is>
      </c>
      <c r="I79" s="68" t="inlineStr">
        <is>
          <t>FALSE;TRUE;TRUE;FALSE</t>
        </is>
      </c>
      <c r="J79" s="68" t="inlineStr">
        <is>
          <t>Alarme de Estado em Ponto Telecontrolado SS</t>
        </is>
      </c>
      <c r="K79" s="69" t="inlineStr">
        <is>
          <t>Alarme de Estado em Ponto Telecontrolado SS</t>
        </is>
      </c>
      <c r="L79" s="69">
        <f>VLOOKUP(LinkTable6789[[#This Row],[Coluna1]],[4]AlarmCatalog!$A:$M,11,FALSE)</f>
        <v/>
      </c>
    </row>
    <row r="80" ht="16.5" customFormat="1" customHeight="1" s="67">
      <c r="A80" s="68" t="inlineStr">
        <is>
          <t>DESLIGAR@LIGAR___DESLIGADO@LIGADO___Custom_D_TC</t>
        </is>
      </c>
      <c r="B80" s="68" t="inlineStr"/>
      <c r="C80" s="68" t="inlineStr">
        <is>
          <t>Transit;DESLIGADO;LIGADO;Error</t>
        </is>
      </c>
      <c r="D80" s="68" t="inlineStr">
        <is>
          <t>0;1;2;3</t>
        </is>
      </c>
      <c r="E80" s="68" t="inlineStr">
        <is>
          <t>2;0;1;3</t>
        </is>
      </c>
      <c r="F80" s="68" t="inlineStr">
        <is>
          <t>;DESLIGAR;LIGAR;</t>
        </is>
      </c>
      <c r="G80" s="68" t="inlineStr">
        <is>
          <t>#FF000000;#FF00FF00;#FFFF0000;#FFA9A9A9</t>
        </is>
      </c>
      <c r="H80" s="68" t="inlineStr">
        <is>
          <t>Normal;Abnormal;Abnormal;Normal</t>
        </is>
      </c>
      <c r="I80" s="68" t="inlineStr">
        <is>
          <t>FALSE;TRUE;TRUE;FALSE</t>
        </is>
      </c>
      <c r="J80" s="68" t="inlineStr">
        <is>
          <t>Alarme de Estado em Ponto Telecontrolado</t>
        </is>
      </c>
      <c r="K80" s="69" t="inlineStr">
        <is>
          <t>Alarme de Estado em Ponto Telecontrolado</t>
        </is>
      </c>
      <c r="L80" s="69">
        <f>VLOOKUP(LinkTable6789[[#This Row],[Coluna1]],[4]AlarmCatalog!$A:$M,11,FALSE)</f>
        <v/>
      </c>
    </row>
    <row r="81" ht="16.5" customFormat="1" customHeight="1" s="67">
      <c r="A81" s="68" t="inlineStr">
        <is>
          <t>DESLIGAR@LIGAR___DESLIGADO@LIGADO___SwitchStatus_S_TC</t>
        </is>
      </c>
      <c r="B81" s="68" t="inlineStr"/>
      <c r="C81" s="68" t="inlineStr">
        <is>
          <t>Transit;DESLIGADO;LIGADO;Error</t>
        </is>
      </c>
      <c r="D81" s="68" t="inlineStr">
        <is>
          <t>0;1;2;3</t>
        </is>
      </c>
      <c r="E81" s="68" t="inlineStr">
        <is>
          <t>2;0;1;3</t>
        </is>
      </c>
      <c r="F81" s="68" t="inlineStr">
        <is>
          <t>;DESLIGAR;LIGAR;</t>
        </is>
      </c>
      <c r="G81" s="68" t="inlineStr">
        <is>
          <t>#FF000000;#FF00FF00;#FFFF0000;#FFA9A9A9</t>
        </is>
      </c>
      <c r="H81" s="68" t="inlineStr">
        <is>
          <t>Abnormal;Auto;Auto;Abnormal</t>
        </is>
      </c>
      <c r="I81" s="68" t="inlineStr">
        <is>
          <t>FALSE;TRUE;TRUE;FALSE</t>
        </is>
      </c>
      <c r="J81" s="68" t="inlineStr">
        <is>
          <t>Alarme de Estado em Ponto Telecontrolado</t>
        </is>
      </c>
      <c r="K81" s="69" t="inlineStr">
        <is>
          <t>Alarme de Estado em Ponto Telecontrolado</t>
        </is>
      </c>
      <c r="L81" s="69">
        <f>VLOOKUP(LinkTable6789[[#This Row],[Coluna1]],[4]AlarmCatalog!$A:$M,11,FALSE)</f>
        <v/>
      </c>
    </row>
    <row r="82" ht="16.5" customFormat="1" customHeight="1" s="67">
      <c r="A82" s="68" t="inlineStr">
        <is>
          <t>DI_INCLUIR@EXCLUIR___INCLUIDO@EXCLUIDO___Enabled___INV_S_TC_DS</t>
        </is>
      </c>
      <c r="B82" s="68" t="inlineStr"/>
      <c r="C82" s="68" t="inlineStr">
        <is>
          <t>Transit;INCLUIDO;EXCLUIDO;Error</t>
        </is>
      </c>
      <c r="D82" s="68" t="inlineStr">
        <is>
          <t>0;1;2;3</t>
        </is>
      </c>
      <c r="E82" s="68" t="inlineStr">
        <is>
          <t>2;1;0;3</t>
        </is>
      </c>
      <c r="F82" s="68" t="inlineStr">
        <is>
          <t>;INCLUIR;EXCLUIR;</t>
        </is>
      </c>
      <c r="G82" s="68" t="inlineStr">
        <is>
          <t>#FF000000;#FFFF0000;#FF00FF00;#FFA9A9A9</t>
        </is>
      </c>
      <c r="H82" s="68" t="inlineStr">
        <is>
          <t>Abnormal;Auto;Auto;Abnormal</t>
        </is>
      </c>
      <c r="I82" s="68" t="inlineStr">
        <is>
          <t>FALSE;TRUE;TRUE;FALSE</t>
        </is>
      </c>
      <c r="J82" s="68" t="inlineStr">
        <is>
          <t>Alarme de Estado em Ponto Telecontrolado DS</t>
        </is>
      </c>
      <c r="K82" s="69" t="inlineStr">
        <is>
          <t>Alarme de Estado em Ponto Telecontrolado DS</t>
        </is>
      </c>
      <c r="L82" s="69">
        <f>VLOOKUP(LinkTable6789[[#This Row],[Coluna1]],[4]AlarmCatalog!$A:$M,11,FALSE)</f>
        <v/>
      </c>
    </row>
    <row r="83" ht="16.5" customFormat="1" customHeight="1" s="67">
      <c r="A83" s="68" t="inlineStr">
        <is>
          <t>DESATIVAR@ATIVAR___DESATIVADO@ATIVADO___Custom_S_TC</t>
        </is>
      </c>
      <c r="B83" s="68" t="inlineStr"/>
      <c r="C83" s="68" t="inlineStr">
        <is>
          <t>Transit;DESATIVADO;ATIVADO;Error</t>
        </is>
      </c>
      <c r="D83" s="68" t="inlineStr">
        <is>
          <t>0;1;2;3</t>
        </is>
      </c>
      <c r="E83" s="68" t="inlineStr">
        <is>
          <t>2;0;1;3</t>
        </is>
      </c>
      <c r="F83" s="68" t="inlineStr">
        <is>
          <t>;DESATIVAR;ATIVAR;</t>
        </is>
      </c>
      <c r="G83" s="68" t="inlineStr">
        <is>
          <t>#FF000000;#FF00FF00;#FFFF0000;#FFA9A9A9</t>
        </is>
      </c>
      <c r="H83" s="68" t="inlineStr">
        <is>
          <t>Abnormal;Auto;Auto;Abnormal</t>
        </is>
      </c>
      <c r="I83" s="68" t="inlineStr">
        <is>
          <t>FALSE;TRUE;TRUE;FALSE</t>
        </is>
      </c>
      <c r="J83" s="68" t="inlineStr">
        <is>
          <t>Alarme de Estado em Ponto Telecontrolado</t>
        </is>
      </c>
      <c r="K83" s="69" t="inlineStr">
        <is>
          <t>Alarme de Estado em Ponto Telecontrolado</t>
        </is>
      </c>
      <c r="L83" s="69">
        <f>VLOOKUP(LinkTable6789[[#This Row],[Coluna1]],[4]AlarmCatalog!$A:$M,11,FALSE)</f>
        <v/>
      </c>
    </row>
    <row r="84" ht="16.5" customFormat="1" customHeight="1" s="67">
      <c r="A84" s="68" t="inlineStr">
        <is>
          <t>DESLIGAR@LIGAR___DESLIGADO@LIGADO___Custom___INV_S_TC</t>
        </is>
      </c>
      <c r="B84" s="68" t="inlineStr"/>
      <c r="C84" s="68" t="inlineStr">
        <is>
          <t>Transit;DESLIGADO;LIGADO;Error</t>
        </is>
      </c>
      <c r="D84" s="68" t="inlineStr">
        <is>
          <t>0;1;2;3</t>
        </is>
      </c>
      <c r="E84" s="68" t="inlineStr">
        <is>
          <t>2;1;0;3</t>
        </is>
      </c>
      <c r="F84" s="68" t="inlineStr">
        <is>
          <t>;DESLIGAR;LIGAR;</t>
        </is>
      </c>
      <c r="G84" s="68" t="inlineStr">
        <is>
          <t>#FF000000;#FF00FF00;#FFFF0000;#FFA9A9A9</t>
        </is>
      </c>
      <c r="H84" s="68" t="inlineStr">
        <is>
          <t>Normal;Normal;Normal;Normal</t>
        </is>
      </c>
      <c r="I84" s="68" t="inlineStr">
        <is>
          <t>FALSE;TRUE;TRUE;FALSE</t>
        </is>
      </c>
      <c r="J84" s="68" t="inlineStr">
        <is>
          <t>Alarme de Estado em Ponto Telecontrolado</t>
        </is>
      </c>
      <c r="K84" s="69" t="inlineStr">
        <is>
          <t>Alarme de Estado em Ponto Telecontrolado</t>
        </is>
      </c>
      <c r="L84" s="69">
        <f>VLOOKUP(LinkTable6789[[#This Row],[Coluna1]],[4]AlarmCatalog!$A:$M,11,FALSE)</f>
        <v/>
      </c>
    </row>
    <row r="85" ht="16.5" customFormat="1" customHeight="1" s="67">
      <c r="A85" s="68" t="inlineStr">
        <is>
          <t>G1@G2___GRUPO 1@GRUPO 2___Custom_S_TC</t>
        </is>
      </c>
      <c r="B85" s="68" t="inlineStr"/>
      <c r="C85" s="68" t="inlineStr">
        <is>
          <t>Transit;GRUPO 1;GRUPO 2;Error</t>
        </is>
      </c>
      <c r="D85" s="68" t="inlineStr">
        <is>
          <t>0;1;2;3</t>
        </is>
      </c>
      <c r="E85" s="68" t="inlineStr">
        <is>
          <t>2;0;1;3</t>
        </is>
      </c>
      <c r="F85" s="68" t="inlineStr">
        <is>
          <t>;G1;G2;</t>
        </is>
      </c>
      <c r="G85" s="68" t="inlineStr">
        <is>
          <t>#FF000000;#FF00FF00;#FFFF0000;#FFA9A9A9</t>
        </is>
      </c>
      <c r="H85" s="68" t="inlineStr">
        <is>
          <t>Normal;Normal;Normal;Normal</t>
        </is>
      </c>
      <c r="I85" s="68" t="inlineStr">
        <is>
          <t>FALSE;TRUE;TRUE;FALSE</t>
        </is>
      </c>
      <c r="J85" s="68" t="inlineStr">
        <is>
          <t>Alarme de Estado em Ponto Telecontrolado</t>
        </is>
      </c>
      <c r="K85" s="69" t="inlineStr">
        <is>
          <t>Alarme de Estado em Ponto Telecontrolado</t>
        </is>
      </c>
      <c r="L85" s="69">
        <f>VLOOKUP(LinkTable6789[[#This Row],[Coluna1]],[4]AlarmCatalog!$A:$M,11,FALSE)</f>
        <v/>
      </c>
    </row>
    <row r="86" ht="16.5" customFormat="1" customHeight="1" s="67">
      <c r="A86" s="68" t="inlineStr">
        <is>
          <t>null@RELIGADOR___NORMAL DESATIVAD@NORMAL ATIVADO___Custom_S_TC</t>
        </is>
      </c>
      <c r="B86" s="68" t="inlineStr"/>
      <c r="C86" s="68" t="inlineStr">
        <is>
          <t>Transit;NORMAL DESATIVAD;NORMAL ATIVADO;Error</t>
        </is>
      </c>
      <c r="D86" s="68" t="inlineStr">
        <is>
          <t>0;1;2;3</t>
        </is>
      </c>
      <c r="E86" s="68" t="inlineStr">
        <is>
          <t>2;0;1;3</t>
        </is>
      </c>
      <c r="F86" s="68" t="inlineStr">
        <is>
          <t>;;RELIGADOR;</t>
        </is>
      </c>
      <c r="G86" s="68" t="inlineStr">
        <is>
          <t>#FF000000;#FF00FF00;#FFFF0000;#FFA9A9A9</t>
        </is>
      </c>
      <c r="H86" s="68" t="inlineStr">
        <is>
          <t>Abnormal;Auto;Auto;Abnormal</t>
        </is>
      </c>
      <c r="I86" s="68" t="inlineStr">
        <is>
          <t>FALSE;TRUE;TRUE;FALSE</t>
        </is>
      </c>
      <c r="J86" s="68" t="inlineStr">
        <is>
          <t>Alarme de Estado em Ponto Telecontrolado</t>
        </is>
      </c>
      <c r="K86" s="69" t="inlineStr">
        <is>
          <t>Alarme de Estado em Ponto Telecontrolado</t>
        </is>
      </c>
      <c r="L86" s="69">
        <f>VLOOKUP(LinkTable6789[[#This Row],[Coluna1]],[4]AlarmCatalog!$A:$M,11,FALSE)</f>
        <v/>
      </c>
    </row>
    <row r="87" ht="16.5" customFormat="1" customHeight="1" s="67">
      <c r="A87" s="68" t="inlineStr">
        <is>
          <t>null@null@null___ALTERNATIVO@NORMAL@CHAVE___Custom_D_TS_SS</t>
        </is>
      </c>
      <c r="B87" s="68" t="inlineStr"/>
      <c r="C87" s="68" t="inlineStr">
        <is>
          <t>ALTERNATIVO;NORMAL;CHAVE;</t>
        </is>
      </c>
      <c r="D87" s="68" t="inlineStr">
        <is>
          <t>0;1;2;3</t>
        </is>
      </c>
      <c r="E87" s="68" t="inlineStr">
        <is>
          <t>0;1;2;3</t>
        </is>
      </c>
      <c r="F87" s="68" t="inlineStr">
        <is>
          <t>;;;</t>
        </is>
      </c>
      <c r="G87" s="68" t="inlineStr">
        <is>
          <t>#FFFF0000;#FF00FF00;#FF00FF00;#FF000000</t>
        </is>
      </c>
      <c r="H87" s="68" t="inlineStr">
        <is>
          <t>Normal;Normal;Normal;Abnormal</t>
        </is>
      </c>
      <c r="I87" s="68" t="inlineStr">
        <is>
          <t>TRUE;TRUE;TRUE;FALSE</t>
        </is>
      </c>
      <c r="J87" s="68" t="inlineStr">
        <is>
          <t>Alarme de Estado em Ponto Telecontrolado SS</t>
        </is>
      </c>
      <c r="K87" s="69" t="inlineStr">
        <is>
          <t>Alarme de Estado em Ponto Telecontrolado</t>
        </is>
      </c>
      <c r="L87" s="69">
        <f>VLOOKUP(LinkTable6789[[#This Row],[Coluna1]],[4]AlarmCatalog!$A:$M,11,FALSE)</f>
        <v/>
      </c>
    </row>
    <row r="88" ht="16.5" customFormat="1" customHeight="1" s="67">
      <c r="A88" s="68" t="inlineStr">
        <is>
          <t>TROCA@null___NORMAL@ALTERNATIVO___Custom_S_TC</t>
        </is>
      </c>
      <c r="B88" s="68" t="inlineStr"/>
      <c r="C88" s="68" t="inlineStr">
        <is>
          <t>Transit;NORMAL;ALTERNATIVO;Error</t>
        </is>
      </c>
      <c r="D88" s="68" t="inlineStr">
        <is>
          <t>0;1;2;3</t>
        </is>
      </c>
      <c r="E88" s="68" t="inlineStr">
        <is>
          <t>2;0;1;3</t>
        </is>
      </c>
      <c r="F88" s="68" t="inlineStr">
        <is>
          <t>;TROCA;;</t>
        </is>
      </c>
      <c r="G88" s="68" t="inlineStr">
        <is>
          <t>#FF000000;#FF00FF00;#FFFF0000;#FFA9A9A9</t>
        </is>
      </c>
      <c r="H88" s="68" t="inlineStr">
        <is>
          <t>Normal;Normal;Normal;Normal</t>
        </is>
      </c>
      <c r="I88" s="68" t="inlineStr">
        <is>
          <t>FALSE;TRUE;TRUE;FALSE</t>
        </is>
      </c>
      <c r="J88" s="68" t="inlineStr">
        <is>
          <t>Alarme de Estado em Ponto Telecontrolado</t>
        </is>
      </c>
      <c r="K88" s="69" t="inlineStr">
        <is>
          <t>Alarme de Estado em Ponto Telecontrolado</t>
        </is>
      </c>
      <c r="L88" s="69">
        <f>VLOOKUP(LinkTable6789[[#This Row],[Coluna1]],[4]AlarmCatalog!$A:$M,11,FALSE)</f>
        <v/>
      </c>
    </row>
    <row r="89" ht="16.5" customFormat="1" customHeight="1" s="67">
      <c r="A89" s="68" t="inlineStr">
        <is>
          <t>null@RELIGADOR___NORMAL DESATIVAD@NORMAL ATIVADO___Custom___INV_S_TC</t>
        </is>
      </c>
      <c r="B89" s="68" t="inlineStr"/>
      <c r="C89" s="68" t="inlineStr">
        <is>
          <t>Transit;NORMAL DESATIVAD;NORMAL ATIVADO;Error</t>
        </is>
      </c>
      <c r="D89" s="68" t="inlineStr">
        <is>
          <t>0;1;2;3</t>
        </is>
      </c>
      <c r="E89" s="68" t="inlineStr">
        <is>
          <t>2;1;0;3</t>
        </is>
      </c>
      <c r="F89" s="68" t="inlineStr">
        <is>
          <t>;;RELIGADOR;</t>
        </is>
      </c>
      <c r="G89" s="68" t="inlineStr">
        <is>
          <t>#FF000000;#FF00FF00;#FFFF0000;#FFA9A9A9</t>
        </is>
      </c>
      <c r="H89" s="68" t="inlineStr">
        <is>
          <t>Abnormal;Auto;Auto;Abnormal</t>
        </is>
      </c>
      <c r="I89" s="68" t="inlineStr">
        <is>
          <t>FALSE;TRUE;TRUE;FALSE</t>
        </is>
      </c>
      <c r="J89" s="68" t="inlineStr">
        <is>
          <t>Alarme de Estado em Ponto Telecontrolado</t>
        </is>
      </c>
      <c r="K89" s="69" t="inlineStr">
        <is>
          <t>Alarme de Estado em Ponto Telecontrolado</t>
        </is>
      </c>
      <c r="L89" s="69">
        <f>VLOOKUP(LinkTable6789[[#This Row],[Coluna1]],[4]AlarmCatalog!$A:$M,11,FALSE)</f>
        <v/>
      </c>
    </row>
    <row r="90" ht="16.5" customFormat="1" customHeight="1" s="67">
      <c r="A90" s="68" t="inlineStr">
        <is>
          <t>RELIGADOR@ALTERNATIVO___null@null___Custom_S_TC</t>
        </is>
      </c>
      <c r="B90" s="68" t="inlineStr"/>
      <c r="C90" s="68" t="inlineStr">
        <is>
          <t>Transit;;;Error</t>
        </is>
      </c>
      <c r="D90" s="68" t="inlineStr">
        <is>
          <t>0;1;2;3</t>
        </is>
      </c>
      <c r="E90" s="68" t="inlineStr">
        <is>
          <t>2;0;1;3</t>
        </is>
      </c>
      <c r="F90" s="68" t="inlineStr">
        <is>
          <t>;RELIGADOR;ALTERNATIVO;</t>
        </is>
      </c>
      <c r="G90" s="68" t="inlineStr">
        <is>
          <t>#FF000000;#FF00FF00;#FFFF0000;#FFA9A9A9</t>
        </is>
      </c>
      <c r="H90" s="68" t="inlineStr">
        <is>
          <t>Normal;Normal;Normal;Normal</t>
        </is>
      </c>
      <c r="I90" s="68" t="inlineStr">
        <is>
          <t>FALSE;TRUE;TRUE;FALSE</t>
        </is>
      </c>
      <c r="J90" s="68" t="inlineStr">
        <is>
          <t>Alarme de Estado em Ponto Telecontrolado</t>
        </is>
      </c>
      <c r="K90" s="69" t="inlineStr">
        <is>
          <t>Alarme de Estado em Ponto Telecontrolado</t>
        </is>
      </c>
      <c r="L90" s="69">
        <f>VLOOKUP(LinkTable6789[[#This Row],[Coluna1]],[4]AlarmCatalog!$A:$M,11,FALSE)</f>
        <v/>
      </c>
    </row>
    <row r="91" ht="16.5" customFormat="1" customHeight="1" s="67">
      <c r="A91" s="68" t="inlineStr">
        <is>
          <t>DESATIVAR@ATIVAR___DESATIVADO@ATIVADO___Custom___INV_S_TC</t>
        </is>
      </c>
      <c r="B91" s="68" t="inlineStr"/>
      <c r="C91" s="68" t="inlineStr">
        <is>
          <t>Transit;DESATIVADO;ATIVADO;Error</t>
        </is>
      </c>
      <c r="D91" s="68" t="inlineStr">
        <is>
          <t>0;1;2;3</t>
        </is>
      </c>
      <c r="E91" s="68" t="inlineStr">
        <is>
          <t>2;1;0;3</t>
        </is>
      </c>
      <c r="F91" s="68" t="inlineStr">
        <is>
          <t>;DESATIVAR;ATIVAR;</t>
        </is>
      </c>
      <c r="G91" s="68" t="inlineStr">
        <is>
          <t>#FF000000;#FF00FF00;#FFFF0000;#FFA9A9A9</t>
        </is>
      </c>
      <c r="H91" s="68" t="inlineStr">
        <is>
          <t>Abnormal;Auto;Auto;Abnormal</t>
        </is>
      </c>
      <c r="I91" s="68" t="inlineStr">
        <is>
          <t>FALSE;TRUE;TRUE;FALSE</t>
        </is>
      </c>
      <c r="J91" s="68" t="inlineStr">
        <is>
          <t>Alarme de Estado em Ponto Telecontrolado</t>
        </is>
      </c>
      <c r="K91" s="69" t="inlineStr">
        <is>
          <t>Alarme de Estado em Ponto Telecontrolado</t>
        </is>
      </c>
      <c r="L91" s="69">
        <f>VLOOKUP(LinkTable6789[[#This Row],[Coluna1]],[4]AlarmCatalog!$A:$M,11,FALSE)</f>
        <v/>
      </c>
    </row>
    <row r="92" ht="16.5" customFormat="1" customHeight="1" s="67">
      <c r="A92" s="68" t="inlineStr">
        <is>
          <t>CMD_RGE@null___CEEE@RGE___Custom___INV_S_TC</t>
        </is>
      </c>
      <c r="B92" s="68" t="inlineStr"/>
      <c r="C92" s="68" t="inlineStr">
        <is>
          <t>Transit;CEEE;RGE;Error</t>
        </is>
      </c>
      <c r="D92" s="68" t="inlineStr">
        <is>
          <t>0;1;2;3</t>
        </is>
      </c>
      <c r="E92" s="68" t="inlineStr">
        <is>
          <t>2;1;0;3</t>
        </is>
      </c>
      <c r="F92" s="68" t="inlineStr">
        <is>
          <t>;CMD_RGE;;</t>
        </is>
      </c>
      <c r="G92" s="68" t="inlineStr">
        <is>
          <t>#FF000000;#FF00FF00;#FFFF0000;#FFA9A9A9</t>
        </is>
      </c>
      <c r="H92" s="68" t="inlineStr">
        <is>
          <t>Abnormal;Auto;Auto;Abnormal</t>
        </is>
      </c>
      <c r="I92" s="68" t="inlineStr">
        <is>
          <t>FALSE;TRUE;TRUE;FALSE</t>
        </is>
      </c>
      <c r="J92" s="68" t="inlineStr">
        <is>
          <t>Alarme de Estado em Ponto Telecontrolado</t>
        </is>
      </c>
      <c r="K92" s="69" t="inlineStr">
        <is>
          <t>Alarme de Estado em Ponto Telecontrolado</t>
        </is>
      </c>
      <c r="L92" s="69">
        <f>VLOOKUP(LinkTable6789[[#This Row],[Coluna1]],[4]AlarmCatalog!$A:$M,11,FALSE)</f>
        <v/>
      </c>
    </row>
    <row r="93" ht="16.5" customFormat="1" customHeight="1" s="67">
      <c r="A93" s="68" t="inlineStr">
        <is>
          <t>DI_INCLUIR@EXCLUIR___INCLUIDO@EXCLUIDO___Enabled___INV_S_TS_DS</t>
        </is>
      </c>
      <c r="B93" s="68" t="inlineStr"/>
      <c r="C93" s="68" t="inlineStr">
        <is>
          <t>Transit;INCLUIDO;EXCLUIDO;Error</t>
        </is>
      </c>
      <c r="D93" s="68" t="inlineStr">
        <is>
          <t>0;1;2;3</t>
        </is>
      </c>
      <c r="E93" s="68" t="inlineStr">
        <is>
          <t>2;1;0;3</t>
        </is>
      </c>
      <c r="F93" s="68" t="inlineStr">
        <is>
          <t>;;;</t>
        </is>
      </c>
      <c r="G93" s="68" t="inlineStr">
        <is>
          <t>#FF000000;#FFFF0000;#FF00FF00;#FFA9A9A9</t>
        </is>
      </c>
      <c r="H93" s="68" t="inlineStr">
        <is>
          <t>Abnormal;Auto;Auto;Abnormal</t>
        </is>
      </c>
      <c r="I93" s="68" t="inlineStr">
        <is>
          <t>FALSE;TRUE;TRUE;FALSE</t>
        </is>
      </c>
      <c r="J93" s="68" t="inlineStr">
        <is>
          <t>Alarme de Estado em Ponto Telessinalizado DS</t>
        </is>
      </c>
      <c r="K93" s="69" t="inlineStr">
        <is>
          <t>Alarme de Estado em Ponto Telessinalizado DS</t>
        </is>
      </c>
      <c r="L93" s="69">
        <f>VLOOKUP(LinkTable6789[[#This Row],[Coluna1]],[4]AlarmCatalog!$A:$M,11,FALSE)</f>
        <v/>
      </c>
    </row>
    <row r="94" ht="16.5" customFormat="1" customHeight="1" s="67">
      <c r="A94" s="68" t="inlineStr">
        <is>
          <t>DI_INCLUIR@EXCLUIR___INCLUIDO@EXCLUIDO___Enabled_S_TC</t>
        </is>
      </c>
      <c r="B94" s="68" t="inlineStr"/>
      <c r="C94" s="68" t="inlineStr">
        <is>
          <t>Transit;INCLUIDO;EXCLUIDO;Error</t>
        </is>
      </c>
      <c r="D94" s="68" t="inlineStr">
        <is>
          <t>0;1;2;3</t>
        </is>
      </c>
      <c r="E94" s="68" t="inlineStr">
        <is>
          <t>2;0;1;3</t>
        </is>
      </c>
      <c r="F94" s="68" t="inlineStr">
        <is>
          <t>;INCLUIR;EXCLUIR;</t>
        </is>
      </c>
      <c r="G94" s="68" t="inlineStr">
        <is>
          <t>#FF000000;#FFFF0000;#FF00FF00;#FFA9A9A9</t>
        </is>
      </c>
      <c r="H94" s="68" t="inlineStr">
        <is>
          <t>Abnormal;Auto;Auto;Abnormal</t>
        </is>
      </c>
      <c r="I94" s="68" t="inlineStr">
        <is>
          <t>FALSE;TRUE;TRUE;FALSE</t>
        </is>
      </c>
      <c r="J94" s="68" t="inlineStr">
        <is>
          <t>Alarme de Estado em Ponto Telecontrolado</t>
        </is>
      </c>
      <c r="K94" s="69" t="inlineStr">
        <is>
          <t>Alarme de Estado em Ponto Telecontrolado</t>
        </is>
      </c>
      <c r="L94" s="69">
        <f>VLOOKUP(LinkTable6789[[#This Row],[Coluna1]],[4]AlarmCatalog!$A:$M,11,FALSE)</f>
        <v/>
      </c>
    </row>
    <row r="95" ht="16.5" customFormat="1" customHeight="1" s="67">
      <c r="A95" s="68" t="inlineStr">
        <is>
          <t>DI_DESLIGAR@LIGAR___DESLIGADO@LIGADO___SwitchStatus_S_TC</t>
        </is>
      </c>
      <c r="B95" s="68" t="inlineStr"/>
      <c r="C95" s="68" t="inlineStr">
        <is>
          <t>Transit;DESLIGADO;LIGADO;Error</t>
        </is>
      </c>
      <c r="D95" s="68" t="inlineStr">
        <is>
          <t>0;1;2;3</t>
        </is>
      </c>
      <c r="E95" s="68" t="inlineStr">
        <is>
          <t>2;0;1;3</t>
        </is>
      </c>
      <c r="F95" s="68" t="inlineStr">
        <is>
          <t>;DESLIGAR;LIGAR;</t>
        </is>
      </c>
      <c r="G95" s="68" t="inlineStr">
        <is>
          <t>#FF000000;#FF00FF00;#FFFF0000;#FFA9A9A9</t>
        </is>
      </c>
      <c r="H95" s="68" t="inlineStr">
        <is>
          <t>Abnormal;Auto;Auto;Abnormal</t>
        </is>
      </c>
      <c r="I95" s="68" t="inlineStr">
        <is>
          <t>FALSE;TRUE;TRUE;FALSE</t>
        </is>
      </c>
      <c r="J95" s="68" t="inlineStr">
        <is>
          <t>Alarme de Estado em Ponto Telecontrolado</t>
        </is>
      </c>
      <c r="K95" s="69" t="inlineStr">
        <is>
          <t>Alarme de Estado em Ponto Telecontrolado</t>
        </is>
      </c>
      <c r="L95" s="69">
        <f>VLOOKUP(LinkTable6789[[#This Row],[Coluna1]],[4]AlarmCatalog!$A:$M,11,FALSE)</f>
        <v/>
      </c>
    </row>
    <row r="96" ht="16.5" customFormat="1" customHeight="1" s="67">
      <c r="A96" s="68" t="inlineStr">
        <is>
          <t>DI_DESBLOQUEAR@null___NORMAL@BLOQUEADA___Enabled___INV_S_TC</t>
        </is>
      </c>
      <c r="B96" s="68" t="inlineStr"/>
      <c r="C96" s="68" t="inlineStr">
        <is>
          <t>Transit;NORMAL;BLOQUEADA;Error</t>
        </is>
      </c>
      <c r="D96" s="68" t="inlineStr">
        <is>
          <t>0;1;2;3</t>
        </is>
      </c>
      <c r="E96" s="68" t="inlineStr">
        <is>
          <t>2;1;0;3</t>
        </is>
      </c>
      <c r="F96" s="68" t="inlineStr">
        <is>
          <t>;DESBLOQUEAR;;</t>
        </is>
      </c>
      <c r="G96" s="68" t="inlineStr">
        <is>
          <t>#FF000000;#FF00FF00;#FFFF0000;#FFA9A9A9</t>
        </is>
      </c>
      <c r="H96" s="68" t="inlineStr">
        <is>
          <t>Abnormal;Auto;Auto;Abnormal</t>
        </is>
      </c>
      <c r="I96" s="68" t="inlineStr">
        <is>
          <t>FALSE;TRUE;TRUE;FALSE</t>
        </is>
      </c>
      <c r="J96" s="68" t="inlineStr">
        <is>
          <t>Alarme de Estado em Ponto Telecontrolado</t>
        </is>
      </c>
      <c r="K96" s="69" t="inlineStr">
        <is>
          <t>Alarme de Estado em Ponto Telecontrolado</t>
        </is>
      </c>
      <c r="L96" s="69">
        <f>VLOOKUP(LinkTable6789[[#This Row],[Coluna1]],[4]AlarmCatalog!$A:$M,11,FALSE)</f>
        <v/>
      </c>
    </row>
    <row r="97" ht="16.5" customFormat="1" customHeight="1" s="67">
      <c r="A97" s="68" t="inlineStr">
        <is>
          <t>DI_ATIVAR@null___ATIVADO@DESATIVADO___Custom_S_TC</t>
        </is>
      </c>
      <c r="B97" s="68" t="inlineStr"/>
      <c r="C97" s="68" t="inlineStr">
        <is>
          <t>Transit;ATIVADO;DESATIVADO;Error</t>
        </is>
      </c>
      <c r="D97" s="68" t="inlineStr">
        <is>
          <t>0;1;2;3</t>
        </is>
      </c>
      <c r="E97" s="68" t="inlineStr">
        <is>
          <t>2;0;1;3</t>
        </is>
      </c>
      <c r="F97" s="68" t="inlineStr">
        <is>
          <t>;ATIVAR;;</t>
        </is>
      </c>
      <c r="G97" s="68" t="inlineStr">
        <is>
          <t>#FF000000;#FF00FF00;#FFFF0000;#FFA9A9A9</t>
        </is>
      </c>
      <c r="H97" s="68" t="inlineStr">
        <is>
          <t>Normal;Normal;Normal;Normal</t>
        </is>
      </c>
      <c r="I97" s="68" t="inlineStr">
        <is>
          <t>FALSE;TRUE;TRUE;FALSE</t>
        </is>
      </c>
      <c r="J97" s="68" t="inlineStr">
        <is>
          <t>Alarme de Estado em Ponto Telecontrolado</t>
        </is>
      </c>
      <c r="K97" s="69" t="inlineStr">
        <is>
          <t>Alarme de Estado em Ponto Telecontrolado</t>
        </is>
      </c>
      <c r="L97" s="69">
        <f>VLOOKUP(LinkTable6789[[#This Row],[Coluna1]],[4]AlarmCatalog!$A:$M,11,FALSE)</f>
        <v/>
      </c>
    </row>
    <row r="98" ht="16.5" customFormat="1" customHeight="1" s="67">
      <c r="A98" s="68" t="inlineStr">
        <is>
          <t>DI_DESBLOQUEAR@BLOQUEAR___NORMAL@BLOQUEADA___Enabled___INV_S_TC</t>
        </is>
      </c>
      <c r="B98" s="68" t="inlineStr"/>
      <c r="C98" s="68" t="inlineStr">
        <is>
          <t>Transit;NORMAL;BLOQUEADA;Error</t>
        </is>
      </c>
      <c r="D98" s="68" t="inlineStr">
        <is>
          <t>0;1;2;3</t>
        </is>
      </c>
      <c r="E98" s="68" t="inlineStr">
        <is>
          <t>2;1;0;3</t>
        </is>
      </c>
      <c r="F98" s="68" t="inlineStr">
        <is>
          <t>;DESBLOQUEAR;BLOQUEAR;</t>
        </is>
      </c>
      <c r="G98" s="68" t="inlineStr">
        <is>
          <t>#FF000000;#FF00FF00;#FFFF0000;#FFA9A9A9</t>
        </is>
      </c>
      <c r="H98" s="68" t="inlineStr">
        <is>
          <t>Abnormal;Auto;Auto;Abnormal</t>
        </is>
      </c>
      <c r="I98" s="68" t="inlineStr">
        <is>
          <t>FALSE;TRUE;TRUE;FALSE</t>
        </is>
      </c>
      <c r="J98" s="68" t="inlineStr">
        <is>
          <t>Alarme de Estado em Ponto Telecontrolado</t>
        </is>
      </c>
      <c r="K98" s="69" t="inlineStr">
        <is>
          <t>Alarme de Estado em Ponto Telecontrolado</t>
        </is>
      </c>
      <c r="L98" s="69">
        <f>VLOOKUP(LinkTable6789[[#This Row],[Coluna1]],[4]AlarmCatalog!$A:$M,11,FALSE)</f>
        <v/>
      </c>
    </row>
    <row r="99" ht="16.5" customFormat="1" customHeight="1" s="67">
      <c r="A99" s="68" t="inlineStr">
        <is>
          <t>DI_INCLUIR@EXCLUIR___INCLUIDO@EXCLUIDO___Enabled_S_TC_DS</t>
        </is>
      </c>
      <c r="B99" s="68" t="inlineStr"/>
      <c r="C99" s="68" t="inlineStr">
        <is>
          <t>Transit;INCLUIDO;EXCLUIDO;Error</t>
        </is>
      </c>
      <c r="D99" s="68" t="inlineStr">
        <is>
          <t>0;1;2;3</t>
        </is>
      </c>
      <c r="E99" s="68" t="inlineStr">
        <is>
          <t>2;0;1;3</t>
        </is>
      </c>
      <c r="F99" s="68" t="inlineStr">
        <is>
          <t>;INCLUIR;EXCLUIR;</t>
        </is>
      </c>
      <c r="G99" s="68" t="inlineStr">
        <is>
          <t>#FF000000;#FFFF0000;#FF00FF00;#FFA9A9A9</t>
        </is>
      </c>
      <c r="H99" s="68" t="inlineStr">
        <is>
          <t>Abnormal;Auto;Auto;Abnormal</t>
        </is>
      </c>
      <c r="I99" s="68" t="inlineStr">
        <is>
          <t>FALSE;TRUE;TRUE;FALSE</t>
        </is>
      </c>
      <c r="J99" s="68" t="inlineStr">
        <is>
          <t>Alarme de Estado em Ponto Telecontrolado DS</t>
        </is>
      </c>
      <c r="K99" s="69" t="inlineStr">
        <is>
          <t>Alarme de Estado em Ponto Telecontrolado DS</t>
        </is>
      </c>
      <c r="L99" s="69">
        <f>VLOOKUP(LinkTable6789[[#This Row],[Coluna1]],[4]AlarmCatalog!$A:$M,11,FALSE)</f>
        <v/>
      </c>
    </row>
    <row r="100" ht="16.5" customFormat="1" customHeight="1" s="67">
      <c r="A100" s="68" t="inlineStr">
        <is>
          <t>DI_INCLUIR@EXCLUIR___INCLUIDO@EXCLUIDO___ReclosingEnabled___admsINV_S_TC_DS</t>
        </is>
      </c>
      <c r="B100" s="68" t="inlineStr"/>
      <c r="C100" s="68" t="inlineStr">
        <is>
          <t>Transit;INCLUIDO;EXCLUIDO;Error</t>
        </is>
      </c>
      <c r="D100" s="68" t="inlineStr">
        <is>
          <t>0;2;1;3</t>
        </is>
      </c>
      <c r="E100" s="68" t="inlineStr">
        <is>
          <t>2;0;1;3</t>
        </is>
      </c>
      <c r="F100" s="68" t="inlineStr">
        <is>
          <t>;INCLUIR;EXCLUIR;</t>
        </is>
      </c>
      <c r="G100" s="68" t="inlineStr">
        <is>
          <t>#FF000000;#FFFF0000;#FF00FF00;#FFA9A9A9</t>
        </is>
      </c>
      <c r="H100" s="68" t="inlineStr">
        <is>
          <t>Abnormal;Auto;Auto;Abnormal</t>
        </is>
      </c>
      <c r="I100" s="68" t="inlineStr">
        <is>
          <t>FALSE;TRUE;TRUE;FALSE</t>
        </is>
      </c>
      <c r="J100" s="68" t="inlineStr">
        <is>
          <t>Alarme de Estado em Ponto Telecontrolado DS</t>
        </is>
      </c>
      <c r="K100" s="69" t="inlineStr">
        <is>
          <t>Alarme de Estado em Ponto Telecontrolado DS</t>
        </is>
      </c>
      <c r="L100" s="69">
        <f>VLOOKUP(LinkTable6789[[#This Row],[Coluna1]],[4]AlarmCatalog!$A:$M,11,FALSE)</f>
        <v/>
      </c>
    </row>
    <row r="101" ht="16.5" customFormat="1" customHeight="1" s="67">
      <c r="A101" s="68" t="inlineStr">
        <is>
          <t>DI_RESETAR@null___null@null___Custom_S_TC</t>
        </is>
      </c>
      <c r="B101" s="68" t="inlineStr"/>
      <c r="C101" s="68" t="inlineStr">
        <is>
          <t>Transit;;;Error</t>
        </is>
      </c>
      <c r="D101" s="68" t="inlineStr">
        <is>
          <t>0;1;2;3</t>
        </is>
      </c>
      <c r="E101" s="68" t="inlineStr">
        <is>
          <t>2;0;1;3</t>
        </is>
      </c>
      <c r="F101" s="68" t="inlineStr">
        <is>
          <t>;RESETAR;;</t>
        </is>
      </c>
      <c r="G101" s="68" t="inlineStr">
        <is>
          <t>#FF000000;#FF00FF00;#FFFF0000;#FFA9A9A9</t>
        </is>
      </c>
      <c r="H101" s="68" t="inlineStr">
        <is>
          <t>Normal;Normal;Normal;Normal</t>
        </is>
      </c>
      <c r="I101" s="68" t="inlineStr">
        <is>
          <t>FALSE;TRUE;TRUE;FALSE</t>
        </is>
      </c>
      <c r="J101" s="68" t="inlineStr">
        <is>
          <t>Alarme de Estado em Ponto Telecontrolado</t>
        </is>
      </c>
      <c r="K101" s="69" t="inlineStr">
        <is>
          <t>Alarme de Estado em Ponto Telecontrolado</t>
        </is>
      </c>
      <c r="L101" s="69">
        <f>VLOOKUP(LinkTable6789[[#This Row],[Coluna1]],[4]AlarmCatalog!$A:$M,11,FALSE)</f>
        <v/>
      </c>
    </row>
    <row r="102" ht="16.5" customFormat="1" customHeight="1" s="67">
      <c r="A102" s="68" t="inlineStr">
        <is>
          <t>DI_INCLUIR@EXCLUIR___INCLUIDO@EXCLUIDO___ReclosingEnabled___admsINV_S_TC_DS_MANOBRA</t>
        </is>
      </c>
      <c r="B102" s="68" t="inlineStr"/>
      <c r="C102" s="68" t="inlineStr">
        <is>
          <t>Transit;INCLUIDO;EXCLUIDO;Error</t>
        </is>
      </c>
      <c r="D102" s="68" t="inlineStr">
        <is>
          <t>0;2;1;3</t>
        </is>
      </c>
      <c r="E102" s="68" t="inlineStr">
        <is>
          <t>2;0;1;3</t>
        </is>
      </c>
      <c r="F102" s="68" t="inlineStr">
        <is>
          <t>;INCLUIR;EXCLUIR;</t>
        </is>
      </c>
      <c r="G102" s="68" t="inlineStr">
        <is>
          <t>#FF000000;#FFFF0000;#FF00FF00;#FFA9A9A9</t>
        </is>
      </c>
      <c r="H102" s="68" t="inlineStr">
        <is>
          <t>Abnormal;Normal;Normal;Abnormal</t>
        </is>
      </c>
      <c r="I102" s="68" t="inlineStr">
        <is>
          <t>FALSE;TRUE;TRUE;FALSE</t>
        </is>
      </c>
      <c r="J102" s="68" t="inlineStr">
        <is>
          <t>Alarme de Estado em Ponto Telecontrolado DS</t>
        </is>
      </c>
      <c r="K102" s="69" t="inlineStr">
        <is>
          <t>Alarme de Estado em Ponto Telecontrolado DS</t>
        </is>
      </c>
      <c r="L102" s="69">
        <f>VLOOKUP(LinkTable6789[[#This Row],[Coluna1]],[4]AlarmCatalog!$A:$M,11,FALSE)</f>
        <v/>
      </c>
    </row>
    <row r="103" ht="16.5" customFormat="1" customHeight="1" s="67">
      <c r="A103" s="68" t="inlineStr">
        <is>
          <t>DESLIGAR@LIGAR___DESLIGADO@LIGADO___SwitchStatus_D_TC_SE</t>
        </is>
      </c>
      <c r="B103" s="68" t="inlineStr"/>
      <c r="C103" s="68" t="inlineStr">
        <is>
          <t>Transit;DESLIGADO;LIGADO;Error</t>
        </is>
      </c>
      <c r="D103" s="68" t="inlineStr">
        <is>
          <t>0;1;2;3</t>
        </is>
      </c>
      <c r="E103" s="68" t="inlineStr">
        <is>
          <t>0;1;2;3</t>
        </is>
      </c>
      <c r="F103" s="68" t="inlineStr">
        <is>
          <t>;DESLIGAR;LIGAR;</t>
        </is>
      </c>
      <c r="G103" s="68" t="inlineStr">
        <is>
          <t>#FF000000;#FF00FF00;#FFFF0000;#FFA9A9A9</t>
        </is>
      </c>
      <c r="H103" s="68" t="inlineStr">
        <is>
          <t>Abnormal;Auto;Auto;Abnormal</t>
        </is>
      </c>
      <c r="I103" s="68" t="inlineStr">
        <is>
          <t>FALSE;TRUE;TRUE;TRUE</t>
        </is>
      </c>
      <c r="J103" s="68" t="inlineStr">
        <is>
          <t>Alarme de Estado em Ponto Telecontrolado SE</t>
        </is>
      </c>
      <c r="K103" s="69" t="inlineStr">
        <is>
          <t>Alarme de Estado em Ponto Telecontrolado SE</t>
        </is>
      </c>
      <c r="L103" s="69">
        <f>VLOOKUP(LinkTable6789[[#This Row],[Coluna1]],[4]AlarmCatalog!$A:$M,11,FALSE)</f>
        <v/>
      </c>
    </row>
    <row r="104" ht="16.5" customFormat="1" customHeight="1" s="67">
      <c r="A104" s="68" t="inlineStr">
        <is>
          <t>DESLIGAR@LIGAR___DESLIGADO@LIGADO___SwitchStatus_S_TC_SE</t>
        </is>
      </c>
      <c r="B104" s="68" t="inlineStr"/>
      <c r="C104" s="68" t="inlineStr">
        <is>
          <t>Transit;DESLIGADO;LIGADO;Error</t>
        </is>
      </c>
      <c r="D104" s="68" t="inlineStr">
        <is>
          <t>0;1;2;3</t>
        </is>
      </c>
      <c r="E104" s="68" t="inlineStr">
        <is>
          <t>2;0;1;3</t>
        </is>
      </c>
      <c r="F104" s="68" t="inlineStr">
        <is>
          <t>;DESLIGAR;LIGAR;</t>
        </is>
      </c>
      <c r="G104" s="68" t="inlineStr">
        <is>
          <t>#FF000000;#FF00FF00;#FFFF0000;#FFA9A9A9</t>
        </is>
      </c>
      <c r="H104" s="68" t="inlineStr">
        <is>
          <t>Abnormal;Auto;Auto;Abnormal</t>
        </is>
      </c>
      <c r="I104" s="68" t="inlineStr">
        <is>
          <t>FALSE;TRUE;TRUE;FALSE</t>
        </is>
      </c>
      <c r="J104" s="68" t="inlineStr">
        <is>
          <t>Alarme de Estado em Ponto Telecontrolado SE</t>
        </is>
      </c>
      <c r="K104" s="69" t="inlineStr">
        <is>
          <t>Alarme de Estado em Ponto Telecontrolado SE</t>
        </is>
      </c>
      <c r="L104" s="69">
        <f>VLOOKUP(LinkTable6789[[#This Row],[Coluna1]],[4]AlarmCatalog!$A:$M,11,FALSE)</f>
        <v/>
      </c>
    </row>
    <row r="105" ht="16.5" customFormat="1" customHeight="1" s="67">
      <c r="A105" s="68" t="inlineStr">
        <is>
          <t>DESLIGAR@LIGAR___DESLIGADO@LIGADO___SwitchStatus_S_TS_SE</t>
        </is>
      </c>
      <c r="B105" s="68" t="inlineStr"/>
      <c r="C105" s="68" t="inlineStr">
        <is>
          <t>Transit;DESLIGADO;LIGADO;Error</t>
        </is>
      </c>
      <c r="D105" s="68" t="inlineStr">
        <is>
          <t>0;1;2;3</t>
        </is>
      </c>
      <c r="E105" s="68" t="inlineStr">
        <is>
          <t>2;0;1;3</t>
        </is>
      </c>
      <c r="F105" s="68" t="inlineStr">
        <is>
          <t>;DESLIGAR;LIGAR;</t>
        </is>
      </c>
      <c r="G105" s="68" t="inlineStr">
        <is>
          <t>#FF000000;#FF00FF00;#FFFF0000;#FFA9A9A9</t>
        </is>
      </c>
      <c r="H105" s="68" t="inlineStr">
        <is>
          <t>Abnormal;Auto;Normal;Abnormal</t>
        </is>
      </c>
      <c r="I105" s="68" t="inlineStr">
        <is>
          <t>FALSE;TRUE;TRUE;FALSE</t>
        </is>
      </c>
      <c r="J105" s="68" t="inlineStr">
        <is>
          <t>Alarme de Estado em Ponto Telessinalizado SE</t>
        </is>
      </c>
      <c r="K105" s="69" t="inlineStr">
        <is>
          <t>Alarme de Estado em Ponto Telessinalizado SE</t>
        </is>
      </c>
      <c r="L105" s="69">
        <f>VLOOKUP(LinkTable6789[[#This Row],[Coluna1]],[4]AlarmCatalog!$A:$M,11,FALSE)</f>
        <v/>
      </c>
    </row>
    <row r="106" ht="16.5" customFormat="1" customHeight="1" s="67">
      <c r="A106" s="68" t="inlineStr">
        <is>
          <t>DESLIGAR@LIGAR___DESLIGADO@LIGADO___SwitchStatus___INV_D_TC_SE</t>
        </is>
      </c>
      <c r="B106" s="68" t="inlineStr"/>
      <c r="C106" s="68" t="inlineStr">
        <is>
          <t>Transit;DESLIGADO;LIGADO;Error</t>
        </is>
      </c>
      <c r="D106" s="68" t="inlineStr">
        <is>
          <t>0;1;2;3</t>
        </is>
      </c>
      <c r="E106" s="68" t="inlineStr">
        <is>
          <t>0;2;1;3</t>
        </is>
      </c>
      <c r="F106" s="68" t="inlineStr">
        <is>
          <t>;DESLIGAR;LIGAR;</t>
        </is>
      </c>
      <c r="G106" s="68" t="inlineStr">
        <is>
          <t>#FF000000;#FF00FF00;#FFFF0000;#FFA9A9A9</t>
        </is>
      </c>
      <c r="H106" s="68" t="inlineStr">
        <is>
          <t>Abnormal;Auto;Auto;Abnormal</t>
        </is>
      </c>
      <c r="I106" s="68" t="inlineStr">
        <is>
          <t>FALSE;TRUE;TRUE;FALSE</t>
        </is>
      </c>
      <c r="J106" s="68" t="inlineStr">
        <is>
          <t>Alarme de Estado em Ponto Telecontrolado SE</t>
        </is>
      </c>
      <c r="K106" s="69" t="inlineStr">
        <is>
          <t>Alarme de Estado em Ponto Telecontrolado SE</t>
        </is>
      </c>
      <c r="L106" s="69">
        <f>VLOOKUP(LinkTable6789[[#This Row],[Coluna1]],[4]AlarmCatalog!$A:$M,11,FALSE)</f>
        <v/>
      </c>
    </row>
    <row r="107" ht="16.5" customFormat="1" customHeight="1" s="67">
      <c r="A107" s="68" t="inlineStr">
        <is>
          <t>DESLIGAR@LIGAR___DESLIGADO@LIGADO___SwitchStatus___INV_S_TC_SE</t>
        </is>
      </c>
      <c r="B107" s="68" t="inlineStr"/>
      <c r="C107" s="68" t="inlineStr">
        <is>
          <t>Transit;DESLIGADO;LIGADO;Error</t>
        </is>
      </c>
      <c r="D107" s="68" t="inlineStr">
        <is>
          <t>0;1;2;3</t>
        </is>
      </c>
      <c r="E107" s="68" t="inlineStr">
        <is>
          <t>2;1;0;3</t>
        </is>
      </c>
      <c r="F107" s="68" t="inlineStr">
        <is>
          <t>;DESLIGAR;LIGAR;</t>
        </is>
      </c>
      <c r="G107" s="68" t="inlineStr">
        <is>
          <t>#FF000000;#FF00FF00;#FFFF0000;#FFA9A9A9</t>
        </is>
      </c>
      <c r="H107" s="68" t="inlineStr">
        <is>
          <t>Abnormal;Auto;Auto;Abnormal</t>
        </is>
      </c>
      <c r="I107" s="68" t="inlineStr">
        <is>
          <t>FALSE;TRUE;TRUE;FALSE</t>
        </is>
      </c>
      <c r="J107" s="68" t="inlineStr">
        <is>
          <t>Alarme de Estado em Ponto Telecontrolado SE</t>
        </is>
      </c>
      <c r="K107" s="69" t="inlineStr">
        <is>
          <t>Alarme de Estado em Ponto Telecontrolado SE</t>
        </is>
      </c>
      <c r="L107" s="69">
        <f>VLOOKUP(LinkTable6789[[#This Row],[Coluna1]],[4]AlarmCatalog!$A:$M,11,FALSE)</f>
        <v/>
      </c>
    </row>
    <row r="108" ht="16.5" customFormat="1" customHeight="1" s="67">
      <c r="A108" s="68" t="inlineStr">
        <is>
          <t>DI_DESLIGAR@LIGAR___DESLIGADO@LIGADO___SwitchStatus_D_TC_E2</t>
        </is>
      </c>
      <c r="B108" s="68" t="inlineStr"/>
      <c r="C108" s="68" t="inlineStr">
        <is>
          <t>Transit;DESLIGADO;LIGADO;Error</t>
        </is>
      </c>
      <c r="D108" s="68" t="inlineStr">
        <is>
          <t>0;1;2;3</t>
        </is>
      </c>
      <c r="E108" s="68" t="inlineStr">
        <is>
          <t>0;1;2;3</t>
        </is>
      </c>
      <c r="F108" s="68" t="inlineStr">
        <is>
          <t>;DESLIGAR;LIGAR;</t>
        </is>
      </c>
      <c r="G108" s="68" t="inlineStr">
        <is>
          <t>#FF000000;#FF00FF00;#FFFF0000;#FFA9A9A9</t>
        </is>
      </c>
      <c r="H108" s="68" t="inlineStr">
        <is>
          <t>Abnormal;Auto;Auto;Abnormal</t>
        </is>
      </c>
      <c r="I108" s="68" t="inlineStr">
        <is>
          <t>FALSE;TRUE;TRUE;FALSE</t>
        </is>
      </c>
      <c r="J108" s="68" t="inlineStr">
        <is>
          <t>Alarme de Estado em Ponto Telecontrolado E2</t>
        </is>
      </c>
      <c r="K108" s="69" t="inlineStr">
        <is>
          <t>Alarme de Estado em Ponto Telecontrolado E2</t>
        </is>
      </c>
      <c r="L108" s="69">
        <f>VLOOKUP(LinkTable6789[[#This Row],[Coluna1]],[4]AlarmCatalog!$A:$M,11,FALSE)</f>
        <v/>
      </c>
    </row>
    <row r="109" ht="16.5" customFormat="1" customHeight="1" s="67">
      <c r="A109" s="68" t="inlineStr">
        <is>
          <t>DI_DESLIGAR@LIGAR___DESLIGADO@LIGADO___Custom_D_TC_E2</t>
        </is>
      </c>
      <c r="B109" s="68" t="inlineStr"/>
      <c r="C109" s="68" t="inlineStr">
        <is>
          <t>Transit;DESLIGADO;LIGADO;Error</t>
        </is>
      </c>
      <c r="D109" s="68" t="inlineStr">
        <is>
          <t>0;1;2;3</t>
        </is>
      </c>
      <c r="E109" s="68" t="inlineStr">
        <is>
          <t>2;0;1;3</t>
        </is>
      </c>
      <c r="F109" s="68" t="inlineStr">
        <is>
          <t>;DESLIGAR;LIGAR;</t>
        </is>
      </c>
      <c r="G109" s="68" t="inlineStr">
        <is>
          <t>#FF000000;#FF00FF00;#FFFF0000;#FFA9A9A9</t>
        </is>
      </c>
      <c r="H109" s="68" t="inlineStr">
        <is>
          <t>Normal;Auto;Auto;Abnormal</t>
        </is>
      </c>
      <c r="I109" s="68" t="inlineStr">
        <is>
          <t>FALSE;TRUE;TRUE;FALSE</t>
        </is>
      </c>
      <c r="J109" s="68" t="inlineStr">
        <is>
          <t>Alarme de Estado em Ponto Telecontrolado E2</t>
        </is>
      </c>
      <c r="K109" s="69" t="inlineStr">
        <is>
          <t>Alarme de Estado em Ponto Telecontrolado E2</t>
        </is>
      </c>
      <c r="L109" s="69">
        <f>VLOOKUP(LinkTable6789[[#This Row],[Coluna1]],[4]AlarmCatalog!$A:$M,11,FALSE)</f>
        <v/>
      </c>
    </row>
    <row r="110" ht="16.5" customFormat="1" customHeight="1" s="67">
      <c r="A110" s="68" t="inlineStr">
        <is>
          <t>DI_DESLIGAR@LIGAR___DESLIGADO@LIGADO___SwitchStatus_S_TC_E2</t>
        </is>
      </c>
      <c r="B110" s="68" t="inlineStr"/>
      <c r="C110" s="68" t="inlineStr">
        <is>
          <t>Transit;DESLIGADO;LIGADO;Error</t>
        </is>
      </c>
      <c r="D110" s="68" t="inlineStr">
        <is>
          <t>0;1;2;3</t>
        </is>
      </c>
      <c r="E110" s="68" t="inlineStr">
        <is>
          <t>2;0;1;3</t>
        </is>
      </c>
      <c r="F110" s="68" t="inlineStr">
        <is>
          <t>;DESLIGAR;LIGAR;</t>
        </is>
      </c>
      <c r="G110" s="68" t="inlineStr">
        <is>
          <t>#FF000000;#FF00FF00;#FFFF0000;#FFA9A9A9</t>
        </is>
      </c>
      <c r="H110" s="68" t="inlineStr">
        <is>
          <t>Abnormal;Auto;Auto;Abnormal</t>
        </is>
      </c>
      <c r="I110" s="68" t="inlineStr">
        <is>
          <t>FALSE;TRUE;TRUE;FALSE</t>
        </is>
      </c>
      <c r="J110" s="68" t="inlineStr">
        <is>
          <t>Alarme de Estado em Ponto Telecontrolado E2</t>
        </is>
      </c>
      <c r="K110" s="69" t="inlineStr">
        <is>
          <t>Alarme de Estado em Ponto Telecontrolado E2</t>
        </is>
      </c>
      <c r="L110" s="69">
        <f>VLOOKUP(LinkTable6789[[#This Row],[Coluna1]],[4]AlarmCatalog!$A:$M,11,FALSE)</f>
        <v/>
      </c>
    </row>
    <row r="111" ht="16.5" customFormat="1" customHeight="1" s="67">
      <c r="A111" s="68" t="inlineStr">
        <is>
          <t>DESLIGAR@LIGAR___DESLIGADO@LIGADO___SwitchStatus_D_TS_SE</t>
        </is>
      </c>
      <c r="B111" s="68" t="inlineStr"/>
      <c r="C111" s="68" t="inlineStr">
        <is>
          <t>Transit;DESLIGADO;LIGADO;Error</t>
        </is>
      </c>
      <c r="D111" s="68" t="inlineStr">
        <is>
          <t>0;1;2;3</t>
        </is>
      </c>
      <c r="E111" s="68" t="inlineStr">
        <is>
          <t>0;1;2;3</t>
        </is>
      </c>
      <c r="F111" s="68" t="inlineStr">
        <is>
          <t>;DESLIGAR;LIGAR;</t>
        </is>
      </c>
      <c r="G111" s="68" t="inlineStr">
        <is>
          <t>#FF000000;#FF00FF00;#FFFF0000;#FFA9A9A9</t>
        </is>
      </c>
      <c r="H111" s="68" t="inlineStr">
        <is>
          <t>Abnormal;Auto;Auto;Abnormal</t>
        </is>
      </c>
      <c r="I111" s="68" t="inlineStr">
        <is>
          <t>FALSE;TRUE;TRUE;FALSE</t>
        </is>
      </c>
      <c r="J111" s="68" t="inlineStr">
        <is>
          <t>Alarme de Estado em Ponto Telessinalizado SE</t>
        </is>
      </c>
      <c r="K111" s="69" t="inlineStr">
        <is>
          <t>Alarme de Estado em Ponto Telessinalizado SE</t>
        </is>
      </c>
      <c r="L111" s="69">
        <f>VLOOKUP(LinkTable6789[[#This Row],[Coluna1]],[4]AlarmCatalog!$A:$M,11,FALSE)</f>
        <v/>
      </c>
    </row>
    <row r="112" ht="16.5" customFormat="1" customHeight="1" s="67">
      <c r="A112" s="68" t="inlineStr">
        <is>
          <t>ABRIR@FECHAR___ABERTO@FECHADO___SwitchStatus_D_TS_SE</t>
        </is>
      </c>
      <c r="B112" s="68" t="inlineStr"/>
      <c r="C112" s="68" t="inlineStr">
        <is>
          <t>Transit;ABERTO;FECHADO;Error</t>
        </is>
      </c>
      <c r="D112" s="68" t="inlineStr">
        <is>
          <t>0;1;2;3</t>
        </is>
      </c>
      <c r="E112" s="68" t="inlineStr">
        <is>
          <t>0;1;2;3</t>
        </is>
      </c>
      <c r="F112" s="68" t="inlineStr">
        <is>
          <t>;;;</t>
        </is>
      </c>
      <c r="G112" s="68" t="inlineStr">
        <is>
          <t>#FF000000;#FF00FF00;#FFFF0000;#FFA9A9A9</t>
        </is>
      </c>
      <c r="H112" s="68" t="inlineStr">
        <is>
          <t>Normal;Abnormal;Abnormal;Abnormal</t>
        </is>
      </c>
      <c r="I112" s="68" t="inlineStr">
        <is>
          <t>FALSE;TRUE;TRUE;FALSE</t>
        </is>
      </c>
      <c r="J112" s="68" t="inlineStr">
        <is>
          <t>Alarme de Estado em Ponto Telessinalizado SE</t>
        </is>
      </c>
      <c r="K112" s="69" t="inlineStr">
        <is>
          <t>Alarme de Estado em Ponto Telessinalizado SE</t>
        </is>
      </c>
      <c r="L112" s="69">
        <f>VLOOKUP(LinkTable6789[[#This Row],[Coluna1]],[4]AlarmCatalog!$A:$M,11,FALSE)</f>
        <v/>
      </c>
    </row>
    <row r="113" ht="16.5" customFormat="1" customHeight="1" s="67">
      <c r="A113" s="68" t="inlineStr">
        <is>
          <t>null@null___NORMAL@FALTA___Custom___INV_S_TS_SE</t>
        </is>
      </c>
      <c r="B113" s="68" t="inlineStr"/>
      <c r="C113" s="68" t="inlineStr">
        <is>
          <t>Transit;NORMAL;FALTA;Error</t>
        </is>
      </c>
      <c r="D113" s="68" t="inlineStr">
        <is>
          <t>0;1;2;3</t>
        </is>
      </c>
      <c r="E113" s="68" t="inlineStr">
        <is>
          <t>2;1;0;3</t>
        </is>
      </c>
      <c r="F113" s="68" t="inlineStr">
        <is>
          <t>;;;</t>
        </is>
      </c>
      <c r="G113" s="68" t="inlineStr">
        <is>
          <t>#FF000000;#FF00FF00;#FFFF0000;#FFA9A9A9</t>
        </is>
      </c>
      <c r="H113" s="68" t="inlineStr">
        <is>
          <t>Abnormal;Auto;Auto;Abnormal</t>
        </is>
      </c>
      <c r="I113" s="68" t="inlineStr">
        <is>
          <t>FALSE;TRUE;TRUE;FALSE</t>
        </is>
      </c>
      <c r="J113" s="68" t="inlineStr">
        <is>
          <t>Alarme de Estado em Ponto Telessinalizado SE</t>
        </is>
      </c>
      <c r="K113" s="69" t="inlineStr">
        <is>
          <t>Alarme de Estado em Ponto Telessinalizado SE</t>
        </is>
      </c>
      <c r="L113" s="69">
        <f>VLOOKUP(LinkTable6789[[#This Row],[Coluna1]],[4]AlarmCatalog!$A:$M,11,FALSE)</f>
        <v/>
      </c>
    </row>
    <row r="114" ht="16.5" customFormat="1" customHeight="1" s="67">
      <c r="A114" s="68" t="inlineStr">
        <is>
          <t>DESLIGAR@LIGAR___DESLIGADO@LIGADO___SwitchStatus___INV_D_TS_SE</t>
        </is>
      </c>
      <c r="B114" s="68" t="inlineStr"/>
      <c r="C114" s="68" t="inlineStr">
        <is>
          <t>Transit;DESLIGADO;LIGADO;Error</t>
        </is>
      </c>
      <c r="D114" s="68" t="inlineStr">
        <is>
          <t>0;1;2;3</t>
        </is>
      </c>
      <c r="E114" s="68" t="inlineStr">
        <is>
          <t>0;2;1;3</t>
        </is>
      </c>
      <c r="F114" s="68" t="inlineStr">
        <is>
          <t>;;;</t>
        </is>
      </c>
      <c r="G114" s="68" t="inlineStr">
        <is>
          <t>#FF000000;#FF00FF00;#FFFF0000;#FFA9A9A9</t>
        </is>
      </c>
      <c r="H114" s="68" t="inlineStr">
        <is>
          <t>Abnormal;Auto;Auto;Abnormal</t>
        </is>
      </c>
      <c r="I114" s="68" t="inlineStr">
        <is>
          <t>FALSE;TRUE;TRUE;FALSE</t>
        </is>
      </c>
      <c r="J114" s="68" t="inlineStr">
        <is>
          <t>Alarme de Estado em Ponto Telessinalizado SE</t>
        </is>
      </c>
      <c r="K114" s="69" t="inlineStr">
        <is>
          <t>Alarme de Estado em Ponto Telessinalizado SE</t>
        </is>
      </c>
      <c r="L114" s="69">
        <f>VLOOKUP(LinkTable6789[[#This Row],[Coluna1]],[4]AlarmCatalog!$A:$M,11,FALSE)</f>
        <v/>
      </c>
    </row>
    <row r="115" ht="16.5" customFormat="1" customHeight="1" s="67">
      <c r="A115" s="68" t="inlineStr">
        <is>
          <t>DESLIGAR@LIGAR___DESLIGADO@LIGADO___SwitchStatus_S_TS_ST</t>
        </is>
      </c>
      <c r="B115" s="68" t="inlineStr"/>
      <c r="C115" s="68" t="inlineStr">
        <is>
          <t>Transit;DESLIGADO;LIGADO;Error</t>
        </is>
      </c>
      <c r="D115" s="68" t="inlineStr">
        <is>
          <t>0;1;2;3</t>
        </is>
      </c>
      <c r="E115" s="68" t="inlineStr">
        <is>
          <t>2;0;1;3</t>
        </is>
      </c>
      <c r="F115" s="68" t="inlineStr">
        <is>
          <t>;DESLIGAR;LIGAR;</t>
        </is>
      </c>
      <c r="G115" s="68" t="inlineStr">
        <is>
          <t>#FF000000;#FF00FF00;#FFFF0000;#FFA9A9A9</t>
        </is>
      </c>
      <c r="H115" s="68" t="inlineStr">
        <is>
          <t>Abnormal;Auto;Auto;Abnormal</t>
        </is>
      </c>
      <c r="I115" s="68" t="inlineStr">
        <is>
          <t>FALSE;TRUE;TRUE;FALSE</t>
        </is>
      </c>
      <c r="J115" s="68" t="inlineStr">
        <is>
          <t>Alarme de Estado em Ponto Telessinalizado ST</t>
        </is>
      </c>
      <c r="K115" s="69" t="inlineStr">
        <is>
          <t>Alarme de Estado em Ponto Telessinalizado ST</t>
        </is>
      </c>
      <c r="L115" s="69">
        <f>VLOOKUP(LinkTable6789[[#This Row],[Coluna1]],[4]AlarmCatalog!$A:$M,11,FALSE)</f>
        <v/>
      </c>
    </row>
    <row r="116" ht="16.5" customFormat="1" customHeight="1" s="67">
      <c r="A116" s="68" t="inlineStr">
        <is>
          <t>DESLIGAR@LIGAR___DESLIGADO@LIGADO___Custom___INV_S_TS_SE</t>
        </is>
      </c>
      <c r="B116" s="68" t="inlineStr"/>
      <c r="C116" s="68" t="inlineStr">
        <is>
          <t>Transit;DESLIGADO;LIGADO;Error</t>
        </is>
      </c>
      <c r="D116" s="68" t="inlineStr">
        <is>
          <t>0;1;2;3</t>
        </is>
      </c>
      <c r="E116" s="68" t="inlineStr">
        <is>
          <t>2;1;0;3</t>
        </is>
      </c>
      <c r="F116" s="68" t="inlineStr">
        <is>
          <t>;;;</t>
        </is>
      </c>
      <c r="G116" s="68" t="inlineStr">
        <is>
          <t>#FF000000;#FF00FF00;#FFFF0000;#FFA9A9A9</t>
        </is>
      </c>
      <c r="H116" s="68" t="inlineStr">
        <is>
          <t>Abnormal;Auto;Auto;Abnormal</t>
        </is>
      </c>
      <c r="I116" s="68" t="inlineStr">
        <is>
          <t>FALSE;TRUE;TRUE;FALSE</t>
        </is>
      </c>
      <c r="J116" s="68" t="inlineStr">
        <is>
          <t>Alarme de Estado em Ponto Telessinalizado SE</t>
        </is>
      </c>
      <c r="K116" s="69" t="inlineStr">
        <is>
          <t>Alarme de Estado em Ponto Telessinalizado SE</t>
        </is>
      </c>
      <c r="L116" s="69">
        <f>VLOOKUP(LinkTable6789[[#This Row],[Coluna1]],[4]AlarmCatalog!$A:$M,11,FALSE)</f>
        <v/>
      </c>
    </row>
    <row r="117" ht="16.5" customFormat="1" customHeight="1" s="67">
      <c r="A117" s="68" t="inlineStr">
        <is>
          <t>null@null___NORMAL@ATUADO___Custom_S_TS_SE</t>
        </is>
      </c>
      <c r="B117" s="68" t="inlineStr"/>
      <c r="C117" s="68" t="inlineStr">
        <is>
          <t>Transit;NORMAL;ATUADO;Error</t>
        </is>
      </c>
      <c r="D117" s="68" t="inlineStr">
        <is>
          <t>0;1;2;3</t>
        </is>
      </c>
      <c r="E117" s="68" t="inlineStr">
        <is>
          <t>2;0;1;3</t>
        </is>
      </c>
      <c r="F117" s="68" t="inlineStr">
        <is>
          <t>;;;</t>
        </is>
      </c>
      <c r="G117" s="68" t="inlineStr">
        <is>
          <t>#FF000000;#FF00FF00;#FFFF0000;#FFA9A9A9</t>
        </is>
      </c>
      <c r="H117" s="68" t="inlineStr">
        <is>
          <t>Normal;Normal;Normal;Normal</t>
        </is>
      </c>
      <c r="I117" s="68" t="inlineStr">
        <is>
          <t>FALSE;TRUE;TRUE;FALSE</t>
        </is>
      </c>
      <c r="J117" s="68" t="inlineStr">
        <is>
          <t>Alarme de Estado em Ponto Telessinalizado SE</t>
        </is>
      </c>
      <c r="K117" s="69" t="inlineStr">
        <is>
          <t>Alarme de Estado em Ponto Telessinalizado SE</t>
        </is>
      </c>
      <c r="L117" s="69">
        <f>VLOOKUP(LinkTable6789[[#This Row],[Coluna1]],[4]AlarmCatalog!$A:$M,11,FALSE)</f>
        <v/>
      </c>
    </row>
    <row r="118" ht="16.5" customFormat="1" customHeight="1" s="67">
      <c r="A118" s="68" t="inlineStr">
        <is>
          <t>DESLIGAR@LIGAR___DESLIGADO@LIGADO___SwitchStatus___INV_S_TS_SE</t>
        </is>
      </c>
      <c r="B118" s="68" t="inlineStr"/>
      <c r="C118" s="68" t="inlineStr">
        <is>
          <t>Transit;DESLIGADO;LIGADO;Error</t>
        </is>
      </c>
      <c r="D118" s="68" t="inlineStr">
        <is>
          <t>0;1;2;3</t>
        </is>
      </c>
      <c r="E118" s="68" t="inlineStr">
        <is>
          <t>2;1;0;3</t>
        </is>
      </c>
      <c r="F118" s="68" t="inlineStr">
        <is>
          <t>;;;</t>
        </is>
      </c>
      <c r="G118" s="68" t="inlineStr">
        <is>
          <t>#FF000000;#FF00FF00;#FFFF0000;#FFA9A9A9</t>
        </is>
      </c>
      <c r="H118" s="68" t="inlineStr">
        <is>
          <t>Abnormal;Auto;Auto;Abnormal</t>
        </is>
      </c>
      <c r="I118" s="68" t="inlineStr">
        <is>
          <t>FALSE;TRUE;TRUE;FALSE</t>
        </is>
      </c>
      <c r="J118" s="68" t="inlineStr">
        <is>
          <t>Alarme de Estado em Ponto Telessinalizado SE</t>
        </is>
      </c>
      <c r="K118" s="69" t="inlineStr">
        <is>
          <t>Alarme de Estado em Ponto Telessinalizado SE</t>
        </is>
      </c>
      <c r="L118" s="69">
        <f>VLOOKUP(LinkTable6789[[#This Row],[Coluna1]],[4]AlarmCatalog!$A:$M,11,FALSE)</f>
        <v/>
      </c>
    </row>
    <row r="119" ht="16.5" customFormat="1" customHeight="1" s="67">
      <c r="A119" s="68" t="inlineStr">
        <is>
          <t>null@null___NORMAL@ATUADO___Custom___INV_S_TS_SE</t>
        </is>
      </c>
      <c r="B119" s="68" t="inlineStr"/>
      <c r="C119" s="68" t="inlineStr">
        <is>
          <t>Transit;NORMAL;ATUADO;Error</t>
        </is>
      </c>
      <c r="D119" s="68" t="inlineStr">
        <is>
          <t>0;1;2;3</t>
        </is>
      </c>
      <c r="E119" s="68" t="inlineStr">
        <is>
          <t>2;1;0;3</t>
        </is>
      </c>
      <c r="F119" s="68" t="inlineStr">
        <is>
          <t>;;;</t>
        </is>
      </c>
      <c r="G119" s="68" t="inlineStr">
        <is>
          <t>#FF000000;#FF00FF00;#FFFF0000;#FFA9A9A9</t>
        </is>
      </c>
      <c r="H119" s="68" t="inlineStr">
        <is>
          <t>Normal;Normal;Normal;Normal</t>
        </is>
      </c>
      <c r="I119" s="68" t="inlineStr">
        <is>
          <t>FALSE;TRUE;TRUE;FALSE</t>
        </is>
      </c>
      <c r="J119" s="68" t="inlineStr">
        <is>
          <t>Alarme de Estado em Ponto Telessinalizado SE</t>
        </is>
      </c>
      <c r="K119" s="69" t="inlineStr">
        <is>
          <t>Alarme de Estado em Ponto Telessinalizado SE</t>
        </is>
      </c>
      <c r="L119" s="69">
        <f>VLOOKUP(LinkTable6789[[#This Row],[Coluna1]],[4]AlarmCatalog!$A:$M,11,FALSE)</f>
        <v/>
      </c>
    </row>
    <row r="120" ht="16.5" customFormat="1" customHeight="1" s="67">
      <c r="A120" s="68" t="inlineStr">
        <is>
          <t>ABRIR@FECHAR___ABERTO@FECHADO___SwitchStatus_S_TS_SE</t>
        </is>
      </c>
      <c r="B120" s="68" t="inlineStr"/>
      <c r="C120" s="68" t="inlineStr">
        <is>
          <t>Transit;ABERTO;FECHADO;Error</t>
        </is>
      </c>
      <c r="D120" s="68" t="inlineStr">
        <is>
          <t>0;1;2;3</t>
        </is>
      </c>
      <c r="E120" s="68" t="inlineStr">
        <is>
          <t>2;0;1;3</t>
        </is>
      </c>
      <c r="F120" s="68" t="inlineStr">
        <is>
          <t>;;;</t>
        </is>
      </c>
      <c r="G120" s="68" t="inlineStr">
        <is>
          <t>#FF000000;#FF00FF00;#FFFF0000;#FFA9A9A9</t>
        </is>
      </c>
      <c r="H120" s="68" t="inlineStr">
        <is>
          <t>Abnormal;Auto;Auto;Abnormal</t>
        </is>
      </c>
      <c r="I120" s="68" t="inlineStr">
        <is>
          <t>FALSE;TRUE;TRUE;FALSE</t>
        </is>
      </c>
      <c r="J120" s="68" t="inlineStr">
        <is>
          <t>Alarme de Estado em Ponto Telessinalizado SE</t>
        </is>
      </c>
      <c r="K120" s="69" t="inlineStr">
        <is>
          <t>Alarme de Estado em Ponto Telessinalizado SE</t>
        </is>
      </c>
      <c r="L120" s="69">
        <f>VLOOKUP(LinkTable6789[[#This Row],[Coluna1]],[4]AlarmCatalog!$A:$M,11,FALSE)</f>
        <v/>
      </c>
    </row>
    <row r="121" ht="16.5" customFormat="1" customHeight="1" s="67">
      <c r="A121" s="68" t="inlineStr">
        <is>
          <t>null@null___POSICAO 1@POSICAO 2___Custom_S_TS_SE</t>
        </is>
      </c>
      <c r="B121" s="68" t="inlineStr"/>
      <c r="C121" s="68" t="inlineStr">
        <is>
          <t>Transit;POSICAO 1;POSICAO 2;Error</t>
        </is>
      </c>
      <c r="D121" s="68" t="inlineStr">
        <is>
          <t>0;1;2;3</t>
        </is>
      </c>
      <c r="E121" s="68" t="inlineStr">
        <is>
          <t>2;0;1;3</t>
        </is>
      </c>
      <c r="F121" s="68" t="inlineStr">
        <is>
          <t>;;;</t>
        </is>
      </c>
      <c r="G121" s="68" t="inlineStr">
        <is>
          <t>#FF000000;#FF00FF00;#FFFF0000;#FFA9A9A9</t>
        </is>
      </c>
      <c r="H121" s="68" t="inlineStr">
        <is>
          <t>Abnormal;Auto;Auto;Abnormal</t>
        </is>
      </c>
      <c r="I121" s="68" t="inlineStr">
        <is>
          <t>FALSE;TRUE;TRUE;FALSE</t>
        </is>
      </c>
      <c r="J121" s="68" t="inlineStr">
        <is>
          <t>Alarme de Estado em Ponto Telessinalizado SE</t>
        </is>
      </c>
      <c r="K121" s="69" t="inlineStr">
        <is>
          <t>Alarme de Estado em Ponto Telessinalizado SE</t>
        </is>
      </c>
      <c r="L121" s="69">
        <f>VLOOKUP(LinkTable6789[[#This Row],[Coluna1]],[4]AlarmCatalog!$A:$M,11,FALSE)</f>
        <v/>
      </c>
    </row>
    <row r="122" ht="16.5" customFormat="1" customHeight="1" s="67">
      <c r="A122" s="68" t="inlineStr">
        <is>
          <t>null@null___DESLIGADO@LIGADO___SwitchStatus_S_TC_SE</t>
        </is>
      </c>
      <c r="B122" s="68" t="inlineStr"/>
      <c r="C122" s="68" t="inlineStr">
        <is>
          <t>Transit;DESLIGADO;LIGADO;Error</t>
        </is>
      </c>
      <c r="D122" s="68" t="inlineStr">
        <is>
          <t>0;1;2;3</t>
        </is>
      </c>
      <c r="E122" s="68" t="inlineStr">
        <is>
          <t>2;0;1;3</t>
        </is>
      </c>
      <c r="F122" s="68" t="inlineStr">
        <is>
          <t>;DESLIGAR;LIGAR;</t>
        </is>
      </c>
      <c r="G122" s="68" t="inlineStr">
        <is>
          <t>#FF000000;#FF00FF00;#FFFF0000;#FFA9A9A9</t>
        </is>
      </c>
      <c r="H122" s="68" t="inlineStr">
        <is>
          <t>Abnormal;Auto;Auto;Abnormal</t>
        </is>
      </c>
      <c r="I122" s="68" t="inlineStr">
        <is>
          <t>FALSE;TRUE;TRUE;FALSE</t>
        </is>
      </c>
      <c r="J122" s="68" t="inlineStr">
        <is>
          <t>Alarme de Estado em Ponto Telecontrolado SE</t>
        </is>
      </c>
      <c r="K122" s="69" t="inlineStr">
        <is>
          <t>Alarme de Estado em Ponto Telecontrolado SE</t>
        </is>
      </c>
      <c r="L122" s="69">
        <f>VLOOKUP(LinkTable6789[[#This Row],[Coluna1]],[4]AlarmCatalog!$A:$M,11,FALSE)</f>
        <v/>
      </c>
    </row>
    <row r="123" ht="16.5" customFormat="1" customHeight="1" s="67">
      <c r="A123" s="68" t="inlineStr">
        <is>
          <t>null@LIGAR___null@LIGADO___SwitchStatus_S_TC_SE</t>
        </is>
      </c>
      <c r="B123" s="68" t="inlineStr"/>
      <c r="C123" s="68" t="inlineStr">
        <is>
          <t>Transit;LIGAR;;</t>
        </is>
      </c>
      <c r="D123" s="68" t="inlineStr">
        <is>
          <t>0;2;1;3</t>
        </is>
      </c>
      <c r="E123" s="68" t="inlineStr">
        <is>
          <t>2;1;0;3</t>
        </is>
      </c>
      <c r="F123" s="68" t="inlineStr">
        <is>
          <t>;LIGAR;;</t>
        </is>
      </c>
      <c r="G123" s="68" t="inlineStr">
        <is>
          <t>#FF000000;#FF000000;#00000000;#00000000</t>
        </is>
      </c>
      <c r="H123" s="68" t="inlineStr">
        <is>
          <t>Abnormal;Auto;Normal;Normal</t>
        </is>
      </c>
      <c r="I123" s="68" t="inlineStr">
        <is>
          <t>FALSE;TRUE;TRUE;TRUE</t>
        </is>
      </c>
      <c r="J123" s="68" t="inlineStr">
        <is>
          <t>Alarme de Estado em Ponto Telecontrolado SE</t>
        </is>
      </c>
      <c r="K123" s="69" t="inlineStr">
        <is>
          <t>Alarme de Estado em Ponto Telecontrolado SE</t>
        </is>
      </c>
      <c r="L123" s="69">
        <f>VLOOKUP(LinkTable6789[[#This Row],[Coluna1]],[4]AlarmCatalog!$A:$M,11,FALSE)</f>
        <v/>
      </c>
    </row>
    <row r="124" ht="16.5" customFormat="1" customHeight="1" s="67">
      <c r="A124" s="68" t="inlineStr">
        <is>
          <t>DESLIGAR@null___null@DESLIGADO___SwitchStatus_S_TC_SE</t>
        </is>
      </c>
      <c r="B124" s="68" t="inlineStr"/>
      <c r="C124" s="68" t="inlineStr">
        <is>
          <t>Transit;DESLIGAR;;</t>
        </is>
      </c>
      <c r="D124" s="68" t="inlineStr">
        <is>
          <t>0;1;2;3</t>
        </is>
      </c>
      <c r="E124" s="68" t="inlineStr">
        <is>
          <t>2;0;1;3</t>
        </is>
      </c>
      <c r="F124" s="68" t="inlineStr">
        <is>
          <t>;DESLIGAR;;</t>
        </is>
      </c>
      <c r="G124" s="68" t="inlineStr">
        <is>
          <t>#FF000000;#FF000000;#00000000;#00000000</t>
        </is>
      </c>
      <c r="H124" s="68" t="inlineStr">
        <is>
          <t>Abnormal;Auto;Normal;Normal</t>
        </is>
      </c>
      <c r="I124" s="68" t="inlineStr">
        <is>
          <t>FALSE;TRUE;TRUE;TRUE</t>
        </is>
      </c>
      <c r="J124" s="68" t="inlineStr">
        <is>
          <t>Alarme de Estado em Ponto Telecontrolado SE</t>
        </is>
      </c>
      <c r="K124" s="69" t="inlineStr">
        <is>
          <t>Alarme de Estado em Ponto Telecontrolado SE</t>
        </is>
      </c>
      <c r="L124" s="69">
        <f>VLOOKUP(LinkTable6789[[#This Row],[Coluna1]],[4]AlarmCatalog!$A:$M,11,FALSE)</f>
        <v/>
      </c>
    </row>
    <row r="125" ht="16.5" customFormat="1" customHeight="1" s="67">
      <c r="A125" s="68" t="inlineStr">
        <is>
          <t>null@COMANDADO___DESATIVADO@ATIVADO___CustomCR_S_TC</t>
        </is>
      </c>
      <c r="B125" s="68" t="inlineStr"/>
      <c r="C125" s="68" t="inlineStr">
        <is>
          <t>Transit;DESATIVADO;ATIVADO;Error</t>
        </is>
      </c>
      <c r="D125" s="68" t="inlineStr">
        <is>
          <t>0;1;2;3</t>
        </is>
      </c>
      <c r="E125" s="68" t="inlineStr">
        <is>
          <t>2;0;1;3</t>
        </is>
      </c>
      <c r="F125" s="68" t="inlineStr">
        <is>
          <t>;;;</t>
        </is>
      </c>
      <c r="G125" s="68" t="inlineStr">
        <is>
          <t>#FF000000;#FF00FF00;#FFFF0000;#FFA9A9A9</t>
        </is>
      </c>
      <c r="H125" s="68" t="inlineStr">
        <is>
          <t>Abnormal;Auto;Auto;Abnormal</t>
        </is>
      </c>
      <c r="I125" s="68" t="inlineStr">
        <is>
          <t>FALSE;TRUE;TRUE;FALSE</t>
        </is>
      </c>
      <c r="J125" s="68" t="inlineStr">
        <is>
          <t>Alarme de Estado em Ponto Telecontrolado SS</t>
        </is>
      </c>
      <c r="K125" s="69" t="inlineStr">
        <is>
          <t>Alarme de Estado em Ponto Telecontrolado</t>
        </is>
      </c>
      <c r="L125" s="69">
        <f>VLOOKUP(LinkTable6789[[#This Row],[Coluna1]],[4]AlarmCatalog!$A:$M,11,FALSE)</f>
        <v/>
      </c>
    </row>
    <row r="126" ht="16.5" customFormat="1" customHeight="1" s="67">
      <c r="A126" s="68" t="inlineStr">
        <is>
          <t>null@INDIVIDUAL___DESATIVADO@ATIVADO___CustomCR_S_TC</t>
        </is>
      </c>
      <c r="B126" s="68" t="inlineStr"/>
      <c r="C126" s="68" t="inlineStr">
        <is>
          <t>Transit;DESATIVADO;ATIVADO;Error</t>
        </is>
      </c>
      <c r="D126" s="68" t="inlineStr">
        <is>
          <t>0;1;2;3</t>
        </is>
      </c>
      <c r="E126" s="68" t="inlineStr">
        <is>
          <t>2;0;1;3</t>
        </is>
      </c>
      <c r="F126" s="68" t="inlineStr">
        <is>
          <t>;;MESTRE;</t>
        </is>
      </c>
      <c r="G126" s="68" t="inlineStr">
        <is>
          <t>#FF000000;#FF00FF00;#FFFF0000;#FFA9A9A9</t>
        </is>
      </c>
      <c r="H126" s="68" t="inlineStr">
        <is>
          <t>Abnormal;Auto;Auto;Abnormal</t>
        </is>
      </c>
      <c r="I126" s="68" t="inlineStr">
        <is>
          <t>FALSE;TRUE;TRUE;FALSE</t>
        </is>
      </c>
      <c r="J126" s="68" t="inlineStr">
        <is>
          <t>Alarme de Estado em Ponto Telecontrolado SS</t>
        </is>
      </c>
      <c r="K126" s="69" t="inlineStr">
        <is>
          <t>Alarme de Estado em Ponto Telecontrolado</t>
        </is>
      </c>
      <c r="L126" s="69">
        <f>VLOOKUP(LinkTable6789[[#This Row],[Coluna1]],[4]AlarmCatalog!$A:$M,11,FALSE)</f>
        <v/>
      </c>
    </row>
    <row r="127" ht="16.5" customFormat="1" customHeight="1" s="67">
      <c r="A127" s="68" t="inlineStr">
        <is>
          <t>DESLIGAR@LIGAR___DESLIGADO@LIGADO___SwitchStatus_D_TC_SE_USO_BC</t>
        </is>
      </c>
      <c r="B127" s="68" t="inlineStr"/>
      <c r="C127" s="68" t="inlineStr">
        <is>
          <t>Transit;DESLIGADO;LIGADO;Error</t>
        </is>
      </c>
      <c r="D127" s="68" t="inlineStr">
        <is>
          <t>0;1;2;3</t>
        </is>
      </c>
      <c r="E127" s="68" t="inlineStr">
        <is>
          <t>0;1;2;3</t>
        </is>
      </c>
      <c r="F127" s="68" t="inlineStr">
        <is>
          <t>;DESLIGAR;LIGAR;</t>
        </is>
      </c>
      <c r="G127" s="68" t="inlineStr">
        <is>
          <t>#FF000000;#FF00FF00;#FFFF0000;#FFA9A9A9</t>
        </is>
      </c>
      <c r="H127" s="68" t="inlineStr">
        <is>
          <t>Abnormal;Normal;Normal;Abnormal</t>
        </is>
      </c>
      <c r="I127" s="68" t="inlineStr">
        <is>
          <t>FALSE;TRUE;TRUE;FALSE</t>
        </is>
      </c>
      <c r="J127" s="68" t="inlineStr">
        <is>
          <t>Alarme de Estado em Ponto Telecontrolado SE</t>
        </is>
      </c>
      <c r="K127" s="69" t="inlineStr">
        <is>
          <t>Alarme de Estado em Ponto Telecontrolado SE</t>
        </is>
      </c>
      <c r="L127" s="69">
        <f>VLOOKUP(LinkTable6789[[#This Row],[Coluna1]],[4]AlarmCatalog!$A:$M,11,FALSE)</f>
        <v/>
      </c>
    </row>
    <row r="128" ht="16.5" customFormat="1" customHeight="1" s="67">
      <c r="A128" s="68" t="inlineStr">
        <is>
          <t>DESLIGAR@LIGAR___DESLIGADO@LIGADO___SwitchStatus_S_TS_ST__ICCP_CPFLT</t>
        </is>
      </c>
      <c r="B128" s="68" t="inlineStr"/>
      <c r="C128" s="68" t="inlineStr">
        <is>
          <t>Transit;DESLIGADO;LIGADO;Error</t>
        </is>
      </c>
      <c r="D128" s="68" t="inlineStr">
        <is>
          <t>0;1;2;3</t>
        </is>
      </c>
      <c r="E128" s="68" t="inlineStr">
        <is>
          <t>0;1;2;3</t>
        </is>
      </c>
      <c r="F128" s="68" t="inlineStr">
        <is>
          <t>;DESLIGAR;LIGAR;</t>
        </is>
      </c>
      <c r="G128" s="68" t="inlineStr">
        <is>
          <t>#FF000000;#FF00FF00;#FFFF0000;#FFA9A9A9</t>
        </is>
      </c>
      <c r="H128" s="68" t="inlineStr">
        <is>
          <t>Abnormal;Auto;Auto;Abnormal</t>
        </is>
      </c>
      <c r="I128" s="68" t="inlineStr">
        <is>
          <t>FALSE;TRUE;TRUE;FALSE</t>
        </is>
      </c>
      <c r="J128" s="68" t="inlineStr">
        <is>
          <t>Alarme de Estado em Ponto Telessinalizado ST</t>
        </is>
      </c>
      <c r="K128" s="69" t="inlineStr">
        <is>
          <t>Alarme de Estado em Ponto Telessinalizado ST</t>
        </is>
      </c>
      <c r="L128" s="69">
        <f>VLOOKUP(LinkTable6789[[#This Row],[Coluna1]],[4]AlarmCatalog!$A:$M,11,FALSE)</f>
        <v/>
      </c>
    </row>
    <row r="129" ht="16.5" customFormat="1" customHeight="1" s="67">
      <c r="A129" s="68" t="inlineStr">
        <is>
          <t>null@INDIVIDUAL___DESATIVADO@ATIVADO___CustomCR_S_TC_vnb</t>
        </is>
      </c>
      <c r="B129" s="68" t="inlineStr"/>
      <c r="C129" s="68" t="inlineStr">
        <is>
          <t>Transit;DESATIVADO;ATIVADO;Error</t>
        </is>
      </c>
      <c r="D129" s="68" t="inlineStr">
        <is>
          <t>0;1;2;3</t>
        </is>
      </c>
      <c r="E129" s="68" t="inlineStr">
        <is>
          <t>2;1;0;3</t>
        </is>
      </c>
      <c r="F129" s="68" t="inlineStr">
        <is>
          <t>;INDIVIDUAL;MESTRE;</t>
        </is>
      </c>
      <c r="G129" s="68" t="inlineStr">
        <is>
          <t>#FF000000;#FF00FF00;#FFFF0000;#FFA9A9A9</t>
        </is>
      </c>
      <c r="H129" s="68" t="inlineStr">
        <is>
          <t>Abnormal;Auto;Auto;Abnormal</t>
        </is>
      </c>
      <c r="I129" s="68" t="inlineStr">
        <is>
          <t>FALSE;TRUE;TRUE;FALSE</t>
        </is>
      </c>
      <c r="J129" s="68" t="inlineStr">
        <is>
          <t>Alarme de Estado em Ponto Telecontrolado SS</t>
        </is>
      </c>
      <c r="K129" s="69" t="inlineStr">
        <is>
          <t>Alarme de Estado em Ponto Telecontrolado</t>
        </is>
      </c>
      <c r="L129" s="69">
        <f>VLOOKUP(LinkTable6789[[#This Row],[Coluna1]],[4]AlarmCatalog!$A:$M,11,FALSE)</f>
        <v/>
      </c>
    </row>
    <row r="130" ht="16.5" customFormat="1" customHeight="1" s="67">
      <c r="A130" s="68" t="inlineStr">
        <is>
          <t>null@MESTRE___DESATIVADO@ATIVADO___CustomCR_S_TC_VNB</t>
        </is>
      </c>
      <c r="B130" s="68" t="inlineStr"/>
      <c r="C130" s="68" t="inlineStr">
        <is>
          <t>Transit;DESATIVADO;ATIVADO;Error</t>
        </is>
      </c>
      <c r="D130" s="68" t="inlineStr">
        <is>
          <t>0;1;2;3</t>
        </is>
      </c>
      <c r="E130" s="68" t="inlineStr">
        <is>
          <t>2;0;1;3</t>
        </is>
      </c>
      <c r="F130" s="68" t="inlineStr">
        <is>
          <t>;PARALELO;INDIVIDUAL;</t>
        </is>
      </c>
      <c r="G130" s="68" t="inlineStr">
        <is>
          <t>#FF000000;#FF00FF00;#FFFF0000;#FFA9A9A9</t>
        </is>
      </c>
      <c r="H130" s="68" t="inlineStr">
        <is>
          <t>Abnormal;Auto;Auto;Abnormal</t>
        </is>
      </c>
      <c r="I130" s="68" t="inlineStr">
        <is>
          <t>FALSE;TRUE;TRUE;FALSE</t>
        </is>
      </c>
      <c r="J130" s="68" t="inlineStr">
        <is>
          <t>Alarme de Estado em Ponto Telecontrolado SS</t>
        </is>
      </c>
      <c r="K130" s="69" t="inlineStr">
        <is>
          <t>Alarme de Estado em Ponto Telecontrolado</t>
        </is>
      </c>
      <c r="L130" s="69">
        <f>VLOOKUP(LinkTable6789[[#This Row],[Coluna1]],[4]AlarmCatalog!$A:$M,11,FALSE)</f>
        <v/>
      </c>
    </row>
    <row r="131" ht="16.5" customFormat="1" customHeight="1" s="67">
      <c r="A131" s="68" t="inlineStr">
        <is>
          <t>null@REARMAR___NORMAL@ATUADO___Custom_S_TS_SI</t>
        </is>
      </c>
      <c r="B131" s="68" t="inlineStr"/>
      <c r="C131" s="68" t="inlineStr">
        <is>
          <t>Transit;NORMAL;ATUADO;Error</t>
        </is>
      </c>
      <c r="D131" s="68" t="inlineStr">
        <is>
          <t>0;1;2;3</t>
        </is>
      </c>
      <c r="E131" s="68" t="inlineStr">
        <is>
          <t>2;0;1;3</t>
        </is>
      </c>
      <c r="F131" s="68" t="inlineStr">
        <is>
          <t>;;;</t>
        </is>
      </c>
      <c r="G131" s="68" t="inlineStr">
        <is>
          <t>#FF000000;#FF00FF00;#FFFF0000;#FFA9A9A9</t>
        </is>
      </c>
      <c r="H131" s="68" t="inlineStr">
        <is>
          <t>Abnormal;Auto;Auto;Abnormal</t>
        </is>
      </c>
      <c r="I131" s="68" t="inlineStr">
        <is>
          <t>FALSE;TRUE;TRUE;FALSE</t>
        </is>
      </c>
      <c r="J131" s="68" t="inlineStr">
        <is>
          <t>Alarme de Estado em Ponto Telessinalizado SI</t>
        </is>
      </c>
      <c r="K131" s="69" t="inlineStr">
        <is>
          <t>Alarme de Estado em Ponto Telessinalizado SI</t>
        </is>
      </c>
      <c r="L131" s="69">
        <f>VLOOKUP(LinkTable6789[[#This Row],[Coluna1]],[4]AlarmCatalog!$A:$M,11,FALSE)</f>
        <v/>
      </c>
    </row>
    <row r="132" ht="16.5" customFormat="1" customHeight="1" s="67">
      <c r="A132" s="68" t="inlineStr">
        <is>
          <t>null@REARMAR___NORMAL@ATUADO___Custom_S_TC_SI</t>
        </is>
      </c>
      <c r="B132" s="68" t="inlineStr"/>
      <c r="C132" s="68" t="inlineStr">
        <is>
          <t>Transit;NORMAL;ATUADO;Error</t>
        </is>
      </c>
      <c r="D132" s="68" t="inlineStr">
        <is>
          <t>0;1;2;3</t>
        </is>
      </c>
      <c r="E132" s="68" t="inlineStr">
        <is>
          <t>2;0;1;3</t>
        </is>
      </c>
      <c r="F132" s="68" t="inlineStr">
        <is>
          <t>;REARMAR;;</t>
        </is>
      </c>
      <c r="G132" s="68" t="inlineStr">
        <is>
          <t>#FF000000;#FF00FF00;#FFFF0000;#FFA9A9A9</t>
        </is>
      </c>
      <c r="H132" s="68" t="inlineStr">
        <is>
          <t>Abnormal;Auto;Auto;Abnormal</t>
        </is>
      </c>
      <c r="I132" s="68" t="inlineStr">
        <is>
          <t>FALSE;TRUE;TRUE;FALSE</t>
        </is>
      </c>
      <c r="J132" s="68" t="inlineStr">
        <is>
          <t>Alarme de Estado em Ponto Telecontrolado SI</t>
        </is>
      </c>
      <c r="K132" s="69" t="inlineStr">
        <is>
          <t>Alarme de Estado em Ponto Telecontrolado SI</t>
        </is>
      </c>
      <c r="L132" s="69">
        <f>VLOOKUP(LinkTable6789[[#This Row],[Coluna1]],[4]AlarmCatalog!$A:$M,11,FALSE)</f>
        <v/>
      </c>
    </row>
    <row r="133" ht="16.5" customFormat="1" customHeight="1" s="67">
      <c r="A133" s="68" t="inlineStr">
        <is>
          <t>null@null___NORMAL@ATUADO___Custom_S_TS_SI</t>
        </is>
      </c>
      <c r="B133" s="68" t="inlineStr"/>
      <c r="C133" s="68" t="inlineStr">
        <is>
          <t>Transit;NORMAL;ATUADO;Error</t>
        </is>
      </c>
      <c r="D133" s="68" t="inlineStr">
        <is>
          <t>0;1;2;3</t>
        </is>
      </c>
      <c r="E133" s="68" t="inlineStr">
        <is>
          <t>2;0;1;3</t>
        </is>
      </c>
      <c r="F133" s="68" t="inlineStr">
        <is>
          <t>;;;</t>
        </is>
      </c>
      <c r="G133" s="68" t="inlineStr">
        <is>
          <t>#FF000000;#FF00FF00;#FFFF0000;#FFA9A9A9</t>
        </is>
      </c>
      <c r="H133" s="68" t="inlineStr">
        <is>
          <t>Abnormal;Auto;Auto;Abnormal</t>
        </is>
      </c>
      <c r="I133" s="68" t="inlineStr">
        <is>
          <t>FALSE;TRUE;TRUE;FALSE</t>
        </is>
      </c>
      <c r="J133" s="68" t="inlineStr">
        <is>
          <t>Alarme de Estado em Ponto Telessinalizado SI</t>
        </is>
      </c>
      <c r="K133" s="69" t="inlineStr">
        <is>
          <t>Alarme de Estado em Ponto Telessinalizado SI</t>
        </is>
      </c>
      <c r="L133" s="69">
        <f>VLOOKUP(LinkTable6789[[#This Row],[Coluna1]],[4]AlarmCatalog!$A:$M,11,FALSE)</f>
        <v/>
      </c>
    </row>
    <row r="134" ht="16.5" customFormat="1" customHeight="1" s="67">
      <c r="A134" s="68" t="inlineStr">
        <is>
          <t>null@null___NORMAL@DEFEITO___Custom___INV_S_TS_SI</t>
        </is>
      </c>
      <c r="B134" s="68" t="inlineStr"/>
      <c r="C134" s="68" t="inlineStr">
        <is>
          <t>Transit;NORMAL;DEFEITO;Error</t>
        </is>
      </c>
      <c r="D134" s="68" t="inlineStr">
        <is>
          <t>0;1;2;3</t>
        </is>
      </c>
      <c r="E134" s="68" t="inlineStr">
        <is>
          <t>2;1;0;3</t>
        </is>
      </c>
      <c r="F134" s="68" t="inlineStr">
        <is>
          <t>;;;</t>
        </is>
      </c>
      <c r="G134" s="68" t="inlineStr">
        <is>
          <t>#FF000000;#FF00FF00;#FFFF0000;#FFA9A9A9</t>
        </is>
      </c>
      <c r="H134" s="68" t="inlineStr">
        <is>
          <t>Abnormal;Auto;Auto;Abnormal</t>
        </is>
      </c>
      <c r="I134" s="68" t="inlineStr">
        <is>
          <t>FALSE;TRUE;TRUE;FALSE</t>
        </is>
      </c>
      <c r="J134" s="68" t="inlineStr">
        <is>
          <t>Alarme de Estado em Ponto Telessinalizado SI</t>
        </is>
      </c>
      <c r="K134" s="69" t="inlineStr">
        <is>
          <t>Alarme de Estado em Ponto Telessinalizado SI</t>
        </is>
      </c>
      <c r="L134" s="69">
        <f>VLOOKUP(LinkTable6789[[#This Row],[Coluna1]],[4]AlarmCatalog!$A:$M,11,FALSE)</f>
        <v/>
      </c>
    </row>
    <row r="135" ht="16.5" customFormat="1" customHeight="1" s="67">
      <c r="A135" s="68" t="inlineStr">
        <is>
          <t>null@null___NORMAL@DEFEITO___Custom_S_TS_SI</t>
        </is>
      </c>
      <c r="B135" s="68" t="inlineStr"/>
      <c r="C135" s="68" t="inlineStr">
        <is>
          <t>Transit;NORMAL;DEFEITO;Error</t>
        </is>
      </c>
      <c r="D135" s="68" t="inlineStr">
        <is>
          <t>0;1;2;3</t>
        </is>
      </c>
      <c r="E135" s="68" t="inlineStr">
        <is>
          <t>2;0;1;3</t>
        </is>
      </c>
      <c r="F135" s="68" t="inlineStr">
        <is>
          <t>;;;</t>
        </is>
      </c>
      <c r="G135" s="68" t="inlineStr">
        <is>
          <t>#FF000000;#FF00FF00;#FFFF0000;#FFA9A9A9</t>
        </is>
      </c>
      <c r="H135" s="68" t="inlineStr">
        <is>
          <t>Abnormal;Auto;Auto;Abnormal</t>
        </is>
      </c>
      <c r="I135" s="68" t="inlineStr">
        <is>
          <t>FALSE;TRUE;TRUE;FALSE</t>
        </is>
      </c>
      <c r="J135" s="68" t="inlineStr">
        <is>
          <t>Alarme de Estado em Ponto Telessinalizado SI</t>
        </is>
      </c>
      <c r="K135" s="69" t="inlineStr">
        <is>
          <t>Alarme de Estado em Ponto Telessinalizado SI</t>
        </is>
      </c>
      <c r="L135" s="69">
        <f>VLOOKUP(LinkTable6789[[#This Row],[Coluna1]],[4]AlarmCatalog!$A:$M,11,FALSE)</f>
        <v/>
      </c>
    </row>
    <row r="136" ht="16.5" customFormat="1" customHeight="1" s="67">
      <c r="A136" s="68" t="inlineStr">
        <is>
          <t>null@null___NORMAL@ATUADO___Custom___INV_S_TS_SI</t>
        </is>
      </c>
      <c r="B136" s="68" t="inlineStr"/>
      <c r="C136" s="68" t="inlineStr">
        <is>
          <t>Transit;NORMAL;ATUADO;Error</t>
        </is>
      </c>
      <c r="D136" s="68" t="inlineStr">
        <is>
          <t>0;1;2;3</t>
        </is>
      </c>
      <c r="E136" s="68" t="inlineStr">
        <is>
          <t>2;1;0;3</t>
        </is>
      </c>
      <c r="F136" s="68" t="inlineStr">
        <is>
          <t>;;;</t>
        </is>
      </c>
      <c r="G136" s="68" t="inlineStr">
        <is>
          <t>#FF000000;#FF00FF00;#FFFF0000;#FFA9A9A9</t>
        </is>
      </c>
      <c r="H136" s="68" t="inlineStr">
        <is>
          <t>Abnormal;Auto;Auto;Abnormal</t>
        </is>
      </c>
      <c r="I136" s="68" t="inlineStr">
        <is>
          <t>FALSE;TRUE;TRUE;FALSE</t>
        </is>
      </c>
      <c r="J136" s="68" t="inlineStr">
        <is>
          <t>Alarme de Estado em Ponto Telessinalizado SI</t>
        </is>
      </c>
      <c r="K136" s="69" t="inlineStr">
        <is>
          <t>Alarme de Estado em Ponto Telessinalizado SI</t>
        </is>
      </c>
      <c r="L136" s="69">
        <f>VLOOKUP(LinkTable6789[[#This Row],[Coluna1]],[4]AlarmCatalog!$A:$M,11,FALSE)</f>
        <v/>
      </c>
    </row>
    <row r="137" ht="16.5" customFormat="1" customHeight="1" s="67">
      <c r="A137" s="68" t="inlineStr">
        <is>
          <t>DI_null@null___NORMAL@DEFEITO___Malfunctioning___INV_S_TS_SI</t>
        </is>
      </c>
      <c r="B137" s="68" t="inlineStr"/>
      <c r="C137" s="68" t="inlineStr">
        <is>
          <t>Transit;NORMAL;DEFEITO;Error</t>
        </is>
      </c>
      <c r="D137" s="68" t="inlineStr">
        <is>
          <t>0;1;2;3</t>
        </is>
      </c>
      <c r="E137" s="68" t="inlineStr">
        <is>
          <t>2;1;0;3</t>
        </is>
      </c>
      <c r="F137" s="68" t="inlineStr">
        <is>
          <t>;;;</t>
        </is>
      </c>
      <c r="G137" s="68" t="inlineStr">
        <is>
          <t>#FF000000;#FF00FF00;#FFFF0000;#FFA9A9A9</t>
        </is>
      </c>
      <c r="H137" s="68" t="inlineStr">
        <is>
          <t>Abnormal;Auto;Auto;Abnormal</t>
        </is>
      </c>
      <c r="I137" s="68" t="inlineStr">
        <is>
          <t>FALSE;TRUE;TRUE;FALSE</t>
        </is>
      </c>
      <c r="J137" s="68" t="inlineStr">
        <is>
          <t>Alarme de Estado em Ponto Telessinalizado SI</t>
        </is>
      </c>
      <c r="K137" s="69" t="inlineStr">
        <is>
          <t>Alarme de Estado em Ponto Telessinalizado SI</t>
        </is>
      </c>
      <c r="L137" s="69">
        <f>VLOOKUP(LinkTable6789[[#This Row],[Coluna1]],[4]AlarmCatalog!$A:$M,11,FALSE)</f>
        <v/>
      </c>
    </row>
    <row r="138" ht="16.5" customFormat="1" customHeight="1" s="67">
      <c r="A138" s="68" t="inlineStr">
        <is>
          <t>null@null___NORMAL@FALHA___Custom_S_TS_SI</t>
        </is>
      </c>
      <c r="B138" s="68" t="inlineStr"/>
      <c r="C138" s="68" t="inlineStr">
        <is>
          <t>Transit;NORMAL;FALHA;Error</t>
        </is>
      </c>
      <c r="D138" s="68" t="inlineStr">
        <is>
          <t>0;1;2;3</t>
        </is>
      </c>
      <c r="E138" s="68" t="inlineStr">
        <is>
          <t>2;0;1;3</t>
        </is>
      </c>
      <c r="F138" s="68" t="inlineStr">
        <is>
          <t>;;;</t>
        </is>
      </c>
      <c r="G138" s="68" t="inlineStr">
        <is>
          <t>#FF000000;#FF00FF00;#FFFF0000;#FFA9A9A9</t>
        </is>
      </c>
      <c r="H138" s="68" t="inlineStr">
        <is>
          <t>Abnormal;Auto;Auto;Abnormal</t>
        </is>
      </c>
      <c r="I138" s="68" t="inlineStr">
        <is>
          <t>FALSE;TRUE;TRUE;FALSE</t>
        </is>
      </c>
      <c r="J138" s="68" t="inlineStr">
        <is>
          <t>Alarme de Estado em Ponto Telessinalizado SI</t>
        </is>
      </c>
      <c r="K138" s="69" t="inlineStr">
        <is>
          <t>Alarme de Estado em Ponto Telessinalizado SI</t>
        </is>
      </c>
      <c r="L138" s="69">
        <f>VLOOKUP(LinkTable6789[[#This Row],[Coluna1]],[4]AlarmCatalog!$A:$M,11,FALSE)</f>
        <v/>
      </c>
    </row>
    <row r="139" ht="16.5" customFormat="1" customHeight="1" s="67">
      <c r="A139" s="68" t="inlineStr">
        <is>
          <t>null@null___LIGADO@DESLIGADO___Custom_S_TS_SI</t>
        </is>
      </c>
      <c r="B139" s="68" t="inlineStr"/>
      <c r="C139" s="68" t="inlineStr">
        <is>
          <t>Transit;LIGADO;DESLIGADO;Error</t>
        </is>
      </c>
      <c r="D139" s="68" t="inlineStr">
        <is>
          <t>0;1;2;3</t>
        </is>
      </c>
      <c r="E139" s="68" t="inlineStr">
        <is>
          <t>2;0;1;3</t>
        </is>
      </c>
      <c r="F139" s="68" t="inlineStr">
        <is>
          <t>;;;</t>
        </is>
      </c>
      <c r="G139" s="68" t="inlineStr">
        <is>
          <t>#FF000000;#FF00FF00;#FFFF0000;#FFA9A9A9</t>
        </is>
      </c>
      <c r="H139" s="68" t="inlineStr">
        <is>
          <t>Abnormal;Auto;Auto;Abnormal</t>
        </is>
      </c>
      <c r="I139" s="68" t="inlineStr">
        <is>
          <t>FALSE;TRUE;TRUE;FALSE</t>
        </is>
      </c>
      <c r="J139" s="68" t="inlineStr">
        <is>
          <t>Alarme de Estado em Ponto Telessinalizado SI</t>
        </is>
      </c>
      <c r="K139" s="69" t="inlineStr">
        <is>
          <t>Alarme de Estado em Ponto Telessinalizado SI</t>
        </is>
      </c>
      <c r="L139" s="69">
        <f>VLOOKUP(LinkTable6789[[#This Row],[Coluna1]],[4]AlarmCatalog!$A:$M,11,FALSE)</f>
        <v/>
      </c>
    </row>
    <row r="140" ht="16.5" customFormat="1" customHeight="1" s="67">
      <c r="A140" s="68" t="inlineStr">
        <is>
          <t>null@null___CARGA@DESCARGA___Custom_S_TS_SI</t>
        </is>
      </c>
      <c r="B140" s="68" t="inlineStr"/>
      <c r="C140" s="68" t="inlineStr">
        <is>
          <t>Transit;CARGA;DESCARGA;Error</t>
        </is>
      </c>
      <c r="D140" s="68" t="inlineStr">
        <is>
          <t>0;1;2;3</t>
        </is>
      </c>
      <c r="E140" s="68" t="inlineStr">
        <is>
          <t>2;0;1;3</t>
        </is>
      </c>
      <c r="F140" s="68" t="inlineStr">
        <is>
          <t>;;;</t>
        </is>
      </c>
      <c r="G140" s="68" t="inlineStr">
        <is>
          <t>#FF000000;#FF00FF00;#FFFF0000;#FFA9A9A9</t>
        </is>
      </c>
      <c r="H140" s="68" t="inlineStr">
        <is>
          <t>Abnormal;Auto;Auto;Abnormal</t>
        </is>
      </c>
      <c r="I140" s="68" t="inlineStr">
        <is>
          <t>FALSE;TRUE;TRUE;FALSE</t>
        </is>
      </c>
      <c r="J140" s="68" t="inlineStr">
        <is>
          <t>Alarme de Estado em Ponto Telessinalizado SI</t>
        </is>
      </c>
      <c r="K140" s="69" t="inlineStr">
        <is>
          <t>Alarme de Estado em Ponto Telessinalizado SI</t>
        </is>
      </c>
      <c r="L140" s="69">
        <f>VLOOKUP(LinkTable6789[[#This Row],[Coluna1]],[4]AlarmCatalog!$A:$M,11,FALSE)</f>
        <v/>
      </c>
    </row>
    <row r="141" ht="16.5" customFormat="1" customHeight="1" s="67">
      <c r="A141" s="68" t="inlineStr">
        <is>
          <t>null@null___NORMAL@DEFEITO___Custom_D_TS_SI</t>
        </is>
      </c>
      <c r="B141" s="68" t="inlineStr"/>
      <c r="C141" s="68" t="inlineStr">
        <is>
          <t>Invalido;NORMAL;DEFEITO;Error</t>
        </is>
      </c>
      <c r="D141" s="68" t="inlineStr">
        <is>
          <t>0;1;2;3</t>
        </is>
      </c>
      <c r="E141" s="68" t="inlineStr">
        <is>
          <t>0;1;2;3</t>
        </is>
      </c>
      <c r="F141" s="68" t="inlineStr">
        <is>
          <t>;;;</t>
        </is>
      </c>
      <c r="G141" s="68" t="inlineStr">
        <is>
          <t>#FF000000;#FF00FF00;#FFFF0000;#FFA9A9A9</t>
        </is>
      </c>
      <c r="H141" s="68" t="inlineStr">
        <is>
          <t>Abnormal;Auto;Auto;Abnormal</t>
        </is>
      </c>
      <c r="I141" s="68" t="inlineStr">
        <is>
          <t>FALSE;TRUE;TRUE;FALSE</t>
        </is>
      </c>
      <c r="J141" s="68" t="inlineStr">
        <is>
          <t>Alarme de Estado em Ponto Telessinalizado SI</t>
        </is>
      </c>
      <c r="K141" s="69" t="inlineStr">
        <is>
          <t>Alarme de Estado em Ponto Telessinalizado SI</t>
        </is>
      </c>
      <c r="L141" s="69">
        <f>VLOOKUP(LinkTable6789[[#This Row],[Coluna1]],[4]AlarmCatalog!$A:$M,11,FALSE)</f>
        <v/>
      </c>
    </row>
    <row r="142" ht="16.5" customFormat="1" customHeight="1" s="67">
      <c r="A142" s="68" t="inlineStr">
        <is>
          <t>null@REARMAR___NORMAL@ATUADO___Custom___INV_S_TS_SI</t>
        </is>
      </c>
      <c r="B142" s="68" t="inlineStr"/>
      <c r="C142" s="68" t="inlineStr">
        <is>
          <t>Transit;NORMAL;ATUADO;Error</t>
        </is>
      </c>
      <c r="D142" s="68" t="inlineStr">
        <is>
          <t>0;1;2;3</t>
        </is>
      </c>
      <c r="E142" s="68" t="inlineStr">
        <is>
          <t>2;1;0;3</t>
        </is>
      </c>
      <c r="F142" s="68" t="inlineStr">
        <is>
          <t>;;;</t>
        </is>
      </c>
      <c r="G142" s="68" t="inlineStr">
        <is>
          <t>#FF000000;#FF00FF00;#FFFF0000;#FFA9A9A9</t>
        </is>
      </c>
      <c r="H142" s="68" t="inlineStr">
        <is>
          <t>Abnormal;Auto;Auto;Abnormal</t>
        </is>
      </c>
      <c r="I142" s="68" t="inlineStr">
        <is>
          <t>FALSE;TRUE;TRUE;FALSE</t>
        </is>
      </c>
      <c r="J142" s="68" t="inlineStr">
        <is>
          <t>Alarme de Estado em Ponto Telessinalizado SI</t>
        </is>
      </c>
      <c r="K142" s="69" t="inlineStr">
        <is>
          <t>Alarme de Estado em Ponto Telessinalizado SI</t>
        </is>
      </c>
      <c r="L142" s="69">
        <f>VLOOKUP(LinkTable6789[[#This Row],[Coluna1]],[4]AlarmCatalog!$A:$M,11,FALSE)</f>
        <v/>
      </c>
    </row>
    <row r="143" ht="16.5" customFormat="1" customHeight="1" s="67">
      <c r="A143" s="68" t="inlineStr">
        <is>
          <t>null@null___ABERTO@FECHADO___SwitchStatus_S_TS</t>
        </is>
      </c>
      <c r="B143" s="68" t="inlineStr"/>
      <c r="C143" s="68" t="inlineStr">
        <is>
          <t>Error;ABERTO;FECHADO;Transit</t>
        </is>
      </c>
      <c r="D143" s="68" t="inlineStr">
        <is>
          <t>0;1;2;3</t>
        </is>
      </c>
      <c r="E143" s="68" t="inlineStr">
        <is>
          <t>2;0;1;3</t>
        </is>
      </c>
      <c r="F143" s="68" t="inlineStr">
        <is>
          <t>;;;</t>
        </is>
      </c>
      <c r="G143" s="68" t="inlineStr">
        <is>
          <t>#FF000000;#FF00FF00;#FFFF0000;#FFA9A9A9</t>
        </is>
      </c>
      <c r="H143" s="68" t="inlineStr">
        <is>
          <t>Abnormal;Auto;Auto;Abnormal</t>
        </is>
      </c>
      <c r="I143" s="68" t="inlineStr">
        <is>
          <t>FALSE;TRUE;TRUE;FALSE</t>
        </is>
      </c>
      <c r="J143" s="68" t="inlineStr">
        <is>
          <t>Alarme de Estado em Ponto Telessinalizado</t>
        </is>
      </c>
      <c r="K143" s="69" t="inlineStr">
        <is>
          <t>Alarme de Estado em Ponto Telessinalizado</t>
        </is>
      </c>
      <c r="L143" s="69">
        <f>VLOOKUP(LinkTable6789[[#This Row],[Coluna1]],[4]AlarmCatalog!$A:$M,11,FALSE)</f>
        <v/>
      </c>
    </row>
    <row r="144" ht="16.5" customFormat="1" customHeight="1" s="67">
      <c r="A144" s="68" t="inlineStr">
        <is>
          <t>CMD_COS@null___REMOTO@LOCAL___Custom___INV_S_TS_SS</t>
        </is>
      </c>
      <c r="B144" s="68" t="inlineStr"/>
      <c r="C144" s="68" t="inlineStr">
        <is>
          <t>Transit;REMOTO;LOCAL;Error</t>
        </is>
      </c>
      <c r="D144" s="68" t="inlineStr">
        <is>
          <t>0;1;2;3</t>
        </is>
      </c>
      <c r="E144" s="68" t="inlineStr">
        <is>
          <t>2;1;0;3</t>
        </is>
      </c>
      <c r="F144" s="68" t="inlineStr">
        <is>
          <t>;;;</t>
        </is>
      </c>
      <c r="G144" s="68" t="inlineStr">
        <is>
          <t>#FF000000;#FF00FF00;#FFFF0000;#FFA9A9A9</t>
        </is>
      </c>
      <c r="H144" s="68" t="inlineStr">
        <is>
          <t>Abnormal;Auto;Auto;Abnormal</t>
        </is>
      </c>
      <c r="I144" s="68" t="inlineStr">
        <is>
          <t>FALSE;TRUE;TRUE;FALSE</t>
        </is>
      </c>
      <c r="J144" s="68" t="inlineStr">
        <is>
          <t>Alarme de Estado em Ponto Telessinalizado SS</t>
        </is>
      </c>
      <c r="K144" s="69" t="inlineStr">
        <is>
          <t>Alarme de Estado em Ponto Telessinalizado SS</t>
        </is>
      </c>
      <c r="L144" s="69">
        <f>VLOOKUP(LinkTable6789[[#This Row],[Coluna1]],[4]AlarmCatalog!$A:$M,11,FALSE)</f>
        <v/>
      </c>
    </row>
    <row r="145" ht="16.5" customFormat="1" customHeight="1" s="67">
      <c r="A145" s="68" t="inlineStr">
        <is>
          <t>null@null___NORMAL@ATUADO___RelayTrip_S_TS</t>
        </is>
      </c>
      <c r="B145" s="68" t="inlineStr"/>
      <c r="C145" s="68" t="inlineStr">
        <is>
          <t>Error;NORMAL;ATUADO;Transit</t>
        </is>
      </c>
      <c r="D145" s="68" t="inlineStr">
        <is>
          <t>0;1;2;3</t>
        </is>
      </c>
      <c r="E145" s="68" t="inlineStr">
        <is>
          <t>2;0;1;3</t>
        </is>
      </c>
      <c r="F145" s="68" t="inlineStr">
        <is>
          <t>;;;</t>
        </is>
      </c>
      <c r="G145" s="68" t="inlineStr">
        <is>
          <t>#FF000000;#FF00FF00;#FFFF0000;#FFA9A9A9</t>
        </is>
      </c>
      <c r="H145" s="68" t="inlineStr">
        <is>
          <t>Abnormal;Auto;Auto;Abnormal</t>
        </is>
      </c>
      <c r="I145" s="68" t="inlineStr">
        <is>
          <t>FALSE;TRUE;TRUE;FALSE</t>
        </is>
      </c>
      <c r="J145" s="68" t="inlineStr">
        <is>
          <t>Alarme de Estado em Ponto Telessinalizado</t>
        </is>
      </c>
      <c r="K145" s="69" t="inlineStr">
        <is>
          <t>Alarme de Estado em Ponto Telessinalizado</t>
        </is>
      </c>
      <c r="L145" s="69">
        <f>VLOOKUP(LinkTable6789[[#This Row],[Coluna1]],[4]AlarmCatalog!$A:$M,11,FALSE)</f>
        <v/>
      </c>
    </row>
    <row r="146" ht="16.5" customFormat="1" customHeight="1" s="67">
      <c r="A146" s="68" t="inlineStr">
        <is>
          <t>null@null___NORMAL@ATUADO___Custom_S_TS</t>
        </is>
      </c>
      <c r="B146" s="68" t="inlineStr"/>
      <c r="C146" s="68" t="inlineStr">
        <is>
          <t>Error;NORMAL;ATUADO;Transit</t>
        </is>
      </c>
      <c r="D146" s="68" t="inlineStr">
        <is>
          <t>0;1;2;3</t>
        </is>
      </c>
      <c r="E146" s="68" t="inlineStr">
        <is>
          <t>2;0;1;3</t>
        </is>
      </c>
      <c r="F146" s="68" t="inlineStr">
        <is>
          <t>;;;</t>
        </is>
      </c>
      <c r="G146" s="68" t="inlineStr">
        <is>
          <t>#FF000000;#FF00FF00;#FFFF0000;#FFA9A9A9</t>
        </is>
      </c>
      <c r="H146" s="68" t="inlineStr">
        <is>
          <t>Abnormal;Auto;Auto;Abnormal</t>
        </is>
      </c>
      <c r="I146" s="68" t="inlineStr">
        <is>
          <t>FALSE;TRUE;TRUE;FALSE</t>
        </is>
      </c>
      <c r="J146" s="68" t="inlineStr">
        <is>
          <t>Alarme de Estado em Ponto Telessinalizado</t>
        </is>
      </c>
      <c r="K146" s="69" t="inlineStr">
        <is>
          <t>Alarme de Estado em Ponto Telessinalizado</t>
        </is>
      </c>
      <c r="L146" s="69">
        <f>VLOOKUP(LinkTable6789[[#This Row],[Coluna1]],[4]AlarmCatalog!$A:$M,11,FALSE)</f>
        <v/>
      </c>
    </row>
    <row r="147" ht="16.5" customFormat="1" customHeight="1" s="67">
      <c r="A147" s="68" t="inlineStr">
        <is>
          <t>null@null___NORMAL@FALTA___Custom_S_TS</t>
        </is>
      </c>
      <c r="B147" s="68" t="inlineStr"/>
      <c r="C147" s="68" t="inlineStr">
        <is>
          <t>Transit;NORMAL;FALTA;Error</t>
        </is>
      </c>
      <c r="D147" s="68" t="inlineStr">
        <is>
          <t>0;1;2;3</t>
        </is>
      </c>
      <c r="E147" s="68" t="inlineStr">
        <is>
          <t>2;0;1;3</t>
        </is>
      </c>
      <c r="F147" s="68" t="inlineStr">
        <is>
          <t>;;;</t>
        </is>
      </c>
      <c r="G147" s="68" t="inlineStr">
        <is>
          <t>#FF000000;#FF00FF00;#FFFF0000;#FFA9A9A9</t>
        </is>
      </c>
      <c r="H147" s="68" t="inlineStr">
        <is>
          <t>Abnormal;Auto;Auto;Abnormal</t>
        </is>
      </c>
      <c r="I147" s="68" t="inlineStr">
        <is>
          <t>FALSE;TRUE;TRUE;FALSE</t>
        </is>
      </c>
      <c r="J147" s="68" t="inlineStr">
        <is>
          <t>Alarme de Estado em Ponto Telessinalizado</t>
        </is>
      </c>
      <c r="K147" s="69" t="inlineStr">
        <is>
          <t>Alarme de Estado em Ponto Telessinalizado</t>
        </is>
      </c>
      <c r="L147" s="69">
        <f>VLOOKUP(LinkTable6789[[#This Row],[Coluna1]],[4]AlarmCatalog!$A:$M,11,FALSE)</f>
        <v/>
      </c>
    </row>
    <row r="148" ht="16.5" customFormat="1" customHeight="1" s="67">
      <c r="A148" s="68" t="inlineStr">
        <is>
          <t>null@null___NORMAL@DEFEITO___Custom_S_TS</t>
        </is>
      </c>
      <c r="B148" s="68" t="inlineStr"/>
      <c r="C148" s="68" t="inlineStr">
        <is>
          <t>Transit;NORMAL;DEFEITO;Error</t>
        </is>
      </c>
      <c r="D148" s="68" t="inlineStr">
        <is>
          <t>0;1;2;3</t>
        </is>
      </c>
      <c r="E148" s="68" t="inlineStr">
        <is>
          <t>2;0;1;3</t>
        </is>
      </c>
      <c r="F148" s="68" t="inlineStr">
        <is>
          <t>;;;</t>
        </is>
      </c>
      <c r="G148" s="68" t="inlineStr">
        <is>
          <t>#FF000000;#FF00FF00;#FFFF0000;#FFA9A9A9</t>
        </is>
      </c>
      <c r="H148" s="68" t="inlineStr">
        <is>
          <t>Abnormal;Auto;Auto;Abnormal</t>
        </is>
      </c>
      <c r="I148" s="68" t="inlineStr">
        <is>
          <t>FALSE;TRUE;TRUE;FALSE</t>
        </is>
      </c>
      <c r="J148" s="68" t="inlineStr">
        <is>
          <t>Alarme de Estado em Ponto Telessinalizado</t>
        </is>
      </c>
      <c r="K148" s="69" t="inlineStr">
        <is>
          <t>Alarme de Estado em Ponto Telessinalizado</t>
        </is>
      </c>
      <c r="L148" s="69">
        <f>VLOOKUP(LinkTable6789[[#This Row],[Coluna1]],[4]AlarmCatalog!$A:$M,11,FALSE)</f>
        <v/>
      </c>
    </row>
    <row r="149" ht="16.5" customFormat="1" customHeight="1" s="67">
      <c r="A149" s="68" t="inlineStr">
        <is>
          <t>null@null___NORMAL@FALHA___Custom_S_TS</t>
        </is>
      </c>
      <c r="B149" s="68" t="inlineStr"/>
      <c r="C149" s="68" t="inlineStr">
        <is>
          <t>Transit;NORMAL;FALHA;Error</t>
        </is>
      </c>
      <c r="D149" s="68" t="inlineStr">
        <is>
          <t>0;1;2;3</t>
        </is>
      </c>
      <c r="E149" s="68" t="inlineStr">
        <is>
          <t>2;0;1;3</t>
        </is>
      </c>
      <c r="F149" s="68" t="inlineStr">
        <is>
          <t>;;;</t>
        </is>
      </c>
      <c r="G149" s="68" t="inlineStr">
        <is>
          <t>#FF000000;#FF00FF00;#FFFF0000;#FFA9A9A9</t>
        </is>
      </c>
      <c r="H149" s="68" t="inlineStr">
        <is>
          <t>Abnormal;Auto;Auto;Abnormal</t>
        </is>
      </c>
      <c r="I149" s="68" t="inlineStr">
        <is>
          <t>FALSE;TRUE;TRUE;FALSE</t>
        </is>
      </c>
      <c r="J149" s="68" t="inlineStr">
        <is>
          <t>Alarme de Estado em Ponto Telessinalizado</t>
        </is>
      </c>
      <c r="K149" s="69" t="inlineStr">
        <is>
          <t>Alarme de Estado em Ponto Telessinalizado</t>
        </is>
      </c>
      <c r="L149" s="69">
        <f>VLOOKUP(LinkTable6789[[#This Row],[Coluna1]],[4]AlarmCatalog!$A:$M,11,FALSE)</f>
        <v/>
      </c>
    </row>
    <row r="150" ht="16.5" customFormat="1" customHeight="1" s="67">
      <c r="A150" s="68" t="inlineStr">
        <is>
          <t>null@null___LIGADO@DESLIGADO___Custom_S_TS</t>
        </is>
      </c>
      <c r="B150" s="68" t="inlineStr"/>
      <c r="C150" s="68" t="inlineStr">
        <is>
          <t>Transit;LIGADO;DESLIGADO;Error</t>
        </is>
      </c>
      <c r="D150" s="68" t="inlineStr">
        <is>
          <t>0;1;2;3</t>
        </is>
      </c>
      <c r="E150" s="68" t="inlineStr">
        <is>
          <t>2;0;1;3</t>
        </is>
      </c>
      <c r="F150" s="68" t="inlineStr">
        <is>
          <t>;;;</t>
        </is>
      </c>
      <c r="G150" s="68" t="inlineStr">
        <is>
          <t>#FF000000;#FF00FF00;#FFFF0000;#FFA9A9A9</t>
        </is>
      </c>
      <c r="H150" s="68" t="inlineStr">
        <is>
          <t>Abnormal;Auto;Auto;Abnormal</t>
        </is>
      </c>
      <c r="I150" s="68" t="inlineStr">
        <is>
          <t>FALSE;TRUE;TRUE;FALSE</t>
        </is>
      </c>
      <c r="J150" s="68" t="inlineStr">
        <is>
          <t>Alarme de Estado em Ponto Telessinalizado</t>
        </is>
      </c>
      <c r="K150" s="69" t="inlineStr">
        <is>
          <t>Alarme de Estado em Ponto Telessinalizado</t>
        </is>
      </c>
      <c r="L150" s="69">
        <f>VLOOKUP(LinkTable6789[[#This Row],[Coluna1]],[4]AlarmCatalog!$A:$M,11,FALSE)</f>
        <v/>
      </c>
    </row>
    <row r="151" ht="16.5" customFormat="1" customHeight="1" s="67">
      <c r="A151" s="68" t="inlineStr">
        <is>
          <t>null@null___CARREGADA@DESCARREGADA___Custom_S_TS</t>
        </is>
      </c>
      <c r="B151" s="68" t="inlineStr"/>
      <c r="C151" s="68" t="inlineStr">
        <is>
          <t>Transit;CARREGADA;DESCARREGADA;Error</t>
        </is>
      </c>
      <c r="D151" s="68" t="inlineStr">
        <is>
          <t>0;1;2;3</t>
        </is>
      </c>
      <c r="E151" s="68" t="inlineStr">
        <is>
          <t>2;0;1;3</t>
        </is>
      </c>
      <c r="F151" s="68" t="inlineStr">
        <is>
          <t>;;;</t>
        </is>
      </c>
      <c r="G151" s="68" t="inlineStr">
        <is>
          <t>#FF000000;#FF00FF00;#FFFF0000;#FFA9A9A9</t>
        </is>
      </c>
      <c r="H151" s="68" t="inlineStr">
        <is>
          <t>Abnormal;Auto;Auto;Abnormal</t>
        </is>
      </c>
      <c r="I151" s="68" t="inlineStr">
        <is>
          <t>FALSE;TRUE;TRUE;FALSE</t>
        </is>
      </c>
      <c r="J151" s="68" t="inlineStr">
        <is>
          <t>Alarme de Estado em Ponto Telessinalizado</t>
        </is>
      </c>
      <c r="K151" s="69" t="inlineStr">
        <is>
          <t>Alarme de Estado em Ponto Telessinalizado</t>
        </is>
      </c>
      <c r="L151" s="69">
        <f>VLOOKUP(LinkTable6789[[#This Row],[Coluna1]],[4]AlarmCatalog!$A:$M,11,FALSE)</f>
        <v/>
      </c>
    </row>
    <row r="152" ht="16.5" customFormat="1" customHeight="1" s="67">
      <c r="A152" s="68" t="inlineStr">
        <is>
          <t>null@null___ABERTO@FECHADO___SwitchStatus_D_TS</t>
        </is>
      </c>
      <c r="B152" s="68" t="inlineStr"/>
      <c r="C152" s="68" t="inlineStr">
        <is>
          <t>Transit;ABERTO;FECHADO;Error</t>
        </is>
      </c>
      <c r="D152" s="68" t="inlineStr">
        <is>
          <t>0;1;2;3</t>
        </is>
      </c>
      <c r="E152" s="68" t="inlineStr">
        <is>
          <t>0;1;2;3</t>
        </is>
      </c>
      <c r="F152" s="68" t="inlineStr">
        <is>
          <t>;;;</t>
        </is>
      </c>
      <c r="G152" s="68" t="inlineStr">
        <is>
          <t>#FF000000;#FF00FF00;#FFFF0000;#FFA9A9A9</t>
        </is>
      </c>
      <c r="H152" s="68" t="inlineStr">
        <is>
          <t>Abnormal;Auto;Auto;Abnormal</t>
        </is>
      </c>
      <c r="I152" s="68" t="inlineStr">
        <is>
          <t>FALSE;TRUE;TRUE;FALSE</t>
        </is>
      </c>
      <c r="J152" s="68" t="inlineStr">
        <is>
          <t>Alarme de Estado em Ponto Telessinalizado</t>
        </is>
      </c>
      <c r="K152" s="69" t="inlineStr">
        <is>
          <t>Alarme de Estado em Ponto Telessinalizado</t>
        </is>
      </c>
      <c r="L152" s="69">
        <f>VLOOKUP(LinkTable6789[[#This Row],[Coluna1]],[4]AlarmCatalog!$A:$M,11,FALSE)</f>
        <v/>
      </c>
    </row>
    <row r="153" ht="16.5" customFormat="1" customHeight="1" s="67">
      <c r="A153" s="68" t="inlineStr">
        <is>
          <t>CMD_COS@null___REMOTO@LOCAL___Custom_S_TC</t>
        </is>
      </c>
      <c r="B153" s="68" t="inlineStr"/>
      <c r="C153" s="68" t="inlineStr">
        <is>
          <t>Transit;REMOTO;LOCAL;Error</t>
        </is>
      </c>
      <c r="D153" s="68" t="inlineStr">
        <is>
          <t>0;1;2;3</t>
        </is>
      </c>
      <c r="E153" s="68" t="inlineStr">
        <is>
          <t>2;0;1;3</t>
        </is>
      </c>
      <c r="F153" s="68" t="inlineStr">
        <is>
          <t>;CMD_COS;;</t>
        </is>
      </c>
      <c r="G153" s="68" t="inlineStr">
        <is>
          <t>#FF000000;#FF00FF00;#FFFF0000;#FFA9A9A9</t>
        </is>
      </c>
      <c r="H153" s="68" t="inlineStr">
        <is>
          <t>Abnormal;Auto;Auto;Abnormal</t>
        </is>
      </c>
      <c r="I153" s="68" t="inlineStr">
        <is>
          <t>FALSE;TRUE;TRUE;FALSE</t>
        </is>
      </c>
      <c r="J153" s="68" t="inlineStr">
        <is>
          <t>Alarme de Estado em Ponto Telecontrolado</t>
        </is>
      </c>
      <c r="K153" s="69" t="inlineStr">
        <is>
          <t>Alarme de Estado em Ponto Telecontrolado</t>
        </is>
      </c>
      <c r="L153" s="69">
        <f>VLOOKUP(LinkTable6789[[#This Row],[Coluna1]],[4]AlarmCatalog!$A:$M,11,FALSE)</f>
        <v/>
      </c>
    </row>
    <row r="154" ht="16.5" customFormat="1" customHeight="1" s="67">
      <c r="A154" s="68" t="inlineStr">
        <is>
          <t>null@null___CARGA@DESCARGA___Custom_S_TS</t>
        </is>
      </c>
      <c r="B154" s="68" t="inlineStr"/>
      <c r="C154" s="68" t="inlineStr">
        <is>
          <t>Transit;CARGA;DESCARGA;Error</t>
        </is>
      </c>
      <c r="D154" s="68" t="inlineStr">
        <is>
          <t>0;1;2;3</t>
        </is>
      </c>
      <c r="E154" s="68" t="inlineStr">
        <is>
          <t>2;0;1;3</t>
        </is>
      </c>
      <c r="F154" s="68" t="inlineStr">
        <is>
          <t>;;;</t>
        </is>
      </c>
      <c r="G154" s="68" t="inlineStr">
        <is>
          <t>#FF000000;#FF00FF00;#FFFF0000;#FFA9A9A9</t>
        </is>
      </c>
      <c r="H154" s="68" t="inlineStr">
        <is>
          <t>Abnormal;Auto;Auto;Abnormal</t>
        </is>
      </c>
      <c r="I154" s="68" t="inlineStr">
        <is>
          <t>FALSE;TRUE;TRUE;FALSE</t>
        </is>
      </c>
      <c r="J154" s="68" t="inlineStr">
        <is>
          <t>Alarme de Estado em Ponto Telessinalizado</t>
        </is>
      </c>
      <c r="K154" s="69" t="inlineStr">
        <is>
          <t>Alarme de Estado em Ponto Telessinalizado</t>
        </is>
      </c>
      <c r="L154" s="69">
        <f>VLOOKUP(LinkTable6789[[#This Row],[Coluna1]],[4]AlarmCatalog!$A:$M,11,FALSE)</f>
        <v/>
      </c>
    </row>
    <row r="155" ht="16.5" customFormat="1" customHeight="1" s="67">
      <c r="A155" s="68" t="inlineStr">
        <is>
          <t>null@null___DESATIVADO@ATIVADO___Custom_S_TS</t>
        </is>
      </c>
      <c r="B155" s="68" t="inlineStr"/>
      <c r="C155" s="68" t="inlineStr">
        <is>
          <t>Transit;DESATIVADO;ATIVADO;Error</t>
        </is>
      </c>
      <c r="D155" s="68" t="inlineStr">
        <is>
          <t>0;1;2;3</t>
        </is>
      </c>
      <c r="E155" s="68" t="inlineStr">
        <is>
          <t>2;0;1;3</t>
        </is>
      </c>
      <c r="F155" s="68" t="inlineStr">
        <is>
          <t>;;;</t>
        </is>
      </c>
      <c r="G155" s="68" t="inlineStr">
        <is>
          <t>#FF000000;#FF00FF00;#FFFF0000;#FFA9A9A9</t>
        </is>
      </c>
      <c r="H155" s="68" t="inlineStr">
        <is>
          <t>Abnormal;Auto;Auto;Abnormal</t>
        </is>
      </c>
      <c r="I155" s="68" t="inlineStr">
        <is>
          <t>FALSE;TRUE;TRUE;FALSE</t>
        </is>
      </c>
      <c r="J155" s="68" t="inlineStr">
        <is>
          <t>Alarme de Estado em Ponto Telessinalizado</t>
        </is>
      </c>
      <c r="K155" s="69" t="inlineStr">
        <is>
          <t>Alarme de Estado em Ponto Telessinalizado</t>
        </is>
      </c>
      <c r="L155" s="69">
        <f>VLOOKUP(LinkTable6789[[#This Row],[Coluna1]],[4]AlarmCatalog!$A:$M,11,FALSE)</f>
        <v/>
      </c>
    </row>
    <row r="156" ht="16.5" customFormat="1" customHeight="1" s="67">
      <c r="A156" s="68" t="inlineStr">
        <is>
          <t>DI_INCLUIR@EXCLUIR___INCLUIDO@EXCLUIDO___ReclosingEnabled___admsINV_S_TC_DS_PROT</t>
        </is>
      </c>
      <c r="B156" s="68" t="inlineStr"/>
      <c r="C156" s="68" t="inlineStr">
        <is>
          <t>Transit;INCLUIDO;EXCLUIDO;Error</t>
        </is>
      </c>
      <c r="D156" s="68" t="inlineStr">
        <is>
          <t>0;2;1;3</t>
        </is>
      </c>
      <c r="E156" s="68" t="inlineStr">
        <is>
          <t>2;0;1;3</t>
        </is>
      </c>
      <c r="F156" s="68" t="inlineStr">
        <is>
          <t>;INCLUIR;EXCLUIR;</t>
        </is>
      </c>
      <c r="G156" s="68" t="inlineStr">
        <is>
          <t>#FF000000;#FFFF0000;#FF00FF00;#FFA9A9A9</t>
        </is>
      </c>
      <c r="H156" s="68" t="inlineStr">
        <is>
          <t>Abnormal;Normal;Abnormal;Abnormal</t>
        </is>
      </c>
      <c r="I156" s="68" t="inlineStr">
        <is>
          <t>FALSE;TRUE;TRUE;FALSE</t>
        </is>
      </c>
      <c r="J156" s="68" t="inlineStr">
        <is>
          <t>Alarme de Estado em Ponto Telecontrolado DS</t>
        </is>
      </c>
      <c r="K156" s="69" t="inlineStr">
        <is>
          <t>Alarme de Estado em Ponto Telecontrolado DS</t>
        </is>
      </c>
      <c r="L156" s="69">
        <f>VLOOKUP(LinkTable6789[[#This Row],[Coluna1]],[4]AlarmCatalog!$A:$M,11,FALSE)</f>
        <v/>
      </c>
    </row>
    <row r="157" ht="16.5" customFormat="1" customHeight="1" s="67">
      <c r="A157" s="68" t="inlineStr">
        <is>
          <t>null@null___NORMAL@FALHA___Custom___INV_S_TS</t>
        </is>
      </c>
      <c r="B157" s="68" t="inlineStr"/>
      <c r="C157" s="68" t="inlineStr">
        <is>
          <t>Transit;NORMAL;FALHA;Error</t>
        </is>
      </c>
      <c r="D157" s="68" t="inlineStr">
        <is>
          <t>0;1;2;3</t>
        </is>
      </c>
      <c r="E157" s="68" t="inlineStr">
        <is>
          <t>2;1;0;3</t>
        </is>
      </c>
      <c r="F157" s="68" t="inlineStr">
        <is>
          <t>;;;</t>
        </is>
      </c>
      <c r="G157" s="68" t="inlineStr">
        <is>
          <t>#FF000000;#FF00FF00;#FFFF0000;#FFA9A9A9</t>
        </is>
      </c>
      <c r="H157" s="68" t="inlineStr">
        <is>
          <t>Abnormal;Auto;Auto;Abnormal</t>
        </is>
      </c>
      <c r="I157" s="68" t="inlineStr">
        <is>
          <t>FALSE;TRUE;TRUE;FALSE</t>
        </is>
      </c>
      <c r="J157" s="68" t="inlineStr">
        <is>
          <t>Alarme de Estado em Ponto Telessinalizado</t>
        </is>
      </c>
      <c r="K157" s="69" t="inlineStr">
        <is>
          <t>Alarme de Estado em Ponto Telessinalizado</t>
        </is>
      </c>
      <c r="L157" s="69">
        <f>VLOOKUP(LinkTable6789[[#This Row],[Coluna1]],[4]AlarmCatalog!$A:$M,11,FALSE)</f>
        <v/>
      </c>
    </row>
    <row r="158" ht="16.5" customFormat="1" customHeight="1" s="67">
      <c r="A158" s="68" t="inlineStr">
        <is>
          <t>null@null___DESLIGAR@LIGAR___Custom_S_TS</t>
        </is>
      </c>
      <c r="B158" s="68" t="inlineStr"/>
      <c r="C158" s="68" t="inlineStr">
        <is>
          <t>Transit;DESLIGAR;LIGAR;Error</t>
        </is>
      </c>
      <c r="D158" s="68" t="inlineStr">
        <is>
          <t>0;1;2;3</t>
        </is>
      </c>
      <c r="E158" s="68" t="inlineStr">
        <is>
          <t>2;0;1;3</t>
        </is>
      </c>
      <c r="F158" s="68" t="inlineStr">
        <is>
          <t>;;;</t>
        </is>
      </c>
      <c r="G158" s="68" t="inlineStr">
        <is>
          <t>#FF000000;#FF00FF00;#FFFF0000;#FFA9A9A9</t>
        </is>
      </c>
      <c r="H158" s="68" t="inlineStr">
        <is>
          <t>Abnormal;Auto;Auto;Abnormal</t>
        </is>
      </c>
      <c r="I158" s="68" t="inlineStr">
        <is>
          <t>FALSE;TRUE;TRUE;FALSE</t>
        </is>
      </c>
      <c r="J158" s="68" t="inlineStr">
        <is>
          <t>Alarme de Estado em Ponto Telessinalizado</t>
        </is>
      </c>
      <c r="K158" s="69" t="inlineStr">
        <is>
          <t>Alarme de Estado em Ponto Telessinalizado</t>
        </is>
      </c>
      <c r="L158" s="69">
        <f>VLOOKUP(LinkTable6789[[#This Row],[Coluna1]],[4]AlarmCatalog!$A:$M,11,FALSE)</f>
        <v/>
      </c>
    </row>
    <row r="159" ht="16.5" customFormat="1" customHeight="1" s="67">
      <c r="A159" s="68" t="inlineStr">
        <is>
          <t>null@null___NORMAL@ATUADO___Custom___INV_S_TS</t>
        </is>
      </c>
      <c r="B159" s="68" t="inlineStr"/>
      <c r="C159" s="68" t="inlineStr">
        <is>
          <t>Transit;NORMAL;ATUADO;Error</t>
        </is>
      </c>
      <c r="D159" s="68" t="inlineStr">
        <is>
          <t>0;1;2;3</t>
        </is>
      </c>
      <c r="E159" s="68" t="inlineStr">
        <is>
          <t>2;1;0;3</t>
        </is>
      </c>
      <c r="F159" s="68" t="inlineStr">
        <is>
          <t>;;;</t>
        </is>
      </c>
      <c r="G159" s="68" t="inlineStr">
        <is>
          <t>#FF000000;#FF00FF00;#FFFF0000;#FFA9A9A9</t>
        </is>
      </c>
      <c r="H159" s="68" t="inlineStr">
        <is>
          <t>Abnormal;Auto;Auto;Abnormal</t>
        </is>
      </c>
      <c r="I159" s="68" t="inlineStr">
        <is>
          <t>FALSE;TRUE;TRUE;FALSE</t>
        </is>
      </c>
      <c r="J159" s="68" t="inlineStr">
        <is>
          <t>Alarme de Estado em Ponto Telessinalizado</t>
        </is>
      </c>
      <c r="K159" s="69" t="inlineStr">
        <is>
          <t>Alarme de Estado em Ponto Telessinalizado</t>
        </is>
      </c>
      <c r="L159" s="69">
        <f>VLOOKUP(LinkTable6789[[#This Row],[Coluna1]],[4]AlarmCatalog!$A:$M,11,FALSE)</f>
        <v/>
      </c>
    </row>
    <row r="160" ht="16.5" customFormat="1" customHeight="1" s="67">
      <c r="A160" s="68" t="inlineStr">
        <is>
          <t>DI_INCLUIR@EXCLUIR___INCLUIDO@EXCLUIDO___ReclosingEnabled___INV___admsINV_S_TC_DS</t>
        </is>
      </c>
      <c r="B160" s="68" t="inlineStr"/>
      <c r="C160" s="68" t="inlineStr">
        <is>
          <t>Transit;INCLUIDO;EXCLUIDO;Error</t>
        </is>
      </c>
      <c r="D160" s="68" t="inlineStr">
        <is>
          <t>0;2;1;3</t>
        </is>
      </c>
      <c r="E160" s="68" t="inlineStr">
        <is>
          <t>2;1;0;3</t>
        </is>
      </c>
      <c r="F160" s="68" t="inlineStr">
        <is>
          <t>;INCLUIR;EXCLUIR;</t>
        </is>
      </c>
      <c r="G160" s="68" t="inlineStr">
        <is>
          <t>#FF000000;#FFFF0000;#FF00FF00;#FFA9A9A9</t>
        </is>
      </c>
      <c r="H160" s="68" t="inlineStr">
        <is>
          <t>Abnormal;Auto;Auto;Abnormal</t>
        </is>
      </c>
      <c r="I160" s="68" t="inlineStr">
        <is>
          <t>FALSE;TRUE;TRUE;FALSE</t>
        </is>
      </c>
      <c r="J160" s="68" t="inlineStr">
        <is>
          <t>Alarme de Estado em Ponto Telecontrolado DS</t>
        </is>
      </c>
      <c r="K160" s="69" t="inlineStr">
        <is>
          <t>Alarme de Estado em Ponto Telecontrolado DS</t>
        </is>
      </c>
      <c r="L160" s="69">
        <f>VLOOKUP(LinkTable6789[[#This Row],[Coluna1]],[4]AlarmCatalog!$A:$M,11,FALSE)</f>
        <v/>
      </c>
    </row>
    <row r="161" ht="16.5" customFormat="1" customHeight="1" s="67">
      <c r="A161" s="68" t="inlineStr">
        <is>
          <t>null@null___BLOQUEADA@LIBERADA___Custom___INV_S_TS</t>
        </is>
      </c>
      <c r="B161" s="68" t="inlineStr"/>
      <c r="C161" s="68" t="inlineStr">
        <is>
          <t>Transit;BLOQUEADA;LIBERADA;Error</t>
        </is>
      </c>
      <c r="D161" s="68" t="inlineStr">
        <is>
          <t>0;1;2;3</t>
        </is>
      </c>
      <c r="E161" s="68" t="inlineStr">
        <is>
          <t>2;1;0;3</t>
        </is>
      </c>
      <c r="F161" s="68" t="inlineStr">
        <is>
          <t>;;;</t>
        </is>
      </c>
      <c r="G161" s="68" t="inlineStr">
        <is>
          <t>#FF000000;#FF00FF00;#FFFF0000;#FFA9A9A9</t>
        </is>
      </c>
      <c r="H161" s="68" t="inlineStr">
        <is>
          <t>Abnormal;Auto;Auto;Abnormal</t>
        </is>
      </c>
      <c r="I161" s="68" t="inlineStr">
        <is>
          <t>FALSE;TRUE;TRUE;FALSE</t>
        </is>
      </c>
      <c r="J161" s="68" t="inlineStr">
        <is>
          <t>Alarme de Estado em Ponto Telessinalizado</t>
        </is>
      </c>
      <c r="K161" s="69" t="inlineStr">
        <is>
          <t>Alarme de Estado em Ponto Telessinalizado</t>
        </is>
      </c>
      <c r="L161" s="69">
        <f>VLOOKUP(LinkTable6789[[#This Row],[Coluna1]],[4]AlarmCatalog!$A:$M,11,FALSE)</f>
        <v/>
      </c>
    </row>
    <row r="162" ht="16.5" customFormat="1" customHeight="1" s="67">
      <c r="A162" s="68" t="inlineStr">
        <is>
          <t>null@null___ABERTO@FECHADO___Custom___INV_S_TS</t>
        </is>
      </c>
      <c r="B162" s="68" t="inlineStr"/>
      <c r="C162" s="68" t="inlineStr">
        <is>
          <t>Transit;ABERTO;FECHADO;Error</t>
        </is>
      </c>
      <c r="D162" s="68" t="inlineStr">
        <is>
          <t>0;1;2;3</t>
        </is>
      </c>
      <c r="E162" s="68" t="inlineStr">
        <is>
          <t>2;1;0;3</t>
        </is>
      </c>
      <c r="F162" s="68" t="inlineStr">
        <is>
          <t>;;;</t>
        </is>
      </c>
      <c r="G162" s="68" t="inlineStr">
        <is>
          <t>#FF000000;#FF00FF00;#FFFF0000;#FFA9A9A9</t>
        </is>
      </c>
      <c r="H162" s="68" t="inlineStr">
        <is>
          <t>Abnormal;Auto;Auto;Abnormal</t>
        </is>
      </c>
      <c r="I162" s="68" t="inlineStr">
        <is>
          <t>FALSE;TRUE;TRUE;FALSE</t>
        </is>
      </c>
      <c r="J162" s="68" t="inlineStr">
        <is>
          <t>Alarme de Estado em Ponto Telessinalizado</t>
        </is>
      </c>
      <c r="K162" s="69" t="inlineStr">
        <is>
          <t>Alarme de Estado em Ponto Telessinalizado</t>
        </is>
      </c>
      <c r="L162" s="69">
        <f>VLOOKUP(LinkTable6789[[#This Row],[Coluna1]],[4]AlarmCatalog!$A:$M,11,FALSE)</f>
        <v/>
      </c>
    </row>
    <row r="163" ht="16.5" customFormat="1" customHeight="1" s="67">
      <c r="A163" s="68" t="inlineStr">
        <is>
          <t>MESTRE@INDIVIDUAL@COMANDO___MESTRE@INDIVIDUAL@COMANDO___Parallel___admsINV_D_TS</t>
        </is>
      </c>
      <c r="B163" s="68" t="inlineStr"/>
      <c r="C163" s="68" t="inlineStr">
        <is>
          <t>MESTRE;INDIVIDUAL;COMANDADO;</t>
        </is>
      </c>
      <c r="D163" s="68" t="inlineStr">
        <is>
          <t>0;1;2;3</t>
        </is>
      </c>
      <c r="E163" s="68" t="inlineStr">
        <is>
          <t>0;1;2;3</t>
        </is>
      </c>
      <c r="F163" s="68" t="inlineStr">
        <is>
          <t>MESTRE;INDIVIDUAL;COMANDO;</t>
        </is>
      </c>
      <c r="G163" s="68" t="inlineStr">
        <is>
          <t>#FF00FF00;#FF00FF00;#FF00FF00;#FF000000</t>
        </is>
      </c>
      <c r="H163" s="68" t="inlineStr">
        <is>
          <t>Normal;Normal;Normal;Abnormal</t>
        </is>
      </c>
      <c r="I163" s="68" t="inlineStr">
        <is>
          <t>TRUE;TRUE;TRUE;FALSE</t>
        </is>
      </c>
      <c r="J163" s="68" t="inlineStr">
        <is>
          <t>Alarme de Estado em Ponto Telessinalizado</t>
        </is>
      </c>
      <c r="K163" s="69" t="inlineStr">
        <is>
          <t>Alarme de Estado em Ponto Telessinalizado</t>
        </is>
      </c>
      <c r="L163" s="69">
        <f>VLOOKUP(LinkTable6789[[#This Row],[Coluna1]],[4]AlarmCatalog!$A:$M,11,FALSE)</f>
        <v/>
      </c>
    </row>
    <row r="164" ht="16.5" customFormat="1" customHeight="1" s="67">
      <c r="A164" s="68" t="inlineStr">
        <is>
          <t>null@null___@___TapIncrement_S_TS</t>
        </is>
      </c>
      <c r="B164" s="68" t="inlineStr"/>
      <c r="C164" s="68" t="inlineStr">
        <is>
          <t>Error;;;Transit</t>
        </is>
      </c>
      <c r="D164" s="68" t="inlineStr">
        <is>
          <t>0;1;2;3</t>
        </is>
      </c>
      <c r="E164" s="68" t="inlineStr">
        <is>
          <t>2;0;1;3</t>
        </is>
      </c>
      <c r="F164" s="68" t="inlineStr">
        <is>
          <t>;;;</t>
        </is>
      </c>
      <c r="G164" s="68" t="inlineStr">
        <is>
          <t>#FF000000;#FF00FF00;#FFFF0000;#FFA9A9A9</t>
        </is>
      </c>
      <c r="H164" s="68" t="inlineStr">
        <is>
          <t>Normal;Normal;Normal;Normal</t>
        </is>
      </c>
      <c r="I164" s="68" t="inlineStr">
        <is>
          <t>FALSE;TRUE;TRUE;FALSE</t>
        </is>
      </c>
      <c r="J164" s="68" t="inlineStr">
        <is>
          <t>Alarme de Estado em Ponto Telessinalizado</t>
        </is>
      </c>
      <c r="K164" s="69" t="inlineStr">
        <is>
          <t>Alarme de Estado em Ponto Telessinalizado</t>
        </is>
      </c>
      <c r="L164" s="69">
        <f>VLOOKUP(LinkTable6789[[#This Row],[Coluna1]],[4]AlarmCatalog!$A:$M,11,FALSE)</f>
        <v/>
      </c>
    </row>
    <row r="165" ht="16.5" customFormat="1" customHeight="1" s="67">
      <c r="A165" s="68" t="inlineStr">
        <is>
          <t>null@null___NORMAL@DEFEITO___Custom___INV_S_TS</t>
        </is>
      </c>
      <c r="B165" s="68" t="inlineStr"/>
      <c r="C165" s="68" t="inlineStr">
        <is>
          <t>Error;NORMAL;DEFEITO;Transit</t>
        </is>
      </c>
      <c r="D165" s="68" t="inlineStr">
        <is>
          <t>0;1;2;3</t>
        </is>
      </c>
      <c r="E165" s="68" t="inlineStr">
        <is>
          <t>2;1;0;3</t>
        </is>
      </c>
      <c r="F165" s="68" t="inlineStr">
        <is>
          <t>;;;</t>
        </is>
      </c>
      <c r="G165" s="68" t="inlineStr">
        <is>
          <t>#FF000000;#FF00FF00;#FFFF0000;#FFA9A9A9</t>
        </is>
      </c>
      <c r="H165" s="68" t="inlineStr">
        <is>
          <t>Abnormal;Auto;Auto;Abnormal</t>
        </is>
      </c>
      <c r="I165" s="68" t="inlineStr">
        <is>
          <t>FALSE;TRUE;TRUE;FALSE</t>
        </is>
      </c>
      <c r="J165" s="68" t="inlineStr">
        <is>
          <t>Alarme de Estado em Ponto Telessinalizado</t>
        </is>
      </c>
      <c r="K165" s="69" t="inlineStr">
        <is>
          <t>Alarme de Estado em Ponto Telessinalizado</t>
        </is>
      </c>
      <c r="L165" s="69">
        <f>VLOOKUP(LinkTable6789[[#This Row],[Coluna1]],[4]AlarmCatalog!$A:$M,11,FALSE)</f>
        <v/>
      </c>
    </row>
    <row r="166" ht="16.5" customFormat="1" customHeight="1" s="67">
      <c r="A166" s="68" t="inlineStr">
        <is>
          <t>null@null___NORMAL@FALTA VCC VCA___Custom_S_TS</t>
        </is>
      </c>
      <c r="B166" s="68" t="inlineStr"/>
      <c r="C166" s="68" t="inlineStr">
        <is>
          <t>Transit;NORMAL;FALTA VCC VCA;Error</t>
        </is>
      </c>
      <c r="D166" s="68" t="inlineStr">
        <is>
          <t>0;1;2;3</t>
        </is>
      </c>
      <c r="E166" s="68" t="inlineStr">
        <is>
          <t>2;0;1;3</t>
        </is>
      </c>
      <c r="F166" s="68" t="inlineStr">
        <is>
          <t>;;;</t>
        </is>
      </c>
      <c r="G166" s="68" t="inlineStr">
        <is>
          <t>#FF000000;#FF00FF00;#FFFF0000;#FFA9A9A9</t>
        </is>
      </c>
      <c r="H166" s="68" t="inlineStr">
        <is>
          <t>Abnormal;Auto;Auto;Abnormal</t>
        </is>
      </c>
      <c r="I166" s="68" t="inlineStr">
        <is>
          <t>FALSE;TRUE;TRUE;FALSE</t>
        </is>
      </c>
      <c r="J166" s="68" t="inlineStr">
        <is>
          <t>Alarme de Estado em Ponto Telessinalizado</t>
        </is>
      </c>
      <c r="K166" s="69" t="inlineStr">
        <is>
          <t>Alarme de Estado em Ponto Telessinalizado</t>
        </is>
      </c>
      <c r="L166" s="69">
        <f>VLOOKUP(LinkTable6789[[#This Row],[Coluna1]],[4]AlarmCatalog!$A:$M,11,FALSE)</f>
        <v/>
      </c>
    </row>
    <row r="167" ht="16.5" customFormat="1" customHeight="1" s="67">
      <c r="A167" s="68" t="inlineStr">
        <is>
          <t>null@null___MANUAL@AUTOMATICO___Custom_S_TS</t>
        </is>
      </c>
      <c r="B167" s="68" t="inlineStr"/>
      <c r="C167" s="68" t="inlineStr">
        <is>
          <t>Transit;MANUAL;AUTOMATICO;Error</t>
        </is>
      </c>
      <c r="D167" s="68" t="inlineStr">
        <is>
          <t>0;1;2;3</t>
        </is>
      </c>
      <c r="E167" s="68" t="inlineStr">
        <is>
          <t>2;0;1;3</t>
        </is>
      </c>
      <c r="F167" s="68" t="inlineStr">
        <is>
          <t>;;;</t>
        </is>
      </c>
      <c r="G167" s="68" t="inlineStr">
        <is>
          <t>#FF000000;#FF00FF00;#FFFF0000;#FFA9A9A9</t>
        </is>
      </c>
      <c r="H167" s="68" t="inlineStr">
        <is>
          <t>Normal;Normal;Normal;Normal</t>
        </is>
      </c>
      <c r="I167" s="68" t="inlineStr">
        <is>
          <t>FALSE;TRUE;TRUE;FALSE</t>
        </is>
      </c>
      <c r="J167" s="68" t="inlineStr">
        <is>
          <t>Alarme de Estado em Ponto Telessinalizado</t>
        </is>
      </c>
      <c r="K167" s="69" t="inlineStr">
        <is>
          <t>Alarme de Estado em Ponto Telessinalizado</t>
        </is>
      </c>
      <c r="L167" s="69">
        <f>VLOOKUP(LinkTable6789[[#This Row],[Coluna1]],[4]AlarmCatalog!$A:$M,11,FALSE)</f>
        <v/>
      </c>
    </row>
    <row r="168" ht="16.5" customFormat="1" customHeight="1" s="67">
      <c r="A168" s="68" t="inlineStr">
        <is>
          <t>null@null___NORMAL@FALTA___Custom___INV_S_TS</t>
        </is>
      </c>
      <c r="B168" s="68" t="inlineStr"/>
      <c r="C168" s="68" t="inlineStr">
        <is>
          <t>Error;NORMAL;FALTA;Transit</t>
        </is>
      </c>
      <c r="D168" s="68" t="inlineStr">
        <is>
          <t>0;1;2;3</t>
        </is>
      </c>
      <c r="E168" s="68" t="inlineStr">
        <is>
          <t>2;1;0;3</t>
        </is>
      </c>
      <c r="F168" s="68" t="inlineStr">
        <is>
          <t>;;;</t>
        </is>
      </c>
      <c r="G168" s="68" t="inlineStr">
        <is>
          <t>#FF000000;#FF00FF00;#FFFF0000;#FFA9A9A9</t>
        </is>
      </c>
      <c r="H168" s="68" t="inlineStr">
        <is>
          <t>Abnormal;Auto;Auto;Abnormal</t>
        </is>
      </c>
      <c r="I168" s="68" t="inlineStr">
        <is>
          <t>FALSE;TRUE;TRUE;FALSE</t>
        </is>
      </c>
      <c r="J168" s="68" t="inlineStr">
        <is>
          <t>Alarme de Estado em Ponto Telessinalizado</t>
        </is>
      </c>
      <c r="K168" s="69" t="inlineStr">
        <is>
          <t>Alarme de Estado em Ponto Telessinalizado</t>
        </is>
      </c>
      <c r="L168" s="69">
        <f>VLOOKUP(LinkTable6789[[#This Row],[Coluna1]],[4]AlarmCatalog!$A:$M,11,FALSE)</f>
        <v/>
      </c>
    </row>
    <row r="169" ht="16.5" customFormat="1" customHeight="1" s="67">
      <c r="A169" s="68" t="inlineStr">
        <is>
          <t>null@null___LIGADO@DESLIGADO___Custom___INV_S_TS</t>
        </is>
      </c>
      <c r="B169" s="68" t="inlineStr"/>
      <c r="C169" s="68" t="inlineStr">
        <is>
          <t>Transit;LIGADO;DESLIGADO;Error</t>
        </is>
      </c>
      <c r="D169" s="68" t="inlineStr">
        <is>
          <t>0;1;2;3</t>
        </is>
      </c>
      <c r="E169" s="68" t="inlineStr">
        <is>
          <t>2;1;0;3</t>
        </is>
      </c>
      <c r="F169" s="68" t="inlineStr">
        <is>
          <t>;;;</t>
        </is>
      </c>
      <c r="G169" s="68" t="inlineStr">
        <is>
          <t>#FF000000;#FF00FF00;#FFFF0000;#FFA9A9A9</t>
        </is>
      </c>
      <c r="H169" s="68" t="inlineStr">
        <is>
          <t>Abnormal;Auto;Auto;Abnormal</t>
        </is>
      </c>
      <c r="I169" s="68" t="inlineStr">
        <is>
          <t>FALSE;TRUE;TRUE;FALSE</t>
        </is>
      </c>
      <c r="J169" s="68" t="inlineStr">
        <is>
          <t>Alarme de Estado em Ponto Telessinalizado</t>
        </is>
      </c>
      <c r="K169" s="69" t="inlineStr">
        <is>
          <t>Alarme de Estado em Ponto Telessinalizado</t>
        </is>
      </c>
      <c r="L169" s="69">
        <f>VLOOKUP(LinkTable6789[[#This Row],[Coluna1]],[4]AlarmCatalog!$A:$M,11,FALSE)</f>
        <v/>
      </c>
    </row>
    <row r="170" ht="16.5" customFormat="1" customHeight="1" s="67">
      <c r="A170" s="68" t="inlineStr">
        <is>
          <t>null@null___DESLIGADO@LIGADO___Custom_S_TS</t>
        </is>
      </c>
      <c r="B170" s="68" t="inlineStr"/>
      <c r="C170" s="68" t="inlineStr">
        <is>
          <t>Transit;DESLIGADO;LIGADO;Error</t>
        </is>
      </c>
      <c r="D170" s="68" t="inlineStr">
        <is>
          <t>0;1;2;3</t>
        </is>
      </c>
      <c r="E170" s="68" t="inlineStr">
        <is>
          <t>2;0;1;3</t>
        </is>
      </c>
      <c r="F170" s="68" t="inlineStr">
        <is>
          <t>;DESLIGAR;LIGAR;</t>
        </is>
      </c>
      <c r="G170" s="68" t="inlineStr">
        <is>
          <t>#FF000000;#FF00FF00;#FFFF0000;#FFA9A9A9</t>
        </is>
      </c>
      <c r="H170" s="68" t="inlineStr">
        <is>
          <t>Abnormal;Auto;Auto;Abnormal</t>
        </is>
      </c>
      <c r="I170" s="68" t="inlineStr">
        <is>
          <t>FALSE;TRUE;TRUE;FALSE</t>
        </is>
      </c>
      <c r="J170" s="68" t="inlineStr">
        <is>
          <t>Alarme de Estado em Ponto Telessinalizado</t>
        </is>
      </c>
      <c r="K170" s="69" t="inlineStr">
        <is>
          <t>Alarme de Estado em Ponto Telessinalizado</t>
        </is>
      </c>
      <c r="L170" s="69">
        <f>VLOOKUP(LinkTable6789[[#This Row],[Coluna1]],[4]AlarmCatalog!$A:$M,11,FALSE)</f>
        <v/>
      </c>
    </row>
    <row r="171" ht="16.5" customFormat="1" customHeight="1" s="67">
      <c r="A171" s="68" t="inlineStr">
        <is>
          <t>null@null___AUTOMATICO@MANUAL___Custom___INV___admsINV_S_TS</t>
        </is>
      </c>
      <c r="B171" s="68" t="inlineStr"/>
      <c r="C171" s="68" t="inlineStr">
        <is>
          <t>Error;AUTOMATICO;MANUAL;Transit</t>
        </is>
      </c>
      <c r="D171" s="68" t="inlineStr">
        <is>
          <t>0;2;1;3</t>
        </is>
      </c>
      <c r="E171" s="68" t="inlineStr">
        <is>
          <t>2;1;0;3</t>
        </is>
      </c>
      <c r="F171" s="68" t="inlineStr">
        <is>
          <t>;;;</t>
        </is>
      </c>
      <c r="G171" s="68" t="inlineStr">
        <is>
          <t>#FF000000;#FF00FF00;#FFFF0000;#FFA9A9A9</t>
        </is>
      </c>
      <c r="H171" s="68" t="inlineStr">
        <is>
          <t>Normal;Normal;Normal;Normal</t>
        </is>
      </c>
      <c r="I171" s="68" t="inlineStr">
        <is>
          <t>FALSE;TRUE;TRUE;FALSE</t>
        </is>
      </c>
      <c r="J171" s="68" t="inlineStr">
        <is>
          <t>Alarme de Estado em Ponto Telessinalizado</t>
        </is>
      </c>
      <c r="K171" s="69" t="inlineStr">
        <is>
          <t>Alarme de Estado em Ponto Telessinalizado</t>
        </is>
      </c>
      <c r="L171" s="69">
        <f>VLOOKUP(LinkTable6789[[#This Row],[Coluna1]],[4]AlarmCatalog!$A:$M,11,FALSE)</f>
        <v/>
      </c>
    </row>
    <row r="172" ht="16.5" customFormat="1" customHeight="1" s="67">
      <c r="A172" s="68" t="inlineStr">
        <is>
          <t>CMD_COS@null___REMOTO@LOCAL___Custom_S_TC_SS</t>
        </is>
      </c>
      <c r="B172" s="68" t="inlineStr"/>
      <c r="C172" s="68" t="inlineStr">
        <is>
          <t>Transit;REMOTO;LOCAL;Error</t>
        </is>
      </c>
      <c r="D172" s="68" t="inlineStr">
        <is>
          <t>0;1;2;3</t>
        </is>
      </c>
      <c r="E172" s="68" t="inlineStr">
        <is>
          <t>2;0;1;3</t>
        </is>
      </c>
      <c r="F172" s="68" t="inlineStr">
        <is>
          <t>;CMD_COS;;</t>
        </is>
      </c>
      <c r="G172" s="68" t="inlineStr">
        <is>
          <t>#FF000000;#FF00FF00;#FFFF0000;#FFA9A9A9</t>
        </is>
      </c>
      <c r="H172" s="68" t="inlineStr">
        <is>
          <t>Abnormal;Auto;Auto;Abnormal</t>
        </is>
      </c>
      <c r="I172" s="68" t="inlineStr">
        <is>
          <t>FALSE;TRUE;TRUE;FALSE</t>
        </is>
      </c>
      <c r="J172" s="68" t="inlineStr">
        <is>
          <t>Alarme de Estado em Ponto Telecontrolado SS</t>
        </is>
      </c>
      <c r="K172" s="69" t="inlineStr">
        <is>
          <t>Alarme de Estado em Ponto Telecontrolado SS</t>
        </is>
      </c>
      <c r="L172" s="69">
        <f>VLOOKUP(LinkTable6789[[#This Row],[Coluna1]],[4]AlarmCatalog!$A:$M,11,FALSE)</f>
        <v/>
      </c>
    </row>
    <row r="173" ht="16.5" customFormat="1" customHeight="1" s="67">
      <c r="A173" s="68" t="inlineStr">
        <is>
          <t>DI_INCLUIR@EXCLUIR___INCLUIDO@EXCLUIDO___ReclosingEnabled___INV___admsINV_S_TC_DS_MANOBRA</t>
        </is>
      </c>
      <c r="B173" s="68" t="inlineStr"/>
      <c r="C173" s="68" t="inlineStr">
        <is>
          <t>Transit;INCLUIDO;EXCLUIDO;Error</t>
        </is>
      </c>
      <c r="D173" s="68" t="inlineStr">
        <is>
          <t>0;2;1;3</t>
        </is>
      </c>
      <c r="E173" s="68" t="inlineStr">
        <is>
          <t>2;1;0;3</t>
        </is>
      </c>
      <c r="F173" s="68" t="inlineStr">
        <is>
          <t>;INCLUIR;EXCLUIR;</t>
        </is>
      </c>
      <c r="G173" s="68" t="inlineStr">
        <is>
          <t>#FF000000;#FFFF0000;#FF00FF00;#FFA9A9A9</t>
        </is>
      </c>
      <c r="H173" s="68" t="inlineStr">
        <is>
          <t>Abnormal;Normal;Normal;Abnormal</t>
        </is>
      </c>
      <c r="I173" s="68" t="inlineStr">
        <is>
          <t>FALSE;TRUE;TRUE;FALSE</t>
        </is>
      </c>
      <c r="J173" s="68" t="inlineStr">
        <is>
          <t>Alarme de Estado em Ponto Telecontrolado DS</t>
        </is>
      </c>
      <c r="K173" s="69" t="inlineStr">
        <is>
          <t>Alarme de Estado em Ponto Telecontrolado DS</t>
        </is>
      </c>
      <c r="L173" s="69">
        <f>VLOOKUP(LinkTable6789[[#This Row],[Coluna1]],[4]AlarmCatalog!$A:$M,11,FALSE)</f>
        <v/>
      </c>
    </row>
    <row r="174" ht="16.5" customFormat="1" customHeight="1" s="67">
      <c r="A174" s="68" t="inlineStr">
        <is>
          <t>DI_INCLUIR@EXCLUIR___INCLUIDO@EXCLUIDO___ReclosingEnabled___INV___admsINV_S_TC_DS_PROT</t>
        </is>
      </c>
      <c r="B174" s="68" t="inlineStr"/>
      <c r="C174" s="68" t="inlineStr">
        <is>
          <t>Transit;INCLUIDO;EXCLUIDO;Error</t>
        </is>
      </c>
      <c r="D174" s="68" t="inlineStr">
        <is>
          <t>0;2;1;3</t>
        </is>
      </c>
      <c r="E174" s="68" t="inlineStr">
        <is>
          <t>2;1;0;3</t>
        </is>
      </c>
      <c r="F174" s="68" t="inlineStr">
        <is>
          <t>;INCLUIR;EXCLUIR;</t>
        </is>
      </c>
      <c r="G174" s="68" t="inlineStr">
        <is>
          <t>#FF000000;#FFFF0000;#FF00FF00;#FFA9A9A9</t>
        </is>
      </c>
      <c r="H174" s="68" t="inlineStr">
        <is>
          <t>Abnormal;Normal;Abnormal;Abnormal</t>
        </is>
      </c>
      <c r="I174" s="68" t="inlineStr">
        <is>
          <t>FALSE;TRUE;TRUE;FALSE</t>
        </is>
      </c>
      <c r="J174" s="68" t="inlineStr">
        <is>
          <t>Alarme de Estado em Ponto Telecontrolado DS</t>
        </is>
      </c>
      <c r="K174" s="69" t="inlineStr">
        <is>
          <t>Alarme de Estado em Ponto Telecontrolado DS</t>
        </is>
      </c>
      <c r="L174" s="69">
        <f>VLOOKUP(LinkTable6789[[#This Row],[Coluna1]],[4]AlarmCatalog!$A:$M,11,FALSE)</f>
        <v/>
      </c>
    </row>
    <row r="175" ht="16.5" customFormat="1" customHeight="1" s="67">
      <c r="A175" s="68" t="inlineStr">
        <is>
          <t>null@null___ABERTO@FECHADO___SwitchStatus___INV_S_TS</t>
        </is>
      </c>
      <c r="B175" s="68" t="inlineStr"/>
      <c r="C175" s="68" t="inlineStr">
        <is>
          <t>Transit;ABERTO;FECHADO;Error</t>
        </is>
      </c>
      <c r="D175" s="68" t="inlineStr">
        <is>
          <t>0;1;2;3</t>
        </is>
      </c>
      <c r="E175" s="68" t="inlineStr">
        <is>
          <t>2;1;0;3</t>
        </is>
      </c>
      <c r="F175" s="68" t="inlineStr">
        <is>
          <t>;;;</t>
        </is>
      </c>
      <c r="G175" s="68" t="inlineStr">
        <is>
          <t>#FF000000;#FF00FF00;#FFFF0000;#FFA9A9A9</t>
        </is>
      </c>
      <c r="H175" s="68" t="inlineStr">
        <is>
          <t>Abnormal;Auto;Auto;Abnormal</t>
        </is>
      </c>
      <c r="I175" s="68" t="inlineStr">
        <is>
          <t>FALSE;TRUE;TRUE;FALSE</t>
        </is>
      </c>
      <c r="J175" s="68" t="inlineStr">
        <is>
          <t>Alarme de Estado em Ponto Telessinalizado</t>
        </is>
      </c>
      <c r="K175" s="69" t="inlineStr">
        <is>
          <t>Alarme de Estado em Ponto Telessinalizado</t>
        </is>
      </c>
      <c r="L175" s="69">
        <f>VLOOKUP(LinkTable6789[[#This Row],[Coluna1]],[4]AlarmCatalog!$A:$M,11,FALSE)</f>
        <v/>
      </c>
    </row>
    <row r="176" ht="16.5" customFormat="1" customHeight="1" s="67">
      <c r="A176" s="68" t="inlineStr">
        <is>
          <t>null@null___BLOQUEADA@LIBERADA___Custom_S_TS</t>
        </is>
      </c>
      <c r="B176" s="68" t="inlineStr"/>
      <c r="C176" s="68" t="inlineStr">
        <is>
          <t>Transit;BLOQUEADA;LIBERADA;Error</t>
        </is>
      </c>
      <c r="D176" s="68" t="inlineStr">
        <is>
          <t>0;1;2;3</t>
        </is>
      </c>
      <c r="E176" s="68" t="inlineStr">
        <is>
          <t>2;0;1;3</t>
        </is>
      </c>
      <c r="F176" s="68" t="inlineStr">
        <is>
          <t>;;;</t>
        </is>
      </c>
      <c r="G176" s="68" t="inlineStr">
        <is>
          <t>#FF000000;#FF00FF00;#FFFF0000;#FFA9A9A9</t>
        </is>
      </c>
      <c r="H176" s="68" t="inlineStr">
        <is>
          <t>Abnormal;Auto;Auto;Abnormal</t>
        </is>
      </c>
      <c r="I176" s="68" t="inlineStr">
        <is>
          <t>FALSE;TRUE;TRUE;FALSE</t>
        </is>
      </c>
      <c r="J176" s="68" t="inlineStr">
        <is>
          <t>Alarme de Estado em Ponto Telessinalizado</t>
        </is>
      </c>
      <c r="K176" s="69" t="inlineStr">
        <is>
          <t>Alarme de Estado em Ponto Telessinalizado</t>
        </is>
      </c>
      <c r="L176" s="69">
        <f>VLOOKUP(LinkTable6789[[#This Row],[Coluna1]],[4]AlarmCatalog!$A:$M,11,FALSE)</f>
        <v/>
      </c>
    </row>
    <row r="177" ht="16.5" customFormat="1" customHeight="1" s="67">
      <c r="A177" s="68" t="inlineStr">
        <is>
          <t>null@null___NORMAL@DISCREPANCIA___Custom_S_TS</t>
        </is>
      </c>
      <c r="B177" s="68" t="inlineStr"/>
      <c r="C177" s="68" t="inlineStr">
        <is>
          <t>Transit;NORMAL;DISCREPANCIA;Error</t>
        </is>
      </c>
      <c r="D177" s="68" t="inlineStr">
        <is>
          <t>0;1;2;3</t>
        </is>
      </c>
      <c r="E177" s="68" t="inlineStr">
        <is>
          <t>2;0;1;3</t>
        </is>
      </c>
      <c r="F177" s="68" t="inlineStr">
        <is>
          <t>;;;</t>
        </is>
      </c>
      <c r="G177" s="68" t="inlineStr">
        <is>
          <t>#FF000000;#FF00FF00;#FFFF0000;#FFA9A9A9</t>
        </is>
      </c>
      <c r="H177" s="68" t="inlineStr">
        <is>
          <t>Abnormal;Auto;Auto;Abnormal</t>
        </is>
      </c>
      <c r="I177" s="68" t="inlineStr">
        <is>
          <t>FALSE;TRUE;TRUE;FALSE</t>
        </is>
      </c>
      <c r="J177" s="68" t="inlineStr">
        <is>
          <t>Alarme de Estado em Ponto Telessinalizado</t>
        </is>
      </c>
      <c r="K177" s="69" t="inlineStr">
        <is>
          <t>Alarme de Estado em Ponto Telessinalizado</t>
        </is>
      </c>
      <c r="L177" s="69">
        <f>VLOOKUP(LinkTable6789[[#This Row],[Coluna1]],[4]AlarmCatalog!$A:$M,11,FALSE)</f>
        <v/>
      </c>
    </row>
    <row r="178" ht="16.5" customFormat="1" customHeight="1" s="67">
      <c r="A178" s="68" t="inlineStr">
        <is>
          <t>null@null___ABERTO@FECHADO___Custom_S_TS</t>
        </is>
      </c>
      <c r="B178" s="68" t="inlineStr"/>
      <c r="C178" s="68" t="inlineStr">
        <is>
          <t>Transit;ABERTO;FECHADO;Error</t>
        </is>
      </c>
      <c r="D178" s="68" t="inlineStr">
        <is>
          <t>0;1;2;3</t>
        </is>
      </c>
      <c r="E178" s="68" t="inlineStr">
        <is>
          <t>2;0;1;3</t>
        </is>
      </c>
      <c r="F178" s="68" t="inlineStr">
        <is>
          <t>;;;</t>
        </is>
      </c>
      <c r="G178" s="68" t="inlineStr">
        <is>
          <t>#FF000000;#FF00FF00;#FFFF0000;#FFA9A9A9</t>
        </is>
      </c>
      <c r="H178" s="68" t="inlineStr">
        <is>
          <t>Abnormal;Auto;Auto;Abnormal</t>
        </is>
      </c>
      <c r="I178" s="68" t="inlineStr">
        <is>
          <t>FALSE;TRUE;TRUE;FALSE</t>
        </is>
      </c>
      <c r="J178" s="68" t="inlineStr">
        <is>
          <t>Alarme de Estado em Ponto Telessinalizado</t>
        </is>
      </c>
      <c r="K178" s="69" t="inlineStr">
        <is>
          <t>Alarme de Estado em Ponto Telessinalizado</t>
        </is>
      </c>
      <c r="L178" s="69">
        <f>VLOOKUP(LinkTable6789[[#This Row],[Coluna1]],[4]AlarmCatalog!$A:$M,11,FALSE)</f>
        <v/>
      </c>
    </row>
    <row r="179" ht="16.5" customFormat="1" customHeight="1" s="67">
      <c r="A179" s="68" t="inlineStr">
        <is>
          <t>null@null___NORMAL@BLOQUEIO___Custom___INV_S_TS</t>
        </is>
      </c>
      <c r="B179" s="68" t="inlineStr"/>
      <c r="C179" s="68" t="inlineStr">
        <is>
          <t>Error;NORMAL;BLOQUEIO;Transit</t>
        </is>
      </c>
      <c r="D179" s="68" t="inlineStr">
        <is>
          <t>0;1;2;3</t>
        </is>
      </c>
      <c r="E179" s="68" t="inlineStr">
        <is>
          <t>1;2;0;3</t>
        </is>
      </c>
      <c r="F179" s="68" t="inlineStr">
        <is>
          <t>;;;</t>
        </is>
      </c>
      <c r="G179" s="68" t="inlineStr">
        <is>
          <t>#FF000000;#FF00FF00;#FFFF0000;#FFA9A9A9</t>
        </is>
      </c>
      <c r="H179" s="68" t="inlineStr">
        <is>
          <t>Abnormal;Auto;Auto;Abnormal</t>
        </is>
      </c>
      <c r="I179" s="68" t="inlineStr">
        <is>
          <t>FALSE;TRUE;TRUE;FALSE</t>
        </is>
      </c>
      <c r="J179" s="68" t="inlineStr">
        <is>
          <t>Alarme de Estado em Ponto Telessinalizado</t>
        </is>
      </c>
      <c r="K179" s="69" t="inlineStr">
        <is>
          <t>Alarme de Estado em Ponto Telessinalizado</t>
        </is>
      </c>
      <c r="L179" s="69">
        <f>VLOOKUP(LinkTable6789[[#This Row],[Coluna1]],[4]AlarmCatalog!$A:$M,11,FALSE)</f>
        <v/>
      </c>
    </row>
    <row r="180" ht="16.5" customFormat="1" customHeight="1" s="67">
      <c r="A180" s="68" t="inlineStr">
        <is>
          <t>null@null___AUTOMATICO@MANUAL___Custom___admsINV_S_TS</t>
        </is>
      </c>
      <c r="B180" s="68" t="inlineStr"/>
      <c r="C180" s="68" t="inlineStr">
        <is>
          <t>Error;AUTOMATICO;MANUAL;Transit</t>
        </is>
      </c>
      <c r="D180" s="68" t="inlineStr">
        <is>
          <t>0;2;1;3</t>
        </is>
      </c>
      <c r="E180" s="68" t="inlineStr">
        <is>
          <t>2;0;1;3</t>
        </is>
      </c>
      <c r="F180" s="68" t="inlineStr">
        <is>
          <t>;;;</t>
        </is>
      </c>
      <c r="G180" s="68" t="inlineStr">
        <is>
          <t>#FF000000;#FF00FF00;#FFFF0000;#FFA9A9A9</t>
        </is>
      </c>
      <c r="H180" s="68" t="inlineStr">
        <is>
          <t>Normal;Normal;Normal;Normal</t>
        </is>
      </c>
      <c r="I180" s="68" t="inlineStr">
        <is>
          <t>FALSE;TRUE;TRUE;FALSE</t>
        </is>
      </c>
      <c r="J180" s="68" t="inlineStr">
        <is>
          <t>Alarme de Estado em Ponto Telessinalizado</t>
        </is>
      </c>
      <c r="K180" s="69" t="inlineStr">
        <is>
          <t>Alarme de Estado em Ponto Telessinalizado</t>
        </is>
      </c>
      <c r="L180" s="69">
        <f>VLOOKUP(LinkTable6789[[#This Row],[Coluna1]],[4]AlarmCatalog!$A:$M,11,FALSE)</f>
        <v/>
      </c>
    </row>
    <row r="181" ht="16.5" customFormat="1" customHeight="1" s="67">
      <c r="A181" s="68" t="inlineStr">
        <is>
          <t>null@null___NORMAL@FALHA___Custom_D_TS</t>
        </is>
      </c>
      <c r="B181" s="68" t="inlineStr"/>
      <c r="C181" s="68" t="inlineStr">
        <is>
          <t>Transit;NORMAL;FALHA;Error</t>
        </is>
      </c>
      <c r="D181" s="68" t="inlineStr">
        <is>
          <t>0;1;2;3</t>
        </is>
      </c>
      <c r="E181" s="68" t="inlineStr">
        <is>
          <t>2;0;1;3</t>
        </is>
      </c>
      <c r="F181" s="68" t="inlineStr">
        <is>
          <t>;;;</t>
        </is>
      </c>
      <c r="G181" s="68" t="inlineStr">
        <is>
          <t>#FF000000;#FF00FF00;#FFFF0000;#FFA9A9A9</t>
        </is>
      </c>
      <c r="H181" s="68" t="inlineStr">
        <is>
          <t>Abnormal;Normal;Normal;Normal</t>
        </is>
      </c>
      <c r="I181" s="68" t="inlineStr">
        <is>
          <t>FALSE;TRUE;TRUE;FALSE</t>
        </is>
      </c>
      <c r="J181" s="68" t="inlineStr">
        <is>
          <t>Alarme de Estado em Ponto Telessinalizado</t>
        </is>
      </c>
      <c r="K181" s="69" t="inlineStr">
        <is>
          <t>Alarme de Estado em Ponto Telessinalizado</t>
        </is>
      </c>
      <c r="L181" s="69">
        <f>VLOOKUP(LinkTable6789[[#This Row],[Coluna1]],[4]AlarmCatalog!$A:$M,11,FALSE)</f>
        <v/>
      </c>
    </row>
    <row r="182" ht="16.5" customFormat="1" customHeight="1" s="67">
      <c r="A182" s="68" t="inlineStr">
        <is>
          <t>null@null___NORMAL@ATUADO___RelayTrip___INV_S_TS</t>
        </is>
      </c>
      <c r="B182" s="68" t="inlineStr"/>
      <c r="C182" s="68" t="inlineStr">
        <is>
          <t>Transit;NORMAL;ATUADO;Error</t>
        </is>
      </c>
      <c r="D182" s="68" t="inlineStr">
        <is>
          <t>0;1;2;3</t>
        </is>
      </c>
      <c r="E182" s="68" t="inlineStr">
        <is>
          <t>2;1;0;3</t>
        </is>
      </c>
      <c r="F182" s="68" t="inlineStr">
        <is>
          <t>;;;</t>
        </is>
      </c>
      <c r="G182" s="68" t="inlineStr">
        <is>
          <t>#FF000000;#FF00FF00;#FFFF0000;#FFA9A9A9</t>
        </is>
      </c>
      <c r="H182" s="68" t="inlineStr">
        <is>
          <t>Abnormal;Auto;Auto;Abnormal</t>
        </is>
      </c>
      <c r="I182" s="68" t="inlineStr">
        <is>
          <t>FALSE;TRUE;TRUE;FALSE</t>
        </is>
      </c>
      <c r="J182" s="68" t="inlineStr">
        <is>
          <t>Alarme de Estado em Ponto Telessinalizado</t>
        </is>
      </c>
      <c r="K182" s="69" t="inlineStr">
        <is>
          <t>Alarme de Estado em Ponto Telessinalizado</t>
        </is>
      </c>
      <c r="L182" s="69">
        <f>VLOOKUP(LinkTable6789[[#This Row],[Coluna1]],[4]AlarmCatalog!$A:$M,11,FALSE)</f>
        <v/>
      </c>
    </row>
    <row r="183" ht="16.5" customFormat="1" customHeight="1" s="67">
      <c r="A183" s="68" t="inlineStr">
        <is>
          <t>null@null___NORMAL@FALHA___RelayTrip_S_TS</t>
        </is>
      </c>
      <c r="B183" s="68" t="inlineStr"/>
      <c r="C183" s="68" t="inlineStr">
        <is>
          <t>Transit;NORMAL;FALHA;Error</t>
        </is>
      </c>
      <c r="D183" s="68" t="inlineStr">
        <is>
          <t>0;1;2;3</t>
        </is>
      </c>
      <c r="E183" s="68" t="inlineStr">
        <is>
          <t>2;0;1;3</t>
        </is>
      </c>
      <c r="F183" s="68" t="inlineStr">
        <is>
          <t>;;;</t>
        </is>
      </c>
      <c r="G183" s="68" t="inlineStr">
        <is>
          <t>#FF000000;#FF00FF00;#FFFF0000;#FFA9A9A9</t>
        </is>
      </c>
      <c r="H183" s="68" t="inlineStr">
        <is>
          <t>Abnormal;Auto;Auto;Abnormal</t>
        </is>
      </c>
      <c r="I183" s="68" t="inlineStr">
        <is>
          <t>FALSE;TRUE;TRUE;FALSE</t>
        </is>
      </c>
      <c r="J183" s="68" t="inlineStr">
        <is>
          <t>Alarme de Estado em Ponto Telessinalizado</t>
        </is>
      </c>
      <c r="K183" s="69" t="inlineStr">
        <is>
          <t>Alarme de Estado em Ponto Telessinalizado</t>
        </is>
      </c>
      <c r="L183" s="69">
        <f>VLOOKUP(LinkTable6789[[#This Row],[Coluna1]],[4]AlarmCatalog!$A:$M,11,FALSE)</f>
        <v/>
      </c>
    </row>
    <row r="184" ht="16.5" customFormat="1" customHeight="1" s="67">
      <c r="A184" s="68" t="inlineStr">
        <is>
          <t>null@null___DESLIGADO@LIGADO___Custom___INV_S_TS</t>
        </is>
      </c>
      <c r="B184" s="68" t="inlineStr"/>
      <c r="C184" s="68" t="inlineStr">
        <is>
          <t>Transit;DESLIGADO;LIGADO;Error</t>
        </is>
      </c>
      <c r="D184" s="68" t="inlineStr">
        <is>
          <t>0;1;2;3</t>
        </is>
      </c>
      <c r="E184" s="68" t="inlineStr">
        <is>
          <t>2;1;0;3</t>
        </is>
      </c>
      <c r="F184" s="68" t="inlineStr">
        <is>
          <t>;;;</t>
        </is>
      </c>
      <c r="G184" s="68" t="inlineStr">
        <is>
          <t>#FF000000;#FF00FF00;#FFFF0000;#FFA9A9A9</t>
        </is>
      </c>
      <c r="H184" s="68" t="inlineStr">
        <is>
          <t>Abnormal;Auto;Auto;Abnormal</t>
        </is>
      </c>
      <c r="I184" s="68" t="inlineStr">
        <is>
          <t>FALSE;TRUE;TRUE;FALSE</t>
        </is>
      </c>
      <c r="J184" s="68" t="inlineStr">
        <is>
          <t>Alarme de Estado em Ponto Telessinalizado</t>
        </is>
      </c>
      <c r="K184" s="69" t="inlineStr">
        <is>
          <t>Alarme de Estado em Ponto Telessinalizado</t>
        </is>
      </c>
      <c r="L184" s="69">
        <f>VLOOKUP(LinkTable6789[[#This Row],[Coluna1]],[4]AlarmCatalog!$A:$M,11,FALSE)</f>
        <v/>
      </c>
    </row>
    <row r="185" ht="16.5" customFormat="1" customHeight="1" s="67">
      <c r="A185" s="68" t="inlineStr">
        <is>
          <t>null@null___NORMAL@BLOQUEIO___Custom_S_TS</t>
        </is>
      </c>
      <c r="B185" s="68" t="inlineStr"/>
      <c r="C185" s="68" t="inlineStr">
        <is>
          <t>Transit;NORMAL;BLOQUEIO;Error</t>
        </is>
      </c>
      <c r="D185" s="68" t="inlineStr">
        <is>
          <t>0;1;2;3</t>
        </is>
      </c>
      <c r="E185" s="68" t="inlineStr">
        <is>
          <t>2;0;1;3</t>
        </is>
      </c>
      <c r="F185" s="68" t="inlineStr">
        <is>
          <t>;;;</t>
        </is>
      </c>
      <c r="G185" s="68" t="inlineStr">
        <is>
          <t>#FF000000;#FF00FF00;#FFFF0000;#FFA9A9A9</t>
        </is>
      </c>
      <c r="H185" s="68" t="inlineStr">
        <is>
          <t>Abnormal;Auto;Auto;Abnormal</t>
        </is>
      </c>
      <c r="I185" s="68" t="inlineStr">
        <is>
          <t>FALSE;TRUE;TRUE;FALSE</t>
        </is>
      </c>
      <c r="J185" s="68" t="inlineStr">
        <is>
          <t>Alarme de Estado em Ponto Telessinalizado</t>
        </is>
      </c>
      <c r="K185" s="69" t="inlineStr">
        <is>
          <t>Alarme de Estado em Ponto Telessinalizado</t>
        </is>
      </c>
      <c r="L185" s="69">
        <f>VLOOKUP(LinkTable6789[[#This Row],[Coluna1]],[4]AlarmCatalog!$A:$M,11,FALSE)</f>
        <v/>
      </c>
    </row>
    <row r="186" ht="16.5" customFormat="1" customHeight="1" s="67">
      <c r="A186" s="68" t="inlineStr">
        <is>
          <t>null@null___AUTOM DESATIVOU@AUTOM ATIVOU___Custom___INV_S_TS</t>
        </is>
      </c>
      <c r="B186" s="68" t="inlineStr"/>
      <c r="C186" s="68" t="inlineStr">
        <is>
          <t>Transit;AUTOM DESATIVOU;AUTOM ATIVOU;Error</t>
        </is>
      </c>
      <c r="D186" s="68" t="inlineStr">
        <is>
          <t>0;1;2;3</t>
        </is>
      </c>
      <c r="E186" s="68" t="inlineStr">
        <is>
          <t>2;1;0;3</t>
        </is>
      </c>
      <c r="F186" s="68" t="inlineStr">
        <is>
          <t>;;;</t>
        </is>
      </c>
      <c r="G186" s="68" t="inlineStr">
        <is>
          <t>#FF000000;#FF00FF00;#FFFF0000;#FFA9A9A9</t>
        </is>
      </c>
      <c r="H186" s="68" t="inlineStr">
        <is>
          <t>Abnormal;Auto;Auto;Abnormal</t>
        </is>
      </c>
      <c r="I186" s="68" t="inlineStr">
        <is>
          <t>FALSE;TRUE;TRUE;FALSE</t>
        </is>
      </c>
      <c r="J186" s="68" t="inlineStr">
        <is>
          <t>Alarme de Estado em Ponto Telessinalizado</t>
        </is>
      </c>
      <c r="K186" s="69" t="inlineStr">
        <is>
          <t>Alarme de Estado em Ponto Telessinalizado</t>
        </is>
      </c>
      <c r="L186" s="69">
        <f>VLOOKUP(LinkTable6789[[#This Row],[Coluna1]],[4]AlarmCatalog!$A:$M,11,FALSE)</f>
        <v/>
      </c>
    </row>
    <row r="187" ht="16.5" customFormat="1" customHeight="1" s="67">
      <c r="A187" s="68" t="inlineStr">
        <is>
          <t>null@null___MANUAL DESATIVOU@MANUAL ATIVOU___Custom___INV_S_TS</t>
        </is>
      </c>
      <c r="B187" s="68" t="inlineStr"/>
      <c r="C187" s="68" t="inlineStr">
        <is>
          <t>Transit;MANUAL DESATIVOU;MANUAL ATIVOU;Error</t>
        </is>
      </c>
      <c r="D187" s="68" t="inlineStr">
        <is>
          <t>0;1;2;3</t>
        </is>
      </c>
      <c r="E187" s="68" t="inlineStr">
        <is>
          <t>2;1;0;3</t>
        </is>
      </c>
      <c r="F187" s="68" t="inlineStr">
        <is>
          <t>;;;</t>
        </is>
      </c>
      <c r="G187" s="68" t="inlineStr">
        <is>
          <t>#FF000000;#FF00FF00;#FFFF0000;#FFA9A9A9</t>
        </is>
      </c>
      <c r="H187" s="68" t="inlineStr">
        <is>
          <t>Abnormal;Auto;Auto;Abnormal</t>
        </is>
      </c>
      <c r="I187" s="68" t="inlineStr">
        <is>
          <t>FALSE;TRUE;TRUE;FALSE</t>
        </is>
      </c>
      <c r="J187" s="68" t="inlineStr">
        <is>
          <t>Alarme de Estado em Ponto Telessinalizado</t>
        </is>
      </c>
      <c r="K187" s="69" t="inlineStr">
        <is>
          <t>Alarme de Estado em Ponto Telessinalizado</t>
        </is>
      </c>
      <c r="L187" s="69">
        <f>VLOOKUP(LinkTable6789[[#This Row],[Coluna1]],[4]AlarmCatalog!$A:$M,11,FALSE)</f>
        <v/>
      </c>
    </row>
    <row r="188" ht="16.5" customFormat="1" customHeight="1" s="67">
      <c r="A188" s="68" t="inlineStr">
        <is>
          <t>CMD_COS@null___REMOTO@LOCAL___Custom_S_TS_SS</t>
        </is>
      </c>
      <c r="B188" s="68" t="inlineStr"/>
      <c r="C188" s="68" t="inlineStr">
        <is>
          <t>Transit;REMOTO;LOCAL;Error</t>
        </is>
      </c>
      <c r="D188" s="68" t="inlineStr">
        <is>
          <t>0;1;2;3</t>
        </is>
      </c>
      <c r="E188" s="68" t="inlineStr">
        <is>
          <t>2;0;1;3</t>
        </is>
      </c>
      <c r="F188" s="68" t="inlineStr">
        <is>
          <t>;;;</t>
        </is>
      </c>
      <c r="G188" s="68" t="inlineStr">
        <is>
          <t>#FF000000;#FF00FF00;#FFFF0000;#FFA9A9A9</t>
        </is>
      </c>
      <c r="H188" s="68" t="inlineStr">
        <is>
          <t>Abnormal;Auto;Auto;Abnormal</t>
        </is>
      </c>
      <c r="I188" s="68" t="inlineStr">
        <is>
          <t>FALSE;TRUE;TRUE;FALSE</t>
        </is>
      </c>
      <c r="J188" s="68" t="inlineStr">
        <is>
          <t>Alarme de Estado em Ponto Telessinalizado SS</t>
        </is>
      </c>
      <c r="K188" s="69" t="inlineStr">
        <is>
          <t>Alarme de Estado em Ponto Telessinalizado SS</t>
        </is>
      </c>
      <c r="L188" s="69">
        <f>VLOOKUP(LinkTable6789[[#This Row],[Coluna1]],[4]AlarmCatalog!$A:$M,11,FALSE)</f>
        <v/>
      </c>
    </row>
    <row r="189" ht="16.5" customFormat="1" customHeight="1" s="67">
      <c r="A189" s="68" t="inlineStr">
        <is>
          <t>null@null___NORMAL@OLEO FALHA___Custom_S_TS</t>
        </is>
      </c>
      <c r="B189" s="68" t="inlineStr"/>
      <c r="C189" s="68" t="inlineStr">
        <is>
          <t>Transit;NORMAL;OLEO FALHA;Error</t>
        </is>
      </c>
      <c r="D189" s="68" t="inlineStr">
        <is>
          <t>0;1;2;3</t>
        </is>
      </c>
      <c r="E189" s="68" t="inlineStr">
        <is>
          <t>2;0;1;3</t>
        </is>
      </c>
      <c r="F189" s="68" t="inlineStr">
        <is>
          <t>;;;</t>
        </is>
      </c>
      <c r="G189" s="68" t="inlineStr">
        <is>
          <t>#FF000000;#FF00FF00;#FFFF0000;#FFA9A9A9</t>
        </is>
      </c>
      <c r="H189" s="68" t="inlineStr">
        <is>
          <t>Abnormal;Auto;Auto;Abnormal</t>
        </is>
      </c>
      <c r="I189" s="68" t="inlineStr">
        <is>
          <t>FALSE;TRUE;TRUE;FALSE</t>
        </is>
      </c>
      <c r="J189" s="68" t="inlineStr">
        <is>
          <t>Alarme de Estado em Ponto Telessinalizado</t>
        </is>
      </c>
      <c r="K189" s="69" t="inlineStr">
        <is>
          <t>Alarme de Estado em Ponto Telessinalizado</t>
        </is>
      </c>
      <c r="L189" s="69">
        <f>VLOOKUP(LinkTable6789[[#This Row],[Coluna1]],[4]AlarmCatalog!$A:$M,11,FALSE)</f>
        <v/>
      </c>
    </row>
    <row r="190" ht="16.5" customFormat="1" customHeight="1" s="67">
      <c r="A190" s="68" t="inlineStr">
        <is>
          <t>null@null___NORMAL@BAIXA___Custom_S_TS</t>
        </is>
      </c>
      <c r="B190" s="68" t="inlineStr"/>
      <c r="C190" s="68" t="inlineStr">
        <is>
          <t>Transit;NORMAL;BAIXA;Error</t>
        </is>
      </c>
      <c r="D190" s="68" t="inlineStr">
        <is>
          <t>0;1;2;3</t>
        </is>
      </c>
      <c r="E190" s="68" t="inlineStr">
        <is>
          <t>2;0;1;3</t>
        </is>
      </c>
      <c r="F190" s="68" t="inlineStr">
        <is>
          <t>;;;</t>
        </is>
      </c>
      <c r="G190" s="68" t="inlineStr">
        <is>
          <t>#FF000000;#FF00FF00;#FFFF0000;#FFA9A9A9</t>
        </is>
      </c>
      <c r="H190" s="68" t="inlineStr">
        <is>
          <t>Abnormal;Auto;Auto;Abnormal</t>
        </is>
      </c>
      <c r="I190" s="68" t="inlineStr">
        <is>
          <t>FALSE;TRUE;TRUE;FALSE</t>
        </is>
      </c>
      <c r="J190" s="68" t="inlineStr">
        <is>
          <t>Alarme de Estado em Ponto Telessinalizado</t>
        </is>
      </c>
      <c r="K190" s="69" t="inlineStr">
        <is>
          <t>Alarme de Estado em Ponto Telessinalizado</t>
        </is>
      </c>
      <c r="L190" s="69">
        <f>VLOOKUP(LinkTable6789[[#This Row],[Coluna1]],[4]AlarmCatalog!$A:$M,11,FALSE)</f>
        <v/>
      </c>
    </row>
    <row r="191" ht="16.5" customFormat="1" customHeight="1" s="67">
      <c r="A191" s="68" t="inlineStr">
        <is>
          <t>DI_null@null___REMOTO@LOCAL___Local___INV_S_TS</t>
        </is>
      </c>
      <c r="B191" s="68" t="inlineStr"/>
      <c r="C191" s="68" t="inlineStr">
        <is>
          <t>Transit;REMOTO;LOCAL;Error</t>
        </is>
      </c>
      <c r="D191" s="68" t="inlineStr">
        <is>
          <t>0;1;2;3</t>
        </is>
      </c>
      <c r="E191" s="68" t="inlineStr">
        <is>
          <t>2;1;0;3</t>
        </is>
      </c>
      <c r="F191" s="68" t="inlineStr">
        <is>
          <t>;;;</t>
        </is>
      </c>
      <c r="G191" s="68" t="inlineStr">
        <is>
          <t>#FF000000;#FF00FF00;#FFFF0000;#FFA9A9A9</t>
        </is>
      </c>
      <c r="H191" s="68" t="inlineStr">
        <is>
          <t>Abnormal;Auto;Auto;Abnormal</t>
        </is>
      </c>
      <c r="I191" s="68" t="inlineStr">
        <is>
          <t>FALSE;TRUE;TRUE;FALSE</t>
        </is>
      </c>
      <c r="J191" s="68" t="inlineStr">
        <is>
          <t>Alarme de Estado em Ponto Telessinalizado</t>
        </is>
      </c>
      <c r="K191" s="69" t="inlineStr">
        <is>
          <t>Alarme de Estado em Ponto Telessinalizado</t>
        </is>
      </c>
      <c r="L191" s="69">
        <f>VLOOKUP(LinkTable6789[[#This Row],[Coluna1]],[4]AlarmCatalog!$A:$M,11,FALSE)</f>
        <v/>
      </c>
    </row>
    <row r="192" ht="16.5" customFormat="1" customHeight="1" s="67">
      <c r="A192" s="68" t="inlineStr">
        <is>
          <t>null@null___DESLIGADO@LIGADO___SwitchStatus_S_TS</t>
        </is>
      </c>
      <c r="B192" s="68" t="inlineStr"/>
      <c r="C192" s="68" t="inlineStr">
        <is>
          <t>Transit;DESLIGADO;LIGADO;Error</t>
        </is>
      </c>
      <c r="D192" s="68" t="inlineStr">
        <is>
          <t>0;1;2;3</t>
        </is>
      </c>
      <c r="E192" s="68" t="inlineStr">
        <is>
          <t>2;0;1;3</t>
        </is>
      </c>
      <c r="F192" s="68" t="inlineStr">
        <is>
          <t>;DESLIGAR;LIGAR;</t>
        </is>
      </c>
      <c r="G192" s="68" t="inlineStr">
        <is>
          <t>#FF000000;#FF00FF00;#FFFF0000;#FFA9A9A9</t>
        </is>
      </c>
      <c r="H192" s="68" t="inlineStr">
        <is>
          <t>Abnormal;Auto;Auto;Abnormal</t>
        </is>
      </c>
      <c r="I192" s="68" t="inlineStr">
        <is>
          <t>FALSE;TRUE;TRUE;FALSE</t>
        </is>
      </c>
      <c r="J192" s="68" t="inlineStr">
        <is>
          <t>Alarme de Estado em Ponto Telessinalizado</t>
        </is>
      </c>
      <c r="K192" s="69" t="inlineStr">
        <is>
          <t>Alarme de Estado em Ponto Telessinalizado</t>
        </is>
      </c>
      <c r="L192" s="69">
        <f>VLOOKUP(LinkTable6789[[#This Row],[Coluna1]],[4]AlarmCatalog!$A:$M,11,FALSE)</f>
        <v/>
      </c>
    </row>
    <row r="193" ht="16.5" customFormat="1" customHeight="1" s="67">
      <c r="A193" s="68" t="inlineStr">
        <is>
          <t>DI_null@null___REMOTO@LOCAL___Local___INV_S_TS_DS</t>
        </is>
      </c>
      <c r="B193" s="68" t="inlineStr"/>
      <c r="C193" s="68" t="inlineStr">
        <is>
          <t>Transit;REMOTO;LOCAL;Error</t>
        </is>
      </c>
      <c r="D193" s="68" t="inlineStr">
        <is>
          <t>0;1;2;3</t>
        </is>
      </c>
      <c r="E193" s="68" t="inlineStr">
        <is>
          <t>2;1;0;3</t>
        </is>
      </c>
      <c r="F193" s="68" t="inlineStr">
        <is>
          <t>;;;</t>
        </is>
      </c>
      <c r="G193" s="68" t="inlineStr">
        <is>
          <t>#FF000000;#FF00FF00;#FFFF0000;#FFA9A9A9</t>
        </is>
      </c>
      <c r="H193" s="68" t="inlineStr">
        <is>
          <t>Abnormal;Auto;Auto;Abnormal</t>
        </is>
      </c>
      <c r="I193" s="68" t="inlineStr">
        <is>
          <t>FALSE;TRUE;TRUE;FALSE</t>
        </is>
      </c>
      <c r="J193" s="68" t="inlineStr">
        <is>
          <t>Alarme de Estado em Ponto Telessinalizado DS</t>
        </is>
      </c>
      <c r="K193" s="69" t="inlineStr">
        <is>
          <t>Alarme de Estado em Ponto Telessinalizado DS</t>
        </is>
      </c>
      <c r="L193" s="69">
        <f>VLOOKUP(LinkTable6789[[#This Row],[Coluna1]],[4]AlarmCatalog!$A:$M,11,FALSE)</f>
        <v/>
      </c>
    </row>
    <row r="194" ht="16.5" customFormat="1" customHeight="1" s="67">
      <c r="A194" s="68" t="inlineStr">
        <is>
          <t>null@null___DESATIVADO@ATIVADO___Custom___INV_S_TS</t>
        </is>
      </c>
      <c r="B194" s="68" t="inlineStr"/>
      <c r="C194" s="68" t="inlineStr">
        <is>
          <t>Transit;DESATIVADO;ATIVADO;Error</t>
        </is>
      </c>
      <c r="D194" s="68" t="inlineStr">
        <is>
          <t>0;1;2;3</t>
        </is>
      </c>
      <c r="E194" s="68" t="inlineStr">
        <is>
          <t>2;1;0;3</t>
        </is>
      </c>
      <c r="F194" s="68" t="inlineStr">
        <is>
          <t>;;;</t>
        </is>
      </c>
      <c r="G194" s="68" t="inlineStr">
        <is>
          <t>#FF000000;#FF00FF00;#FFFF0000;#FFA9A9A9</t>
        </is>
      </c>
      <c r="H194" s="68" t="inlineStr">
        <is>
          <t>Normal;Normal;Normal;Normal</t>
        </is>
      </c>
      <c r="I194" s="68" t="inlineStr">
        <is>
          <t>FALSE;TRUE;TRUE;FALSE</t>
        </is>
      </c>
      <c r="J194" s="68" t="inlineStr">
        <is>
          <t>Alarme de Estado em Ponto Telessinalizado</t>
        </is>
      </c>
      <c r="K194" s="69" t="inlineStr">
        <is>
          <t>Alarme de Estado em Ponto Telessinalizado</t>
        </is>
      </c>
      <c r="L194" s="69">
        <f>VLOOKUP(LinkTable6789[[#This Row],[Coluna1]],[4]AlarmCatalog!$A:$M,11,FALSE)</f>
        <v/>
      </c>
    </row>
    <row r="195" ht="16.5" customFormat="1" customHeight="1" s="67">
      <c r="A195" s="68" t="inlineStr">
        <is>
          <t>null@null___NORMAL@BLOQUEADA___Custom___admsINV_S_TS</t>
        </is>
      </c>
      <c r="B195" s="68" t="inlineStr"/>
      <c r="C195" s="68" t="inlineStr">
        <is>
          <t>Error;NORMAL;BLOQUEADA;Transit</t>
        </is>
      </c>
      <c r="D195" s="68" t="inlineStr">
        <is>
          <t>0;2;1;3</t>
        </is>
      </c>
      <c r="E195" s="68" t="inlineStr">
        <is>
          <t>1;0;2;3</t>
        </is>
      </c>
      <c r="F195" s="68" t="inlineStr">
        <is>
          <t>;;;</t>
        </is>
      </c>
      <c r="G195" s="68" t="inlineStr">
        <is>
          <t>#FF000000;#FF00FF00;#FFFF0000;#FFA9A9A9</t>
        </is>
      </c>
      <c r="H195" s="68" t="inlineStr">
        <is>
          <t>Abnormal;Auto;Auto;Abnormal</t>
        </is>
      </c>
      <c r="I195" s="68" t="inlineStr">
        <is>
          <t>FALSE;TRUE;TRUE;FALSE</t>
        </is>
      </c>
      <c r="J195" s="68" t="inlineStr">
        <is>
          <t>Alarme de Estado em Ponto Telessinalizado</t>
        </is>
      </c>
      <c r="K195" s="69" t="inlineStr">
        <is>
          <t>Alarme de Estado em Ponto Telessinalizado</t>
        </is>
      </c>
      <c r="L195" s="69">
        <f>VLOOKUP(LinkTable6789[[#This Row],[Coluna1]],[4]AlarmCatalog!$A:$M,11,FALSE)</f>
        <v/>
      </c>
    </row>
    <row r="196" ht="16.5" customFormat="1" customHeight="1" s="67">
      <c r="A196" s="68" t="inlineStr">
        <is>
          <t>null@null___DESLIGADO@LIGADO___SwitchStatus___INV_S_TS</t>
        </is>
      </c>
      <c r="B196" s="68" t="inlineStr"/>
      <c r="C196" s="68" t="inlineStr">
        <is>
          <t>Error;DESLIGADO;LIGADO;Transit</t>
        </is>
      </c>
      <c r="D196" s="68" t="inlineStr">
        <is>
          <t>0;1;2;3</t>
        </is>
      </c>
      <c r="E196" s="68" t="inlineStr">
        <is>
          <t>2;1;0;3</t>
        </is>
      </c>
      <c r="F196" s="68" t="inlineStr">
        <is>
          <t>;DESLIGAR;LIGAR;</t>
        </is>
      </c>
      <c r="G196" s="68" t="inlineStr">
        <is>
          <t>#FF000000;#FF00FF00;#FFFF0000;#FFA9A9A9</t>
        </is>
      </c>
      <c r="H196" s="68" t="inlineStr">
        <is>
          <t>Abnormal;Auto;Auto;Abnormal</t>
        </is>
      </c>
      <c r="I196" s="68" t="inlineStr">
        <is>
          <t>FALSE;TRUE;TRUE;FALSE</t>
        </is>
      </c>
      <c r="J196" s="68" t="inlineStr">
        <is>
          <t>Alarme de Estado em Ponto Telessinalizado</t>
        </is>
      </c>
      <c r="K196" s="69" t="inlineStr">
        <is>
          <t>Alarme de Estado em Ponto Telessinalizado</t>
        </is>
      </c>
      <c r="L196" s="69">
        <f>VLOOKUP(LinkTable6789[[#This Row],[Coluna1]],[4]AlarmCatalog!$A:$M,11,FALSE)</f>
        <v/>
      </c>
    </row>
    <row r="197" ht="16.5" customFormat="1" customHeight="1" s="67">
      <c r="A197" s="68" t="inlineStr">
        <is>
          <t>null@null___CARREGADA@DESCARREGADA___Custom___INV_S_TS</t>
        </is>
      </c>
      <c r="B197" s="68" t="inlineStr"/>
      <c r="C197" s="68" t="inlineStr">
        <is>
          <t>Transit;CARREGADA;DESCARREGADA;Error</t>
        </is>
      </c>
      <c r="D197" s="68" t="inlineStr">
        <is>
          <t>0;1;2;3</t>
        </is>
      </c>
      <c r="E197" s="68" t="inlineStr">
        <is>
          <t>2;1;0;3</t>
        </is>
      </c>
      <c r="F197" s="68" t="inlineStr">
        <is>
          <t>;;;</t>
        </is>
      </c>
      <c r="G197" s="68" t="inlineStr">
        <is>
          <t>#FF000000;#FF00FF00;#FFFF0000;#FFA9A9A9</t>
        </is>
      </c>
      <c r="H197" s="68" t="inlineStr">
        <is>
          <t>Abnormal;Auto;Auto;Abnormal</t>
        </is>
      </c>
      <c r="I197" s="68" t="inlineStr">
        <is>
          <t>FALSE;TRUE;TRUE;FALSE</t>
        </is>
      </c>
      <c r="J197" s="68" t="inlineStr">
        <is>
          <t>Alarme de Estado em Ponto Telessinalizado</t>
        </is>
      </c>
      <c r="K197" s="69" t="inlineStr">
        <is>
          <t>Alarme de Estado em Ponto Telessinalizado</t>
        </is>
      </c>
      <c r="L197" s="69">
        <f>VLOOKUP(LinkTable6789[[#This Row],[Coluna1]],[4]AlarmCatalog!$A:$M,11,FALSE)</f>
        <v/>
      </c>
    </row>
    <row r="198" ht="16.5" customFormat="1" customHeight="1" s="67">
      <c r="A198" s="68" t="inlineStr">
        <is>
          <t>null@null___NÃO PERMITIDO@PERMITIDO___Custom_S_TS</t>
        </is>
      </c>
      <c r="B198" s="68" t="inlineStr"/>
      <c r="C198" s="68" t="inlineStr">
        <is>
          <t>Transit;NÃO PERMITIDO;PERMITIDO;Error</t>
        </is>
      </c>
      <c r="D198" s="68" t="inlineStr">
        <is>
          <t>0;1;2;3</t>
        </is>
      </c>
      <c r="E198" s="68" t="inlineStr">
        <is>
          <t>2;0;1;3</t>
        </is>
      </c>
      <c r="F198" s="68" t="inlineStr">
        <is>
          <t>;;;</t>
        </is>
      </c>
      <c r="G198" s="68" t="inlineStr">
        <is>
          <t>#FF000000;#FF00FF00;#FFFF0000;#FFA9A9A9</t>
        </is>
      </c>
      <c r="H198" s="68" t="inlineStr">
        <is>
          <t>Abnormal;Auto;Auto;Abnormal</t>
        </is>
      </c>
      <c r="I198" s="68" t="inlineStr">
        <is>
          <t>FALSE;TRUE;TRUE;FALSE</t>
        </is>
      </c>
      <c r="J198" s="68" t="inlineStr">
        <is>
          <t>Alarme de Estado em Ponto Telessinalizado</t>
        </is>
      </c>
      <c r="K198" s="69" t="inlineStr">
        <is>
          <t>Alarme de Estado em Ponto Telessinalizado</t>
        </is>
      </c>
      <c r="L198" s="69">
        <f>VLOOKUP(LinkTable6789[[#This Row],[Coluna1]],[4]AlarmCatalog!$A:$M,11,FALSE)</f>
        <v/>
      </c>
    </row>
    <row r="199" ht="16.5" customFormat="1" customHeight="1" s="67">
      <c r="A199" s="68" t="inlineStr">
        <is>
          <t>null@null___NORMALIZADO@TENSAO RETORNO___Custom_S_TS</t>
        </is>
      </c>
      <c r="B199" s="68" t="inlineStr"/>
      <c r="C199" s="68" t="inlineStr">
        <is>
          <t>Error;NORMALIZADO;TENSAO RETORNO;Transit</t>
        </is>
      </c>
      <c r="D199" s="68" t="inlineStr">
        <is>
          <t>0;1;2;3</t>
        </is>
      </c>
      <c r="E199" s="68" t="inlineStr">
        <is>
          <t>2;0;1;3</t>
        </is>
      </c>
      <c r="F199" s="68" t="inlineStr">
        <is>
          <t>;;;</t>
        </is>
      </c>
      <c r="G199" s="68" t="inlineStr">
        <is>
          <t>#FF000000;#FF00FF00;#FFFF0000;#FFA9A9A9</t>
        </is>
      </c>
      <c r="H199" s="68" t="inlineStr">
        <is>
          <t>Abnormal;Auto;Auto;Abnormal</t>
        </is>
      </c>
      <c r="I199" s="68" t="inlineStr">
        <is>
          <t>FALSE;TRUE;TRUE;FALSE</t>
        </is>
      </c>
      <c r="J199" s="68" t="inlineStr">
        <is>
          <t>Alarme de Estado em Ponto Telessinalizado</t>
        </is>
      </c>
      <c r="K199" s="69" t="inlineStr">
        <is>
          <t>Alarme de Estado em Ponto Telessinalizado</t>
        </is>
      </c>
      <c r="L199" s="69">
        <f>VLOOKUP(LinkTable6789[[#This Row],[Coluna1]],[4]AlarmCatalog!$A:$M,11,FALSE)</f>
        <v/>
      </c>
    </row>
    <row r="200" ht="16.5" customFormat="1" customHeight="1" s="67">
      <c r="A200" s="68" t="inlineStr">
        <is>
          <t>null@null___DESATRACADO@ATRACADO___Custom___INV_S_TS</t>
        </is>
      </c>
      <c r="B200" s="68" t="inlineStr"/>
      <c r="C200" s="68" t="inlineStr">
        <is>
          <t>Error;DESATRACADO;ATRACADO;Transit</t>
        </is>
      </c>
      <c r="D200" s="68" t="inlineStr">
        <is>
          <t>0;1;2;3</t>
        </is>
      </c>
      <c r="E200" s="68" t="inlineStr">
        <is>
          <t>1;2;0;3</t>
        </is>
      </c>
      <c r="F200" s="68" t="inlineStr">
        <is>
          <t>;;;</t>
        </is>
      </c>
      <c r="G200" s="68" t="inlineStr">
        <is>
          <t>#FF000000;#FF00FF00;#FFFF0000;#FFA9A9A9</t>
        </is>
      </c>
      <c r="H200" s="68" t="inlineStr">
        <is>
          <t>Abnormal;Auto;Auto;Abnormal</t>
        </is>
      </c>
      <c r="I200" s="68" t="inlineStr">
        <is>
          <t>FALSE;TRUE;TRUE;FALSE</t>
        </is>
      </c>
      <c r="J200" s="68" t="inlineStr">
        <is>
          <t>Alarme de Estado em Ponto Telessinalizado</t>
        </is>
      </c>
      <c r="K200" s="69" t="inlineStr">
        <is>
          <t>Alarme de Estado em Ponto Telessinalizado</t>
        </is>
      </c>
      <c r="L200" s="69">
        <f>VLOOKUP(LinkTable6789[[#This Row],[Coluna1]],[4]AlarmCatalog!$A:$M,11,FALSE)</f>
        <v/>
      </c>
    </row>
    <row r="201" ht="16.5" customFormat="1" customHeight="1" s="67">
      <c r="A201" s="68" t="inlineStr">
        <is>
          <t>null@null___DESLIGADO@LIGADO___SwitchStatus_D_TS</t>
        </is>
      </c>
      <c r="B201" s="68" t="inlineStr"/>
      <c r="C201" s="68" t="inlineStr">
        <is>
          <t>Transit;DESLIGADO;LIGADO;Error</t>
        </is>
      </c>
      <c r="D201" s="68" t="inlineStr">
        <is>
          <t>0;1;2;3</t>
        </is>
      </c>
      <c r="E201" s="68" t="inlineStr">
        <is>
          <t>0;1;2;3</t>
        </is>
      </c>
      <c r="F201" s="68" t="inlineStr">
        <is>
          <t>;;;</t>
        </is>
      </c>
      <c r="G201" s="68" t="inlineStr">
        <is>
          <t>#FF000000;#FF00FF00;#FFFF0000;#FFA9A9A9</t>
        </is>
      </c>
      <c r="H201" s="68" t="inlineStr">
        <is>
          <t>Abnormal;Abnormal;Normal;Normal</t>
        </is>
      </c>
      <c r="I201" s="68" t="inlineStr">
        <is>
          <t>FALSE;TRUE;TRUE;FALSE</t>
        </is>
      </c>
      <c r="J201" s="68" t="inlineStr">
        <is>
          <t>Alarme de Estado em Ponto Telessinalizado</t>
        </is>
      </c>
      <c r="K201" s="69" t="inlineStr">
        <is>
          <t>Alarme de Estado em Ponto Telessinalizado</t>
        </is>
      </c>
      <c r="L201" s="69">
        <f>VLOOKUP(LinkTable6789[[#This Row],[Coluna1]],[4]AlarmCatalog!$A:$M,11,FALSE)</f>
        <v/>
      </c>
    </row>
    <row r="202" ht="16.5" customFormat="1" customHeight="1" s="67">
      <c r="A202" s="68" t="inlineStr">
        <is>
          <t>MESTRE@INDIVIDUAL@COMANDO___MESTRE@INDIVIDUAL@COMANDO___Parallel___admsINV_D_TS_SS</t>
        </is>
      </c>
      <c r="B202" s="68" t="inlineStr"/>
      <c r="C202" s="68" t="inlineStr">
        <is>
          <t>MESTRE;INDIVIDUAL;COMANDADO;</t>
        </is>
      </c>
      <c r="D202" s="68" t="inlineStr">
        <is>
          <t>2;0;1;3</t>
        </is>
      </c>
      <c r="E202" s="68" t="inlineStr">
        <is>
          <t>0;2;1;3</t>
        </is>
      </c>
      <c r="F202" s="68" t="inlineStr">
        <is>
          <t>MESTRE;INDIVIDUAL;COMANDO;</t>
        </is>
      </c>
      <c r="G202" s="68" t="inlineStr">
        <is>
          <t>#FFFF0000;#FF00FF00;#FF00FF00;#FF000000</t>
        </is>
      </c>
      <c r="H202" s="68" t="inlineStr">
        <is>
          <t>Normal;Abnormal;Abnormal;Abnormal</t>
        </is>
      </c>
      <c r="I202" s="68" t="inlineStr">
        <is>
          <t>TRUE;TRUE;TRUE;FALSE</t>
        </is>
      </c>
      <c r="J202" s="68" t="inlineStr">
        <is>
          <t>Alarme de Estado em Ponto Telessinalizado SS</t>
        </is>
      </c>
      <c r="K202" s="69" t="inlineStr">
        <is>
          <t>Alarme de Estado em Ponto Telessinalizado SS</t>
        </is>
      </c>
      <c r="L202" s="69">
        <f>VLOOKUP(LinkTable6789[[#This Row],[Coluna1]],[4]AlarmCatalog!$A:$M,11,FALSE)</f>
        <v/>
      </c>
    </row>
    <row r="203" ht="16.5" customFormat="1" customHeight="1" s="67">
      <c r="A203" s="68" t="inlineStr">
        <is>
          <t>null@null___AUTOMATICO@MANUAL___Custom_S_TS</t>
        </is>
      </c>
      <c r="B203" s="68" t="inlineStr"/>
      <c r="C203" s="68" t="inlineStr">
        <is>
          <t>Transit;AUTOMATICO;MANUAL;Error</t>
        </is>
      </c>
      <c r="D203" s="68" t="inlineStr">
        <is>
          <t>0;1;2;3</t>
        </is>
      </c>
      <c r="E203" s="68" t="inlineStr">
        <is>
          <t>2;0;1;3</t>
        </is>
      </c>
      <c r="F203" s="68" t="inlineStr">
        <is>
          <t>;;;</t>
        </is>
      </c>
      <c r="G203" s="68" t="inlineStr">
        <is>
          <t>#FF000000;#FF00FF00;#FFFF0000;#FFA9A9A9</t>
        </is>
      </c>
      <c r="H203" s="68" t="inlineStr">
        <is>
          <t>Abnormal;Auto;Auto;Abnormal</t>
        </is>
      </c>
      <c r="I203" s="68" t="inlineStr">
        <is>
          <t>FALSE;TRUE;TRUE;FALSE</t>
        </is>
      </c>
      <c r="J203" s="68" t="inlineStr">
        <is>
          <t>Alarme de Estado em Ponto Telessinalizado</t>
        </is>
      </c>
      <c r="K203" s="69" t="inlineStr">
        <is>
          <t>Alarme de Estado em Ponto Telessinalizado</t>
        </is>
      </c>
      <c r="L203" s="69">
        <f>VLOOKUP(LinkTable6789[[#This Row],[Coluna1]],[4]AlarmCatalog!$A:$M,11,FALSE)</f>
        <v/>
      </c>
    </row>
    <row r="204" ht="16.5" customFormat="1" customHeight="1" s="67">
      <c r="A204" s="68" t="inlineStr">
        <is>
          <t>null@null___MANUAL DESATIVOU@MANUAL ATIVOU___Custom_S_TS</t>
        </is>
      </c>
      <c r="B204" s="68" t="inlineStr"/>
      <c r="C204" s="68" t="inlineStr">
        <is>
          <t>Transit;MANUAL DESATIVOU;MANUAL ATIVOU;Error</t>
        </is>
      </c>
      <c r="D204" s="68" t="inlineStr">
        <is>
          <t>0;1;2;3</t>
        </is>
      </c>
      <c r="E204" s="68" t="inlineStr">
        <is>
          <t>2;0;1;3</t>
        </is>
      </c>
      <c r="F204" s="68" t="inlineStr">
        <is>
          <t>;;;</t>
        </is>
      </c>
      <c r="G204" s="68" t="inlineStr">
        <is>
          <t>#FF000000;#FF00FF00;#FFFF0000;#FFA9A9A9</t>
        </is>
      </c>
      <c r="H204" s="68" t="inlineStr">
        <is>
          <t>Abnormal;Auto;Auto;Abnormal</t>
        </is>
      </c>
      <c r="I204" s="68" t="inlineStr">
        <is>
          <t>FALSE;TRUE;TRUE;FALSE</t>
        </is>
      </c>
      <c r="J204" s="68" t="inlineStr">
        <is>
          <t>Alarme de Estado em Ponto Telessinalizado</t>
        </is>
      </c>
      <c r="K204" s="69" t="inlineStr">
        <is>
          <t>Alarme de Estado em Ponto Telessinalizado</t>
        </is>
      </c>
      <c r="L204" s="69">
        <f>VLOOKUP(LinkTable6789[[#This Row],[Coluna1]],[4]AlarmCatalog!$A:$M,11,FALSE)</f>
        <v/>
      </c>
    </row>
    <row r="205" ht="16.5" customFormat="1" customHeight="1" s="67">
      <c r="A205" s="68" t="inlineStr">
        <is>
          <t>DI_INCLUIR@EXCLUIR___INCLUIDO@EXCLUIDO___ReclosingEnabled___INV_S_TC</t>
        </is>
      </c>
      <c r="B205" s="68" t="inlineStr"/>
      <c r="C205" s="68" t="inlineStr">
        <is>
          <t>Transit;INCLUIDO;EXCLUIDO;Error</t>
        </is>
      </c>
      <c r="D205" s="68" t="inlineStr">
        <is>
          <t>0;1;2;3</t>
        </is>
      </c>
      <c r="E205" s="68" t="inlineStr">
        <is>
          <t>2;1;0;3</t>
        </is>
      </c>
      <c r="F205" s="68" t="inlineStr">
        <is>
          <t>;INCLUIR;EXCLUIR;</t>
        </is>
      </c>
      <c r="G205" s="68" t="inlineStr">
        <is>
          <t>#FF000000;#FFFF0000;#FF00FF00;#FFA9A9A9</t>
        </is>
      </c>
      <c r="H205" s="68" t="inlineStr">
        <is>
          <t>Abnormal;Auto;Auto;Abnormal</t>
        </is>
      </c>
      <c r="I205" s="68" t="inlineStr">
        <is>
          <t>FALSE;TRUE;TRUE;FALSE</t>
        </is>
      </c>
      <c r="J205" s="68" t="inlineStr">
        <is>
          <t>Alarme de Estado em Ponto Telecontrolado</t>
        </is>
      </c>
      <c r="K205" s="69" t="inlineStr">
        <is>
          <t>Alarme de Estado em Ponto Telecontrolado</t>
        </is>
      </c>
      <c r="L205" s="69">
        <f>VLOOKUP(LinkTable6789[[#This Row],[Coluna1]],[4]AlarmCatalog!$A:$M,11,FALSE)</f>
        <v/>
      </c>
    </row>
    <row r="206" ht="16.5" customFormat="1" customHeight="1" s="67">
      <c r="A206" s="68" t="inlineStr">
        <is>
          <t>null@null___NORMAL@TRANSFERIDA___Custom_S_TS</t>
        </is>
      </c>
      <c r="B206" s="68" t="inlineStr"/>
      <c r="C206" s="68" t="inlineStr">
        <is>
          <t>Error;NORMAL;TRANSFERIDA;Transit</t>
        </is>
      </c>
      <c r="D206" s="68" t="inlineStr">
        <is>
          <t>0;1;2;3</t>
        </is>
      </c>
      <c r="E206" s="68" t="inlineStr">
        <is>
          <t>2;0;1;3</t>
        </is>
      </c>
      <c r="F206" s="68" t="inlineStr">
        <is>
          <t>;;;</t>
        </is>
      </c>
      <c r="G206" s="68" t="inlineStr">
        <is>
          <t>#FF000000;#FF00FF00;#FFFF0000;#FFA9A9A9</t>
        </is>
      </c>
      <c r="H206" s="68" t="inlineStr">
        <is>
          <t>Abnormal;Auto;Auto;Abnormal</t>
        </is>
      </c>
      <c r="I206" s="68" t="inlineStr">
        <is>
          <t>FALSE;TRUE;TRUE;FALSE</t>
        </is>
      </c>
      <c r="J206" s="68" t="inlineStr">
        <is>
          <t>Alarme de Estado em Ponto Telessinalizado</t>
        </is>
      </c>
      <c r="K206" s="69" t="inlineStr">
        <is>
          <t>Alarme de Estado em Ponto Telessinalizado</t>
        </is>
      </c>
      <c r="L206" s="69">
        <f>VLOOKUP(LinkTable6789[[#This Row],[Coluna1]],[4]AlarmCatalog!$A:$M,11,FALSE)</f>
        <v/>
      </c>
    </row>
    <row r="207" ht="16.5" customFormat="1" customHeight="1" s="67">
      <c r="A207" s="68" t="inlineStr">
        <is>
          <t>null@null___COMPLETA@INCOMPLETA___Custom_S_TS</t>
        </is>
      </c>
      <c r="B207" s="68" t="inlineStr"/>
      <c r="C207" s="68" t="inlineStr">
        <is>
          <t>Transit;COMPLETA;INCOMPLETA;Error</t>
        </is>
      </c>
      <c r="D207" s="68" t="inlineStr">
        <is>
          <t>0;1;2;3</t>
        </is>
      </c>
      <c r="E207" s="68" t="inlineStr">
        <is>
          <t>2;0;1;3</t>
        </is>
      </c>
      <c r="F207" s="68" t="inlineStr">
        <is>
          <t>;;;</t>
        </is>
      </c>
      <c r="G207" s="68" t="inlineStr">
        <is>
          <t>#FF000000;#FF00FF00;#FFFF0000;#FFA9A9A9</t>
        </is>
      </c>
      <c r="H207" s="68" t="inlineStr">
        <is>
          <t>Abnormal;Auto;Auto;Abnormal</t>
        </is>
      </c>
      <c r="I207" s="68" t="inlineStr">
        <is>
          <t>FALSE;TRUE;TRUE;FALSE</t>
        </is>
      </c>
      <c r="J207" s="68" t="inlineStr">
        <is>
          <t>Alarme de Estado em Ponto Telessinalizado</t>
        </is>
      </c>
      <c r="K207" s="69" t="inlineStr">
        <is>
          <t>Alarme de Estado em Ponto Telessinalizado</t>
        </is>
      </c>
      <c r="L207" s="69">
        <f>VLOOKUP(LinkTable6789[[#This Row],[Coluna1]],[4]AlarmCatalog!$A:$M,11,FALSE)</f>
        <v/>
      </c>
    </row>
    <row r="208" ht="16.5" customFormat="1" customHeight="1" s="67">
      <c r="A208" s="68" t="inlineStr">
        <is>
          <t>null@null___FALHA@OPERANDO___Custom_S_TS</t>
        </is>
      </c>
      <c r="B208" s="68" t="inlineStr"/>
      <c r="C208" s="68" t="inlineStr">
        <is>
          <t>Transit;FALHA;OPERANDO;Error</t>
        </is>
      </c>
      <c r="D208" s="68" t="inlineStr">
        <is>
          <t>0;1;2;3</t>
        </is>
      </c>
      <c r="E208" s="68" t="inlineStr">
        <is>
          <t>2;0;1;3</t>
        </is>
      </c>
      <c r="F208" s="68" t="inlineStr">
        <is>
          <t>;;;</t>
        </is>
      </c>
      <c r="G208" s="68" t="inlineStr">
        <is>
          <t>#FF000000;#FF00FF00;#FFFF0000;#FFA9A9A9</t>
        </is>
      </c>
      <c r="H208" s="68" t="inlineStr">
        <is>
          <t>Abnormal;Auto;Auto;Abnormal</t>
        </is>
      </c>
      <c r="I208" s="68" t="inlineStr">
        <is>
          <t>FALSE;TRUE;TRUE;FALSE</t>
        </is>
      </c>
      <c r="J208" s="68" t="inlineStr">
        <is>
          <t>Alarme de Estado em Ponto Telessinalizado</t>
        </is>
      </c>
      <c r="K208" s="69" t="inlineStr">
        <is>
          <t>Alarme de Estado em Ponto Telessinalizado</t>
        </is>
      </c>
      <c r="L208" s="69">
        <f>VLOOKUP(LinkTable6789[[#This Row],[Coluna1]],[4]AlarmCatalog!$A:$M,11,FALSE)</f>
        <v/>
      </c>
    </row>
    <row r="209" ht="16.5" customFormat="1" customHeight="1" s="67">
      <c r="A209" s="68" t="inlineStr">
        <is>
          <t>null@null___@____S_TS</t>
        </is>
      </c>
      <c r="B209" s="68" t="inlineStr"/>
      <c r="C209" s="68" t="inlineStr">
        <is>
          <t>Error;;;Transit</t>
        </is>
      </c>
      <c r="D209" s="68" t="inlineStr">
        <is>
          <t>0;1;2;3</t>
        </is>
      </c>
      <c r="E209" s="68" t="inlineStr">
        <is>
          <t>2;0;1;3</t>
        </is>
      </c>
      <c r="F209" s="68" t="inlineStr">
        <is>
          <t>;;;</t>
        </is>
      </c>
      <c r="G209" s="68" t="inlineStr">
        <is>
          <t>#FF000000;#FF00FF00;#FFFF0000;#FFA9A9A9</t>
        </is>
      </c>
      <c r="H209" s="68" t="inlineStr">
        <is>
          <t>Abnormal;Auto;Auto;Abnormal</t>
        </is>
      </c>
      <c r="I209" s="68" t="inlineStr">
        <is>
          <t>FALSE;TRUE;TRUE;FALSE</t>
        </is>
      </c>
      <c r="J209" s="68" t="inlineStr">
        <is>
          <t>Alarme de Estado em Ponto Telessinalizado</t>
        </is>
      </c>
      <c r="K209" s="69" t="inlineStr">
        <is>
          <t>Alarme de Estado em Ponto Telessinalizado</t>
        </is>
      </c>
      <c r="L209" s="69">
        <f>VLOOKUP(LinkTable6789[[#This Row],[Coluna1]],[4]AlarmCatalog!$A:$M,11,FALSE)</f>
        <v/>
      </c>
    </row>
    <row r="210" ht="16.5" customFormat="1" customHeight="1" s="67">
      <c r="A210" s="68" t="inlineStr">
        <is>
          <t>DI_DESABILITAR@HABILITAR___null@null___Custom_S_TC_DVx</t>
        </is>
      </c>
      <c r="B210" s="68" t="inlineStr"/>
      <c r="C210" s="68" t="inlineStr">
        <is>
          <t>;;;</t>
        </is>
      </c>
      <c r="D210" s="68" t="inlineStr">
        <is>
          <t>0;1;2;3</t>
        </is>
      </c>
      <c r="E210" s="68" t="inlineStr">
        <is>
          <t>2;0;1;3</t>
        </is>
      </c>
      <c r="F210" s="68" t="inlineStr">
        <is>
          <t>;DESABILITAR;ATIVAR;</t>
        </is>
      </c>
      <c r="G210" s="68" t="inlineStr">
        <is>
          <t>#FF000000;#FF00FF00;#FFFF0000;#FFA9A9A9</t>
        </is>
      </c>
      <c r="H210" s="68" t="inlineStr">
        <is>
          <t>Abnormal;Auto;Auto;Abnormal</t>
        </is>
      </c>
      <c r="I210" s="68" t="inlineStr">
        <is>
          <t>FALSE;TRUE;TRUE;FALSE</t>
        </is>
      </c>
      <c r="J210" s="68" t="inlineStr">
        <is>
          <t>Alarme de Estado em Ponto Telecontrolado DVx</t>
        </is>
      </c>
      <c r="K210" s="69" t="inlineStr">
        <is>
          <t>Alarme de Estado em Ponto Telecontrolado DVx</t>
        </is>
      </c>
      <c r="L210" s="69">
        <f>VLOOKUP(LinkTable6789[[#This Row],[Coluna1]],[4]AlarmCatalog!$A:$M,11,FALSE)</f>
        <v/>
      </c>
    </row>
    <row r="211" ht="16.5" customFormat="1" customHeight="1" s="67">
      <c r="A211" s="68" t="inlineStr">
        <is>
          <t>null@null___NORMAL@ALTERNATIVO___Custom_S_TS</t>
        </is>
      </c>
      <c r="B211" s="68" t="inlineStr"/>
      <c r="C211" s="68" t="inlineStr">
        <is>
          <t>Error;NORMAL;ALTERNATIVO;Transit</t>
        </is>
      </c>
      <c r="D211" s="68" t="inlineStr">
        <is>
          <t>0;1;2;3</t>
        </is>
      </c>
      <c r="E211" s="68" t="inlineStr">
        <is>
          <t>1;0;2;3</t>
        </is>
      </c>
      <c r="F211" s="68" t="inlineStr">
        <is>
          <t>;;;</t>
        </is>
      </c>
      <c r="G211" s="68" t="inlineStr">
        <is>
          <t>#FF000000;#FF00FF00;#FFFF0000;#FFA9A9A9</t>
        </is>
      </c>
      <c r="H211" s="68" t="inlineStr">
        <is>
          <t>Normal;Normal;Normal;Normal</t>
        </is>
      </c>
      <c r="I211" s="68" t="inlineStr">
        <is>
          <t>FALSE;TRUE;TRUE;FALSE</t>
        </is>
      </c>
      <c r="J211" s="68" t="inlineStr">
        <is>
          <t>Alarme de Estado em Ponto Telessinalizado</t>
        </is>
      </c>
      <c r="K211" s="69" t="inlineStr">
        <is>
          <t>Alarme de Estado em Ponto Telessinalizado</t>
        </is>
      </c>
      <c r="L211" s="69">
        <f>VLOOKUP(LinkTable6789[[#This Row],[Coluna1]],[4]AlarmCatalog!$A:$M,11,FALSE)</f>
        <v/>
      </c>
    </row>
    <row r="212" ht="16.5" customFormat="1" customHeight="1" s="67">
      <c r="A212" s="68" t="inlineStr">
        <is>
          <t>null@null___NORMAL@SEM COMUN___Custom_S_TS</t>
        </is>
      </c>
      <c r="B212" s="68" t="inlineStr"/>
      <c r="C212" s="68" t="inlineStr">
        <is>
          <t>Error;NORMAL;SEM COMUN;Transit</t>
        </is>
      </c>
      <c r="D212" s="68" t="inlineStr">
        <is>
          <t>0;1;2;3</t>
        </is>
      </c>
      <c r="E212" s="68" t="inlineStr">
        <is>
          <t>1;0;2;3</t>
        </is>
      </c>
      <c r="F212" s="68" t="inlineStr">
        <is>
          <t>;;;</t>
        </is>
      </c>
      <c r="G212" s="68" t="inlineStr">
        <is>
          <t>#FF000000;#FF00FF00;#FFFF0000;#FFA9A9A9</t>
        </is>
      </c>
      <c r="H212" s="68" t="inlineStr">
        <is>
          <t>Normal;Normal;Normal;Normal</t>
        </is>
      </c>
      <c r="I212" s="68" t="inlineStr">
        <is>
          <t>FALSE;TRUE;TRUE;FALSE</t>
        </is>
      </c>
      <c r="J212" s="68" t="inlineStr">
        <is>
          <t>Alarme de Estado em Ponto Telessinalizado</t>
        </is>
      </c>
      <c r="K212" s="69" t="inlineStr">
        <is>
          <t>Alarme de Estado em Ponto Telessinalizado</t>
        </is>
      </c>
      <c r="L212" s="69">
        <f>VLOOKUP(LinkTable6789[[#This Row],[Coluna1]],[4]AlarmCatalog!$A:$M,11,FALSE)</f>
        <v/>
      </c>
    </row>
    <row r="213" ht="16.5" customFormat="1" customHeight="1" s="67">
      <c r="A213" s="68" t="inlineStr">
        <is>
          <t>DI_null@null___DESABILITADO@HABILITADO___Custom_S_TS_DS</t>
        </is>
      </c>
      <c r="B213" s="68" t="inlineStr"/>
      <c r="C213" s="68" t="inlineStr">
        <is>
          <t>Transit;DESABILITADO;HABILITADO;Error</t>
        </is>
      </c>
      <c r="D213" s="68" t="inlineStr">
        <is>
          <t>0;1;2;3</t>
        </is>
      </c>
      <c r="E213" s="68" t="inlineStr">
        <is>
          <t>2;0;1;3</t>
        </is>
      </c>
      <c r="F213" s="68" t="inlineStr">
        <is>
          <t>;;;</t>
        </is>
      </c>
      <c r="G213" s="68" t="inlineStr">
        <is>
          <t>#FF000000;#FF00FF00;#FFFF0000;#FFA9A9A9</t>
        </is>
      </c>
      <c r="H213" s="68" t="inlineStr">
        <is>
          <t>Abnormal;Auto;Auto;Abnormal</t>
        </is>
      </c>
      <c r="I213" s="68" t="inlineStr">
        <is>
          <t>FALSE;TRUE;TRUE;FALSE</t>
        </is>
      </c>
      <c r="J213" s="68" t="inlineStr">
        <is>
          <t>Alarme de Estado em Ponto Telessinalizado DS</t>
        </is>
      </c>
      <c r="K213" s="69" t="inlineStr">
        <is>
          <t>Alarme de Estado em Ponto Telessinalizado DS</t>
        </is>
      </c>
      <c r="L213" s="69">
        <f>VLOOKUP(LinkTable6789[[#This Row],[Coluna1]],[4]AlarmCatalog!$A:$M,11,FALSE)</f>
        <v/>
      </c>
    </row>
    <row r="214" ht="16.5" customFormat="1" customHeight="1" s="67">
      <c r="A214" s="68" t="inlineStr">
        <is>
          <t>null@null___NORMAL@ALTERNATIVO___Custom___INV_S_TS</t>
        </is>
      </c>
      <c r="B214" s="68" t="inlineStr"/>
      <c r="C214" s="68" t="inlineStr">
        <is>
          <t>Error;NORMAL;ALTERNATIVO;Transit</t>
        </is>
      </c>
      <c r="D214" s="68" t="inlineStr">
        <is>
          <t>0;1;2;3</t>
        </is>
      </c>
      <c r="E214" s="68" t="inlineStr">
        <is>
          <t>2;1;0;3</t>
        </is>
      </c>
      <c r="F214" s="68" t="inlineStr">
        <is>
          <t>;;;</t>
        </is>
      </c>
      <c r="G214" s="68" t="inlineStr">
        <is>
          <t>#FF000000;#FF00FF00;#FFFF0000;#FFA9A9A9</t>
        </is>
      </c>
      <c r="H214" s="68" t="inlineStr">
        <is>
          <t>Normal;Normal;Normal;Normal</t>
        </is>
      </c>
      <c r="I214" s="68" t="inlineStr">
        <is>
          <t>FALSE;TRUE;TRUE;FALSE</t>
        </is>
      </c>
      <c r="J214" s="68" t="inlineStr">
        <is>
          <t>Alarme de Estado em Ponto Telessinalizado</t>
        </is>
      </c>
      <c r="K214" s="69" t="inlineStr">
        <is>
          <t>Alarme de Estado em Ponto Telessinalizado</t>
        </is>
      </c>
      <c r="L214" s="69">
        <f>VLOOKUP(LinkTable6789[[#This Row],[Coluna1]],[4]AlarmCatalog!$A:$M,11,FALSE)</f>
        <v/>
      </c>
    </row>
    <row r="215" ht="16.5" customFormat="1" customHeight="1" s="67">
      <c r="A215" s="68" t="inlineStr">
        <is>
          <t>null@null___AUTOM DESATIVOU@AUTOM ATIVOU___Custom_S_TS</t>
        </is>
      </c>
      <c r="B215" s="68" t="inlineStr"/>
      <c r="C215" s="68" t="inlineStr">
        <is>
          <t>Transit;AUTOM DESATIVOU;AUTOM ATIVOU;Error</t>
        </is>
      </c>
      <c r="D215" s="68" t="inlineStr">
        <is>
          <t>0;1;2;3</t>
        </is>
      </c>
      <c r="E215" s="68" t="inlineStr">
        <is>
          <t>2;0;1;3</t>
        </is>
      </c>
      <c r="F215" s="68" t="inlineStr">
        <is>
          <t>;;;</t>
        </is>
      </c>
      <c r="G215" s="68" t="inlineStr">
        <is>
          <t>#FF000000;#FF00FF00;#FFFF0000;#FFA9A9A9</t>
        </is>
      </c>
      <c r="H215" s="68" t="inlineStr">
        <is>
          <t>Abnormal;Auto;Auto;Abnormal</t>
        </is>
      </c>
      <c r="I215" s="68" t="inlineStr">
        <is>
          <t>FALSE;TRUE;TRUE;FALSE</t>
        </is>
      </c>
      <c r="J215" s="68" t="inlineStr">
        <is>
          <t>Alarme de Estado em Ponto Telessinalizado</t>
        </is>
      </c>
      <c r="K215" s="69" t="inlineStr">
        <is>
          <t>Alarme de Estado em Ponto Telessinalizado</t>
        </is>
      </c>
      <c r="L215" s="69">
        <f>VLOOKUP(LinkTable6789[[#This Row],[Coluna1]],[4]AlarmCatalog!$A:$M,11,FALSE)</f>
        <v/>
      </c>
    </row>
    <row r="216" ht="16.5" customFormat="1" customHeight="1" s="67">
      <c r="A216" s="68" t="inlineStr">
        <is>
          <t>DI_null@null___DESABILITADO@HABILITADO___Custom_S_TS_DV</t>
        </is>
      </c>
      <c r="B216" s="68" t="inlineStr"/>
      <c r="C216" s="68" t="inlineStr">
        <is>
          <t>Transit;DESABILITADO;HABILITADO;Error</t>
        </is>
      </c>
      <c r="D216" s="68" t="inlineStr">
        <is>
          <t>0;1;2;3</t>
        </is>
      </c>
      <c r="E216" s="68" t="inlineStr">
        <is>
          <t>2;0;1;3</t>
        </is>
      </c>
      <c r="F216" s="68" t="inlineStr">
        <is>
          <t>;;;</t>
        </is>
      </c>
      <c r="G216" s="68" t="inlineStr">
        <is>
          <t>#FF000000;#FF00FF00;#FFFF0000;#FFA9A9A9</t>
        </is>
      </c>
      <c r="H216" s="68" t="inlineStr">
        <is>
          <t>Abnormal;Auto;Auto;Abnormal</t>
        </is>
      </c>
      <c r="I216" s="68" t="inlineStr">
        <is>
          <t>FALSE;TRUE;TRUE;FALSE</t>
        </is>
      </c>
      <c r="J216" s="68" t="inlineStr">
        <is>
          <t>Alarme de Estado em Ponto Telessinalizado DV</t>
        </is>
      </c>
      <c r="K216" s="69" t="inlineStr">
        <is>
          <t>Alarme de Estado em Ponto Telessinalizado DV</t>
        </is>
      </c>
      <c r="L216" s="69">
        <f>VLOOKUP(LinkTable6789[[#This Row],[Coluna1]],[4]AlarmCatalog!$A:$M,11,FALSE)</f>
        <v/>
      </c>
    </row>
    <row r="217" ht="16.5" customFormat="1" customHeight="1" s="67">
      <c r="A217" s="68" t="inlineStr">
        <is>
          <t>null@null___AUTOM DESATIVADO@AUTOM ATIVADO___Custom_S_TS</t>
        </is>
      </c>
      <c r="B217" s="68" t="inlineStr"/>
      <c r="C217" s="68" t="inlineStr">
        <is>
          <t>Transit;AUTOM DESATIVADO;AUTOM ATIVADO;Error</t>
        </is>
      </c>
      <c r="D217" s="68" t="inlineStr">
        <is>
          <t>0;1;2;3</t>
        </is>
      </c>
      <c r="E217" s="68" t="inlineStr">
        <is>
          <t>2;0;1;3</t>
        </is>
      </c>
      <c r="F217" s="68" t="inlineStr">
        <is>
          <t>;;;</t>
        </is>
      </c>
      <c r="G217" s="68" t="inlineStr">
        <is>
          <t>#FF000000;#FF00FF00;#FFFF0000;#FFA9A9A9</t>
        </is>
      </c>
      <c r="H217" s="68" t="inlineStr">
        <is>
          <t>Abnormal;Auto;Auto;Abnormal</t>
        </is>
      </c>
      <c r="I217" s="68" t="inlineStr">
        <is>
          <t>FALSE;TRUE;TRUE;FALSE</t>
        </is>
      </c>
      <c r="J217" s="68" t="inlineStr">
        <is>
          <t>Alarme de Estado em Ponto Telessinalizado</t>
        </is>
      </c>
      <c r="K217" s="69" t="inlineStr">
        <is>
          <t>Alarme de Estado em Ponto Telessinalizado</t>
        </is>
      </c>
      <c r="L217" s="69">
        <f>VLOOKUP(LinkTable6789[[#This Row],[Coluna1]],[4]AlarmCatalog!$A:$M,11,FALSE)</f>
        <v/>
      </c>
    </row>
    <row r="218" ht="16.5" customFormat="1" customHeight="1" s="67">
      <c r="A218" s="68" t="inlineStr">
        <is>
          <t>null@null___NORMAL@ERRO___Custom_S_TS</t>
        </is>
      </c>
      <c r="B218" s="68" t="inlineStr"/>
      <c r="C218" s="68" t="inlineStr">
        <is>
          <t>Transit;NORMAL;ERRO;Error</t>
        </is>
      </c>
      <c r="D218" s="68" t="inlineStr">
        <is>
          <t>0;1;2;3</t>
        </is>
      </c>
      <c r="E218" s="68" t="inlineStr">
        <is>
          <t>2;0;1;3</t>
        </is>
      </c>
      <c r="F218" s="68" t="inlineStr">
        <is>
          <t>;;;</t>
        </is>
      </c>
      <c r="G218" s="68" t="inlineStr">
        <is>
          <t>#FF000000;#FF00FF00;#FFFF0000;#FFA9A9A9</t>
        </is>
      </c>
      <c r="H218" s="68" t="inlineStr">
        <is>
          <t>Abnormal;Auto;Auto;Abnormal</t>
        </is>
      </c>
      <c r="I218" s="68" t="inlineStr">
        <is>
          <t>FALSE;TRUE;TRUE;FALSE</t>
        </is>
      </c>
      <c r="J218" s="68" t="inlineStr">
        <is>
          <t>Alarme de Estado em Ponto Telessinalizado</t>
        </is>
      </c>
      <c r="K218" s="69" t="inlineStr">
        <is>
          <t>Alarme de Estado em Ponto Telessinalizado</t>
        </is>
      </c>
      <c r="L218" s="69">
        <f>VLOOKUP(LinkTable6789[[#This Row],[Coluna1]],[4]AlarmCatalog!$A:$M,11,FALSE)</f>
        <v/>
      </c>
    </row>
    <row r="219" ht="16.5" customFormat="1" customHeight="1" s="67">
      <c r="A219" s="68" t="inlineStr">
        <is>
          <t>null@null___NORMAL@BLOQUEADA___Enabled___admsINV_S_TS</t>
        </is>
      </c>
      <c r="B219" s="68" t="inlineStr"/>
      <c r="C219" s="68" t="inlineStr">
        <is>
          <t>Error;NORMAL;BLOQUEADA;Transit</t>
        </is>
      </c>
      <c r="D219" s="68" t="inlineStr">
        <is>
          <t>0;2;1;3</t>
        </is>
      </c>
      <c r="E219" s="68" t="inlineStr">
        <is>
          <t>2;0;1;3</t>
        </is>
      </c>
      <c r="F219" s="68" t="inlineStr">
        <is>
          <t>;;;</t>
        </is>
      </c>
      <c r="G219" s="68" t="inlineStr">
        <is>
          <t>#FF000000;#FF00FF00;#FFFF0000;#FFA9A9A9</t>
        </is>
      </c>
      <c r="H219" s="68" t="inlineStr">
        <is>
          <t>Abnormal;Auto;Auto;Abnormal</t>
        </is>
      </c>
      <c r="I219" s="68" t="inlineStr">
        <is>
          <t>FALSE;TRUE;TRUE;FALSE</t>
        </is>
      </c>
      <c r="J219" s="68" t="inlineStr">
        <is>
          <t>Alarme de Estado em Ponto Telessinalizado</t>
        </is>
      </c>
      <c r="K219" s="69" t="inlineStr">
        <is>
          <t>Alarme de Estado em Ponto Telessinalizado</t>
        </is>
      </c>
      <c r="L219" s="69">
        <f>VLOOKUP(LinkTable6789[[#This Row],[Coluna1]],[4]AlarmCatalog!$A:$M,11,FALSE)</f>
        <v/>
      </c>
    </row>
    <row r="220" ht="16.5" customFormat="1" customHeight="1" s="67">
      <c r="A220" s="68" t="inlineStr">
        <is>
          <t>null@null___NORMAL@BLOQUEADA___Enabled___INV___admsINV_S_TS</t>
        </is>
      </c>
      <c r="B220" s="68" t="inlineStr"/>
      <c r="C220" s="68" t="inlineStr">
        <is>
          <t>Error;NORMAL;BLOQUEADA;Transit</t>
        </is>
      </c>
      <c r="D220" s="68" t="inlineStr">
        <is>
          <t>0;2;1;3</t>
        </is>
      </c>
      <c r="E220" s="68" t="inlineStr">
        <is>
          <t>2;1;0;3</t>
        </is>
      </c>
      <c r="F220" s="68" t="inlineStr">
        <is>
          <t>;;;</t>
        </is>
      </c>
      <c r="G220" s="68" t="inlineStr">
        <is>
          <t>#FF000000;#FF00FF00;#FFFF0000;#FFA9A9A9</t>
        </is>
      </c>
      <c r="H220" s="68" t="inlineStr">
        <is>
          <t>Abnormal;Auto;Auto;Abnormal</t>
        </is>
      </c>
      <c r="I220" s="68" t="inlineStr">
        <is>
          <t>FALSE;TRUE;TRUE;FALSE</t>
        </is>
      </c>
      <c r="J220" s="68" t="inlineStr">
        <is>
          <t>Alarme de Estado em Ponto Telessinalizado</t>
        </is>
      </c>
      <c r="K220" s="69" t="inlineStr">
        <is>
          <t>Alarme de Estado em Ponto Telessinalizado</t>
        </is>
      </c>
      <c r="L220" s="69">
        <f>VLOOKUP(LinkTable6789[[#This Row],[Coluna1]],[4]AlarmCatalog!$A:$M,11,FALSE)</f>
        <v/>
      </c>
    </row>
    <row r="221" ht="16.5" customFormat="1" customHeight="1" s="67">
      <c r="A221" s="68" t="inlineStr">
        <is>
          <t>DI_null@null___DESABILITADO@HABILITADO___HotLineTag_S_TS</t>
        </is>
      </c>
      <c r="B221" s="68" t="inlineStr"/>
      <c r="C221" s="68" t="inlineStr">
        <is>
          <t>Transit;DESABILITADO;HABILITADO;Error</t>
        </is>
      </c>
      <c r="D221" s="68" t="inlineStr">
        <is>
          <t>0;1;2;3</t>
        </is>
      </c>
      <c r="E221" s="68" t="inlineStr">
        <is>
          <t>2;0;1;3</t>
        </is>
      </c>
      <c r="F221" s="68" t="inlineStr">
        <is>
          <t>;;;</t>
        </is>
      </c>
      <c r="G221" s="68" t="inlineStr">
        <is>
          <t>#FF000000;#FF00FF00;#FFFF0000;#FFA9A9A9</t>
        </is>
      </c>
      <c r="H221" s="68" t="inlineStr">
        <is>
          <t>Abnormal;Auto;Auto;Abnormal</t>
        </is>
      </c>
      <c r="I221" s="68" t="inlineStr">
        <is>
          <t>FALSE;TRUE;TRUE;FALSE</t>
        </is>
      </c>
      <c r="J221" s="68" t="inlineStr">
        <is>
          <t>Alarme de Estado em Ponto Telessinalizado</t>
        </is>
      </c>
      <c r="K221" s="69" t="inlineStr">
        <is>
          <t>Alarme de Estado em Ponto Telessinalizado</t>
        </is>
      </c>
      <c r="L221" s="69">
        <f>VLOOKUP(LinkTable6789[[#This Row],[Coluna1]],[4]AlarmCatalog!$A:$M,11,FALSE)</f>
        <v/>
      </c>
    </row>
    <row r="222" ht="16.5" customFormat="1" customHeight="1" s="67">
      <c r="A222" s="68" t="inlineStr">
        <is>
          <t>null@null___NORMAL DESATIVAD@NORMAL ATIVADO___Custom___admsINV_S_TS</t>
        </is>
      </c>
      <c r="B222" s="68" t="inlineStr"/>
      <c r="C222" s="68" t="inlineStr">
        <is>
          <t>Error;NORMAL DESATIVAD;NORMAL ATIVADO;Transit</t>
        </is>
      </c>
      <c r="D222" s="68" t="inlineStr">
        <is>
          <t>0;2;1;3</t>
        </is>
      </c>
      <c r="E222" s="68" t="inlineStr">
        <is>
          <t>2;0;1;3</t>
        </is>
      </c>
      <c r="F222" s="68" t="inlineStr">
        <is>
          <t>;;;</t>
        </is>
      </c>
      <c r="G222" s="68" t="inlineStr">
        <is>
          <t>#FF000000;#FF00FF00;#FFFF0000;#FFA9A9A9</t>
        </is>
      </c>
      <c r="H222" s="68" t="inlineStr">
        <is>
          <t>Abnormal;Auto;Auto;Abnormal</t>
        </is>
      </c>
      <c r="I222" s="68" t="inlineStr">
        <is>
          <t>FALSE;TRUE;TRUE;FALSE</t>
        </is>
      </c>
      <c r="J222" s="68" t="inlineStr">
        <is>
          <t>Alarme de Estado em Ponto Telessinalizado</t>
        </is>
      </c>
      <c r="K222" s="69" t="inlineStr">
        <is>
          <t>Alarme de Estado em Ponto Telessinalizado</t>
        </is>
      </c>
      <c r="L222" s="69">
        <f>VLOOKUP(LinkTable6789[[#This Row],[Coluna1]],[4]AlarmCatalog!$A:$M,11,FALSE)</f>
        <v/>
      </c>
    </row>
    <row r="223" ht="16.5" customFormat="1" customHeight="1" s="67">
      <c r="A223" s="68" t="inlineStr">
        <is>
          <t>null@null___DESLIGADO@LIGADO___Custom_D_TS</t>
        </is>
      </c>
      <c r="B223" s="68" t="inlineStr"/>
      <c r="C223" s="68" t="inlineStr">
        <is>
          <t>Transit;DESLIGADO;LIGADO;Error</t>
        </is>
      </c>
      <c r="D223" s="68" t="inlineStr">
        <is>
          <t>0;1;2;3</t>
        </is>
      </c>
      <c r="E223" s="68" t="inlineStr">
        <is>
          <t>2;0;1;3</t>
        </is>
      </c>
      <c r="F223" s="68" t="inlineStr">
        <is>
          <t>;;;</t>
        </is>
      </c>
      <c r="G223" s="68" t="inlineStr">
        <is>
          <t>#FF000000;#FF00FF00;#FFFF0000;#FFA9A9A9</t>
        </is>
      </c>
      <c r="H223" s="68" t="inlineStr">
        <is>
          <t>Abnormal;Auto;Auto;Abnormal</t>
        </is>
      </c>
      <c r="I223" s="68" t="inlineStr">
        <is>
          <t>FALSE;TRUE;TRUE;FALSE</t>
        </is>
      </c>
      <c r="J223" s="68" t="inlineStr">
        <is>
          <t>Alarme de Estado em Ponto Telessinalizado</t>
        </is>
      </c>
      <c r="K223" s="69" t="inlineStr">
        <is>
          <t>Alarme de Estado em Ponto Telessinalizado</t>
        </is>
      </c>
      <c r="L223" s="69">
        <f>VLOOKUP(LinkTable6789[[#This Row],[Coluna1]],[4]AlarmCatalog!$A:$M,11,FALSE)</f>
        <v/>
      </c>
    </row>
    <row r="224" ht="16.5" customFormat="1" customHeight="1" s="67">
      <c r="A224" s="68" t="inlineStr">
        <is>
          <t>MESTRE@INDIVIDUAL@COMANDO___MESTRE@INDIVIDUAL@COMANDO___Parallel___INV___admsINV_D_TS_SS</t>
        </is>
      </c>
      <c r="B224" s="68" t="inlineStr"/>
      <c r="C224" s="68" t="inlineStr">
        <is>
          <t>MESTRE;INDIVIDUAL;COMANDADO;</t>
        </is>
      </c>
      <c r="D224" s="68" t="inlineStr">
        <is>
          <t>2;0;1;3</t>
        </is>
      </c>
      <c r="E224" s="68" t="inlineStr">
        <is>
          <t>0;2;1;3</t>
        </is>
      </c>
      <c r="F224" s="68" t="inlineStr">
        <is>
          <t>MESTRE;INDIVIDUAL;COMANDO;</t>
        </is>
      </c>
      <c r="G224" s="68" t="inlineStr">
        <is>
          <t>#FFFF0000;#FF00FF00;#FF00FF00;#FF000000</t>
        </is>
      </c>
      <c r="H224" s="68" t="inlineStr">
        <is>
          <t>Normal;Abnormal;Abnormal;Abnormal</t>
        </is>
      </c>
      <c r="I224" s="68" t="inlineStr">
        <is>
          <t>TRUE;TRUE;TRUE;FALSE</t>
        </is>
      </c>
      <c r="J224" s="68" t="inlineStr">
        <is>
          <t>Alarme de Estado em Ponto Telessinalizado SS</t>
        </is>
      </c>
      <c r="K224" s="69" t="inlineStr">
        <is>
          <t>Alarme de Estado em Ponto Telessinalizado SS</t>
        </is>
      </c>
      <c r="L224" s="69">
        <f>VLOOKUP(LinkTable6789[[#This Row],[Coluna1]],[4]AlarmCatalog!$A:$M,11,FALSE)</f>
        <v/>
      </c>
    </row>
    <row r="225" ht="16.5" customFormat="1" customHeight="1" s="67">
      <c r="A225" s="68" t="inlineStr">
        <is>
          <t>null@null___NORMAL@COMPLETA___Custom_S_TS</t>
        </is>
      </c>
      <c r="B225" s="68" t="inlineStr"/>
      <c r="C225" s="68" t="inlineStr">
        <is>
          <t>Transit;NORMAL;COMPLETA;Error</t>
        </is>
      </c>
      <c r="D225" s="68" t="inlineStr">
        <is>
          <t>0;1;2;3</t>
        </is>
      </c>
      <c r="E225" s="68" t="inlineStr">
        <is>
          <t>2;0;1;3</t>
        </is>
      </c>
      <c r="F225" s="68" t="inlineStr">
        <is>
          <t>;;;</t>
        </is>
      </c>
      <c r="G225" s="68" t="inlineStr">
        <is>
          <t>#FF000000;#FF00FF00;#FFFF0000;#FFA9A9A9</t>
        </is>
      </c>
      <c r="H225" s="68" t="inlineStr">
        <is>
          <t>Abnormal;Auto;Auto;Abnormal</t>
        </is>
      </c>
      <c r="I225" s="68" t="inlineStr">
        <is>
          <t>FALSE;TRUE;TRUE;FALSE</t>
        </is>
      </c>
      <c r="J225" s="68" t="inlineStr">
        <is>
          <t>Alarme de Estado em Ponto Telessinalizado</t>
        </is>
      </c>
      <c r="K225" s="69" t="inlineStr">
        <is>
          <t>Alarme de Estado em Ponto Telessinalizado</t>
        </is>
      </c>
      <c r="L225" s="69">
        <f>VLOOKUP(LinkTable6789[[#This Row],[Coluna1]],[4]AlarmCatalog!$A:$M,11,FALSE)</f>
        <v/>
      </c>
    </row>
    <row r="226" ht="16.5" customFormat="1" customHeight="1" s="67">
      <c r="A226" s="68" t="inlineStr">
        <is>
          <t>null@null___NÃO PERMITIDO@PERMITIDO___Custom___INV_S_TS</t>
        </is>
      </c>
      <c r="B226" s="68" t="inlineStr"/>
      <c r="C226" s="68" t="inlineStr">
        <is>
          <t>Error;NÃO PERMITIDO;PERMITIDO;Transit</t>
        </is>
      </c>
      <c r="D226" s="68" t="inlineStr">
        <is>
          <t>0;1;2;3</t>
        </is>
      </c>
      <c r="E226" s="68" t="inlineStr">
        <is>
          <t>2;1;0;3</t>
        </is>
      </c>
      <c r="F226" s="68" t="inlineStr">
        <is>
          <t>;;;</t>
        </is>
      </c>
      <c r="G226" s="68" t="inlineStr">
        <is>
          <t>#FF000000;#FF00FF00;#FFFF0000;#FFA9A9A9</t>
        </is>
      </c>
      <c r="H226" s="68" t="inlineStr">
        <is>
          <t>Abnormal;Auto;Auto;Abnormal</t>
        </is>
      </c>
      <c r="I226" s="68" t="inlineStr">
        <is>
          <t>FALSE;TRUE;TRUE;FALSE</t>
        </is>
      </c>
      <c r="J226" s="68" t="inlineStr">
        <is>
          <t>Alarme de Estado em Ponto Telessinalizado</t>
        </is>
      </c>
      <c r="K226" s="69" t="inlineStr">
        <is>
          <t>Alarme de Estado em Ponto Telessinalizado</t>
        </is>
      </c>
      <c r="L226" s="69">
        <f>VLOOKUP(LinkTable6789[[#This Row],[Coluna1]],[4]AlarmCatalog!$A:$M,11,FALSE)</f>
        <v/>
      </c>
    </row>
    <row r="227" ht="16.5" customFormat="1" customHeight="1" s="67">
      <c r="A227" s="68" t="inlineStr">
        <is>
          <t>null@null___@___Custom_S_TS</t>
        </is>
      </c>
      <c r="B227" s="68" t="inlineStr"/>
      <c r="C227" s="68" t="inlineStr">
        <is>
          <t>Transit;null;null;Error</t>
        </is>
      </c>
      <c r="D227" s="68" t="inlineStr">
        <is>
          <t>0;1;2;3</t>
        </is>
      </c>
      <c r="E227" s="68" t="inlineStr">
        <is>
          <t>2;0;1;3</t>
        </is>
      </c>
      <c r="F227" s="68" t="inlineStr">
        <is>
          <t>;;;</t>
        </is>
      </c>
      <c r="G227" s="68" t="inlineStr">
        <is>
          <t>#FF000000;#FF00FF00;#FFFF0000;#FFA9A9A9</t>
        </is>
      </c>
      <c r="H227" s="68" t="inlineStr">
        <is>
          <t>Normal;Normal;Normal;Normal</t>
        </is>
      </c>
      <c r="I227" s="68" t="inlineStr">
        <is>
          <t>FALSE;TRUE;TRUE;FALSE</t>
        </is>
      </c>
      <c r="J227" s="68" t="inlineStr">
        <is>
          <t>Alarme de Estado em Ponto Telessinalizado</t>
        </is>
      </c>
      <c r="K227" s="69" t="inlineStr">
        <is>
          <t>Alarme de Estado em Ponto Telessinalizado</t>
        </is>
      </c>
      <c r="L227" s="69">
        <f>VLOOKUP(LinkTable6789[[#This Row],[Coluna1]],[4]AlarmCatalog!$A:$M,11,FALSE)</f>
        <v/>
      </c>
    </row>
    <row r="228" ht="16.5" customFormat="1" customHeight="1" s="67">
      <c r="A228" s="68" t="inlineStr">
        <is>
          <t>null@null___NORMAL@NORMAL___Custom_S_TS</t>
        </is>
      </c>
      <c r="B228" s="68" t="inlineStr"/>
      <c r="C228" s="68" t="inlineStr">
        <is>
          <t>Error;NORMAL;NORMAL;Transit</t>
        </is>
      </c>
      <c r="D228" s="68" t="inlineStr">
        <is>
          <t>0;1;2;3</t>
        </is>
      </c>
      <c r="E228" s="68" t="inlineStr">
        <is>
          <t>2;0;1;3</t>
        </is>
      </c>
      <c r="F228" s="68" t="inlineStr">
        <is>
          <t>;;;</t>
        </is>
      </c>
      <c r="G228" s="68" t="inlineStr">
        <is>
          <t>#FF000000;#FF00FF00;#FFFF0000;#FFA9A9A9</t>
        </is>
      </c>
      <c r="H228" s="68" t="inlineStr">
        <is>
          <t>Abnormal;Auto;Auto;Abnormal</t>
        </is>
      </c>
      <c r="I228" s="68" t="inlineStr">
        <is>
          <t>FALSE;TRUE;TRUE;FALSE</t>
        </is>
      </c>
      <c r="J228" s="68" t="inlineStr">
        <is>
          <t>Alarme de Estado em Ponto Telessinalizado</t>
        </is>
      </c>
      <c r="K228" s="69" t="inlineStr">
        <is>
          <t>Alarme de Estado em Ponto Telessinalizado</t>
        </is>
      </c>
      <c r="L228" s="69">
        <f>VLOOKUP(LinkTable6789[[#This Row],[Coluna1]],[4]AlarmCatalog!$A:$M,11,FALSE)</f>
        <v/>
      </c>
    </row>
    <row r="229" ht="16.5" customFormat="1" customHeight="1" s="67">
      <c r="A229" s="68" t="inlineStr">
        <is>
          <t>DI_INCLUIR@EXCLUIR___INCLUIDO@EXCLUIDO___ReclosingEnabled___INV_S_TC_DS</t>
        </is>
      </c>
      <c r="B229" s="68" t="inlineStr"/>
      <c r="C229" s="68" t="inlineStr">
        <is>
          <t>Transit;INCLUIDO;EXCLUIDO;Error</t>
        </is>
      </c>
      <c r="D229" s="68" t="inlineStr">
        <is>
          <t>0;1;2;3</t>
        </is>
      </c>
      <c r="E229" s="68" t="inlineStr">
        <is>
          <t>2;1;0;3</t>
        </is>
      </c>
      <c r="F229" s="68" t="inlineStr">
        <is>
          <t>;INCLUIR;EXCLUIR;</t>
        </is>
      </c>
      <c r="G229" s="68" t="inlineStr">
        <is>
          <t>#FF000000;#FFFF0000;#FF00FF00;#FFA9A9A9</t>
        </is>
      </c>
      <c r="H229" s="68" t="inlineStr">
        <is>
          <t>Abnormal;Auto;Auto;Abnormal</t>
        </is>
      </c>
      <c r="I229" s="68" t="inlineStr">
        <is>
          <t>FALSE;TRUE;TRUE;FALSE</t>
        </is>
      </c>
      <c r="J229" s="68" t="inlineStr">
        <is>
          <t>Alarme de Estado em Ponto Telecontrolado DS</t>
        </is>
      </c>
      <c r="K229" s="69" t="inlineStr">
        <is>
          <t>Alarme de Estado em Ponto Telecontrolado DS</t>
        </is>
      </c>
      <c r="L229" s="69">
        <f>VLOOKUP(LinkTable6789[[#This Row],[Coluna1]],[4]AlarmCatalog!$A:$M,11,FALSE)</f>
        <v/>
      </c>
    </row>
    <row r="230" ht="16.5" customFormat="1" customHeight="1" s="67">
      <c r="A230" s="68" t="inlineStr">
        <is>
          <t>null@null___NORMAL@DEFEITO___Custom_D_TS</t>
        </is>
      </c>
      <c r="B230" s="68" t="inlineStr"/>
      <c r="C230" s="68" t="inlineStr">
        <is>
          <t>Error;NORMAL;DEFEITO;Transit</t>
        </is>
      </c>
      <c r="D230" s="68" t="inlineStr">
        <is>
          <t>0;1;2;3</t>
        </is>
      </c>
      <c r="E230" s="68" t="inlineStr">
        <is>
          <t>2;0;1;3</t>
        </is>
      </c>
      <c r="F230" s="68" t="inlineStr">
        <is>
          <t>;;;</t>
        </is>
      </c>
      <c r="G230" s="68" t="inlineStr">
        <is>
          <t>#FF000000;#FF00FF00;#FFFF0000;#FFA9A9A9</t>
        </is>
      </c>
      <c r="H230" s="68" t="inlineStr">
        <is>
          <t>Abnormal;Normal;Normal;Normal</t>
        </is>
      </c>
      <c r="I230" s="68" t="inlineStr">
        <is>
          <t>FALSE;TRUE;TRUE;FALSE</t>
        </is>
      </c>
      <c r="J230" s="68" t="inlineStr">
        <is>
          <t>Alarme de Estado em Ponto Telessinalizado</t>
        </is>
      </c>
      <c r="K230" s="69" t="inlineStr">
        <is>
          <t>Alarme de Estado em Ponto Telessinalizado</t>
        </is>
      </c>
      <c r="L230" s="69">
        <f>VLOOKUP(LinkTable6789[[#This Row],[Coluna1]],[4]AlarmCatalog!$A:$M,11,FALSE)</f>
        <v/>
      </c>
    </row>
    <row r="231" ht="16.5" customFormat="1" customHeight="1" s="67">
      <c r="A231" s="68" t="inlineStr">
        <is>
          <t>null@null___EXTRAIDO@INSERIDO___Custom_S_TS</t>
        </is>
      </c>
      <c r="B231" s="68" t="inlineStr"/>
      <c r="C231" s="68" t="inlineStr">
        <is>
          <t>Transit;EXTRAIDO;INSERIDO;Error</t>
        </is>
      </c>
      <c r="D231" s="68" t="inlineStr">
        <is>
          <t>0;1;2;3</t>
        </is>
      </c>
      <c r="E231" s="68" t="inlineStr">
        <is>
          <t>2;0;1;3</t>
        </is>
      </c>
      <c r="F231" s="68" t="inlineStr">
        <is>
          <t>;;;</t>
        </is>
      </c>
      <c r="G231" s="68" t="inlineStr">
        <is>
          <t>#FF000000;#FF00FF00;#FFFF0000;#FFA9A9A9</t>
        </is>
      </c>
      <c r="H231" s="68" t="inlineStr">
        <is>
          <t>Abnormal;Auto;Auto;Abnormal</t>
        </is>
      </c>
      <c r="I231" s="68" t="inlineStr">
        <is>
          <t>FALSE;TRUE;TRUE;FALSE</t>
        </is>
      </c>
      <c r="J231" s="68" t="inlineStr">
        <is>
          <t>Alarme de Estado em Ponto Telessinalizado</t>
        </is>
      </c>
      <c r="K231" s="69" t="inlineStr">
        <is>
          <t>Alarme de Estado em Ponto Telessinalizado</t>
        </is>
      </c>
      <c r="L231" s="69">
        <f>VLOOKUP(LinkTable6789[[#This Row],[Coluna1]],[4]AlarmCatalog!$A:$M,11,FALSE)</f>
        <v/>
      </c>
    </row>
    <row r="232" ht="16.5" customFormat="1" customHeight="1" s="67">
      <c r="A232" s="68" t="inlineStr">
        <is>
          <t>null@null___NORMAL@DISCREPANCIA___Custom___INV_S_TS</t>
        </is>
      </c>
      <c r="B232" s="68" t="inlineStr"/>
      <c r="C232" s="68" t="inlineStr">
        <is>
          <t>Transit;NORMAL;DISCREPANCIA;Error</t>
        </is>
      </c>
      <c r="D232" s="68" t="inlineStr">
        <is>
          <t>0;1;2;3</t>
        </is>
      </c>
      <c r="E232" s="68" t="inlineStr">
        <is>
          <t>2;1;0;3</t>
        </is>
      </c>
      <c r="F232" s="68" t="inlineStr">
        <is>
          <t>;;;</t>
        </is>
      </c>
      <c r="G232" s="68" t="inlineStr">
        <is>
          <t>#FF000000;#FF00FF00;#FFFF0000;#FFA9A9A9</t>
        </is>
      </c>
      <c r="H232" s="68" t="inlineStr">
        <is>
          <t>Abnormal;Auto;Auto;Abnormal</t>
        </is>
      </c>
      <c r="I232" s="68" t="inlineStr">
        <is>
          <t>FALSE;TRUE;TRUE;FALSE</t>
        </is>
      </c>
      <c r="J232" s="68" t="inlineStr">
        <is>
          <t>Alarme de Estado em Ponto Telessinalizado</t>
        </is>
      </c>
      <c r="K232" s="69" t="inlineStr">
        <is>
          <t>Alarme de Estado em Ponto Telessinalizado</t>
        </is>
      </c>
      <c r="L232" s="69">
        <f>VLOOKUP(LinkTable6789[[#This Row],[Coluna1]],[4]AlarmCatalog!$A:$M,11,FALSE)</f>
        <v/>
      </c>
    </row>
    <row r="233" ht="16.5" customFormat="1" customHeight="1" s="67">
      <c r="A233" s="68" t="inlineStr">
        <is>
          <t>null@null___NORMAL@BLOQUEADO___Custom_S_TS</t>
        </is>
      </c>
      <c r="B233" s="68" t="inlineStr"/>
      <c r="C233" s="68" t="inlineStr">
        <is>
          <t>Error;NORMAL;BLOQUEADO;Transit</t>
        </is>
      </c>
      <c r="D233" s="68" t="inlineStr">
        <is>
          <t>0;1;2;3</t>
        </is>
      </c>
      <c r="E233" s="68" t="inlineStr">
        <is>
          <t>2;0;1;3</t>
        </is>
      </c>
      <c r="F233" s="68" t="inlineStr">
        <is>
          <t>;;;</t>
        </is>
      </c>
      <c r="G233" s="68" t="inlineStr">
        <is>
          <t>#FF000000;#FF00FF00;#FFFF0000;#FFA9A9A9</t>
        </is>
      </c>
      <c r="H233" s="68" t="inlineStr">
        <is>
          <t>Abnormal;Auto;Auto;Abnormal</t>
        </is>
      </c>
      <c r="I233" s="68" t="inlineStr">
        <is>
          <t>FALSE;TRUE;TRUE;FALSE</t>
        </is>
      </c>
      <c r="J233" s="68" t="inlineStr">
        <is>
          <t>Alarme de Estado em Ponto Telessinalizado</t>
        </is>
      </c>
      <c r="K233" s="69" t="inlineStr">
        <is>
          <t>Alarme de Estado em Ponto Telessinalizado</t>
        </is>
      </c>
      <c r="L233" s="69">
        <f>VLOOKUP(LinkTable6789[[#This Row],[Coluna1]],[4]AlarmCatalog!$A:$M,11,FALSE)</f>
        <v/>
      </c>
    </row>
    <row r="234" ht="16.5" customFormat="1" customHeight="1" s="67">
      <c r="A234" s="68" t="inlineStr">
        <is>
          <t>DI_null@null___REMOTO@LOCAL___Local_S_TS</t>
        </is>
      </c>
      <c r="B234" s="68" t="inlineStr"/>
      <c r="C234" s="68" t="inlineStr">
        <is>
          <t>Transit;REMOTO;LOCAL;Error</t>
        </is>
      </c>
      <c r="D234" s="68" t="inlineStr">
        <is>
          <t>0;1;2;3</t>
        </is>
      </c>
      <c r="E234" s="68" t="inlineStr">
        <is>
          <t>2;0;1;3</t>
        </is>
      </c>
      <c r="F234" s="68" t="inlineStr">
        <is>
          <t>;;;</t>
        </is>
      </c>
      <c r="G234" s="68" t="inlineStr">
        <is>
          <t>#FF000000;#FF00FF00;#FFFF0000;#FFA9A9A9</t>
        </is>
      </c>
      <c r="H234" s="68" t="inlineStr">
        <is>
          <t>Abnormal;Auto;Auto;Abnormal</t>
        </is>
      </c>
      <c r="I234" s="68" t="inlineStr">
        <is>
          <t>FALSE;TRUE;TRUE;FALSE</t>
        </is>
      </c>
      <c r="J234" s="68" t="inlineStr">
        <is>
          <t>Alarme de Estado em Ponto Telessinalizado</t>
        </is>
      </c>
      <c r="K234" s="69" t="inlineStr">
        <is>
          <t>Alarme de Estado em Ponto Telessinalizado</t>
        </is>
      </c>
      <c r="L234" s="69">
        <f>VLOOKUP(LinkTable6789[[#This Row],[Coluna1]],[4]AlarmCatalog!$A:$M,11,FALSE)</f>
        <v/>
      </c>
    </row>
    <row r="235" ht="16.5" customFormat="1" customHeight="1" s="67">
      <c r="A235" s="68" t="inlineStr">
        <is>
          <t>null@null___NORMAL@ATUADO___RelayTrip_D_TS</t>
        </is>
      </c>
      <c r="B235" s="68" t="inlineStr"/>
      <c r="C235" s="68" t="inlineStr">
        <is>
          <t>Error;NORMAL;ATUADO;Transit</t>
        </is>
      </c>
      <c r="D235" s="68" t="inlineStr">
        <is>
          <t>0;1;2;3</t>
        </is>
      </c>
      <c r="E235" s="68" t="inlineStr">
        <is>
          <t>2;0;1;3</t>
        </is>
      </c>
      <c r="F235" s="68" t="inlineStr">
        <is>
          <t>;;;</t>
        </is>
      </c>
      <c r="G235" s="68" t="inlineStr">
        <is>
          <t>#FF000000;#FF00FF00;#FFFF0000;#FFA9A9A9</t>
        </is>
      </c>
      <c r="H235" s="68" t="inlineStr">
        <is>
          <t>Abnormal;Normal;Normal;Normal</t>
        </is>
      </c>
      <c r="I235" s="68" t="inlineStr">
        <is>
          <t>FALSE;TRUE;TRUE;FALSE</t>
        </is>
      </c>
      <c r="J235" s="68" t="inlineStr">
        <is>
          <t>Alarme de Estado em Ponto Telessinalizado</t>
        </is>
      </c>
      <c r="K235" s="69" t="inlineStr">
        <is>
          <t>Alarme de Estado em Ponto Telessinalizado</t>
        </is>
      </c>
      <c r="L235" s="69">
        <f>VLOOKUP(LinkTable6789[[#This Row],[Coluna1]],[4]AlarmCatalog!$A:$M,11,FALSE)</f>
        <v/>
      </c>
    </row>
    <row r="236" ht="16.5" customFormat="1" customHeight="1" s="67">
      <c r="A236" s="68" t="inlineStr">
        <is>
          <t>DI_null@null___DESABILITADO@HABILITADO___HotLineTag_S_TS_DS</t>
        </is>
      </c>
      <c r="B236" s="68" t="inlineStr"/>
      <c r="C236" s="68" t="inlineStr">
        <is>
          <t>Transit;DESABILITADO;HABILITADO;Error</t>
        </is>
      </c>
      <c r="D236" s="68" t="inlineStr">
        <is>
          <t>0;1;2;3</t>
        </is>
      </c>
      <c r="E236" s="68" t="inlineStr">
        <is>
          <t>2;0;1;3</t>
        </is>
      </c>
      <c r="F236" s="68" t="inlineStr">
        <is>
          <t>;;;</t>
        </is>
      </c>
      <c r="G236" s="68" t="inlineStr">
        <is>
          <t>#FF000000;#FF00FF00;#FFFF0000;#FFA9A9A9</t>
        </is>
      </c>
      <c r="H236" s="68" t="inlineStr">
        <is>
          <t>Abnormal;Auto;Auto;Abnormal</t>
        </is>
      </c>
      <c r="I236" s="68" t="inlineStr">
        <is>
          <t>FALSE;TRUE;TRUE;FALSE</t>
        </is>
      </c>
      <c r="J236" s="68" t="inlineStr">
        <is>
          <t>Alarme de Estado em Ponto Telessinalizado DS</t>
        </is>
      </c>
      <c r="K236" s="69" t="inlineStr">
        <is>
          <t>Alarme de Estado em Ponto Telessinalizado DS</t>
        </is>
      </c>
      <c r="L236" s="69">
        <f>VLOOKUP(LinkTable6789[[#This Row],[Coluna1]],[4]AlarmCatalog!$A:$M,11,FALSE)</f>
        <v/>
      </c>
    </row>
    <row r="237" ht="16.5" customFormat="1" customHeight="1" s="67">
      <c r="A237" s="68" t="inlineStr">
        <is>
          <t>null@null___NORMAL@INTERMITENTE___Custom_S_TS</t>
        </is>
      </c>
      <c r="B237" s="68" t="inlineStr"/>
      <c r="C237" s="68" t="inlineStr">
        <is>
          <t>Error;NORMAL;INTERMITENTE;Transit</t>
        </is>
      </c>
      <c r="D237" s="68" t="inlineStr">
        <is>
          <t>0;1;2;3</t>
        </is>
      </c>
      <c r="E237" s="68" t="inlineStr">
        <is>
          <t>2;0;1;3</t>
        </is>
      </c>
      <c r="F237" s="68" t="inlineStr">
        <is>
          <t>;;;</t>
        </is>
      </c>
      <c r="G237" s="68" t="inlineStr">
        <is>
          <t>#FF000000;#FF00FF00;#FFFF0000;#FFA9A9A9</t>
        </is>
      </c>
      <c r="H237" s="68" t="inlineStr">
        <is>
          <t>Abnormal;Auto;Auto;Abnormal</t>
        </is>
      </c>
      <c r="I237" s="68" t="inlineStr">
        <is>
          <t>FALSE;TRUE;TRUE;FALSE</t>
        </is>
      </c>
      <c r="J237" s="68" t="inlineStr">
        <is>
          <t>Alarme de Estado em Ponto Telessinalizado</t>
        </is>
      </c>
      <c r="K237" s="69" t="inlineStr">
        <is>
          <t>Alarme de Estado em Ponto Telessinalizado</t>
        </is>
      </c>
      <c r="L237" s="69">
        <f>VLOOKUP(LinkTable6789[[#This Row],[Coluna1]],[4]AlarmCatalog!$A:$M,11,FALSE)</f>
        <v/>
      </c>
    </row>
    <row r="238" ht="16.5" customFormat="1" customHeight="1" s="67">
      <c r="A238" s="68" t="inlineStr">
        <is>
          <t>null@null___NORMAL@FALTA VCA___Custom_S_TS</t>
        </is>
      </c>
      <c r="B238" s="68" t="inlineStr"/>
      <c r="C238" s="68" t="inlineStr">
        <is>
          <t>Error;NORMAL;FALTA VCA;Transit</t>
        </is>
      </c>
      <c r="D238" s="68" t="inlineStr">
        <is>
          <t>0;1;2;3</t>
        </is>
      </c>
      <c r="E238" s="68" t="inlineStr">
        <is>
          <t>2;0;1;3</t>
        </is>
      </c>
      <c r="F238" s="68" t="inlineStr">
        <is>
          <t>;;;</t>
        </is>
      </c>
      <c r="G238" s="68" t="inlineStr">
        <is>
          <t>#FF000000;#FF00FF00;#FFFF0000;#FFA9A9A9</t>
        </is>
      </c>
      <c r="H238" s="68" t="inlineStr">
        <is>
          <t>Abnormal;Auto;Auto;Abnormal</t>
        </is>
      </c>
      <c r="I238" s="68" t="inlineStr">
        <is>
          <t>FALSE;TRUE;TRUE;FALSE</t>
        </is>
      </c>
      <c r="J238" s="68" t="inlineStr">
        <is>
          <t>Alarme de Estado em Ponto Telessinalizado</t>
        </is>
      </c>
      <c r="K238" s="69" t="inlineStr">
        <is>
          <t>Alarme de Estado em Ponto Telessinalizado</t>
        </is>
      </c>
      <c r="L238" s="69">
        <f>VLOOKUP(LinkTable6789[[#This Row],[Coluna1]],[4]AlarmCatalog!$A:$M,11,FALSE)</f>
        <v/>
      </c>
    </row>
    <row r="239" ht="16.5" customFormat="1" customHeight="1" s="67">
      <c r="A239" s="68" t="inlineStr">
        <is>
          <t>MESTRE@INDIVIDUAL@COMANDO___MESTRE@INDIVIDUAL@COMANDO___Custom___admsINV_D_TS</t>
        </is>
      </c>
      <c r="B239" s="68" t="inlineStr"/>
      <c r="C239" s="68" t="inlineStr">
        <is>
          <t>MESTRE;INDIVIDUAL;;</t>
        </is>
      </c>
      <c r="D239" s="68" t="inlineStr">
        <is>
          <t>0;1;2;3</t>
        </is>
      </c>
      <c r="E239" s="68" t="inlineStr">
        <is>
          <t>0;1;2;3</t>
        </is>
      </c>
      <c r="F239" s="68" t="inlineStr">
        <is>
          <t>MESTRE;INDIVIDUAL;;</t>
        </is>
      </c>
      <c r="G239" s="68" t="inlineStr">
        <is>
          <t>#FF00FF00;#FF00FF00;#FF00FF00;#FF000000</t>
        </is>
      </c>
      <c r="H239" s="68" t="inlineStr">
        <is>
          <t>Normal;Normal;Normal;Abnormal</t>
        </is>
      </c>
      <c r="I239" s="68" t="inlineStr">
        <is>
          <t>TRUE;TRUE;TRUE;FALSE</t>
        </is>
      </c>
      <c r="J239" s="68" t="inlineStr">
        <is>
          <t>Alarme de Estado em Ponto Telessinalizado</t>
        </is>
      </c>
      <c r="K239" s="69" t="inlineStr">
        <is>
          <t>Alarme de Estado em Ponto Telessinalizado</t>
        </is>
      </c>
      <c r="L239" s="69">
        <f>VLOOKUP(LinkTable6789[[#This Row],[Coluna1]],[4]AlarmCatalog!$A:$M,11,FALSE)</f>
        <v/>
      </c>
    </row>
    <row r="240" ht="16.5" customFormat="1" customHeight="1" s="67">
      <c r="A240" s="68" t="inlineStr">
        <is>
          <t>MESTRE@INDIVIDUAL@COMANDO___MESTRE@INDIVIDUAL@COMANDO___Parallel___INV_S_TC</t>
        </is>
      </c>
      <c r="B240" s="68" t="inlineStr"/>
      <c r="C240" s="68" t="inlineStr">
        <is>
          <t>MESTRE;INDIVIDUAL;COMANDADO;</t>
        </is>
      </c>
      <c r="D240" s="68" t="inlineStr">
        <is>
          <t>0;1;2;3</t>
        </is>
      </c>
      <c r="E240" s="68" t="inlineStr">
        <is>
          <t>0;1;2;3</t>
        </is>
      </c>
      <c r="F240" s="68" t="inlineStr">
        <is>
          <t>MESTRE;INDIVIDUAL;COMANDO;</t>
        </is>
      </c>
      <c r="G240" s="68" t="inlineStr">
        <is>
          <t>#FF00FF00;#FF00FF00;#FF00FF00;#FF000000</t>
        </is>
      </c>
      <c r="H240" s="68" t="inlineStr">
        <is>
          <t>Normal;Normal;Normal;Abnormal</t>
        </is>
      </c>
      <c r="I240" s="68" t="inlineStr">
        <is>
          <t>TRUE;TRUE;TRUE;FALSE</t>
        </is>
      </c>
      <c r="J240" s="68" t="inlineStr">
        <is>
          <t>Alarme de Estado em Ponto Telecontrolado</t>
        </is>
      </c>
      <c r="K240" s="69" t="inlineStr">
        <is>
          <t>Alarme de Estado em Ponto Telecontrolado</t>
        </is>
      </c>
      <c r="L240" s="69">
        <f>VLOOKUP(LinkTable6789[[#This Row],[Coluna1]],[4]AlarmCatalog!$A:$M,11,FALSE)</f>
        <v/>
      </c>
    </row>
    <row r="241" ht="16.5" customFormat="1" customHeight="1" s="67">
      <c r="A241" s="68" t="inlineStr">
        <is>
          <t>null@null___NORMAL@FALTA VCA___Custom___INV_S_TS</t>
        </is>
      </c>
      <c r="B241" s="68" t="inlineStr"/>
      <c r="C241" s="68" t="inlineStr">
        <is>
          <t>Error;NORMAL;FALTA VCA;Transit</t>
        </is>
      </c>
      <c r="D241" s="68" t="inlineStr">
        <is>
          <t>0;1;2;3</t>
        </is>
      </c>
      <c r="E241" s="68" t="inlineStr">
        <is>
          <t>2;1;0;3</t>
        </is>
      </c>
      <c r="F241" s="68" t="inlineStr">
        <is>
          <t>;;;</t>
        </is>
      </c>
      <c r="G241" s="68" t="inlineStr">
        <is>
          <t>#FF000000;#FF00FF00;#FFFF0000;#FFA9A9A9</t>
        </is>
      </c>
      <c r="H241" s="68" t="inlineStr">
        <is>
          <t>Abnormal;Auto;Auto;Abnormal</t>
        </is>
      </c>
      <c r="I241" s="68" t="inlineStr">
        <is>
          <t>FALSE;TRUE;TRUE;FALSE</t>
        </is>
      </c>
      <c r="J241" s="68" t="inlineStr">
        <is>
          <t>Alarme de Estado em Ponto Telessinalizado</t>
        </is>
      </c>
      <c r="K241" s="69" t="inlineStr">
        <is>
          <t>Alarme de Estado em Ponto Telessinalizado</t>
        </is>
      </c>
      <c r="L241" s="69">
        <f>VLOOKUP(LinkTable6789[[#This Row],[Coluna1]],[4]AlarmCatalog!$A:$M,11,FALSE)</f>
        <v/>
      </c>
    </row>
    <row r="242" ht="16.5" customFormat="1" customHeight="1" s="67">
      <c r="A242" s="68" t="inlineStr">
        <is>
          <t>null@null___NORMAL@FALHA___Custom___INV_D_TS</t>
        </is>
      </c>
      <c r="B242" s="68" t="inlineStr"/>
      <c r="C242" s="68" t="inlineStr">
        <is>
          <t>Error;NORMAL;FALHA;Transit</t>
        </is>
      </c>
      <c r="D242" s="68" t="inlineStr">
        <is>
          <t>0;1;2;3</t>
        </is>
      </c>
      <c r="E242" s="68" t="inlineStr">
        <is>
          <t>2;1;0;3</t>
        </is>
      </c>
      <c r="F242" s="68" t="inlineStr">
        <is>
          <t>;;;</t>
        </is>
      </c>
      <c r="G242" s="68" t="inlineStr">
        <is>
          <t>#FF000000;#FF00FF00;#FFFF0000;#FFA9A9A9</t>
        </is>
      </c>
      <c r="H242" s="68" t="inlineStr">
        <is>
          <t>Abnormal;Normal;Normal;Normal</t>
        </is>
      </c>
      <c r="I242" s="68" t="inlineStr">
        <is>
          <t>FALSE;TRUE;TRUE;FALSE</t>
        </is>
      </c>
      <c r="J242" s="68" t="inlineStr">
        <is>
          <t>Alarme de Estado em Ponto Telessinalizado</t>
        </is>
      </c>
      <c r="K242" s="69" t="inlineStr">
        <is>
          <t>Alarme de Estado em Ponto Telessinalizado</t>
        </is>
      </c>
      <c r="L242" s="69">
        <f>VLOOKUP(LinkTable6789[[#This Row],[Coluna1]],[4]AlarmCatalog!$A:$M,11,FALSE)</f>
        <v/>
      </c>
    </row>
    <row r="243" ht="16.5" customFormat="1" customHeight="1" s="67">
      <c r="A243" s="68" t="inlineStr">
        <is>
          <t>TROCA@null___null@null___Custom_S_TC_SA</t>
        </is>
      </c>
      <c r="B243" s="68" t="inlineStr"/>
      <c r="C243" s="68" t="inlineStr">
        <is>
          <t>Transit;;;Error</t>
        </is>
      </c>
      <c r="D243" s="68" t="inlineStr">
        <is>
          <t>0;1;2;3</t>
        </is>
      </c>
      <c r="E243" s="68" t="inlineStr">
        <is>
          <t>2;0;1;3</t>
        </is>
      </c>
      <c r="F243" s="68" t="inlineStr">
        <is>
          <t>;TROCA;;</t>
        </is>
      </c>
      <c r="G243" s="68" t="inlineStr">
        <is>
          <t>#FF000000;#FF00FF00;#FFFF0000;#FFA9A9A9</t>
        </is>
      </c>
      <c r="H243" s="68" t="inlineStr">
        <is>
          <t>Normal;Normal;Normal;Normal</t>
        </is>
      </c>
      <c r="I243" s="68" t="inlineStr">
        <is>
          <t>FALSE;TRUE;TRUE;FALSE</t>
        </is>
      </c>
      <c r="J243" s="68" t="inlineStr">
        <is>
          <t>Alarme de Estado em Ponto Telecontrolado SA</t>
        </is>
      </c>
      <c r="K243" s="69" t="inlineStr">
        <is>
          <t>Alarme de Estado em Ponto Telecontrolado SA</t>
        </is>
      </c>
      <c r="L243" s="69">
        <f>VLOOKUP(LinkTable6789[[#This Row],[Coluna1]],[4]AlarmCatalog!$A:$M,11,FALSE)</f>
        <v/>
      </c>
    </row>
    <row r="244" ht="16.5" customFormat="1" customHeight="1" s="67">
      <c r="A244" s="68" t="inlineStr">
        <is>
          <t>DESATIVAR@ATIVAR___DESATIVADO@ATIVADO___Custom___INV_S_TC_SA</t>
        </is>
      </c>
      <c r="B244" s="68" t="inlineStr"/>
      <c r="C244" s="68" t="inlineStr">
        <is>
          <t>Transit;DESATIVADO;ATIVADO;Error</t>
        </is>
      </c>
      <c r="D244" s="68" t="inlineStr">
        <is>
          <t>0;1;2;3</t>
        </is>
      </c>
      <c r="E244" s="68" t="inlineStr">
        <is>
          <t>2;1;0;3</t>
        </is>
      </c>
      <c r="F244" s="68" t="inlineStr">
        <is>
          <t>;DESATIVAR;ATIVAR;</t>
        </is>
      </c>
      <c r="G244" s="68" t="inlineStr">
        <is>
          <t>#FF000000;#FF00FF00;#FFFF0000;#FFA9A9A9</t>
        </is>
      </c>
      <c r="H244" s="68" t="inlineStr">
        <is>
          <t>Abnormal;Auto;Auto;Abnormal</t>
        </is>
      </c>
      <c r="I244" s="68" t="inlineStr">
        <is>
          <t>FALSE;TRUE;TRUE;FALSE</t>
        </is>
      </c>
      <c r="J244" s="68" t="inlineStr">
        <is>
          <t>Alarme de Estado em Ponto Telecontrolado SA</t>
        </is>
      </c>
      <c r="K244" s="69" t="inlineStr">
        <is>
          <t>Alarme de Estado em Ponto Telecontrolado SA</t>
        </is>
      </c>
      <c r="L244" s="69">
        <f>VLOOKUP(LinkTable6789[[#This Row],[Coluna1]],[4]AlarmCatalog!$A:$M,11,FALSE)</f>
        <v/>
      </c>
    </row>
    <row r="245" ht="16.5" customFormat="1" customHeight="1" s="67">
      <c r="A245" s="68" t="inlineStr">
        <is>
          <t>G1 ATIVAR@G2 ATIVAR___G1 ATIVADO@G2 ATIVADO___Custom_D_TC_SA</t>
        </is>
      </c>
      <c r="B245" s="68" t="inlineStr"/>
      <c r="C245" s="68" t="inlineStr">
        <is>
          <t>Transit;G1 ATIVADO;G2 ATIVADO;Error</t>
        </is>
      </c>
      <c r="D245" s="68" t="inlineStr">
        <is>
          <t>0;1;2;3</t>
        </is>
      </c>
      <c r="E245" s="68" t="inlineStr">
        <is>
          <t>0;1;2;3</t>
        </is>
      </c>
      <c r="F245" s="68" t="inlineStr">
        <is>
          <t>;G1 ATIVAR;G2 ATIVAR;</t>
        </is>
      </c>
      <c r="G245" s="68" t="inlineStr">
        <is>
          <t>#FF000000;#FF00FF00;#FFFF0000;#FFA9A9A9</t>
        </is>
      </c>
      <c r="H245" s="68" t="inlineStr">
        <is>
          <t>Abnormal;Auto;Auto;Abnormal</t>
        </is>
      </c>
      <c r="I245" s="68" t="inlineStr">
        <is>
          <t>FALSE;TRUE;TRUE;FALSE</t>
        </is>
      </c>
      <c r="J245" s="68" t="inlineStr">
        <is>
          <t>Alarme de Estado em Ponto Telecontrolado SA</t>
        </is>
      </c>
      <c r="K245" s="69" t="inlineStr">
        <is>
          <t>Alarme de Estado em Ponto Telecontrolado SA</t>
        </is>
      </c>
      <c r="L245" s="69">
        <f>VLOOKUP(LinkTable6789[[#This Row],[Coluna1]],[4]AlarmCatalog!$A:$M,11,FALSE)</f>
        <v/>
      </c>
    </row>
    <row r="246" ht="16.5" customFormat="1" customHeight="1" s="67">
      <c r="A246" s="68" t="inlineStr">
        <is>
          <t>DESATIVAR@ATIVAR___DESATIVADO@ATIVADO___Custom___INV_S_TS_SA</t>
        </is>
      </c>
      <c r="B246" s="68" t="inlineStr"/>
      <c r="C246" s="68" t="inlineStr">
        <is>
          <t>Transit;DESATIVADO;ATIVADO;Error</t>
        </is>
      </c>
      <c r="D246" s="68" t="inlineStr">
        <is>
          <t>0;1;2;3</t>
        </is>
      </c>
      <c r="E246" s="68" t="inlineStr">
        <is>
          <t>2;1;0;3</t>
        </is>
      </c>
      <c r="F246" s="68" t="inlineStr">
        <is>
          <t>;;;</t>
        </is>
      </c>
      <c r="G246" s="68" t="inlineStr">
        <is>
          <t>#FF000000;#FF00FF00;#FFFF0000;#FFA9A9A9</t>
        </is>
      </c>
      <c r="H246" s="68" t="inlineStr">
        <is>
          <t>Normal;Normal;Normal;Normal</t>
        </is>
      </c>
      <c r="I246" s="68" t="inlineStr">
        <is>
          <t>FALSE;TRUE;TRUE;FALSE</t>
        </is>
      </c>
      <c r="J246" s="68" t="inlineStr">
        <is>
          <t>Alarme de Estado em Ponto Telessinalizado SA</t>
        </is>
      </c>
      <c r="K246" s="69" t="inlineStr">
        <is>
          <t>Alarme de Estado em Ponto Telessinalizado SA</t>
        </is>
      </c>
      <c r="L246" s="69">
        <f>VLOOKUP(LinkTable6789[[#This Row],[Coluna1]],[4]AlarmCatalog!$A:$M,11,FALSE)</f>
        <v/>
      </c>
    </row>
    <row r="247" ht="16.5" customFormat="1" customHeight="1" s="67">
      <c r="A247" s="68" t="inlineStr">
        <is>
          <t>null@null___DESINIBIDA@INIBIDA___Custom_S_TS</t>
        </is>
      </c>
      <c r="B247" s="68" t="inlineStr"/>
      <c r="C247" s="68" t="inlineStr">
        <is>
          <t>Error;DESINIBIDA;INIBIDA;Transit</t>
        </is>
      </c>
      <c r="D247" s="68" t="inlineStr">
        <is>
          <t>0;1;2;3</t>
        </is>
      </c>
      <c r="E247" s="68" t="inlineStr">
        <is>
          <t>2;0;1;3</t>
        </is>
      </c>
      <c r="F247" s="68" t="inlineStr">
        <is>
          <t>;;;</t>
        </is>
      </c>
      <c r="G247" s="68" t="inlineStr">
        <is>
          <t>#FF000000;#FF00FF00;#FFFF0000;#FFA9A9A9</t>
        </is>
      </c>
      <c r="H247" s="68" t="inlineStr">
        <is>
          <t>Abnormal;Auto;Auto;Abnormal</t>
        </is>
      </c>
      <c r="I247" s="68" t="inlineStr">
        <is>
          <t>FALSE;TRUE;TRUE;FALSE</t>
        </is>
      </c>
      <c r="J247" s="68" t="inlineStr">
        <is>
          <t>Alarme de Estado em Ponto Telessinalizado</t>
        </is>
      </c>
      <c r="K247" s="69" t="inlineStr">
        <is>
          <t>Alarme de Estado em Ponto Telessinalizado</t>
        </is>
      </c>
      <c r="L247" s="69">
        <f>VLOOKUP(LinkTable6789[[#This Row],[Coluna1]],[4]AlarmCatalog!$A:$M,11,FALSE)</f>
        <v/>
      </c>
    </row>
    <row r="248" ht="16.5" customFormat="1" customHeight="1" s="67">
      <c r="A248" s="68" t="inlineStr">
        <is>
          <t>null@null___NORMAL@FALHA COM___Custom_S_TS</t>
        </is>
      </c>
      <c r="B248" s="68" t="inlineStr"/>
      <c r="C248" s="68" t="inlineStr">
        <is>
          <t>Error;NORMAL;FALHA COM;Transit</t>
        </is>
      </c>
      <c r="D248" s="68" t="inlineStr">
        <is>
          <t>0;1;2;3</t>
        </is>
      </c>
      <c r="E248" s="68" t="inlineStr">
        <is>
          <t>2;0;1;3</t>
        </is>
      </c>
      <c r="F248" s="68" t="inlineStr">
        <is>
          <t>;;;</t>
        </is>
      </c>
      <c r="G248" s="68" t="inlineStr">
        <is>
          <t>#FF000000;#FF00FF00;#FFFF0000;#FFA9A9A9</t>
        </is>
      </c>
      <c r="H248" s="68" t="inlineStr">
        <is>
          <t>Abnormal;Auto;Auto;Abnormal</t>
        </is>
      </c>
      <c r="I248" s="68" t="inlineStr">
        <is>
          <t>FALSE;TRUE;TRUE;FALSE</t>
        </is>
      </c>
      <c r="J248" s="68" t="inlineStr">
        <is>
          <t>Alarme de Estado em Ponto Telessinalizado</t>
        </is>
      </c>
      <c r="K248" s="69" t="inlineStr">
        <is>
          <t>Alarme de Estado em Ponto Telessinalizado</t>
        </is>
      </c>
      <c r="L248" s="69">
        <f>VLOOKUP(LinkTable6789[[#This Row],[Coluna1]],[4]AlarmCatalog!$A:$M,11,FALSE)</f>
        <v/>
      </c>
    </row>
    <row r="249" ht="16.5" customFormat="1" customHeight="1" s="67">
      <c r="A249" s="68" t="inlineStr">
        <is>
          <t>null@null___LIGADO@DESLIGADO___Custom_D_TS</t>
        </is>
      </c>
      <c r="B249" s="68" t="inlineStr"/>
      <c r="C249" s="68" t="inlineStr">
        <is>
          <t>Error;LIGADO;DESLIGADO;Transit</t>
        </is>
      </c>
      <c r="D249" s="68" t="inlineStr">
        <is>
          <t>0;1;2;3</t>
        </is>
      </c>
      <c r="E249" s="68" t="inlineStr">
        <is>
          <t>2;0;1;3</t>
        </is>
      </c>
      <c r="F249" s="68" t="inlineStr">
        <is>
          <t>;;;</t>
        </is>
      </c>
      <c r="G249" s="68" t="inlineStr">
        <is>
          <t>#FF000000;#FF00FF00;#FFFF0000;#FFA9A9A9</t>
        </is>
      </c>
      <c r="H249" s="68" t="inlineStr">
        <is>
          <t>Abnormal;Normal;Normal;Normal</t>
        </is>
      </c>
      <c r="I249" s="68" t="inlineStr">
        <is>
          <t>FALSE;TRUE;TRUE;FALSE</t>
        </is>
      </c>
      <c r="J249" s="68" t="inlineStr">
        <is>
          <t>Alarme de Estado em Ponto Telessinalizado</t>
        </is>
      </c>
      <c r="K249" s="69" t="inlineStr">
        <is>
          <t>Alarme de Estado em Ponto Telessinalizado</t>
        </is>
      </c>
      <c r="L249" s="69">
        <f>VLOOKUP(LinkTable6789[[#This Row],[Coluna1]],[4]AlarmCatalog!$A:$M,11,FALSE)</f>
        <v/>
      </c>
    </row>
    <row r="250" ht="16.5" customFormat="1" customHeight="1" s="67">
      <c r="A250" s="68" t="inlineStr">
        <is>
          <t>null@null___NORMAL DESATIVAD@NORMAL ATIVADO___Custom_S_TS</t>
        </is>
      </c>
      <c r="B250" s="68" t="inlineStr"/>
      <c r="C250" s="68" t="inlineStr">
        <is>
          <t>Error;NORMAL DESATIVAD;NORMAL ATIVADO;Transit</t>
        </is>
      </c>
      <c r="D250" s="68" t="inlineStr">
        <is>
          <t>0;1;2;3</t>
        </is>
      </c>
      <c r="E250" s="68" t="inlineStr">
        <is>
          <t>2;0;1;3</t>
        </is>
      </c>
      <c r="F250" s="68" t="inlineStr">
        <is>
          <t>;;;</t>
        </is>
      </c>
      <c r="G250" s="68" t="inlineStr">
        <is>
          <t>#FF000000;#FF00FF00;#FFFF0000;#FFA9A9A9</t>
        </is>
      </c>
      <c r="H250" s="68" t="inlineStr">
        <is>
          <t>Abnormal;Auto;Auto;Abnormal</t>
        </is>
      </c>
      <c r="I250" s="68" t="inlineStr">
        <is>
          <t>FALSE;TRUE;TRUE;FALSE</t>
        </is>
      </c>
      <c r="J250" s="68" t="inlineStr">
        <is>
          <t>Alarme de Estado em Ponto Telessinalizado</t>
        </is>
      </c>
      <c r="K250" s="69" t="inlineStr">
        <is>
          <t>Alarme de Estado em Ponto Telessinalizado</t>
        </is>
      </c>
      <c r="L250" s="69">
        <f>VLOOKUP(LinkTable6789[[#This Row],[Coluna1]],[4]AlarmCatalog!$A:$M,11,FALSE)</f>
        <v/>
      </c>
    </row>
    <row r="251" ht="16.5" customFormat="1" customHeight="1" s="67">
      <c r="A251" s="68" t="inlineStr">
        <is>
          <t>null@null___LIBERADO@BLOQUEADO___Custom___INV_S_TS</t>
        </is>
      </c>
      <c r="B251" s="68" t="inlineStr"/>
      <c r="C251" s="68" t="inlineStr">
        <is>
          <t>Transit;LIBERADO;BLOQUEADO;Error</t>
        </is>
      </c>
      <c r="D251" s="68" t="inlineStr">
        <is>
          <t>0;1;2;3</t>
        </is>
      </c>
      <c r="E251" s="68" t="inlineStr">
        <is>
          <t>2;1;0;3</t>
        </is>
      </c>
      <c r="F251" s="68" t="inlineStr">
        <is>
          <t>;;;</t>
        </is>
      </c>
      <c r="G251" s="68" t="inlineStr">
        <is>
          <t>#FF000000;#FF00FF00;#FFFF0000;#FFA9A9A9</t>
        </is>
      </c>
      <c r="H251" s="68" t="inlineStr">
        <is>
          <t>Abnormal;Auto;Auto;Abnormal</t>
        </is>
      </c>
      <c r="I251" s="68" t="inlineStr">
        <is>
          <t>FALSE;TRUE;TRUE;FALSE</t>
        </is>
      </c>
      <c r="J251" s="68" t="inlineStr">
        <is>
          <t>Alarme de Estado em Ponto Telessinalizado</t>
        </is>
      </c>
      <c r="K251" s="69" t="inlineStr">
        <is>
          <t>Alarme de Estado em Ponto Telessinalizado</t>
        </is>
      </c>
      <c r="L251" s="69">
        <f>VLOOKUP(LinkTable6789[[#This Row],[Coluna1]],[4]AlarmCatalog!$A:$M,11,FALSE)</f>
        <v/>
      </c>
    </row>
    <row r="252" ht="16.5" customFormat="1" customHeight="1" s="67">
      <c r="A252" s="68" t="inlineStr">
        <is>
          <t>MESTRE@INDIVIDUAL@COMANDO___MESTRE@INDIVIDUAL@COMANDO___Custom_D_TS</t>
        </is>
      </c>
      <c r="B252" s="68" t="inlineStr"/>
      <c r="C252" s="68" t="inlineStr">
        <is>
          <t>MESTRE;INDIVIDUAL;COMANDADO;</t>
        </is>
      </c>
      <c r="D252" s="68" t="inlineStr">
        <is>
          <t>2;0;1;3</t>
        </is>
      </c>
      <c r="E252" s="68" t="inlineStr">
        <is>
          <t>0;2;1;3</t>
        </is>
      </c>
      <c r="F252" s="68" t="inlineStr">
        <is>
          <t>MESTRE;INDIVIDUAL;COMANDO;</t>
        </is>
      </c>
      <c r="G252" s="68" t="inlineStr">
        <is>
          <t>#FFFF0000;#FF00FF00;#FF00FF00;#FF000000</t>
        </is>
      </c>
      <c r="H252" s="68" t="inlineStr">
        <is>
          <t>Normal;Abnormal;Abnormal;Abnormal</t>
        </is>
      </c>
      <c r="I252" s="68" t="inlineStr">
        <is>
          <t>TRUE;TRUE;TRUE;FALSE</t>
        </is>
      </c>
      <c r="J252" s="68" t="inlineStr">
        <is>
          <t>Alarme de Estado em Ponto Telessinalizado</t>
        </is>
      </c>
      <c r="K252" s="69" t="inlineStr">
        <is>
          <t>Alarme de Estado em Ponto Telessinalizado</t>
        </is>
      </c>
      <c r="L252" s="69">
        <f>VLOOKUP(LinkTable6789[[#This Row],[Coluna1]],[4]AlarmCatalog!$A:$M,11,FALSE)</f>
        <v/>
      </c>
    </row>
    <row r="253" ht="16.5" customFormat="1" customHeight="1" s="67">
      <c r="A253" s="68" t="inlineStr">
        <is>
          <t>MESTRE@INDIVIDUAL@COMANDO___MESTRE@INDIVIDUAL@COMANDO___Parallel_D_TS</t>
        </is>
      </c>
      <c r="B253" s="68" t="inlineStr"/>
      <c r="C253" s="68" t="inlineStr">
        <is>
          <t>MESTRE;INDIVIDUAL;COMANDADO;</t>
        </is>
      </c>
      <c r="D253" s="68" t="inlineStr">
        <is>
          <t>2;0;1;3</t>
        </is>
      </c>
      <c r="E253" s="68" t="inlineStr">
        <is>
          <t>0;2;1;3</t>
        </is>
      </c>
      <c r="F253" s="68" t="inlineStr">
        <is>
          <t>MESTRE;INDIVIDUAL;COMANDO;</t>
        </is>
      </c>
      <c r="G253" s="68" t="inlineStr">
        <is>
          <t>#FFFF0000;#FF00FF00;#FF00FF00;#FF000000</t>
        </is>
      </c>
      <c r="H253" s="68" t="inlineStr">
        <is>
          <t>Normal;Abnormal;Abnormal;Abnormal</t>
        </is>
      </c>
      <c r="I253" s="68" t="inlineStr">
        <is>
          <t>TRUE;TRUE;TRUE;FALSE</t>
        </is>
      </c>
      <c r="J253" s="68" t="inlineStr">
        <is>
          <t>Alarme de Estado em Ponto Telessinalizado</t>
        </is>
      </c>
      <c r="K253" s="69" t="inlineStr">
        <is>
          <t>Alarme de Estado em Ponto Telessinalizado</t>
        </is>
      </c>
      <c r="L253" s="69">
        <f>VLOOKUP(LinkTable6789[[#This Row],[Coluna1]],[4]AlarmCatalog!$A:$M,11,FALSE)</f>
        <v/>
      </c>
    </row>
    <row r="254" ht="16.5" customFormat="1" customHeight="1" s="67">
      <c r="A254" s="68" t="inlineStr">
        <is>
          <t>null@null___NORMAL@BLOQUEADA___Enabled_S_TS</t>
        </is>
      </c>
      <c r="B254" s="68" t="inlineStr"/>
      <c r="C254" s="68" t="inlineStr">
        <is>
          <t>Transit;NORMAL;BLOQUEADA;Error</t>
        </is>
      </c>
      <c r="D254" s="68" t="inlineStr">
        <is>
          <t>0;1;2;3</t>
        </is>
      </c>
      <c r="E254" s="68" t="inlineStr">
        <is>
          <t>2;0;1;3</t>
        </is>
      </c>
      <c r="F254" s="68" t="inlineStr">
        <is>
          <t>;;;</t>
        </is>
      </c>
      <c r="G254" s="68" t="inlineStr">
        <is>
          <t>#FF000000;#FF00FF00;#FFFF0000;#FFA9A9A9</t>
        </is>
      </c>
      <c r="H254" s="68" t="inlineStr">
        <is>
          <t>Abnormal;Auto;Auto;Abnormal</t>
        </is>
      </c>
      <c r="I254" s="68" t="inlineStr">
        <is>
          <t>FALSE;TRUE;TRUE;FALSE</t>
        </is>
      </c>
      <c r="J254" s="68" t="inlineStr">
        <is>
          <t>Alarme de Estado em Ponto Telessinalizado</t>
        </is>
      </c>
      <c r="K254" s="69" t="inlineStr">
        <is>
          <t>Alarme de Estado em Ponto Telessinalizado</t>
        </is>
      </c>
      <c r="L254" s="69">
        <f>VLOOKUP(LinkTable6789[[#This Row],[Coluna1]],[4]AlarmCatalog!$A:$M,11,FALSE)</f>
        <v/>
      </c>
    </row>
    <row r="255" ht="16.5" customFormat="1" customHeight="1" s="67">
      <c r="A255" s="68" t="inlineStr">
        <is>
          <t>DI_null@null___REMOTO@LOCAL___Local_S_TS_DS</t>
        </is>
      </c>
      <c r="B255" s="68" t="inlineStr"/>
      <c r="C255" s="68" t="inlineStr">
        <is>
          <t>Transit;REMOTO;LOCAL;Error</t>
        </is>
      </c>
      <c r="D255" s="68" t="inlineStr">
        <is>
          <t>0;1;2;3</t>
        </is>
      </c>
      <c r="E255" s="68" t="inlineStr">
        <is>
          <t>2;0;1;3</t>
        </is>
      </c>
      <c r="F255" s="68" t="inlineStr">
        <is>
          <t>;;;</t>
        </is>
      </c>
      <c r="G255" s="68" t="inlineStr">
        <is>
          <t>#FF000000;#FF00FF00;#FFFF0000;#FFA9A9A9</t>
        </is>
      </c>
      <c r="H255" s="68" t="inlineStr">
        <is>
          <t>Abnormal;Auto;Auto;Abnormal</t>
        </is>
      </c>
      <c r="I255" s="68" t="inlineStr">
        <is>
          <t>FALSE;TRUE;TRUE;FALSE</t>
        </is>
      </c>
      <c r="J255" s="68" t="inlineStr">
        <is>
          <t>Alarme de Estado em Ponto Telessinalizado DS</t>
        </is>
      </c>
      <c r="K255" s="69" t="inlineStr">
        <is>
          <t>Alarme de Estado em Ponto Telessinalizado DS</t>
        </is>
      </c>
      <c r="L255" s="69">
        <f>VLOOKUP(LinkTable6789[[#This Row],[Coluna1]],[4]AlarmCatalog!$A:$M,11,FALSE)</f>
        <v/>
      </c>
    </row>
    <row r="256" ht="16.5" customFormat="1" customHeight="1" s="67">
      <c r="A256" s="68" t="inlineStr">
        <is>
          <t>null@null___NORMAL@BLOQUEADA___Enabled___INV_S_TS</t>
        </is>
      </c>
      <c r="B256" s="68" t="inlineStr"/>
      <c r="C256" s="68" t="inlineStr">
        <is>
          <t>Transit;NORMAL;BLOQUEADA;Error</t>
        </is>
      </c>
      <c r="D256" s="68" t="inlineStr">
        <is>
          <t>0;1;2;3</t>
        </is>
      </c>
      <c r="E256" s="68" t="inlineStr">
        <is>
          <t>2;1;0;3</t>
        </is>
      </c>
      <c r="F256" s="68" t="inlineStr">
        <is>
          <t>;;;</t>
        </is>
      </c>
      <c r="G256" s="68" t="inlineStr">
        <is>
          <t>#FF000000;#FF00FF00;#FFFF0000;#FFA9A9A9</t>
        </is>
      </c>
      <c r="H256" s="68" t="inlineStr">
        <is>
          <t>Abnormal;Auto;Auto;Abnormal</t>
        </is>
      </c>
      <c r="I256" s="68" t="inlineStr">
        <is>
          <t>FALSE;TRUE;TRUE;FALSE</t>
        </is>
      </c>
      <c r="J256" s="68" t="inlineStr">
        <is>
          <t>Alarme de Estado em Ponto Telessinalizado</t>
        </is>
      </c>
      <c r="K256" s="69" t="inlineStr">
        <is>
          <t>Alarme de Estado em Ponto Telessinalizado</t>
        </is>
      </c>
      <c r="L256" s="69">
        <f>VLOOKUP(LinkTable6789[[#This Row],[Coluna1]],[4]AlarmCatalog!$A:$M,11,FALSE)</f>
        <v/>
      </c>
    </row>
    <row r="257" ht="16.5" customFormat="1" customHeight="1" s="67">
      <c r="A257" s="68" t="inlineStr">
        <is>
          <t>Habilitar LF</t>
        </is>
      </c>
      <c r="B257" s="68" t="inlineStr"/>
      <c r="C257" s="68" t="inlineStr">
        <is>
          <t>LF Desabilitado;Somente LF Habilitado;LF e ES Habilitados</t>
        </is>
      </c>
      <c r="D257" s="68" t="inlineStr">
        <is>
          <t>0;1;2</t>
        </is>
      </c>
      <c r="E257" s="68" t="inlineStr">
        <is>
          <t>0;1;2</t>
        </is>
      </c>
      <c r="F257" s="68" t="inlineStr">
        <is>
          <t>Desabilitar LF;Habilitar somente LF;Habilitar LF e ES</t>
        </is>
      </c>
      <c r="G257" s="68" t="inlineStr">
        <is>
          <t>#00000000;#00F30C0C;#00000000</t>
        </is>
      </c>
      <c r="H257" s="68" t="inlineStr">
        <is>
          <t>Normal;Normal;Normal</t>
        </is>
      </c>
      <c r="I257" s="68" t="inlineStr">
        <is>
          <t>TRUE;TRUE;TRUE</t>
        </is>
      </c>
      <c r="J257" s="68" t="n"/>
      <c r="K257" s="69" t="n"/>
      <c r="L257" s="69">
        <f>VLOOKUP(LinkTable6789[[#This Row],[Coluna1]],[4]AlarmCatalog!$A:$M,11,FALSE)</f>
        <v/>
      </c>
    </row>
    <row r="258" ht="16.5" customFormat="1" customHeight="1" s="67">
      <c r="A258" s="68" t="inlineStr">
        <is>
          <t>null@null___NORMAL@INIBIDO___Custom___INV_S_TS</t>
        </is>
      </c>
      <c r="B258" s="68" t="inlineStr"/>
      <c r="C258" s="68" t="inlineStr">
        <is>
          <t>Transit;NORMAL;INIBIDO;Error</t>
        </is>
      </c>
      <c r="D258" s="68" t="inlineStr">
        <is>
          <t>0;1;2;3</t>
        </is>
      </c>
      <c r="E258" s="68" t="inlineStr">
        <is>
          <t>2;1;0;3</t>
        </is>
      </c>
      <c r="F258" s="68" t="inlineStr">
        <is>
          <t>;;;</t>
        </is>
      </c>
      <c r="G258" s="68" t="inlineStr">
        <is>
          <t>#FF000000;#FF00FF00;#FFFF0000;#FFA9A9A9</t>
        </is>
      </c>
      <c r="H258" s="68" t="inlineStr">
        <is>
          <t>Abnormal;Auto;Auto;Abnormal</t>
        </is>
      </c>
      <c r="I258" s="68" t="inlineStr">
        <is>
          <t>FALSE;TRUE;TRUE;FALSE</t>
        </is>
      </c>
      <c r="J258" s="68" t="inlineStr">
        <is>
          <t>Alarme de Estado em Ponto Telessinalizado</t>
        </is>
      </c>
      <c r="K258" s="69" t="inlineStr">
        <is>
          <t>Alarme de Estado em Ponto Telessinalizado</t>
        </is>
      </c>
      <c r="L258" s="69">
        <f>VLOOKUP(LinkTable6789[[#This Row],[Coluna1]],[4]AlarmCatalog!$A:$M,11,FALSE)</f>
        <v/>
      </c>
    </row>
    <row r="259" ht="16.5" customFormat="1" customHeight="1" s="67">
      <c r="A259" s="68" t="inlineStr">
        <is>
          <t>null@null___@___TapIncrement_D_TS</t>
        </is>
      </c>
      <c r="B259" s="68" t="inlineStr"/>
      <c r="C259" s="68" t="inlineStr">
        <is>
          <t>Transit;null;null;Error</t>
        </is>
      </c>
      <c r="D259" s="68" t="inlineStr">
        <is>
          <t>0;1;2;3</t>
        </is>
      </c>
      <c r="E259" s="68" t="inlineStr">
        <is>
          <t>2;0;1;3</t>
        </is>
      </c>
      <c r="F259" s="68" t="inlineStr">
        <is>
          <t>;;;</t>
        </is>
      </c>
      <c r="G259" s="68" t="inlineStr">
        <is>
          <t>#FF000000;#FF00FF00;#FFFF0000;#FFA9A9A9</t>
        </is>
      </c>
      <c r="H259" s="68" t="inlineStr">
        <is>
          <t>Normal;Normal;Normal;Normal</t>
        </is>
      </c>
      <c r="I259" s="68" t="inlineStr">
        <is>
          <t>FALSE;TRUE;TRUE;FALSE</t>
        </is>
      </c>
      <c r="J259" s="68" t="inlineStr">
        <is>
          <t>Alarme de Estado em Ponto Telessinalizado</t>
        </is>
      </c>
      <c r="K259" s="69" t="inlineStr">
        <is>
          <t>Alarme de Estado em Ponto Telessinalizado</t>
        </is>
      </c>
      <c r="L259" s="69">
        <f>VLOOKUP(LinkTable6789[[#This Row],[Coluna1]],[4]AlarmCatalog!$A:$M,11,FALSE)</f>
        <v/>
      </c>
    </row>
    <row r="260" ht="16.5" customFormat="1" customHeight="1" s="67">
      <c r="A260" s="68" t="inlineStr">
        <is>
          <t>null@null___MANUAL@AUTOMATICO___Custom___INV_S_TS</t>
        </is>
      </c>
      <c r="B260" s="68" t="inlineStr"/>
      <c r="C260" s="68" t="inlineStr">
        <is>
          <t>Transit;MANUAL;AUTOMATICO;Error</t>
        </is>
      </c>
      <c r="D260" s="68" t="inlineStr">
        <is>
          <t>0;1;2;3</t>
        </is>
      </c>
      <c r="E260" s="68" t="inlineStr">
        <is>
          <t>2;1;0;3</t>
        </is>
      </c>
      <c r="F260" s="68" t="inlineStr">
        <is>
          <t>;;;</t>
        </is>
      </c>
      <c r="G260" s="68" t="inlineStr">
        <is>
          <t>#FF000000;#FF00FF00;#FFFF0000;#FFA9A9A9</t>
        </is>
      </c>
      <c r="H260" s="68" t="inlineStr">
        <is>
          <t>Normal;Normal;Normal;Normal</t>
        </is>
      </c>
      <c r="I260" s="68" t="inlineStr">
        <is>
          <t>FALSE;TRUE;TRUE;FALSE</t>
        </is>
      </c>
      <c r="J260" s="68" t="inlineStr">
        <is>
          <t>Alarme de Estado em Ponto Telessinalizado</t>
        </is>
      </c>
      <c r="K260" s="69" t="inlineStr">
        <is>
          <t>Alarme de Estado em Ponto Telessinalizado</t>
        </is>
      </c>
      <c r="L260" s="69">
        <f>VLOOKUP(LinkTable6789[[#This Row],[Coluna1]],[4]AlarmCatalog!$A:$M,11,FALSE)</f>
        <v/>
      </c>
    </row>
    <row r="261" ht="16.5" customFormat="1" customHeight="1" s="67">
      <c r="A261" s="68" t="inlineStr">
        <is>
          <t>MESTRE@INDIVIDUAL@COMANDO___MESTRE@INDIVIDUAL@COMANDO___Parallel_D_TS_SS</t>
        </is>
      </c>
      <c r="B261" s="68" t="inlineStr"/>
      <c r="C261" s="68" t="inlineStr">
        <is>
          <t>MESTRE;INDIVIDUAL;COMANDADO;</t>
        </is>
      </c>
      <c r="D261" s="68" t="inlineStr">
        <is>
          <t>2;0;1;3</t>
        </is>
      </c>
      <c r="E261" s="68" t="inlineStr">
        <is>
          <t>0;2;1;3</t>
        </is>
      </c>
      <c r="F261" s="68" t="inlineStr">
        <is>
          <t>MESTRE;INDIVIDUAL;COMANDO;</t>
        </is>
      </c>
      <c r="G261" s="68" t="inlineStr">
        <is>
          <t>#FFFF0000;#FF00FF00;#FF00FF00;#FF000000</t>
        </is>
      </c>
      <c r="H261" s="68" t="inlineStr">
        <is>
          <t>Normal;Abnormal;Abnormal;Abnormal</t>
        </is>
      </c>
      <c r="I261" s="68" t="inlineStr">
        <is>
          <t>TRUE;TRUE;TRUE;FALSE</t>
        </is>
      </c>
      <c r="J261" s="68" t="inlineStr">
        <is>
          <t>Alarme de Estado em Ponto Telessinalizado SS</t>
        </is>
      </c>
      <c r="K261" s="69" t="inlineStr">
        <is>
          <t>Alarme de Estado em Ponto Telessinalizado SS</t>
        </is>
      </c>
      <c r="L261" s="69">
        <f>VLOOKUP(LinkTable6789[[#This Row],[Coluna1]],[4]AlarmCatalog!$A:$M,11,FALSE)</f>
        <v/>
      </c>
    </row>
    <row r="262" ht="16.5" customFormat="1" customHeight="1" s="67">
      <c r="A262" s="68" t="inlineStr">
        <is>
          <t>null@null___ATIVOU@INIBIU___Custom_S_TS</t>
        </is>
      </c>
      <c r="B262" s="68" t="inlineStr"/>
      <c r="C262" s="68" t="inlineStr">
        <is>
          <t>Transit;ATIVOU;INIBIU;Error</t>
        </is>
      </c>
      <c r="D262" s="68" t="inlineStr">
        <is>
          <t>0;1;2;3</t>
        </is>
      </c>
      <c r="E262" s="68" t="inlineStr">
        <is>
          <t>2;0;1;3</t>
        </is>
      </c>
      <c r="F262" s="68" t="inlineStr">
        <is>
          <t>;;;</t>
        </is>
      </c>
      <c r="G262" s="68" t="inlineStr">
        <is>
          <t>#FF000000;#FF00FF00;#FFFF0000;#FFA9A9A9</t>
        </is>
      </c>
      <c r="H262" s="68" t="inlineStr">
        <is>
          <t>Abnormal;Auto;Auto;Abnormal</t>
        </is>
      </c>
      <c r="I262" s="68" t="inlineStr">
        <is>
          <t>FALSE;TRUE;TRUE;FALSE</t>
        </is>
      </c>
      <c r="J262" s="68" t="inlineStr">
        <is>
          <t>Alarme de Estado em Ponto Telessinalizado</t>
        </is>
      </c>
      <c r="K262" s="69" t="inlineStr">
        <is>
          <t>Alarme de Estado em Ponto Telessinalizado</t>
        </is>
      </c>
      <c r="L262" s="69">
        <f>VLOOKUP(LinkTable6789[[#This Row],[Coluna1]],[4]AlarmCatalog!$A:$M,11,FALSE)</f>
        <v/>
      </c>
    </row>
    <row r="263" ht="16.5" customFormat="1" customHeight="1" s="67">
      <c r="A263" s="68" t="inlineStr">
        <is>
          <t>null@null___NORMAL@INCOMPLETA___Custom_S_TS</t>
        </is>
      </c>
      <c r="B263" s="68" t="inlineStr"/>
      <c r="C263" s="68" t="inlineStr">
        <is>
          <t>Transit;NORMAL;INCOMPLETA;Error</t>
        </is>
      </c>
      <c r="D263" s="68" t="inlineStr">
        <is>
          <t>0;1;2;3</t>
        </is>
      </c>
      <c r="E263" s="68" t="inlineStr">
        <is>
          <t>2;0;1;3</t>
        </is>
      </c>
      <c r="F263" s="68" t="inlineStr">
        <is>
          <t>;;;</t>
        </is>
      </c>
      <c r="G263" s="68" t="inlineStr">
        <is>
          <t>#FF000000;#FF00FF00;#FFFF0000;#FFA9A9A9</t>
        </is>
      </c>
      <c r="H263" s="68" t="inlineStr">
        <is>
          <t>Abnormal;Auto;Auto;Abnormal</t>
        </is>
      </c>
      <c r="I263" s="68" t="inlineStr">
        <is>
          <t>FALSE;TRUE;TRUE;FALSE</t>
        </is>
      </c>
      <c r="J263" s="68" t="inlineStr">
        <is>
          <t>Alarme de Estado em Ponto Telessinalizado</t>
        </is>
      </c>
      <c r="K263" s="69" t="inlineStr">
        <is>
          <t>Alarme de Estado em Ponto Telessinalizado</t>
        </is>
      </c>
      <c r="L263" s="69">
        <f>VLOOKUP(LinkTable6789[[#This Row],[Coluna1]],[4]AlarmCatalog!$A:$M,11,FALSE)</f>
        <v/>
      </c>
    </row>
    <row r="264" ht="16.5" customFormat="1" customHeight="1" s="67">
      <c r="A264" s="68" t="inlineStr">
        <is>
          <t>null@null___FALHA@OPERANDO___Custom___INV_S_TS</t>
        </is>
      </c>
      <c r="B264" s="68" t="inlineStr"/>
      <c r="C264" s="68" t="inlineStr">
        <is>
          <t>Transit;FALHA;OPERANDO;Error</t>
        </is>
      </c>
      <c r="D264" s="68" t="inlineStr">
        <is>
          <t>0;1;2;3</t>
        </is>
      </c>
      <c r="E264" s="68" t="inlineStr">
        <is>
          <t>2;1;0;3</t>
        </is>
      </c>
      <c r="F264" s="68" t="inlineStr">
        <is>
          <t>;;;</t>
        </is>
      </c>
      <c r="G264" s="68" t="inlineStr">
        <is>
          <t>#FF000000;#FF00FF00;#FFFF0000;#FFA9A9A9</t>
        </is>
      </c>
      <c r="H264" s="68" t="inlineStr">
        <is>
          <t>Abnormal;Auto;Auto;Abnormal</t>
        </is>
      </c>
      <c r="I264" s="68" t="inlineStr">
        <is>
          <t>FALSE;TRUE;TRUE;FALSE</t>
        </is>
      </c>
      <c r="J264" s="68" t="inlineStr">
        <is>
          <t>Alarme de Estado em Ponto Telessinalizado</t>
        </is>
      </c>
      <c r="K264" s="69" t="inlineStr">
        <is>
          <t>Alarme de Estado em Ponto Telessinalizado</t>
        </is>
      </c>
      <c r="L264" s="69">
        <f>VLOOKUP(LinkTable6789[[#This Row],[Coluna1]],[4]AlarmCatalog!$A:$M,11,FALSE)</f>
        <v/>
      </c>
    </row>
    <row r="265" ht="16.5" customFormat="1" customHeight="1" s="67">
      <c r="A265" s="68" t="inlineStr">
        <is>
          <t>null@null___POSICAO 1@POSICAO 2___Custom_S_TS</t>
        </is>
      </c>
      <c r="B265" s="68" t="inlineStr"/>
      <c r="C265" s="68" t="inlineStr">
        <is>
          <t>Transit;POSICAO 1;POSICAO 2;Error</t>
        </is>
      </c>
      <c r="D265" s="68" t="inlineStr">
        <is>
          <t>0;1;2;3</t>
        </is>
      </c>
      <c r="E265" s="68" t="inlineStr">
        <is>
          <t>2;0;1;3</t>
        </is>
      </c>
      <c r="F265" s="68" t="inlineStr">
        <is>
          <t>;;;</t>
        </is>
      </c>
      <c r="G265" s="68" t="inlineStr">
        <is>
          <t>#FF000000;#FF00FF00;#FFFF0000;#FFA9A9A9</t>
        </is>
      </c>
      <c r="H265" s="68" t="inlineStr">
        <is>
          <t>Abnormal;Auto;Auto;Abnormal</t>
        </is>
      </c>
      <c r="I265" s="68" t="inlineStr">
        <is>
          <t>FALSE;TRUE;TRUE;FALSE</t>
        </is>
      </c>
      <c r="J265" s="68" t="inlineStr">
        <is>
          <t>Alarme de Estado em Ponto Telessinalizado</t>
        </is>
      </c>
      <c r="K265" s="69" t="inlineStr">
        <is>
          <t>Alarme de Estado em Ponto Telessinalizado</t>
        </is>
      </c>
      <c r="L265" s="69">
        <f>VLOOKUP(LinkTable6789[[#This Row],[Coluna1]],[4]AlarmCatalog!$A:$M,11,FALSE)</f>
        <v/>
      </c>
    </row>
    <row r="266" ht="16.5" customFormat="1" customHeight="1" s="67">
      <c r="A266" s="68" t="inlineStr">
        <is>
          <t>null@null___DESLIGADA@LIGADA___Custom___INV_S_TS</t>
        </is>
      </c>
      <c r="B266" s="68" t="inlineStr"/>
      <c r="C266" s="68" t="inlineStr">
        <is>
          <t>Transit;DESLIGADA;LIGADA;Error</t>
        </is>
      </c>
      <c r="D266" s="68" t="inlineStr">
        <is>
          <t>0;1;2;3</t>
        </is>
      </c>
      <c r="E266" s="68" t="inlineStr">
        <is>
          <t>2;1;0;3</t>
        </is>
      </c>
      <c r="F266" s="68" t="inlineStr">
        <is>
          <t>;;;</t>
        </is>
      </c>
      <c r="G266" s="68" t="inlineStr">
        <is>
          <t>#FF000000;#FF00FF00;#FFFF0000;#FFA9A9A9</t>
        </is>
      </c>
      <c r="H266" s="68" t="inlineStr">
        <is>
          <t>Abnormal;Auto;Auto;Abnormal</t>
        </is>
      </c>
      <c r="I266" s="68" t="inlineStr">
        <is>
          <t>FALSE;TRUE;TRUE;FALSE</t>
        </is>
      </c>
      <c r="J266" s="68" t="inlineStr">
        <is>
          <t>Alarme de Estado em Ponto Telessinalizado</t>
        </is>
      </c>
      <c r="K266" s="69" t="inlineStr">
        <is>
          <t>Alarme de Estado em Ponto Telessinalizado</t>
        </is>
      </c>
      <c r="L266" s="69">
        <f>VLOOKUP(LinkTable6789[[#This Row],[Coluna1]],[4]AlarmCatalog!$A:$M,11,FALSE)</f>
        <v/>
      </c>
    </row>
    <row r="267" ht="16.5" customFormat="1" customHeight="1" s="67">
      <c r="A267" s="70" t="inlineStr">
        <is>
          <t>null@null___NORMAL@ATUADO___RecloserLockout_S_TS_SA</t>
        </is>
      </c>
      <c r="B267" s="68" t="inlineStr"/>
      <c r="C267" s="68" t="inlineStr">
        <is>
          <t>Transit;NORMAL;ATUADO;Error</t>
        </is>
      </c>
      <c r="D267" s="68" t="inlineStr">
        <is>
          <t>0;1;2;3</t>
        </is>
      </c>
      <c r="E267" s="68" t="inlineStr">
        <is>
          <t>2;0;1;3</t>
        </is>
      </c>
      <c r="F267" s="68" t="inlineStr">
        <is>
          <t>;;;</t>
        </is>
      </c>
      <c r="G267" s="68" t="inlineStr">
        <is>
          <t>#FF000000;#FF00FF00;#FFFF0000;#FFA9A9A9</t>
        </is>
      </c>
      <c r="H267" s="68" t="inlineStr">
        <is>
          <t>Abnormal;Auto;Auto;Abnormal</t>
        </is>
      </c>
      <c r="I267" s="68" t="inlineStr">
        <is>
          <t>FALSE;TRUE;TRUE;FALSE</t>
        </is>
      </c>
      <c r="J267" s="68" t="inlineStr">
        <is>
          <t>Alarme de Estado em Ponto Telessinalizado</t>
        </is>
      </c>
      <c r="K267" s="69" t="inlineStr">
        <is>
          <t>Alarme de Estado em Ponto Telessinalizado</t>
        </is>
      </c>
      <c r="L267" s="69">
        <f>VLOOKUP(LinkTable6789[[#This Row],[Coluna1]],[4]AlarmCatalog!$A:$M,11,FALSE)</f>
        <v/>
      </c>
    </row>
    <row r="268" ht="16.5" customFormat="1" customHeight="1" s="67">
      <c r="A268" s="68" t="inlineStr">
        <is>
          <t>DI_INCLUIR@EXCLUIR___INCLUIDO@EXCLUIDO___ReclosingEnabled_S_TC</t>
        </is>
      </c>
      <c r="B268" s="68" t="inlineStr"/>
      <c r="C268" s="68" t="inlineStr">
        <is>
          <t>Transit;INCLUIDO;EXCLUIDO;Error</t>
        </is>
      </c>
      <c r="D268" s="68" t="inlineStr">
        <is>
          <t>0;1;2;3</t>
        </is>
      </c>
      <c r="E268" s="68" t="inlineStr">
        <is>
          <t>2;0;1;3</t>
        </is>
      </c>
      <c r="F268" s="68" t="inlineStr">
        <is>
          <t>;INCLUIR;EXCLUIR;</t>
        </is>
      </c>
      <c r="G268" s="68" t="inlineStr">
        <is>
          <t>#FF000000;#FFFF0000;#FF00FF00;#FFA9A9A9</t>
        </is>
      </c>
      <c r="H268" s="68" t="inlineStr">
        <is>
          <t>Abnormal;Auto;Auto;Abnormal</t>
        </is>
      </c>
      <c r="I268" s="68" t="inlineStr">
        <is>
          <t>FALSE;TRUE;TRUE;FALSE</t>
        </is>
      </c>
      <c r="J268" s="68" t="inlineStr">
        <is>
          <t>Alarme de Estado em Ponto Telecontrolado</t>
        </is>
      </c>
      <c r="K268" s="69" t="inlineStr">
        <is>
          <t>Alarme de Estado em Ponto Telecontrolado</t>
        </is>
      </c>
      <c r="L268" s="69">
        <f>VLOOKUP(LinkTable6789[[#This Row],[Coluna1]],[4]AlarmCatalog!$A:$M,11,FALSE)</f>
        <v/>
      </c>
    </row>
    <row r="269" ht="16.5" customFormat="1" customHeight="1" s="67">
      <c r="A269" s="68" t="inlineStr">
        <is>
          <t>null@null___0@EXECUTADO___Custom_S_TS</t>
        </is>
      </c>
      <c r="B269" s="68" t="inlineStr"/>
      <c r="C269" s="68" t="inlineStr">
        <is>
          <t>Transit;0;EXECUTADO;Error</t>
        </is>
      </c>
      <c r="D269" s="68" t="inlineStr">
        <is>
          <t>0;1;2;3</t>
        </is>
      </c>
      <c r="E269" s="68" t="inlineStr">
        <is>
          <t>2;0;1;3</t>
        </is>
      </c>
      <c r="F269" s="68" t="inlineStr">
        <is>
          <t>;;;</t>
        </is>
      </c>
      <c r="G269" s="68" t="inlineStr">
        <is>
          <t>#FF000000;#FF00FF00;#FFFF0000;#FFA9A9A9</t>
        </is>
      </c>
      <c r="H269" s="68" t="inlineStr">
        <is>
          <t>Abnormal;Auto;Auto;Abnormal</t>
        </is>
      </c>
      <c r="I269" s="68" t="inlineStr">
        <is>
          <t>FALSE;TRUE;TRUE;FALSE</t>
        </is>
      </c>
      <c r="J269" s="68" t="inlineStr">
        <is>
          <t>Alarme de Estado em Ponto Telessinalizado</t>
        </is>
      </c>
      <c r="K269" s="69" t="inlineStr">
        <is>
          <t>Alarme de Estado em Ponto Telessinalizado</t>
        </is>
      </c>
      <c r="L269" s="69">
        <f>VLOOKUP(LinkTable6789[[#This Row],[Coluna1]],[4]AlarmCatalog!$A:$M,11,FALSE)</f>
        <v/>
      </c>
    </row>
    <row r="270" ht="16.5" customFormat="1" customHeight="1" s="67">
      <c r="A270" s="68" t="inlineStr">
        <is>
          <t>HABILITAR@null___HABILITADO@DESABILITADO__Enabled_S_TC_SS</t>
        </is>
      </c>
      <c r="B270" s="68" t="inlineStr"/>
      <c r="C270" s="68" t="inlineStr">
        <is>
          <t>Transit;DESABILITADO;HABILITADO;Error</t>
        </is>
      </c>
      <c r="D270" s="68" t="inlineStr">
        <is>
          <t>0;2;1;3</t>
        </is>
      </c>
      <c r="E270" s="68" t="inlineStr">
        <is>
          <t>2;0;1;3</t>
        </is>
      </c>
      <c r="F270" s="68" t="inlineStr">
        <is>
          <t>;HABILITAR;;</t>
        </is>
      </c>
      <c r="G270" s="68" t="inlineStr">
        <is>
          <t>#FF000000;#FF00FF00;#FFFF0000;#FFA9A9A9</t>
        </is>
      </c>
      <c r="H270" s="68" t="inlineStr">
        <is>
          <t>Abnormal;Auto;Auto;Abnormal</t>
        </is>
      </c>
      <c r="I270" s="68" t="inlineStr">
        <is>
          <t>FALSE;TRUE;TRUE;FALSE</t>
        </is>
      </c>
      <c r="J270" s="68" t="inlineStr">
        <is>
          <t>Alarme de Estado em Ponto Telecontrolado SS</t>
        </is>
      </c>
      <c r="K270" s="69" t="inlineStr">
        <is>
          <t>Alarme de Estado em Ponto Telecontrolado SS</t>
        </is>
      </c>
      <c r="L270" s="69">
        <f>VLOOKUP(LinkTable6789[[#This Row],[Coluna1]],[4]AlarmCatalog!$A:$M,11,FALSE)</f>
        <v/>
      </c>
    </row>
    <row r="271" ht="16.5" customFormat="1" customHeight="1" s="67">
      <c r="A271" s="68" t="inlineStr">
        <is>
          <t>null@null___NORMAL@ATUADO___Malfunctioning_S_TS</t>
        </is>
      </c>
      <c r="B271" s="68" t="inlineStr"/>
      <c r="C271" s="68" t="inlineStr">
        <is>
          <t>Transit;NORMAL;ATUADO;Error</t>
        </is>
      </c>
      <c r="D271" s="68" t="inlineStr">
        <is>
          <t>0;1;2;3</t>
        </is>
      </c>
      <c r="E271" s="68" t="inlineStr">
        <is>
          <t>2;0;1;3</t>
        </is>
      </c>
      <c r="F271" s="68" t="inlineStr">
        <is>
          <t>;;;</t>
        </is>
      </c>
      <c r="G271" s="68" t="inlineStr">
        <is>
          <t>#FF000000;#FF00FF00;#FFFF0000;#FFA9A9A9</t>
        </is>
      </c>
      <c r="H271" s="68" t="inlineStr">
        <is>
          <t>Abnormal;Auto;Auto;Abnormal</t>
        </is>
      </c>
      <c r="I271" s="68" t="inlineStr">
        <is>
          <t>FALSE;TRUE;TRUE;FALSE</t>
        </is>
      </c>
      <c r="J271" s="68" t="inlineStr">
        <is>
          <t>Alarme de Estado em Ponto Telessinalizado</t>
        </is>
      </c>
      <c r="K271" s="69" t="inlineStr">
        <is>
          <t>Alarme de Estado em Ponto Telessinalizado</t>
        </is>
      </c>
      <c r="L271" s="69">
        <f>VLOOKUP(LinkTable6789[[#This Row],[Coluna1]],[4]AlarmCatalog!$A:$M,11,FALSE)</f>
        <v/>
      </c>
    </row>
    <row r="272" ht="16.5" customFormat="1" customHeight="1" s="67">
      <c r="A272" s="68" t="inlineStr">
        <is>
          <t>null@null___NORMAL@DEFEITO___Malfunctioning_S_TS</t>
        </is>
      </c>
      <c r="B272" s="68" t="inlineStr"/>
      <c r="C272" s="68" t="inlineStr">
        <is>
          <t>Transit;NORMAL;DEFEITO;Error</t>
        </is>
      </c>
      <c r="D272" s="68" t="inlineStr">
        <is>
          <t>0;1;2;3</t>
        </is>
      </c>
      <c r="E272" s="68" t="inlineStr">
        <is>
          <t>2;0;1;3</t>
        </is>
      </c>
      <c r="F272" s="68" t="inlineStr">
        <is>
          <t>;;;</t>
        </is>
      </c>
      <c r="G272" s="68" t="inlineStr">
        <is>
          <t>#FF000000;#FF00FF00;#FFFF0000;#FFA9A9A9</t>
        </is>
      </c>
      <c r="H272" s="68" t="inlineStr">
        <is>
          <t>Abnormal;Auto;Auto;Abnormal</t>
        </is>
      </c>
      <c r="I272" s="68" t="inlineStr">
        <is>
          <t>FALSE;TRUE;TRUE;FALSE</t>
        </is>
      </c>
      <c r="J272" s="68" t="inlineStr">
        <is>
          <t>Alarme de Estado em Ponto Telessinalizado</t>
        </is>
      </c>
      <c r="K272" s="69" t="inlineStr">
        <is>
          <t>Alarme de Estado em Ponto Telessinalizado</t>
        </is>
      </c>
      <c r="L272" s="69">
        <f>VLOOKUP(LinkTable6789[[#This Row],[Coluna1]],[4]AlarmCatalog!$A:$M,11,FALSE)</f>
        <v/>
      </c>
    </row>
    <row r="273" ht="16.5" customFormat="1" customHeight="1" s="67">
      <c r="A273" s="68" t="inlineStr">
        <is>
          <t>null@null___NORMAL@DEFEITO___Malfunctioning___INV_S_TS</t>
        </is>
      </c>
      <c r="B273" s="68" t="inlineStr"/>
      <c r="C273" s="68" t="inlineStr">
        <is>
          <t>Transit;NORMAL;DEFEITO;Error</t>
        </is>
      </c>
      <c r="D273" s="68" t="inlineStr">
        <is>
          <t>0;1;2;3</t>
        </is>
      </c>
      <c r="E273" s="68" t="inlineStr">
        <is>
          <t>2;1;0;3</t>
        </is>
      </c>
      <c r="F273" s="68" t="inlineStr">
        <is>
          <t>;;;</t>
        </is>
      </c>
      <c r="G273" s="68" t="inlineStr">
        <is>
          <t>#FF000000;#FF00FF00;#FFFF0000;#FFA9A9A9</t>
        </is>
      </c>
      <c r="H273" s="68" t="inlineStr">
        <is>
          <t>Abnormal;Auto;Auto;Abnormal</t>
        </is>
      </c>
      <c r="I273" s="68" t="inlineStr">
        <is>
          <t>FALSE;TRUE;TRUE;FALSE</t>
        </is>
      </c>
      <c r="J273" s="68" t="inlineStr">
        <is>
          <t>Alarme de Estado em Ponto Telessinalizado</t>
        </is>
      </c>
      <c r="K273" s="69" t="inlineStr">
        <is>
          <t>Alarme de Estado em Ponto Telessinalizado</t>
        </is>
      </c>
      <c r="L273" s="69">
        <f>VLOOKUP(LinkTable6789[[#This Row],[Coluna1]],[4]AlarmCatalog!$A:$M,11,FALSE)</f>
        <v/>
      </c>
    </row>
    <row r="274" ht="16.5" customFormat="1" customHeight="1" s="67">
      <c r="A274" s="68" t="inlineStr">
        <is>
          <t>DI_INCLUIR@EXCLUIR___INCLUIDO@EXCLUIDO___ReclosingEnabled_S_TC_DS</t>
        </is>
      </c>
      <c r="B274" s="68" t="inlineStr"/>
      <c r="C274" s="68" t="inlineStr">
        <is>
          <t>Transit;INCLUIDO;EXCLUIDO;Error</t>
        </is>
      </c>
      <c r="D274" s="68" t="inlineStr">
        <is>
          <t>0;1;2;3</t>
        </is>
      </c>
      <c r="E274" s="68" t="inlineStr">
        <is>
          <t>2;0;1;3</t>
        </is>
      </c>
      <c r="F274" s="68" t="inlineStr">
        <is>
          <t>;INCLUIR;EXCLUIR;</t>
        </is>
      </c>
      <c r="G274" s="68" t="inlineStr">
        <is>
          <t>#FF000000;#FFFF0000;#FF00FF00;#FFA9A9A9</t>
        </is>
      </c>
      <c r="H274" s="68" t="inlineStr">
        <is>
          <t>Abnormal;Auto;Auto;Abnormal</t>
        </is>
      </c>
      <c r="I274" s="68" t="inlineStr">
        <is>
          <t>FALSE;TRUE;TRUE;FALSE</t>
        </is>
      </c>
      <c r="J274" s="68" t="inlineStr">
        <is>
          <t>Alarme de Estado em Ponto Telecontrolado DS</t>
        </is>
      </c>
      <c r="K274" s="69" t="inlineStr">
        <is>
          <t>Alarme de Estado em Ponto Telecontrolado DS</t>
        </is>
      </c>
      <c r="L274" s="69">
        <f>VLOOKUP(LinkTable6789[[#This Row],[Coluna1]],[4]AlarmCatalog!$A:$M,11,FALSE)</f>
        <v/>
      </c>
    </row>
    <row r="275" ht="16.5" customFormat="1" customHeight="1" s="67">
      <c r="A275" s="68" t="inlineStr">
        <is>
          <t>null@null___null@null___Custom_S_TS</t>
        </is>
      </c>
      <c r="B275" s="68" t="inlineStr"/>
      <c r="C275" s="68" t="inlineStr">
        <is>
          <t>Transit;;;Error</t>
        </is>
      </c>
      <c r="D275" s="68" t="inlineStr">
        <is>
          <t>0;1;2;3</t>
        </is>
      </c>
      <c r="E275" s="68" t="inlineStr">
        <is>
          <t>2;0;1;3</t>
        </is>
      </c>
      <c r="F275" s="68" t="inlineStr">
        <is>
          <t>;;;</t>
        </is>
      </c>
      <c r="G275" s="68" t="inlineStr">
        <is>
          <t>#FF000000;#FF00FF00;#FFFF0000;#FFA9A9A9</t>
        </is>
      </c>
      <c r="H275" s="68" t="inlineStr">
        <is>
          <t>Normal;Normal;Normal;Normal</t>
        </is>
      </c>
      <c r="I275" s="68" t="inlineStr">
        <is>
          <t>FALSE;TRUE;TRUE;FALSE</t>
        </is>
      </c>
      <c r="J275" s="68" t="inlineStr">
        <is>
          <t>Alarme de Estado em Ponto Telessinalizado</t>
        </is>
      </c>
      <c r="K275" s="69" t="inlineStr">
        <is>
          <t>Alarme de Estado em Ponto Telessinalizado</t>
        </is>
      </c>
      <c r="L275" s="69">
        <f>VLOOKUP(LinkTable6789[[#This Row],[Coluna1]],[4]AlarmCatalog!$A:$M,11,FALSE)</f>
        <v/>
      </c>
    </row>
    <row r="276" ht="16.5" customFormat="1" customHeight="1" s="67">
      <c r="A276" s="70" t="inlineStr">
        <is>
          <t>DI_null@null___NORMAL@ATUADO___RecloserLockout_S_TS</t>
        </is>
      </c>
      <c r="B276" s="68" t="inlineStr"/>
      <c r="C276" s="68" t="inlineStr">
        <is>
          <t>Transit;NORMAL;ATUADO;Error</t>
        </is>
      </c>
      <c r="D276" s="68" t="inlineStr">
        <is>
          <t>0;1;2;3</t>
        </is>
      </c>
      <c r="E276" s="68" t="inlineStr">
        <is>
          <t>2;0;1;3</t>
        </is>
      </c>
      <c r="F276" s="68" t="inlineStr">
        <is>
          <t>;;;</t>
        </is>
      </c>
      <c r="G276" s="68" t="inlineStr">
        <is>
          <t>#FF000000;#FF00FF00;#FFFF0000;#FFA9A9A9</t>
        </is>
      </c>
      <c r="H276" s="68" t="inlineStr">
        <is>
          <t>Abnormal;Auto;Auto;Abnormal</t>
        </is>
      </c>
      <c r="I276" s="68" t="inlineStr">
        <is>
          <t>FALSE;TRUE;TRUE;FALSE</t>
        </is>
      </c>
      <c r="J276" s="68" t="inlineStr">
        <is>
          <t>Alarme de Estado em Ponto Telessinalizado</t>
        </is>
      </c>
      <c r="K276" s="69" t="inlineStr">
        <is>
          <t>Alarme de Estado em Ponto Telessinalizado</t>
        </is>
      </c>
      <c r="L276" s="69">
        <f>VLOOKUP(LinkTable6789[[#This Row],[Coluna1]],[4]AlarmCatalog!$A:$M,11,FALSE)</f>
        <v/>
      </c>
    </row>
    <row r="277" ht="16.5" customFormat="1" customHeight="1" s="67">
      <c r="A277" s="68" t="inlineStr">
        <is>
          <t>DI_null@null___NORMAL@ATUADO___Malfunctioning_S_TS</t>
        </is>
      </c>
      <c r="B277" s="68" t="inlineStr"/>
      <c r="C277" s="68" t="inlineStr">
        <is>
          <t>Transit;NORMAL;ATUADO;Error</t>
        </is>
      </c>
      <c r="D277" s="68" t="inlineStr">
        <is>
          <t>0;1;2;3</t>
        </is>
      </c>
      <c r="E277" s="68" t="inlineStr">
        <is>
          <t>2;0;1;3</t>
        </is>
      </c>
      <c r="F277" s="68" t="inlineStr">
        <is>
          <t>;;;</t>
        </is>
      </c>
      <c r="G277" s="68" t="inlineStr">
        <is>
          <t>#FF000000;#FF00FF00;#FFFF0000;#FFA9A9A9</t>
        </is>
      </c>
      <c r="H277" s="68" t="inlineStr">
        <is>
          <t>Abnormal;Auto;Auto;Abnormal</t>
        </is>
      </c>
      <c r="I277" s="68" t="inlineStr">
        <is>
          <t>FALSE;TRUE;TRUE;FALSE</t>
        </is>
      </c>
      <c r="J277" s="68" t="inlineStr">
        <is>
          <t>Alarme de Estado em Ponto Telessinalizado</t>
        </is>
      </c>
      <c r="K277" s="69" t="inlineStr">
        <is>
          <t>Alarme de Estado em Ponto Telessinalizado</t>
        </is>
      </c>
      <c r="L277" s="69">
        <f>VLOOKUP(LinkTable6789[[#This Row],[Coluna1]],[4]AlarmCatalog!$A:$M,11,FALSE)</f>
        <v/>
      </c>
    </row>
    <row r="278" ht="16.5" customFormat="1" customHeight="1" s="67">
      <c r="A278" s="68" t="inlineStr">
        <is>
          <t>DI_null@null___NORMAL@ATUADO___Custom_S_TS</t>
        </is>
      </c>
      <c r="B278" s="68" t="inlineStr"/>
      <c r="C278" s="68" t="inlineStr">
        <is>
          <t>Transit;NORMAL;ATUADO;Error</t>
        </is>
      </c>
      <c r="D278" s="68" t="inlineStr">
        <is>
          <t>0;1;2;3</t>
        </is>
      </c>
      <c r="E278" s="68" t="inlineStr">
        <is>
          <t>2;0;1;3</t>
        </is>
      </c>
      <c r="F278" s="68" t="inlineStr">
        <is>
          <t>;;;</t>
        </is>
      </c>
      <c r="G278" s="68" t="inlineStr">
        <is>
          <t>#FF000000;#FF00FF00;#FFFF0000;#FFA9A9A9</t>
        </is>
      </c>
      <c r="H278" s="68" t="inlineStr">
        <is>
          <t>Abnormal;Auto;Auto;Abnormal</t>
        </is>
      </c>
      <c r="I278" s="68" t="inlineStr">
        <is>
          <t>FALSE;TRUE;TRUE;FALSE</t>
        </is>
      </c>
      <c r="J278" s="68" t="inlineStr">
        <is>
          <t>Alarme de Estado em Ponto Telessinalizado</t>
        </is>
      </c>
      <c r="K278" s="69" t="inlineStr">
        <is>
          <t>Alarme de Estado em Ponto Telessinalizado</t>
        </is>
      </c>
      <c r="L278" s="69">
        <f>VLOOKUP(LinkTable6789[[#This Row],[Coluna1]],[4]AlarmCatalog!$A:$M,11,FALSE)</f>
        <v/>
      </c>
    </row>
    <row r="279" ht="16.5" customFormat="1" customHeight="1" s="67">
      <c r="A279" s="68" t="inlineStr">
        <is>
          <t>DI_null@null___NORMAL@FALHA___Custom_S_TS</t>
        </is>
      </c>
      <c r="B279" s="68" t="inlineStr"/>
      <c r="C279" s="68" t="inlineStr">
        <is>
          <t>Transit;NORMAL;FALHA;Error</t>
        </is>
      </c>
      <c r="D279" s="68" t="inlineStr">
        <is>
          <t>0;1;2;3</t>
        </is>
      </c>
      <c r="E279" s="68" t="inlineStr">
        <is>
          <t>2;0;1;3</t>
        </is>
      </c>
      <c r="F279" s="68" t="inlineStr">
        <is>
          <t>;;;</t>
        </is>
      </c>
      <c r="G279" s="68" t="inlineStr">
        <is>
          <t>#FF000000;#FF00FF00;#FFFF0000;#FFA9A9A9</t>
        </is>
      </c>
      <c r="H279" s="68" t="inlineStr">
        <is>
          <t>Abnormal;Auto;Auto;Abnormal</t>
        </is>
      </c>
      <c r="I279" s="68" t="inlineStr">
        <is>
          <t>FALSE;TRUE;TRUE;FALSE</t>
        </is>
      </c>
      <c r="J279" s="68" t="inlineStr">
        <is>
          <t>Alarme de Estado em Ponto Telessinalizado</t>
        </is>
      </c>
      <c r="K279" s="69" t="inlineStr">
        <is>
          <t>Alarme de Estado em Ponto Telessinalizado</t>
        </is>
      </c>
      <c r="L279" s="69">
        <f>VLOOKUP(LinkTable6789[[#This Row],[Coluna1]],[4]AlarmCatalog!$A:$M,11,FALSE)</f>
        <v/>
      </c>
    </row>
    <row r="280" ht="16.5" customFormat="1" customHeight="1" s="67">
      <c r="A280" s="68" t="inlineStr">
        <is>
          <t>INCLUIR@EXCLUIR___INCLUIDO@EXCLUIDO___Custom___INV_S_TC</t>
        </is>
      </c>
      <c r="B280" s="68" t="inlineStr"/>
      <c r="C280" s="68" t="inlineStr">
        <is>
          <t>Transit;INCLUIDO;EXCLUIDO;Error</t>
        </is>
      </c>
      <c r="D280" s="68" t="inlineStr">
        <is>
          <t>0;1;2;3</t>
        </is>
      </c>
      <c r="E280" s="68" t="inlineStr">
        <is>
          <t>2;1;0;3</t>
        </is>
      </c>
      <c r="F280" s="68" t="inlineStr">
        <is>
          <t>;INCLUIR;EXCLUIR;</t>
        </is>
      </c>
      <c r="G280" s="68" t="inlineStr">
        <is>
          <t>#FF000000;#FFFF0000;#FF00FF00;#FFA9A9A9</t>
        </is>
      </c>
      <c r="H280" s="68" t="inlineStr">
        <is>
          <t>Abnormal;Auto;Auto;Abnormal</t>
        </is>
      </c>
      <c r="I280" s="68" t="inlineStr">
        <is>
          <t>FALSE;TRUE;TRUE;FALSE</t>
        </is>
      </c>
      <c r="J280" s="68" t="inlineStr">
        <is>
          <t>Alarme de Estado em Ponto Telecontrolado</t>
        </is>
      </c>
      <c r="K280" s="69" t="inlineStr">
        <is>
          <t>Alarme de Estado em Ponto Telecontrolado</t>
        </is>
      </c>
      <c r="L280" s="69">
        <f>VLOOKUP(LinkTable6789[[#This Row],[Coluna1]],[4]AlarmCatalog!$A:$M,11,FALSE)</f>
        <v/>
      </c>
    </row>
    <row r="281" ht="16.5" customFormat="1" customHeight="1" s="67">
      <c r="A281" s="68" t="inlineStr">
        <is>
          <t>DI_null@null___NORMAL@FALTA___Custom_S_TS</t>
        </is>
      </c>
      <c r="B281" s="68" t="inlineStr"/>
      <c r="C281" s="68" t="inlineStr">
        <is>
          <t>Transit;NORMAL;FALTA;Error</t>
        </is>
      </c>
      <c r="D281" s="68" t="inlineStr">
        <is>
          <t>0;1;2;3</t>
        </is>
      </c>
      <c r="E281" s="68" t="inlineStr">
        <is>
          <t>2;0;1;3</t>
        </is>
      </c>
      <c r="F281" s="68" t="inlineStr">
        <is>
          <t>;;;</t>
        </is>
      </c>
      <c r="G281" s="68" t="inlineStr">
        <is>
          <t>#FF000000;#FF00FF00;#FFFF0000;#FFA9A9A9</t>
        </is>
      </c>
      <c r="H281" s="68" t="inlineStr">
        <is>
          <t>Abnormal;Auto;Auto;Abnormal</t>
        </is>
      </c>
      <c r="I281" s="68" t="inlineStr">
        <is>
          <t>FALSE;TRUE;TRUE;FALSE</t>
        </is>
      </c>
      <c r="J281" s="68" t="inlineStr">
        <is>
          <t>Alarme de Estado em Ponto Telessinalizado</t>
        </is>
      </c>
      <c r="K281" s="69" t="inlineStr">
        <is>
          <t>Alarme de Estado em Ponto Telessinalizado</t>
        </is>
      </c>
      <c r="L281" s="69">
        <f>VLOOKUP(LinkTable6789[[#This Row],[Coluna1]],[4]AlarmCatalog!$A:$M,11,FALSE)</f>
        <v/>
      </c>
    </row>
    <row r="282" ht="16.5" customFormat="1" customHeight="1" s="67">
      <c r="A282" s="68" t="inlineStr">
        <is>
          <t>null@null___DESABILITADO@HABILITADO___Custom___INV_S_TS</t>
        </is>
      </c>
      <c r="B282" s="68" t="inlineStr"/>
      <c r="C282" s="68" t="inlineStr">
        <is>
          <t>Error;DESABILITADO;HABILITADO;Transit</t>
        </is>
      </c>
      <c r="D282" s="68" t="inlineStr">
        <is>
          <t>0;1;2;3</t>
        </is>
      </c>
      <c r="E282" s="68" t="inlineStr">
        <is>
          <t>1;2;0;3</t>
        </is>
      </c>
      <c r="F282" s="68" t="inlineStr">
        <is>
          <t>;;;</t>
        </is>
      </c>
      <c r="G282" s="68" t="inlineStr">
        <is>
          <t>#FF000000;#FF00FF00;#FFFF0000;#FFA9A9A9</t>
        </is>
      </c>
      <c r="H282" s="68" t="inlineStr">
        <is>
          <t>Abnormal;Auto;Auto;Abnormal</t>
        </is>
      </c>
      <c r="I282" s="68" t="inlineStr">
        <is>
          <t>FALSE;TRUE;TRUE;FALSE</t>
        </is>
      </c>
      <c r="J282" s="68" t="inlineStr">
        <is>
          <t>Alarme de Estado em Ponto Telessinalizado</t>
        </is>
      </c>
      <c r="K282" s="69" t="inlineStr">
        <is>
          <t>Alarme de Estado em Ponto Telessinalizado</t>
        </is>
      </c>
      <c r="L282" s="69">
        <f>VLOOKUP(LinkTable6789[[#This Row],[Coluna1]],[4]AlarmCatalog!$A:$M,11,FALSE)</f>
        <v/>
      </c>
    </row>
    <row r="283" ht="16.5" customFormat="1" customHeight="1" s="67">
      <c r="A283" s="68" t="inlineStr">
        <is>
          <t>DI_null@null___NORMAL@ATUADO___RelayTrip_S_TS</t>
        </is>
      </c>
      <c r="B283" s="68" t="inlineStr"/>
      <c r="C283" s="68" t="inlineStr">
        <is>
          <t>Transit;NORMAL;ATUADO;Error</t>
        </is>
      </c>
      <c r="D283" s="68" t="inlineStr">
        <is>
          <t>0;1;2;3</t>
        </is>
      </c>
      <c r="E283" s="68" t="inlineStr">
        <is>
          <t>2;0;1;3</t>
        </is>
      </c>
      <c r="F283" s="68" t="inlineStr">
        <is>
          <t>;;;</t>
        </is>
      </c>
      <c r="G283" s="68" t="inlineStr">
        <is>
          <t>#FF000000;#FF00FF00;#FFFF0000;#FFA9A9A9</t>
        </is>
      </c>
      <c r="H283" s="68" t="inlineStr">
        <is>
          <t>Abnormal;Auto;Auto;Abnormal</t>
        </is>
      </c>
      <c r="I283" s="68" t="inlineStr">
        <is>
          <t>FALSE;TRUE;TRUE;FALSE</t>
        </is>
      </c>
      <c r="J283" s="68" t="inlineStr">
        <is>
          <t>Alarme de Estado em Ponto Telessinalizado</t>
        </is>
      </c>
      <c r="K283" s="69" t="inlineStr">
        <is>
          <t>Alarme de Estado em Ponto Telessinalizado</t>
        </is>
      </c>
      <c r="L283" s="69">
        <f>VLOOKUP(LinkTable6789[[#This Row],[Coluna1]],[4]AlarmCatalog!$A:$M,11,FALSE)</f>
        <v/>
      </c>
    </row>
    <row r="284" ht="16.5" customFormat="1" customHeight="1" s="67">
      <c r="A284" s="68" t="inlineStr">
        <is>
          <t>DI_null@null@null___PROTEÇÃO@CHAVE@SECCIONALIZADOR___Custom_D_TS</t>
        </is>
      </c>
      <c r="B284" s="68" t="inlineStr"/>
      <c r="C284" s="68" t="inlineStr">
        <is>
          <t>PROTEÇÃO;CHAVE;SECCIONALIZADOR;</t>
        </is>
      </c>
      <c r="D284" s="68" t="inlineStr">
        <is>
          <t>0;1;2;3</t>
        </is>
      </c>
      <c r="E284" s="68" t="inlineStr">
        <is>
          <t>0;1;2;3</t>
        </is>
      </c>
      <c r="F284" s="68" t="inlineStr">
        <is>
          <t>;;;</t>
        </is>
      </c>
      <c r="G284" s="68" t="inlineStr">
        <is>
          <t>#FF00FF00;#FF00FF00;#FF00FF00;#FF000000</t>
        </is>
      </c>
      <c r="H284" s="68" t="inlineStr">
        <is>
          <t>Normal;Normal;Normal;Abnormal</t>
        </is>
      </c>
      <c r="I284" s="68" t="inlineStr">
        <is>
          <t>TRUE;TRUE;TRUE;FALSE</t>
        </is>
      </c>
      <c r="J284" s="68" t="inlineStr">
        <is>
          <t>Alarme de Estado em Ponto Telessinalizado</t>
        </is>
      </c>
      <c r="K284" s="69" t="inlineStr">
        <is>
          <t>Alarme de Estado em Ponto Telessinalizado</t>
        </is>
      </c>
      <c r="L284" s="69">
        <f>VLOOKUP(LinkTable6789[[#This Row],[Coluna1]],[4]AlarmCatalog!$A:$M,11,FALSE)</f>
        <v/>
      </c>
    </row>
    <row r="285" ht="16.5" customFormat="1" customHeight="1" s="67">
      <c r="A285" s="68" t="inlineStr">
        <is>
          <t>DI_null@null___NORMAL@DEFEITO___Custom_S_TS</t>
        </is>
      </c>
      <c r="B285" s="68" t="inlineStr"/>
      <c r="C285" s="68" t="inlineStr">
        <is>
          <t>Transit;NORMAL;DEFEITO;Error</t>
        </is>
      </c>
      <c r="D285" s="68" t="inlineStr">
        <is>
          <t>0;1;2;3</t>
        </is>
      </c>
      <c r="E285" s="68" t="inlineStr">
        <is>
          <t>2;0;1;3</t>
        </is>
      </c>
      <c r="F285" s="68" t="inlineStr">
        <is>
          <t>;;;</t>
        </is>
      </c>
      <c r="G285" s="68" t="inlineStr">
        <is>
          <t>#FF000000;#FF00FF00;#FFFF0000;#FFA9A9A9</t>
        </is>
      </c>
      <c r="H285" s="68" t="inlineStr">
        <is>
          <t>Abnormal;Auto;Auto;Abnormal</t>
        </is>
      </c>
      <c r="I285" s="68" t="inlineStr">
        <is>
          <t>FALSE;TRUE;TRUE;FALSE</t>
        </is>
      </c>
      <c r="J285" s="68" t="inlineStr">
        <is>
          <t>Alarme de Estado em Ponto Telessinalizado</t>
        </is>
      </c>
      <c r="K285" s="69" t="inlineStr">
        <is>
          <t>Alarme de Estado em Ponto Telessinalizado</t>
        </is>
      </c>
      <c r="L285" s="69">
        <f>VLOOKUP(LinkTable6789[[#This Row],[Coluna1]],[4]AlarmCatalog!$A:$M,11,FALSE)</f>
        <v/>
      </c>
    </row>
    <row r="286" ht="16.5" customFormat="1" customHeight="1" s="67">
      <c r="A286" s="68" t="inlineStr">
        <is>
          <t>INCLUIR@EXCLUIR___INCLUIDO@EXCLUIDO___Custom___INV_S_TC_R90</t>
        </is>
      </c>
      <c r="B286" s="68" t="inlineStr"/>
      <c r="C286" s="68" t="inlineStr">
        <is>
          <t>Error;INCLUIDO;EXCLUIDO;Transit</t>
        </is>
      </c>
      <c r="D286" s="68" t="inlineStr">
        <is>
          <t>0;2;1;3</t>
        </is>
      </c>
      <c r="E286" s="68" t="inlineStr">
        <is>
          <t>2;1;0;3</t>
        </is>
      </c>
      <c r="F286" s="68" t="inlineStr">
        <is>
          <t>;INCLUIR;EXCLUIR;</t>
        </is>
      </c>
      <c r="G286" s="68" t="inlineStr">
        <is>
          <t>#FF000000;#FFFF0000;#FF00FF00;#FFA9A9A9</t>
        </is>
      </c>
      <c r="H286" s="68" t="inlineStr">
        <is>
          <t>Abnormal;Auto;Auto;Abnormal</t>
        </is>
      </c>
      <c r="I286" s="68" t="inlineStr">
        <is>
          <t>FALSE;TRUE;TRUE;FALSE</t>
        </is>
      </c>
      <c r="J286" s="68" t="inlineStr">
        <is>
          <t>Alarme de Estado em Ponto Telecontrolado</t>
        </is>
      </c>
      <c r="K286" s="69" t="inlineStr">
        <is>
          <t>Alarme de Estado em Ponto Telecontrolado</t>
        </is>
      </c>
      <c r="L286" s="69">
        <f>VLOOKUP(LinkTable6789[[#This Row],[Coluna1]],[4]AlarmCatalog!$A:$M,11,FALSE)</f>
        <v/>
      </c>
    </row>
    <row r="287" ht="16.5" customFormat="1" customHeight="1" s="67">
      <c r="A287" s="68" t="inlineStr">
        <is>
          <t>null@null___NORMAL@ATUADO___RelayTrip_S_TS_SA</t>
        </is>
      </c>
      <c r="B287" s="68" t="inlineStr"/>
      <c r="C287" s="68" t="inlineStr">
        <is>
          <t>Transit;NORMAL;ATUADO;Error</t>
        </is>
      </c>
      <c r="D287" s="68" t="inlineStr">
        <is>
          <t>0;1;2;3</t>
        </is>
      </c>
      <c r="E287" s="68" t="inlineStr">
        <is>
          <t>2;0;1;3</t>
        </is>
      </c>
      <c r="F287" s="68" t="inlineStr">
        <is>
          <t>;;;</t>
        </is>
      </c>
      <c r="G287" s="68" t="inlineStr">
        <is>
          <t>#FF000000;#FF00FF00;#FFFF0000;#FFA9A9A9</t>
        </is>
      </c>
      <c r="H287" s="68" t="inlineStr">
        <is>
          <t>Abnormal;Auto;Auto;Abnormal</t>
        </is>
      </c>
      <c r="I287" s="68" t="inlineStr">
        <is>
          <t>FALSE;TRUE;TRUE;FALSE</t>
        </is>
      </c>
      <c r="J287" s="68" t="inlineStr">
        <is>
          <t>Alarme de Estado em Ponto Telessinalizado SA</t>
        </is>
      </c>
      <c r="K287" s="69" t="inlineStr">
        <is>
          <t>Alarme de Estado em Ponto Telessinalizado SA</t>
        </is>
      </c>
      <c r="L287" s="69">
        <f>VLOOKUP(LinkTable6789[[#This Row],[Coluna1]],[4]AlarmCatalog!$A:$M,11,FALSE)</f>
        <v/>
      </c>
    </row>
    <row r="288" ht="16.5" customFormat="1" customHeight="1" s="67">
      <c r="A288" s="68" t="inlineStr">
        <is>
          <t>null@null___NORMAL@ATUADO___Custom_S_TS_SA</t>
        </is>
      </c>
      <c r="B288" s="68" t="inlineStr"/>
      <c r="C288" s="68" t="inlineStr">
        <is>
          <t>Transit;NORMAL;ATUADO;Error</t>
        </is>
      </c>
      <c r="D288" s="68" t="inlineStr">
        <is>
          <t>0;1;2;3</t>
        </is>
      </c>
      <c r="E288" s="68" t="inlineStr">
        <is>
          <t>2;0;1;3</t>
        </is>
      </c>
      <c r="F288" s="68" t="inlineStr">
        <is>
          <t>;;;</t>
        </is>
      </c>
      <c r="G288" s="68" t="inlineStr">
        <is>
          <t>#FF000000;#FF00FF00;#FFFF0000;#FFA9A9A9</t>
        </is>
      </c>
      <c r="H288" s="68" t="inlineStr">
        <is>
          <t>Abnormal;Auto;Auto;Abnormal</t>
        </is>
      </c>
      <c r="I288" s="68" t="inlineStr">
        <is>
          <t>FALSE;TRUE;TRUE;FALSE</t>
        </is>
      </c>
      <c r="J288" s="68" t="inlineStr">
        <is>
          <t>Alarme de Estado em Ponto Telessinalizado SA</t>
        </is>
      </c>
      <c r="K288" s="69" t="inlineStr">
        <is>
          <t>Alarme de Estado em Ponto Telessinalizado SA</t>
        </is>
      </c>
      <c r="L288" s="69">
        <f>VLOOKUP(LinkTable6789[[#This Row],[Coluna1]],[4]AlarmCatalog!$A:$M,11,FALSE)</f>
        <v/>
      </c>
    </row>
    <row r="289" ht="16.5" customFormat="1" customHeight="1" s="67">
      <c r="A289" s="68" t="inlineStr">
        <is>
          <t>null@REARMAR___NORMAL@ATUADO___Custom_S_TS_SA</t>
        </is>
      </c>
      <c r="B289" s="68" t="inlineStr"/>
      <c r="C289" s="68" t="inlineStr">
        <is>
          <t>Transit;NORMAL;ATUADO;Error</t>
        </is>
      </c>
      <c r="D289" s="68" t="inlineStr">
        <is>
          <t>0;1;2;3</t>
        </is>
      </c>
      <c r="E289" s="68" t="inlineStr">
        <is>
          <t>2;0;1;3</t>
        </is>
      </c>
      <c r="F289" s="68" t="inlineStr">
        <is>
          <t>;;;</t>
        </is>
      </c>
      <c r="G289" s="68" t="inlineStr">
        <is>
          <t>#FF000000;#FF00FF00;#FFFF0000;#FFA9A9A9</t>
        </is>
      </c>
      <c r="H289" s="68" t="inlineStr">
        <is>
          <t>Abnormal;Auto;Auto;Abnormal</t>
        </is>
      </c>
      <c r="I289" s="68" t="inlineStr">
        <is>
          <t>FALSE;TRUE;TRUE;FALSE</t>
        </is>
      </c>
      <c r="J289" s="68" t="inlineStr">
        <is>
          <t>Alarme de Estado em Ponto Telessinalizado SA</t>
        </is>
      </c>
      <c r="K289" s="69" t="inlineStr">
        <is>
          <t>Alarme de Estado em Ponto Telessinalizado SA</t>
        </is>
      </c>
      <c r="L289" s="69">
        <f>VLOOKUP(LinkTable6789[[#This Row],[Coluna1]],[4]AlarmCatalog!$A:$M,11,FALSE)</f>
        <v/>
      </c>
    </row>
    <row r="290" ht="16.5" customFormat="1" customHeight="1" s="67">
      <c r="A290" s="68" t="inlineStr">
        <is>
          <t>REARMAR@null___NORMAL@ATUADO___Custom_S_TC_SA</t>
        </is>
      </c>
      <c r="B290" s="68" t="inlineStr"/>
      <c r="C290" s="68" t="inlineStr">
        <is>
          <t>Transit;NORMAL;ATUADO;Error</t>
        </is>
      </c>
      <c r="D290" s="68" t="inlineStr">
        <is>
          <t>0;1;2;3</t>
        </is>
      </c>
      <c r="E290" s="68" t="inlineStr">
        <is>
          <t>2;0;1;3</t>
        </is>
      </c>
      <c r="F290" s="68" t="inlineStr">
        <is>
          <t>;REARMAR;;</t>
        </is>
      </c>
      <c r="G290" s="68" t="inlineStr">
        <is>
          <t>#FF000000;#FF00FF00;#FFFF0000;#FFA9A9A9</t>
        </is>
      </c>
      <c r="H290" s="68" t="inlineStr">
        <is>
          <t>Abnormal;Auto;Auto;Abnormal</t>
        </is>
      </c>
      <c r="I290" s="68" t="inlineStr">
        <is>
          <t>FALSE;TRUE;TRUE;FALSE</t>
        </is>
      </c>
      <c r="J290" s="68" t="inlineStr">
        <is>
          <t>Alarme de Estado em Ponto Telecontrolado SA</t>
        </is>
      </c>
      <c r="K290" s="69" t="inlineStr">
        <is>
          <t>Alarme de Estado em Ponto Telecontrolado SA</t>
        </is>
      </c>
      <c r="L290" s="69">
        <f>VLOOKUP(LinkTable6789[[#This Row],[Coluna1]],[4]AlarmCatalog!$A:$M,11,FALSE)</f>
        <v/>
      </c>
    </row>
    <row r="291" ht="16.5" customFormat="1" customHeight="1" s="67">
      <c r="A291" s="68" t="inlineStr">
        <is>
          <t>null@null___DESLIGAR@LIGAR___Custom_S_TS_SA</t>
        </is>
      </c>
      <c r="B291" s="68" t="inlineStr"/>
      <c r="C291" s="68" t="inlineStr">
        <is>
          <t>Transit;DESLIGAR;LIGAR;Error</t>
        </is>
      </c>
      <c r="D291" s="68" t="inlineStr">
        <is>
          <t>0;1;2;3</t>
        </is>
      </c>
      <c r="E291" s="68" t="inlineStr">
        <is>
          <t>2;0;1;3</t>
        </is>
      </c>
      <c r="F291" s="68" t="inlineStr">
        <is>
          <t>;;;</t>
        </is>
      </c>
      <c r="G291" s="68" t="inlineStr">
        <is>
          <t>#FF000000;#FF00FF00;#FFFF0000;#FFA9A9A9</t>
        </is>
      </c>
      <c r="H291" s="68" t="inlineStr">
        <is>
          <t>Abnormal;Auto;Auto;Abnormal</t>
        </is>
      </c>
      <c r="I291" s="68" t="inlineStr">
        <is>
          <t>FALSE;TRUE;TRUE;FALSE</t>
        </is>
      </c>
      <c r="J291" s="68" t="inlineStr">
        <is>
          <t>Alarme de Estado em Ponto Telessinalizado SA</t>
        </is>
      </c>
      <c r="K291" s="69" t="inlineStr">
        <is>
          <t>Alarme de Estado em Ponto Telessinalizado SA</t>
        </is>
      </c>
      <c r="L291" s="69">
        <f>VLOOKUP(LinkTable6789[[#This Row],[Coluna1]],[4]AlarmCatalog!$A:$M,11,FALSE)</f>
        <v/>
      </c>
    </row>
    <row r="292" ht="16.5" customFormat="1" customHeight="1" s="67">
      <c r="A292" s="68" t="inlineStr">
        <is>
          <t>null@null___NORMAL@FALHA___Custom_S_TS_SA</t>
        </is>
      </c>
      <c r="B292" s="68" t="inlineStr"/>
      <c r="C292" s="68" t="inlineStr">
        <is>
          <t>Transit;NORMAL;FALHA;Error</t>
        </is>
      </c>
      <c r="D292" s="68" t="inlineStr">
        <is>
          <t>0;1;2;3</t>
        </is>
      </c>
      <c r="E292" s="68" t="inlineStr">
        <is>
          <t>2;0;1;3</t>
        </is>
      </c>
      <c r="F292" s="68" t="inlineStr">
        <is>
          <t>;;;</t>
        </is>
      </c>
      <c r="G292" s="68" t="inlineStr">
        <is>
          <t>#FF000000;#FF00FF00;#FFFF0000;#FFA9A9A9</t>
        </is>
      </c>
      <c r="H292" s="68" t="inlineStr">
        <is>
          <t>Abnormal;Auto;Auto;Abnormal</t>
        </is>
      </c>
      <c r="I292" s="68" t="inlineStr">
        <is>
          <t>FALSE;TRUE;TRUE;FALSE</t>
        </is>
      </c>
      <c r="J292" s="68" t="inlineStr">
        <is>
          <t>Alarme de Estado em Ponto Telessinalizado SA</t>
        </is>
      </c>
      <c r="K292" s="69" t="inlineStr">
        <is>
          <t>Alarme de Estado em Ponto Telessinalizado SA</t>
        </is>
      </c>
      <c r="L292" s="69">
        <f>VLOOKUP(LinkTable6789[[#This Row],[Coluna1]],[4]AlarmCatalog!$A:$M,11,FALSE)</f>
        <v/>
      </c>
    </row>
    <row r="293" ht="16.5" customFormat="1" customHeight="1" s="67">
      <c r="A293" s="68" t="inlineStr">
        <is>
          <t>null@null___NORMAL@FALTA___Custom_S_TS_SA</t>
        </is>
      </c>
      <c r="B293" s="68" t="inlineStr"/>
      <c r="C293" s="68" t="inlineStr">
        <is>
          <t>Transit;NORMAL;FALTA;Error</t>
        </is>
      </c>
      <c r="D293" s="68" t="inlineStr">
        <is>
          <t>0;1;2;3</t>
        </is>
      </c>
      <c r="E293" s="68" t="inlineStr">
        <is>
          <t>2;0;1;3</t>
        </is>
      </c>
      <c r="F293" s="68" t="inlineStr">
        <is>
          <t>;;;</t>
        </is>
      </c>
      <c r="G293" s="68" t="inlineStr">
        <is>
          <t>#FF000000;#FF00FF00;#FFFF0000;#FFA9A9A9</t>
        </is>
      </c>
      <c r="H293" s="68" t="inlineStr">
        <is>
          <t>Abnormal;Auto;Auto;Abnormal</t>
        </is>
      </c>
      <c r="I293" s="68" t="inlineStr">
        <is>
          <t>FALSE;TRUE;TRUE;FALSE</t>
        </is>
      </c>
      <c r="J293" s="68" t="inlineStr">
        <is>
          <t>Alarme de Estado em Ponto Telessinalizado SA</t>
        </is>
      </c>
      <c r="K293" s="69" t="inlineStr">
        <is>
          <t>Alarme de Estado em Ponto Telessinalizado SA</t>
        </is>
      </c>
      <c r="L293" s="69">
        <f>VLOOKUP(LinkTable6789[[#This Row],[Coluna1]],[4]AlarmCatalog!$A:$M,11,FALSE)</f>
        <v/>
      </c>
    </row>
    <row r="294" ht="16.5" customFormat="1" customHeight="1" s="67">
      <c r="A294" s="68" t="inlineStr">
        <is>
          <t>null@null___NORMAL@FALHA___Custom___INV_S_TS_SA</t>
        </is>
      </c>
      <c r="B294" s="68" t="inlineStr"/>
      <c r="C294" s="68" t="inlineStr">
        <is>
          <t>Transit;NORMAL;FALHA;Error</t>
        </is>
      </c>
      <c r="D294" s="68" t="inlineStr">
        <is>
          <t>0;1;2;3</t>
        </is>
      </c>
      <c r="E294" s="68" t="inlineStr">
        <is>
          <t>2;1;0;3</t>
        </is>
      </c>
      <c r="F294" s="68" t="inlineStr">
        <is>
          <t>;;;</t>
        </is>
      </c>
      <c r="G294" s="68" t="inlineStr">
        <is>
          <t>#FF000000;#FF00FF00;#FFFF0000;#FFA9A9A9</t>
        </is>
      </c>
      <c r="H294" s="68" t="inlineStr">
        <is>
          <t>Abnormal;Auto;Auto;Abnormal</t>
        </is>
      </c>
      <c r="I294" s="68" t="inlineStr">
        <is>
          <t>FALSE;TRUE;TRUE;FALSE</t>
        </is>
      </c>
      <c r="J294" s="68" t="inlineStr">
        <is>
          <t>Alarme de Estado em Ponto Telessinalizado SA</t>
        </is>
      </c>
      <c r="K294" s="69" t="inlineStr">
        <is>
          <t>Alarme de Estado em Ponto Telessinalizado SA</t>
        </is>
      </c>
      <c r="L294" s="69">
        <f>VLOOKUP(LinkTable6789[[#This Row],[Coluna1]],[4]AlarmCatalog!$A:$M,11,FALSE)</f>
        <v/>
      </c>
    </row>
    <row r="295" ht="16.5" customFormat="1" customHeight="1" s="67">
      <c r="A295" s="68" t="inlineStr">
        <is>
          <t>null@null___DESATIVADO@ATIVADO___Parallel_S_TS</t>
        </is>
      </c>
      <c r="B295" s="68" t="inlineStr"/>
      <c r="C295" s="68" t="inlineStr">
        <is>
          <t>Error;DESATIVADO;ATIVADO;Transit</t>
        </is>
      </c>
      <c r="D295" s="68" t="inlineStr">
        <is>
          <t>0;1;2;3</t>
        </is>
      </c>
      <c r="E295" s="68" t="inlineStr">
        <is>
          <t>2;0;1;3</t>
        </is>
      </c>
      <c r="F295" s="68" t="inlineStr">
        <is>
          <t>;DESATIVAR;ATIVAR;</t>
        </is>
      </c>
      <c r="G295" s="68" t="inlineStr">
        <is>
          <t>#FF000000;#FF00FF00;#FFFF0000;#FFA9A9A9</t>
        </is>
      </c>
      <c r="H295" s="68" t="inlineStr">
        <is>
          <t>Abnormal;Auto;Auto;Abnormal</t>
        </is>
      </c>
      <c r="I295" s="68" t="inlineStr">
        <is>
          <t>FALSE;TRUE;TRUE;FALSE</t>
        </is>
      </c>
      <c r="J295" s="68" t="inlineStr">
        <is>
          <t>Alarme de Estado em Ponto Telessinalizado</t>
        </is>
      </c>
      <c r="K295" s="69" t="inlineStr">
        <is>
          <t>Alarme de Estado em Ponto Telessinalizado</t>
        </is>
      </c>
      <c r="L295" s="69">
        <f>VLOOKUP(LinkTable6789[[#This Row],[Coluna1]],[4]AlarmCatalog!$A:$M,11,FALSE)</f>
        <v/>
      </c>
    </row>
    <row r="296" ht="16.5" customFormat="1" customHeight="1" s="67">
      <c r="A296" s="68" t="inlineStr">
        <is>
          <t>null@null___DESATIVADO@ATIVADO___Custom_S_TS_SA</t>
        </is>
      </c>
      <c r="B296" s="68" t="inlineStr"/>
      <c r="C296" s="68" t="inlineStr">
        <is>
          <t>Transit;DESATIVADO;ATIVADO;Error</t>
        </is>
      </c>
      <c r="D296" s="68" t="inlineStr">
        <is>
          <t>0;1;2;3</t>
        </is>
      </c>
      <c r="E296" s="68" t="inlineStr">
        <is>
          <t>2;0;1;3</t>
        </is>
      </c>
      <c r="F296" s="68" t="inlineStr">
        <is>
          <t>;;;</t>
        </is>
      </c>
      <c r="G296" s="68" t="inlineStr">
        <is>
          <t>#FF000000;#FF00FF00;#FFFF0000;#FFA9A9A9</t>
        </is>
      </c>
      <c r="H296" s="68" t="inlineStr">
        <is>
          <t>Abnormal;Auto;Auto;Abnormal</t>
        </is>
      </c>
      <c r="I296" s="68" t="inlineStr">
        <is>
          <t>FALSE;TRUE;TRUE;FALSE</t>
        </is>
      </c>
      <c r="J296" s="68" t="inlineStr">
        <is>
          <t>Alarme de Estado em Ponto Telessinalizado SA</t>
        </is>
      </c>
      <c r="K296" s="69" t="inlineStr">
        <is>
          <t>Alarme de Estado em Ponto Telessinalizado SA</t>
        </is>
      </c>
      <c r="L296" s="69">
        <f>VLOOKUP(LinkTable6789[[#This Row],[Coluna1]],[4]AlarmCatalog!$A:$M,11,FALSE)</f>
        <v/>
      </c>
    </row>
    <row r="297" ht="16.5" customFormat="1" customHeight="1" s="67">
      <c r="A297" s="68" t="inlineStr">
        <is>
          <t>null@MESTRE___DESATIVADO@ATIVADO___Custom_S_TC_SA</t>
        </is>
      </c>
      <c r="B297" s="68" t="inlineStr"/>
      <c r="C297" s="68" t="inlineStr">
        <is>
          <t>Transit;DESATIVADO;ATIVADO;Error</t>
        </is>
      </c>
      <c r="D297" s="68" t="inlineStr">
        <is>
          <t>0;1;2;3</t>
        </is>
      </c>
      <c r="E297" s="68" t="inlineStr">
        <is>
          <t>2;0;1;3</t>
        </is>
      </c>
      <c r="F297" s="68" t="inlineStr">
        <is>
          <t>;;MESTRE;</t>
        </is>
      </c>
      <c r="G297" s="68" t="inlineStr">
        <is>
          <t>#FF000000;#FF00FF00;#FFFF0000;#FFA9A9A9</t>
        </is>
      </c>
      <c r="H297" s="68" t="inlineStr">
        <is>
          <t>Abnormal;Auto;Auto;Abnormal</t>
        </is>
      </c>
      <c r="I297" s="68" t="inlineStr">
        <is>
          <t>FALSE;TRUE;TRUE;FALSE</t>
        </is>
      </c>
      <c r="J297" s="68" t="inlineStr">
        <is>
          <t>Alarme de Estado em Ponto Telecontrolado SA</t>
        </is>
      </c>
      <c r="K297" s="69" t="inlineStr">
        <is>
          <t>Alarme de Estado em Ponto Telecontrolado SA</t>
        </is>
      </c>
      <c r="L297" s="69">
        <f>VLOOKUP(LinkTable6789[[#This Row],[Coluna1]],[4]AlarmCatalog!$A:$M,11,FALSE)</f>
        <v/>
      </c>
    </row>
    <row r="298" ht="16.5" customFormat="1" customHeight="1" s="67">
      <c r="A298" s="68" t="inlineStr">
        <is>
          <t>null@INDIVIDUAL___DESATIVADO@ATIVADO___Custom_S_TC_SA</t>
        </is>
      </c>
      <c r="B298" s="68" t="inlineStr"/>
      <c r="C298" s="68" t="inlineStr">
        <is>
          <t>Transit;DESATIVADO;ATIVADO;Error</t>
        </is>
      </c>
      <c r="D298" s="68" t="inlineStr">
        <is>
          <t>0;1;2;3</t>
        </is>
      </c>
      <c r="E298" s="68" t="inlineStr">
        <is>
          <t>2;0;1;3</t>
        </is>
      </c>
      <c r="F298" s="68" t="inlineStr">
        <is>
          <t>;;INDIVIDUAL;</t>
        </is>
      </c>
      <c r="G298" s="68" t="inlineStr">
        <is>
          <t>#FF000000;#FF00FF00;#FFFF0000;#FFA9A9A9</t>
        </is>
      </c>
      <c r="H298" s="68" t="inlineStr">
        <is>
          <t>Abnormal;Auto;Auto;Abnormal</t>
        </is>
      </c>
      <c r="I298" s="68" t="inlineStr">
        <is>
          <t>FALSE;TRUE;TRUE;FALSE</t>
        </is>
      </c>
      <c r="J298" s="68" t="inlineStr">
        <is>
          <t>Alarme de Estado em Ponto Telecontrolado SA</t>
        </is>
      </c>
      <c r="K298" s="69" t="inlineStr">
        <is>
          <t>Alarme de Estado em Ponto Telecontrolado SA</t>
        </is>
      </c>
      <c r="L298" s="69">
        <f>VLOOKUP(LinkTable6789[[#This Row],[Coluna1]],[4]AlarmCatalog!$A:$M,11,FALSE)</f>
        <v/>
      </c>
    </row>
    <row r="299" ht="16.5" customFormat="1" customHeight="1" s="67">
      <c r="A299" s="68" t="inlineStr">
        <is>
          <t>null@null___BLOQUEADA@LIBERADA___Custom_S_TS_SA</t>
        </is>
      </c>
      <c r="B299" s="68" t="inlineStr"/>
      <c r="C299" s="68" t="inlineStr">
        <is>
          <t>Transit;BLOQUEADA;LIBERADA;Error</t>
        </is>
      </c>
      <c r="D299" s="68" t="inlineStr">
        <is>
          <t>0;1;2;3</t>
        </is>
      </c>
      <c r="E299" s="68" t="inlineStr">
        <is>
          <t>2;0;1;3</t>
        </is>
      </c>
      <c r="F299" s="68" t="inlineStr">
        <is>
          <t>;;;</t>
        </is>
      </c>
      <c r="G299" s="68" t="inlineStr">
        <is>
          <t>#FF000000;#FF00FF00;#FFFF0000;#FFA9A9A9</t>
        </is>
      </c>
      <c r="H299" s="68" t="inlineStr">
        <is>
          <t>Abnormal;Auto;Auto;Abnormal</t>
        </is>
      </c>
      <c r="I299" s="68" t="inlineStr">
        <is>
          <t>FALSE;TRUE;TRUE;FALSE</t>
        </is>
      </c>
      <c r="J299" s="68" t="inlineStr">
        <is>
          <t>Alarme de Estado em Ponto Telessinalizado SA</t>
        </is>
      </c>
      <c r="K299" s="69" t="inlineStr">
        <is>
          <t>Alarme de Estado em Ponto Telessinalizado SA</t>
        </is>
      </c>
      <c r="L299" s="69">
        <f>VLOOKUP(LinkTable6789[[#This Row],[Coluna1]],[4]AlarmCatalog!$A:$M,11,FALSE)</f>
        <v/>
      </c>
    </row>
    <row r="300" ht="16.5" customFormat="1" customHeight="1" s="67">
      <c r="A300" s="68" t="inlineStr">
        <is>
          <t>null@null___BLOQUEADA@LIBERADA___Custom___INV_S_TS_SA</t>
        </is>
      </c>
      <c r="B300" s="68" t="inlineStr"/>
      <c r="C300" s="68" t="inlineStr">
        <is>
          <t>Transit;BLOQUEADA;LIBERADA;Error</t>
        </is>
      </c>
      <c r="D300" s="68" t="inlineStr">
        <is>
          <t>0;1;2;3</t>
        </is>
      </c>
      <c r="E300" s="68" t="inlineStr">
        <is>
          <t>2;1;0;3</t>
        </is>
      </c>
      <c r="F300" s="68" t="inlineStr">
        <is>
          <t>;;;</t>
        </is>
      </c>
      <c r="G300" s="68" t="inlineStr">
        <is>
          <t>#FF000000;#FF00FF00;#FFFF0000;#FFA9A9A9</t>
        </is>
      </c>
      <c r="H300" s="68" t="inlineStr">
        <is>
          <t>Abnormal;Auto;Auto;Abnormal</t>
        </is>
      </c>
      <c r="I300" s="68" t="inlineStr">
        <is>
          <t>FALSE;TRUE;TRUE;FALSE</t>
        </is>
      </c>
      <c r="J300" s="68" t="inlineStr">
        <is>
          <t>Alarme de Estado em Ponto Telessinalizado SA</t>
        </is>
      </c>
      <c r="K300" s="69" t="inlineStr">
        <is>
          <t>Alarme de Estado em Ponto Telessinalizado SA</t>
        </is>
      </c>
      <c r="L300" s="69">
        <f>VLOOKUP(LinkTable6789[[#This Row],[Coluna1]],[4]AlarmCatalog!$A:$M,11,FALSE)</f>
        <v/>
      </c>
    </row>
    <row r="301" ht="16.5" customFormat="1" customHeight="1" s="67">
      <c r="A301" s="68" t="inlineStr">
        <is>
          <t>REARMAR@BLOQUEAR___NORMAL@ATUADO___Custom_S_TS_SA</t>
        </is>
      </c>
      <c r="B301" s="68" t="inlineStr"/>
      <c r="C301" s="68" t="inlineStr">
        <is>
          <t>Transit;NORMAL;ATUADO;Error</t>
        </is>
      </c>
      <c r="D301" s="68" t="inlineStr">
        <is>
          <t>0;1;2;3</t>
        </is>
      </c>
      <c r="E301" s="68" t="inlineStr">
        <is>
          <t>2;0;1;3</t>
        </is>
      </c>
      <c r="F301" s="68" t="inlineStr">
        <is>
          <t>;;;</t>
        </is>
      </c>
      <c r="G301" s="68" t="inlineStr">
        <is>
          <t>#FF000000;#FF00FF00;#FFFF0000;#FFA9A9A9</t>
        </is>
      </c>
      <c r="H301" s="68" t="inlineStr">
        <is>
          <t>Abnormal;Auto;Auto;Abnormal</t>
        </is>
      </c>
      <c r="I301" s="68" t="inlineStr">
        <is>
          <t>FALSE;TRUE;TRUE;FALSE</t>
        </is>
      </c>
      <c r="J301" s="68" t="inlineStr">
        <is>
          <t>Alarme de Estado em Ponto Telessinalizado SA</t>
        </is>
      </c>
      <c r="K301" s="69" t="inlineStr">
        <is>
          <t>Alarme de Estado em Ponto Telessinalizado SA</t>
        </is>
      </c>
      <c r="L301" s="69">
        <f>VLOOKUP(LinkTable6789[[#This Row],[Coluna1]],[4]AlarmCatalog!$A:$M,11,FALSE)</f>
        <v/>
      </c>
    </row>
    <row r="302" ht="16.5" customFormat="1" customHeight="1" s="67">
      <c r="A302" s="68" t="inlineStr">
        <is>
          <t>null@null___NORMAL@FALHA___RelayTrip_S_TS_SA</t>
        </is>
      </c>
      <c r="B302" s="68" t="inlineStr"/>
      <c r="C302" s="68" t="inlineStr">
        <is>
          <t>Transit;NORMAL;FALHA;Error</t>
        </is>
      </c>
      <c r="D302" s="68" t="inlineStr">
        <is>
          <t>0;1;2;3</t>
        </is>
      </c>
      <c r="E302" s="68" t="inlineStr">
        <is>
          <t>2;0;1;3</t>
        </is>
      </c>
      <c r="F302" s="68" t="inlineStr">
        <is>
          <t>;;;</t>
        </is>
      </c>
      <c r="G302" s="68" t="inlineStr">
        <is>
          <t>#FF000000;#FF00FF00;#FFFF0000;#FFA9A9A9</t>
        </is>
      </c>
      <c r="H302" s="68" t="inlineStr">
        <is>
          <t>Abnormal;Auto;Auto;Abnormal</t>
        </is>
      </c>
      <c r="I302" s="68" t="inlineStr">
        <is>
          <t>FALSE;TRUE;TRUE;FALSE</t>
        </is>
      </c>
      <c r="J302" s="68" t="inlineStr">
        <is>
          <t>Alarme de Estado em Ponto Telessinalizado SA</t>
        </is>
      </c>
      <c r="K302" s="69" t="inlineStr">
        <is>
          <t>Alarme de Estado em Ponto Telessinalizado SA</t>
        </is>
      </c>
      <c r="L302" s="69">
        <f>VLOOKUP(LinkTable6789[[#This Row],[Coluna1]],[4]AlarmCatalog!$A:$M,11,FALSE)</f>
        <v/>
      </c>
    </row>
    <row r="303" ht="16.5" customFormat="1" customHeight="1" s="67">
      <c r="A303" s="68" t="inlineStr">
        <is>
          <t>null@null___NORMAL@COMPLETA___Custom_S_TS_SA</t>
        </is>
      </c>
      <c r="B303" s="68" t="inlineStr"/>
      <c r="C303" s="68" t="inlineStr">
        <is>
          <t>Transit;NORMAL;COMPLETA;Error</t>
        </is>
      </c>
      <c r="D303" s="68" t="inlineStr">
        <is>
          <t>0;1;2;3</t>
        </is>
      </c>
      <c r="E303" s="68" t="inlineStr">
        <is>
          <t>2;0;1;3</t>
        </is>
      </c>
      <c r="F303" s="68" t="inlineStr">
        <is>
          <t>;;;</t>
        </is>
      </c>
      <c r="G303" s="68" t="inlineStr">
        <is>
          <t>#FF000000;#FF00FF00;#FFFF0000;#FFA9A9A9</t>
        </is>
      </c>
      <c r="H303" s="68" t="inlineStr">
        <is>
          <t>Abnormal;Auto;Auto;Abnormal</t>
        </is>
      </c>
      <c r="I303" s="68" t="inlineStr">
        <is>
          <t>FALSE;TRUE;TRUE;FALSE</t>
        </is>
      </c>
      <c r="J303" s="68" t="inlineStr">
        <is>
          <t>Alarme de Estado em Ponto Telessinalizado SA</t>
        </is>
      </c>
      <c r="K303" s="69" t="inlineStr">
        <is>
          <t>Alarme de Estado em Ponto Telessinalizado SA</t>
        </is>
      </c>
      <c r="L303" s="69">
        <f>VLOOKUP(LinkTable6789[[#This Row],[Coluna1]],[4]AlarmCatalog!$A:$M,11,FALSE)</f>
        <v/>
      </c>
    </row>
    <row r="304" ht="16.5" customFormat="1" customHeight="1" s="67">
      <c r="A304" s="68" t="inlineStr">
        <is>
          <t>null@null___COMPLETA@INCOMPLETA___Custom_S_TS_SA</t>
        </is>
      </c>
      <c r="B304" s="68" t="inlineStr"/>
      <c r="C304" s="68" t="inlineStr">
        <is>
          <t>Transit;COMPLETA;INCOMPLETA;Error</t>
        </is>
      </c>
      <c r="D304" s="68" t="inlineStr">
        <is>
          <t>0;1;2;3</t>
        </is>
      </c>
      <c r="E304" s="68" t="inlineStr">
        <is>
          <t>2;0;1;3</t>
        </is>
      </c>
      <c r="F304" s="68" t="inlineStr">
        <is>
          <t>;;;</t>
        </is>
      </c>
      <c r="G304" s="68" t="inlineStr">
        <is>
          <t>#FF000000;#FF00FF00;#FFFF0000;#FFA9A9A9</t>
        </is>
      </c>
      <c r="H304" s="68" t="inlineStr">
        <is>
          <t>Abnormal;Auto;Auto;Abnormal</t>
        </is>
      </c>
      <c r="I304" s="68" t="inlineStr">
        <is>
          <t>FALSE;TRUE;TRUE;FALSE</t>
        </is>
      </c>
      <c r="J304" s="68" t="inlineStr">
        <is>
          <t>Alarme de Estado em Ponto Telessinalizado SA</t>
        </is>
      </c>
      <c r="K304" s="69" t="inlineStr">
        <is>
          <t>Alarme de Estado em Ponto Telessinalizado SA</t>
        </is>
      </c>
      <c r="L304" s="69">
        <f>VLOOKUP(LinkTable6789[[#This Row],[Coluna1]],[4]AlarmCatalog!$A:$M,11,FALSE)</f>
        <v/>
      </c>
    </row>
    <row r="305" ht="16.5" customFormat="1" customHeight="1" s="67">
      <c r="A305" s="68" t="inlineStr">
        <is>
          <t>null@null___NORMAL@ATUADO___RelayTrip_S_TS_A1</t>
        </is>
      </c>
      <c r="B305" s="68" t="inlineStr"/>
      <c r="C305" s="68" t="inlineStr">
        <is>
          <t>Transit;NORMAL;ATUADO;Error</t>
        </is>
      </c>
      <c r="D305" s="68" t="inlineStr">
        <is>
          <t>0;1;2;3</t>
        </is>
      </c>
      <c r="E305" s="68" t="inlineStr">
        <is>
          <t>2;0;1;3</t>
        </is>
      </c>
      <c r="F305" s="68" t="inlineStr">
        <is>
          <t>;;;</t>
        </is>
      </c>
      <c r="G305" s="68" t="inlineStr">
        <is>
          <t>#FF000000;#FF00FF00;#FFFF0000;#FFA9A9A9</t>
        </is>
      </c>
      <c r="H305" s="68" t="inlineStr">
        <is>
          <t>Abnormal;Auto;Auto;Abnormal</t>
        </is>
      </c>
      <c r="I305" s="68" t="inlineStr">
        <is>
          <t>FALSE;TRUE;TRUE;FALSE</t>
        </is>
      </c>
      <c r="J305" s="68" t="inlineStr">
        <is>
          <t>Alarme de Estado em Ponto Telessinalizado A1</t>
        </is>
      </c>
      <c r="K305" s="69" t="inlineStr">
        <is>
          <t>Alarme de Estado em Ponto Telessinalizado A1</t>
        </is>
      </c>
      <c r="L305" s="69">
        <f>VLOOKUP(LinkTable6789[[#This Row],[Coluna1]],[4]AlarmCatalog!$A:$M,11,FALSE)</f>
        <v/>
      </c>
    </row>
    <row r="306" ht="16.5" customFormat="1" customHeight="1" s="67">
      <c r="A306" s="68" t="inlineStr">
        <is>
          <t>DESBLOQUEAR@BLOQUEAR___NORMAL@BLOQUEADA___Enabled_S_TS_SA</t>
        </is>
      </c>
      <c r="B306" s="68" t="inlineStr"/>
      <c r="C306" s="68" t="inlineStr">
        <is>
          <t>Transit;NORMAL;BLOQUEADA;Error</t>
        </is>
      </c>
      <c r="D306" s="68" t="inlineStr">
        <is>
          <t>0;1;2;3</t>
        </is>
      </c>
      <c r="E306" s="68" t="inlineStr">
        <is>
          <t>2;0;1;3</t>
        </is>
      </c>
      <c r="F306" s="68" t="inlineStr">
        <is>
          <t>;;;</t>
        </is>
      </c>
      <c r="G306" s="68" t="inlineStr">
        <is>
          <t>#FF000000;#FF00FF00;#FFFF0000;#FFA9A9A9</t>
        </is>
      </c>
      <c r="H306" s="68" t="inlineStr">
        <is>
          <t>Abnormal;Auto;Auto;Abnormal</t>
        </is>
      </c>
      <c r="I306" s="68" t="inlineStr">
        <is>
          <t>FALSE;TRUE;TRUE;FALSE</t>
        </is>
      </c>
      <c r="J306" s="68" t="inlineStr">
        <is>
          <t>Alarme de Estado em Ponto Telessinalizado SA</t>
        </is>
      </c>
      <c r="K306" s="69" t="inlineStr">
        <is>
          <t>Alarme de Estado em Ponto Telessinalizado SA</t>
        </is>
      </c>
      <c r="L306" s="69">
        <f>VLOOKUP(LinkTable6789[[#This Row],[Coluna1]],[4]AlarmCatalog!$A:$M,11,FALSE)</f>
        <v/>
      </c>
    </row>
    <row r="307" ht="16.5" customFormat="1" customHeight="1" s="67">
      <c r="A307" s="68" t="inlineStr">
        <is>
          <t>INCLUIR@EXCLUIR___INCLUIDO@EXCLUIDO___Custom___INV_S_TC_SS</t>
        </is>
      </c>
      <c r="B307" s="68" t="inlineStr"/>
      <c r="C307" s="68" t="inlineStr">
        <is>
          <t>Transit;INCLUIDO;EXCLUIDO;Error</t>
        </is>
      </c>
      <c r="D307" s="68" t="inlineStr">
        <is>
          <t>0;1;2;3</t>
        </is>
      </c>
      <c r="E307" s="68" t="inlineStr">
        <is>
          <t>2;1;0;3</t>
        </is>
      </c>
      <c r="F307" s="68" t="inlineStr">
        <is>
          <t>;INCLUIR;EXCLUIR;</t>
        </is>
      </c>
      <c r="G307" s="68" t="inlineStr">
        <is>
          <t>#FF000000;#FFFF0000;#FF00FF00;#FFA9A9A9</t>
        </is>
      </c>
      <c r="H307" s="68" t="inlineStr">
        <is>
          <t>Abnormal;Auto;Auto;Abnormal</t>
        </is>
      </c>
      <c r="I307" s="68" t="inlineStr">
        <is>
          <t>FALSE;TRUE;TRUE;FALSE</t>
        </is>
      </c>
      <c r="J307" s="68" t="inlineStr">
        <is>
          <t>Alarme de Estado em Ponto Telecontrolado SS</t>
        </is>
      </c>
      <c r="K307" s="69" t="inlineStr">
        <is>
          <t>Alarme de Estado em Ponto Telecontrolado SS</t>
        </is>
      </c>
      <c r="L307" s="69">
        <f>VLOOKUP(LinkTable6789[[#This Row],[Coluna1]],[4]AlarmCatalog!$A:$M,11,FALSE)</f>
        <v/>
      </c>
    </row>
    <row r="308" ht="16.5" customFormat="1" customHeight="1" s="67">
      <c r="A308" s="68" t="inlineStr">
        <is>
          <t>DI_null@null___NORMAL@ATUADO___RelayTrip___INV_S_TS_DA</t>
        </is>
      </c>
      <c r="B308" s="68" t="inlineStr"/>
      <c r="C308" s="68" t="inlineStr">
        <is>
          <t>Transit;NORMAL;ATUADO;Error</t>
        </is>
      </c>
      <c r="D308" s="68" t="inlineStr">
        <is>
          <t>0;1;2;3</t>
        </is>
      </c>
      <c r="E308" s="68" t="inlineStr">
        <is>
          <t>2;1;0;3</t>
        </is>
      </c>
      <c r="F308" s="68" t="inlineStr">
        <is>
          <t>;;;</t>
        </is>
      </c>
      <c r="G308" s="68" t="inlineStr">
        <is>
          <t>#FF000000;#FF00FF00;#FFFF0000;#FFA9A9A9</t>
        </is>
      </c>
      <c r="H308" s="68" t="inlineStr">
        <is>
          <t>Abnormal;Auto;Auto;Abnormal</t>
        </is>
      </c>
      <c r="I308" s="68" t="inlineStr">
        <is>
          <t>FALSE;TRUE;TRUE;FALSE</t>
        </is>
      </c>
      <c r="J308" s="68" t="inlineStr">
        <is>
          <t>Alarme de Estado em Ponto Telessinalizado DA</t>
        </is>
      </c>
      <c r="K308" s="69" t="inlineStr">
        <is>
          <t>Alarme de Estado em Ponto Telessinalizado DA</t>
        </is>
      </c>
      <c r="L308" s="69">
        <f>VLOOKUP(LinkTable6789[[#This Row],[Coluna1]],[4]AlarmCatalog!$A:$M,11,FALSE)</f>
        <v/>
      </c>
    </row>
    <row r="309" ht="16.5" customFormat="1" customHeight="1" s="67">
      <c r="A309" s="68" t="inlineStr">
        <is>
          <t>DI_null@null___NORMAL@FALTA___Custom___INV_S_TS_A1</t>
        </is>
      </c>
      <c r="B309" s="68" t="inlineStr"/>
      <c r="C309" s="68" t="inlineStr">
        <is>
          <t>Transit;NORMAL;FALTA;Error</t>
        </is>
      </c>
      <c r="D309" s="68" t="inlineStr">
        <is>
          <t>0;1;2;3</t>
        </is>
      </c>
      <c r="E309" s="68" t="inlineStr">
        <is>
          <t>2;1;0;3</t>
        </is>
      </c>
      <c r="F309" s="68" t="inlineStr">
        <is>
          <t>;;;</t>
        </is>
      </c>
      <c r="G309" s="68" t="inlineStr">
        <is>
          <t>#FF000000;#FF00FF00;#FFFF0000;#FFA9A9A9</t>
        </is>
      </c>
      <c r="H309" s="68" t="inlineStr">
        <is>
          <t>Abnormal;Auto;Auto;Abnormal</t>
        </is>
      </c>
      <c r="I309" s="68" t="inlineStr">
        <is>
          <t>FALSE;TRUE;TRUE;FALSE</t>
        </is>
      </c>
      <c r="J309" s="68" t="inlineStr">
        <is>
          <t>Alarme de Estado em Ponto Telessinalizado A1</t>
        </is>
      </c>
      <c r="K309" s="69" t="inlineStr">
        <is>
          <t>Alarme de Estado em Ponto Telessinalizado A1</t>
        </is>
      </c>
      <c r="L309" s="69">
        <f>VLOOKUP(LinkTable6789[[#This Row],[Coluna1]],[4]AlarmCatalog!$A:$M,11,FALSE)</f>
        <v/>
      </c>
    </row>
    <row r="310" ht="16.5" customFormat="1" customHeight="1" s="67">
      <c r="A310" s="68" t="inlineStr">
        <is>
          <t>DI_RESET@null___NORMAL@BLOQUEIO___Custom_S_TC_DA</t>
        </is>
      </c>
      <c r="B310" s="68" t="inlineStr"/>
      <c r="C310" s="68" t="inlineStr">
        <is>
          <t>Transit;NORMAL;BLOQUEIO;Error</t>
        </is>
      </c>
      <c r="D310" s="68" t="inlineStr">
        <is>
          <t>0;1;2;3</t>
        </is>
      </c>
      <c r="E310" s="68" t="inlineStr">
        <is>
          <t>2;0;1;3</t>
        </is>
      </c>
      <c r="F310" s="68" t="inlineStr">
        <is>
          <t>;RESET;;</t>
        </is>
      </c>
      <c r="G310" s="68" t="inlineStr">
        <is>
          <t>#FF000000;#FF00FF00;#FFFF0000;#FFA9A9A9</t>
        </is>
      </c>
      <c r="H310" s="68" t="inlineStr">
        <is>
          <t>Abnormal;Auto;Auto;Abnormal</t>
        </is>
      </c>
      <c r="I310" s="68" t="inlineStr">
        <is>
          <t>FALSE;TRUE;TRUE;FALSE</t>
        </is>
      </c>
      <c r="J310" s="68" t="inlineStr">
        <is>
          <t>Alarme de Estado em Ponto Telecontrolado DA</t>
        </is>
      </c>
      <c r="K310" s="69" t="inlineStr">
        <is>
          <t>Alarme de Estado em Ponto Telecontrolado DA</t>
        </is>
      </c>
      <c r="L310" s="69">
        <f>VLOOKUP(LinkTable6789[[#This Row],[Coluna1]],[4]AlarmCatalog!$A:$M,11,FALSE)</f>
        <v/>
      </c>
    </row>
    <row r="311" ht="16.5" customFormat="1" customHeight="1" s="67">
      <c r="A311" s="68" t="inlineStr">
        <is>
          <t>DI_null@null___NORMAL@ATUADO___Custom___INV_S_TS_DA</t>
        </is>
      </c>
      <c r="B311" s="68" t="inlineStr"/>
      <c r="C311" s="68" t="inlineStr">
        <is>
          <t>Transit;NORMAL;ATUADO;Error</t>
        </is>
      </c>
      <c r="D311" s="68" t="inlineStr">
        <is>
          <t>0;1;2;3</t>
        </is>
      </c>
      <c r="E311" s="68" t="inlineStr">
        <is>
          <t>2;1;0;3</t>
        </is>
      </c>
      <c r="F311" s="68" t="inlineStr">
        <is>
          <t>;;;</t>
        </is>
      </c>
      <c r="G311" s="68" t="inlineStr">
        <is>
          <t>#FF000000;#FF00FF00;#FFFF0000;#FFA9A9A9</t>
        </is>
      </c>
      <c r="H311" s="68" t="inlineStr">
        <is>
          <t>Abnormal;Auto;Auto;Abnormal</t>
        </is>
      </c>
      <c r="I311" s="68" t="inlineStr">
        <is>
          <t>FALSE;TRUE;TRUE;FALSE</t>
        </is>
      </c>
      <c r="J311" s="68" t="inlineStr">
        <is>
          <t>Alarme de Estado em Ponto Telessinalizado DA</t>
        </is>
      </c>
      <c r="K311" s="69" t="inlineStr">
        <is>
          <t>Alarme de Estado em Ponto Telessinalizado DA</t>
        </is>
      </c>
      <c r="L311" s="69">
        <f>VLOOKUP(LinkTable6789[[#This Row],[Coluna1]],[4]AlarmCatalog!$A:$M,11,FALSE)</f>
        <v/>
      </c>
    </row>
    <row r="312" ht="16.5" customFormat="1" customHeight="1" s="67">
      <c r="A312" s="68" t="inlineStr">
        <is>
          <t>DI_null@null___CARREGADO@DESCARREGADO___Custom___INV_S_TS_DA</t>
        </is>
      </c>
      <c r="B312" s="68" t="inlineStr"/>
      <c r="C312" s="68" t="inlineStr">
        <is>
          <t>Transit;CARREGADO;DESCARREGADO;Error</t>
        </is>
      </c>
      <c r="D312" s="68" t="inlineStr">
        <is>
          <t>0;1;2;3</t>
        </is>
      </c>
      <c r="E312" s="68" t="inlineStr">
        <is>
          <t>2;1;0;3</t>
        </is>
      </c>
      <c r="F312" s="68" t="inlineStr">
        <is>
          <t>;;;</t>
        </is>
      </c>
      <c r="G312" s="68" t="inlineStr">
        <is>
          <t>#FF000000;#FF00FF00;#FFFF0000;#FFA9A9A9</t>
        </is>
      </c>
      <c r="H312" s="68" t="inlineStr">
        <is>
          <t>Abnormal;Auto;Auto;Abnormal</t>
        </is>
      </c>
      <c r="I312" s="68" t="inlineStr">
        <is>
          <t>FALSE;TRUE;TRUE;FALSE</t>
        </is>
      </c>
      <c r="J312" s="68" t="inlineStr">
        <is>
          <t>Alarme de Estado em Ponto Telessinalizado DA</t>
        </is>
      </c>
      <c r="K312" s="69" t="inlineStr">
        <is>
          <t>Alarme de Estado em Ponto Telessinalizado DA</t>
        </is>
      </c>
      <c r="L312" s="69">
        <f>VLOOKUP(LinkTable6789[[#This Row],[Coluna1]],[4]AlarmCatalog!$A:$M,11,FALSE)</f>
        <v/>
      </c>
    </row>
    <row r="313" ht="16.5" customFormat="1" customHeight="1" s="67">
      <c r="A313" s="68" t="inlineStr">
        <is>
          <t>DI_null@null___NORMAL@ATUADO___RelayTrip_S_TS_DA</t>
        </is>
      </c>
      <c r="B313" s="68" t="inlineStr"/>
      <c r="C313" s="68" t="inlineStr">
        <is>
          <t>Transit;NORMAL;ATUADO;Error</t>
        </is>
      </c>
      <c r="D313" s="68" t="inlineStr">
        <is>
          <t>0;1;2;3</t>
        </is>
      </c>
      <c r="E313" s="68" t="inlineStr">
        <is>
          <t>2;0;1;3</t>
        </is>
      </c>
      <c r="F313" s="68" t="inlineStr">
        <is>
          <t>;;;</t>
        </is>
      </c>
      <c r="G313" s="68" t="inlineStr">
        <is>
          <t>#FF000000;#FF00FF00;#FFFF0000;#FFA9A9A9</t>
        </is>
      </c>
      <c r="H313" s="68" t="inlineStr">
        <is>
          <t>Abnormal;Normal;Abnormal;Abnormal</t>
        </is>
      </c>
      <c r="I313" s="68" t="inlineStr">
        <is>
          <t>FALSE;TRUE;TRUE;FALSE</t>
        </is>
      </c>
      <c r="J313" s="68" t="inlineStr">
        <is>
          <t>Alarme de Estado em Ponto Telessinalizado DA</t>
        </is>
      </c>
      <c r="K313" s="69" t="inlineStr">
        <is>
          <t>Alarme de Estado em Ponto Telessinalizado DA</t>
        </is>
      </c>
      <c r="L313" s="69">
        <f>VLOOKUP(LinkTable6789[[#This Row],[Coluna1]],[4]AlarmCatalog!$A:$M,11,FALSE)</f>
        <v/>
      </c>
    </row>
    <row r="314" ht="16.5" customFormat="1" customHeight="1" s="67">
      <c r="A314" s="68" t="inlineStr">
        <is>
          <t>DI_null@null___NORMAL@FALTA___Custom_S_TS_A1</t>
        </is>
      </c>
      <c r="B314" s="68" t="inlineStr"/>
      <c r="C314" s="68" t="inlineStr">
        <is>
          <t>Transit;NORMAL;FALTA;Error</t>
        </is>
      </c>
      <c r="D314" s="68" t="inlineStr">
        <is>
          <t>0;1;2;3</t>
        </is>
      </c>
      <c r="E314" s="68" t="inlineStr">
        <is>
          <t>2;0;1;3</t>
        </is>
      </c>
      <c r="F314" s="68" t="inlineStr">
        <is>
          <t>;;;</t>
        </is>
      </c>
      <c r="G314" s="68" t="inlineStr">
        <is>
          <t>#FF000000;#FF00FF00;#FFFF0000;#FFA9A9A9</t>
        </is>
      </c>
      <c r="H314" s="68" t="inlineStr">
        <is>
          <t>Abnormal;Auto;Auto;Abnormal</t>
        </is>
      </c>
      <c r="I314" s="68" t="inlineStr">
        <is>
          <t>FALSE;TRUE;TRUE;FALSE</t>
        </is>
      </c>
      <c r="J314" s="68" t="inlineStr">
        <is>
          <t>Alarme de Estado em Ponto Telessinalizado A1</t>
        </is>
      </c>
      <c r="K314" s="69" t="inlineStr">
        <is>
          <t>Alarme de Estado em Ponto Telessinalizado A1</t>
        </is>
      </c>
      <c r="L314" s="69">
        <f>VLOOKUP(LinkTable6789[[#This Row],[Coluna1]],[4]AlarmCatalog!$A:$M,11,FALSE)</f>
        <v/>
      </c>
    </row>
    <row r="315" ht="16.5" customFormat="1" customHeight="1" s="67">
      <c r="A315" s="68" t="inlineStr">
        <is>
          <t>DI_null@null___NORMAL@ATUADO___RecloserLockout_S_TS_A1</t>
        </is>
      </c>
      <c r="B315" s="68" t="inlineStr"/>
      <c r="C315" s="68" t="inlineStr">
        <is>
          <t>Transit;NORMAL;ATUADO;Error</t>
        </is>
      </c>
      <c r="D315" s="68" t="inlineStr">
        <is>
          <t>0;1;2;3</t>
        </is>
      </c>
      <c r="E315" s="68" t="inlineStr">
        <is>
          <t>2;0;1;3</t>
        </is>
      </c>
      <c r="F315" s="68" t="inlineStr">
        <is>
          <t>;;;</t>
        </is>
      </c>
      <c r="G315" s="68" t="inlineStr">
        <is>
          <t>#FF000000;#FF00FF00;#FFFF0000;#FFA9A9A9</t>
        </is>
      </c>
      <c r="H315" s="68" t="inlineStr">
        <is>
          <t>Abnormal;Auto;Auto;Abnormal</t>
        </is>
      </c>
      <c r="I315" s="68" t="inlineStr">
        <is>
          <t>FALSE;TRUE;TRUE;FALSE</t>
        </is>
      </c>
      <c r="J315" s="68" t="inlineStr">
        <is>
          <t>Alarme de Estado em Ponto Telessinalizado A1</t>
        </is>
      </c>
      <c r="K315" s="69" t="inlineStr">
        <is>
          <t>Alarme de Estado em Ponto Telessinalizado A1</t>
        </is>
      </c>
      <c r="L315" s="69">
        <f>VLOOKUP(LinkTable6789[[#This Row],[Coluna1]],[4]AlarmCatalog!$A:$M,11,FALSE)</f>
        <v/>
      </c>
    </row>
    <row r="316" ht="16.5" customFormat="1" customHeight="1" s="67">
      <c r="A316" s="68" t="inlineStr">
        <is>
          <t>DI_null@null___NORMAL@ATUADO___Custom_S_TS_DA</t>
        </is>
      </c>
      <c r="B316" s="68" t="inlineStr"/>
      <c r="C316" s="68" t="inlineStr">
        <is>
          <t>Transit;NORMAL;ATUADO;Error</t>
        </is>
      </c>
      <c r="D316" s="68" t="inlineStr">
        <is>
          <t>0;1;2;3</t>
        </is>
      </c>
      <c r="E316" s="68" t="inlineStr">
        <is>
          <t>2;0;1;3</t>
        </is>
      </c>
      <c r="F316" s="68" t="inlineStr">
        <is>
          <t>;;;</t>
        </is>
      </c>
      <c r="G316" s="68" t="inlineStr">
        <is>
          <t>#FF000000;#FF00FF00;#FFFF0000;#FFA9A9A9</t>
        </is>
      </c>
      <c r="H316" s="68" t="inlineStr">
        <is>
          <t>Abnormal;Auto;Auto;Abnormal</t>
        </is>
      </c>
      <c r="I316" s="68" t="inlineStr">
        <is>
          <t>FALSE;TRUE;TRUE;FALSE</t>
        </is>
      </c>
      <c r="J316" s="68" t="inlineStr">
        <is>
          <t>Alarme de Estado em Ponto Telessinalizado DA</t>
        </is>
      </c>
      <c r="K316" s="69" t="inlineStr">
        <is>
          <t>Alarme de Estado em Ponto Telessinalizado DA</t>
        </is>
      </c>
      <c r="L316" s="69">
        <f>VLOOKUP(LinkTable6789[[#This Row],[Coluna1]],[4]AlarmCatalog!$A:$M,11,FALSE)</f>
        <v/>
      </c>
    </row>
    <row r="317" ht="16.5" customFormat="1" customHeight="1" s="67">
      <c r="A317" s="68" t="inlineStr">
        <is>
          <t>null@null___NORMAL@BLOQUEIO___Custom_S_TS_SA</t>
        </is>
      </c>
      <c r="B317" s="68" t="inlineStr"/>
      <c r="C317" s="68" t="inlineStr">
        <is>
          <t>Transit;NORMAL;BLOQUEIO;Error</t>
        </is>
      </c>
      <c r="D317" s="68" t="inlineStr">
        <is>
          <t>0;1;2;3</t>
        </is>
      </c>
      <c r="E317" s="68" t="inlineStr">
        <is>
          <t>2;0;1;3</t>
        </is>
      </c>
      <c r="F317" s="68" t="inlineStr">
        <is>
          <t>;;;</t>
        </is>
      </c>
      <c r="G317" s="68" t="inlineStr">
        <is>
          <t>#FF000000;#FF00FF00;#FFFF0000;#FFA9A9A9</t>
        </is>
      </c>
      <c r="H317" s="68" t="inlineStr">
        <is>
          <t>Abnormal;Auto;Auto;Abnormal</t>
        </is>
      </c>
      <c r="I317" s="68" t="inlineStr">
        <is>
          <t>FALSE;TRUE;TRUE;FALSE</t>
        </is>
      </c>
      <c r="J317" s="68" t="inlineStr">
        <is>
          <t>Alarme de Estado em Ponto Telessinalizado SA</t>
        </is>
      </c>
      <c r="K317" s="69" t="inlineStr">
        <is>
          <t>Alarme de Estado em Ponto Telessinalizado SA</t>
        </is>
      </c>
      <c r="L317" s="69">
        <f>VLOOKUP(LinkTable6789[[#This Row],[Coluna1]],[4]AlarmCatalog!$A:$M,11,FALSE)</f>
        <v/>
      </c>
    </row>
    <row r="318" ht="16.5" customFormat="1" customHeight="1" s="67">
      <c r="A318" s="68" t="inlineStr">
        <is>
          <t>null@null___NORMAL@DISCREPANCIA___Custom_S_TS_SA</t>
        </is>
      </c>
      <c r="B318" s="68" t="inlineStr"/>
      <c r="C318" s="68" t="inlineStr">
        <is>
          <t>Transit;NORMAL;DISCREPANCIA;Error</t>
        </is>
      </c>
      <c r="D318" s="68" t="inlineStr">
        <is>
          <t>0;1;2;3</t>
        </is>
      </c>
      <c r="E318" s="68" t="inlineStr">
        <is>
          <t>2;0;1;3</t>
        </is>
      </c>
      <c r="F318" s="68" t="inlineStr">
        <is>
          <t>;;;</t>
        </is>
      </c>
      <c r="G318" s="68" t="inlineStr">
        <is>
          <t>#FF000000;#FF00FF00;#FFFF0000;#FFA9A9A9</t>
        </is>
      </c>
      <c r="H318" s="68" t="inlineStr">
        <is>
          <t>Abnormal;Auto;Auto;Abnormal</t>
        </is>
      </c>
      <c r="I318" s="68" t="inlineStr">
        <is>
          <t>FALSE;TRUE;TRUE;FALSE</t>
        </is>
      </c>
      <c r="J318" s="68" t="inlineStr">
        <is>
          <t>Alarme de Estado em Ponto Telessinalizado SA</t>
        </is>
      </c>
      <c r="K318" s="69" t="inlineStr">
        <is>
          <t>Alarme de Estado em Ponto Telessinalizado SA</t>
        </is>
      </c>
      <c r="L318" s="69">
        <f>VLOOKUP(LinkTable6789[[#This Row],[Coluna1]],[4]AlarmCatalog!$A:$M,11,FALSE)</f>
        <v/>
      </c>
    </row>
    <row r="319" ht="16.5" customFormat="1" customHeight="1" s="67">
      <c r="A319" s="68" t="inlineStr">
        <is>
          <t>DESATIVAR@ATIVAR___DESATIVADO@ATIVADO___Custom_S_TC_SA</t>
        </is>
      </c>
      <c r="B319" s="68" t="inlineStr"/>
      <c r="C319" s="68" t="inlineStr">
        <is>
          <t>Transit;DESATIVADO;ATIVADO;Error</t>
        </is>
      </c>
      <c r="D319" s="68" t="inlineStr">
        <is>
          <t>0;1;2;3</t>
        </is>
      </c>
      <c r="E319" s="68" t="inlineStr">
        <is>
          <t>2;0;1;3</t>
        </is>
      </c>
      <c r="F319" s="68" t="inlineStr">
        <is>
          <t>;DESATIVAR;ATIVAR;</t>
        </is>
      </c>
      <c r="G319" s="68" t="inlineStr">
        <is>
          <t>#FF000000;#FF00FF00;#FFFF0000;#FFA9A9A9</t>
        </is>
      </c>
      <c r="H319" s="68" t="inlineStr">
        <is>
          <t>Normal;Normal;Normal;Normal</t>
        </is>
      </c>
      <c r="I319" s="68" t="inlineStr">
        <is>
          <t>FALSE;TRUE;TRUE;FALSE</t>
        </is>
      </c>
      <c r="J319" s="68" t="inlineStr">
        <is>
          <t>Alarme de Estado em Ponto Telecontrolado SA</t>
        </is>
      </c>
      <c r="K319" s="69" t="inlineStr">
        <is>
          <t>Alarme de Estado em Ponto Telecontrolado SA</t>
        </is>
      </c>
      <c r="L319" s="69">
        <f>VLOOKUP(LinkTable6789[[#This Row],[Coluna1]],[4]AlarmCatalog!$A:$M,11,FALSE)</f>
        <v/>
      </c>
    </row>
    <row r="320" ht="16.5" customFormat="1" customHeight="1" s="67">
      <c r="A320" s="68" t="inlineStr">
        <is>
          <t>INCLUIR@EXCLUIR___INCLUIDO@EXCLUIDO___Custom___INV_S_TS_SS</t>
        </is>
      </c>
      <c r="B320" s="68" t="inlineStr"/>
      <c r="C320" s="68" t="inlineStr">
        <is>
          <t>Transit;INCLUIDO;EXCLUIDO;Error</t>
        </is>
      </c>
      <c r="D320" s="68" t="inlineStr">
        <is>
          <t>0;1;2;3</t>
        </is>
      </c>
      <c r="E320" s="68" t="inlineStr">
        <is>
          <t>2;1;0;3</t>
        </is>
      </c>
      <c r="F320" s="68" t="inlineStr">
        <is>
          <t>;;;</t>
        </is>
      </c>
      <c r="G320" s="68" t="inlineStr">
        <is>
          <t>#FF000000;#FFFF0000;#FF00FF00;#FFA9A9A9</t>
        </is>
      </c>
      <c r="H320" s="68" t="inlineStr">
        <is>
          <t>Abnormal;Auto;Auto;Abnormal</t>
        </is>
      </c>
      <c r="I320" s="68" t="inlineStr">
        <is>
          <t>FALSE;TRUE;TRUE;FALSE</t>
        </is>
      </c>
      <c r="J320" s="68" t="inlineStr">
        <is>
          <t>Alarme de Estado em Ponto Telessinalizado SS</t>
        </is>
      </c>
      <c r="K320" s="69" t="inlineStr">
        <is>
          <t>Alarme de Estado em Ponto Telessinalizado SS</t>
        </is>
      </c>
      <c r="L320" s="69">
        <f>VLOOKUP(LinkTable6789[[#This Row],[Coluna1]],[4]AlarmCatalog!$A:$M,11,FALSE)</f>
        <v/>
      </c>
    </row>
    <row r="321" ht="16.5" customFormat="1" customHeight="1" s="67">
      <c r="A321" s="68" t="inlineStr">
        <is>
          <t>null@null___NORMAL@DEFEITO___Custom_S_TS_SA</t>
        </is>
      </c>
      <c r="B321" s="68" t="inlineStr"/>
      <c r="C321" s="68" t="inlineStr">
        <is>
          <t>Transit;NORMAL;DEFEITO;Error</t>
        </is>
      </c>
      <c r="D321" s="68" t="inlineStr">
        <is>
          <t>0;1;2;3</t>
        </is>
      </c>
      <c r="E321" s="68" t="inlineStr">
        <is>
          <t>2;0;1;3</t>
        </is>
      </c>
      <c r="F321" s="68" t="inlineStr">
        <is>
          <t>;;;</t>
        </is>
      </c>
      <c r="G321" s="68" t="inlineStr">
        <is>
          <t>#FF000000;#FF00FF00;#FFFF0000;#FFA9A9A9</t>
        </is>
      </c>
      <c r="H321" s="68" t="inlineStr">
        <is>
          <t>Abnormal;Auto;Auto;Abnormal</t>
        </is>
      </c>
      <c r="I321" s="68" t="inlineStr">
        <is>
          <t>FALSE;TRUE;TRUE;FALSE</t>
        </is>
      </c>
      <c r="J321" s="68" t="inlineStr">
        <is>
          <t>Alarme de Estado em Ponto Telessinalizado SA</t>
        </is>
      </c>
      <c r="K321" s="69" t="inlineStr">
        <is>
          <t>Alarme de Estado em Ponto Telessinalizado SA</t>
        </is>
      </c>
      <c r="L321" s="69">
        <f>VLOOKUP(LinkTable6789[[#This Row],[Coluna1]],[4]AlarmCatalog!$A:$M,11,FALSE)</f>
        <v/>
      </c>
    </row>
    <row r="322" ht="16.5" customFormat="1" customHeight="1" s="67">
      <c r="A322" s="68" t="inlineStr">
        <is>
          <t>DI_RESET@null___NORMAL@BLOQUEIO___Custom___admsINV_S_TC_DA</t>
        </is>
      </c>
      <c r="B322" s="68" t="inlineStr"/>
      <c r="C322" s="68" t="inlineStr">
        <is>
          <t>Transit;NORMAL;BLOQUEIO;Error</t>
        </is>
      </c>
      <c r="D322" s="68" t="inlineStr">
        <is>
          <t>0;2;1;3</t>
        </is>
      </c>
      <c r="E322" s="68" t="inlineStr">
        <is>
          <t>2;0;1;3</t>
        </is>
      </c>
      <c r="F322" s="68" t="inlineStr">
        <is>
          <t>;RESET;;</t>
        </is>
      </c>
      <c r="G322" s="68" t="inlineStr">
        <is>
          <t>#FF000000;#FF00FF00;#FFFF0000;#FFA9A9A9</t>
        </is>
      </c>
      <c r="H322" s="68" t="inlineStr">
        <is>
          <t>Abnormal;Auto;Auto;Abnormal</t>
        </is>
      </c>
      <c r="I322" s="68" t="inlineStr">
        <is>
          <t>FALSE;TRUE;TRUE;FALSE</t>
        </is>
      </c>
      <c r="J322" s="68" t="inlineStr">
        <is>
          <t>Alarme de Estado em Ponto Telecontrolado DA</t>
        </is>
      </c>
      <c r="K322" s="69" t="inlineStr">
        <is>
          <t>Alarme de Estado em Ponto Telecontrolado DA</t>
        </is>
      </c>
      <c r="L322" s="69">
        <f>VLOOKUP(LinkTable6789[[#This Row],[Coluna1]],[4]AlarmCatalog!$A:$M,11,FALSE)</f>
        <v/>
      </c>
    </row>
    <row r="323" ht="16.5" customFormat="1" customHeight="1" s="67">
      <c r="A323" s="68" t="inlineStr">
        <is>
          <t>null@null___NORMAL@ATUADO___Custom_S_TS_DA</t>
        </is>
      </c>
      <c r="B323" s="68" t="inlineStr"/>
      <c r="C323" s="68" t="inlineStr">
        <is>
          <t>Transit;NORMAL;ATUADO;Error</t>
        </is>
      </c>
      <c r="D323" s="68" t="inlineStr">
        <is>
          <t>0;1;2;3</t>
        </is>
      </c>
      <c r="E323" s="68" t="inlineStr">
        <is>
          <t>2;0;1;3</t>
        </is>
      </c>
      <c r="F323" s="68" t="inlineStr">
        <is>
          <t>;;;</t>
        </is>
      </c>
      <c r="G323" s="68" t="inlineStr">
        <is>
          <t>#FF000000;#FF00FF00;#FFFF0000;#FFA9A9A9</t>
        </is>
      </c>
      <c r="H323" s="68" t="inlineStr">
        <is>
          <t>Abnormal;Auto;Auto;Abnormal</t>
        </is>
      </c>
      <c r="I323" s="68" t="inlineStr">
        <is>
          <t>FALSE;TRUE;TRUE;FALSE</t>
        </is>
      </c>
      <c r="J323" s="68" t="inlineStr">
        <is>
          <t>Alarme de Estado em Ponto Telessinalizado DA</t>
        </is>
      </c>
      <c r="K323" s="69" t="inlineStr">
        <is>
          <t>Alarme de Estado em Ponto Telessinalizado DA</t>
        </is>
      </c>
      <c r="L323" s="69">
        <f>VLOOKUP(LinkTable6789[[#This Row],[Coluna1]],[4]AlarmCatalog!$A:$M,11,FALSE)</f>
        <v/>
      </c>
    </row>
    <row r="324" ht="16.5" customFormat="1" customHeight="1" s="67">
      <c r="A324" s="68" t="inlineStr">
        <is>
          <t>null@null___NORMAL@ATUADO___RelayTrip_S_TS_DA</t>
        </is>
      </c>
      <c r="B324" s="68" t="inlineStr"/>
      <c r="C324" s="68" t="inlineStr">
        <is>
          <t>Transit;NORMAL;ATUADO;Error</t>
        </is>
      </c>
      <c r="D324" s="68" t="inlineStr">
        <is>
          <t>0;1;2;3</t>
        </is>
      </c>
      <c r="E324" s="68" t="inlineStr">
        <is>
          <t>2;0;1;3</t>
        </is>
      </c>
      <c r="F324" s="68" t="inlineStr">
        <is>
          <t>;;;</t>
        </is>
      </c>
      <c r="G324" s="68" t="inlineStr">
        <is>
          <t>#FF000000;#FF00FF00;#FFFF0000;#FFA9A9A9</t>
        </is>
      </c>
      <c r="H324" s="68" t="inlineStr">
        <is>
          <t>Abnormal;Auto;Auto;Abnormal</t>
        </is>
      </c>
      <c r="I324" s="68" t="inlineStr">
        <is>
          <t>FALSE;TRUE;TRUE;FALSE</t>
        </is>
      </c>
      <c r="J324" s="68" t="inlineStr">
        <is>
          <t>Alarme de Estado em Ponto Telessinalizado DA</t>
        </is>
      </c>
      <c r="K324" s="69" t="inlineStr">
        <is>
          <t>Alarme de Estado em Ponto Telessinalizado DA</t>
        </is>
      </c>
      <c r="L324" s="69">
        <f>VLOOKUP(LinkTable6789[[#This Row],[Coluna1]],[4]AlarmCatalog!$A:$M,11,FALSE)</f>
        <v/>
      </c>
    </row>
    <row r="325" ht="16.5" customFormat="1" customHeight="1" s="67">
      <c r="A325" s="68" t="inlineStr">
        <is>
          <t>null@null___NORMAL@ATUADO___Custom_S_TS_A1</t>
        </is>
      </c>
      <c r="B325" s="68" t="inlineStr"/>
      <c r="C325" s="68" t="inlineStr">
        <is>
          <t>Transit;NORMAL;ATUADO;Error</t>
        </is>
      </c>
      <c r="D325" s="68" t="inlineStr">
        <is>
          <t>0;1;2;3</t>
        </is>
      </c>
      <c r="E325" s="68" t="inlineStr">
        <is>
          <t>2;0;1;3</t>
        </is>
      </c>
      <c r="F325" s="68" t="inlineStr">
        <is>
          <t>;;;</t>
        </is>
      </c>
      <c r="G325" s="68" t="inlineStr">
        <is>
          <t>#FF000000;#FF00FF00;#FFFF0000;#FFA9A9A9</t>
        </is>
      </c>
      <c r="H325" s="68" t="inlineStr">
        <is>
          <t>Abnormal;Auto;Auto;Abnormal</t>
        </is>
      </c>
      <c r="I325" s="68" t="inlineStr">
        <is>
          <t>FALSE;TRUE;TRUE;FALSE</t>
        </is>
      </c>
      <c r="J325" s="68" t="inlineStr">
        <is>
          <t>Alarme de Estado em Ponto Telessinalizado A1</t>
        </is>
      </c>
      <c r="K325" s="69" t="inlineStr">
        <is>
          <t>Alarme de Estado em Ponto Telessinalizado A1</t>
        </is>
      </c>
      <c r="L325" s="69">
        <f>VLOOKUP(LinkTable6789[[#This Row],[Coluna1]],[4]AlarmCatalog!$A:$M,11,FALSE)</f>
        <v/>
      </c>
    </row>
    <row r="326" ht="16.5" customFormat="1" customHeight="1" s="67">
      <c r="A326" s="68" t="inlineStr">
        <is>
          <t>null@null___NORMAL@ATUADO___Custom___INV_S_TS_SA</t>
        </is>
      </c>
      <c r="B326" s="68" t="inlineStr"/>
      <c r="C326" s="68" t="inlineStr">
        <is>
          <t>Transit;NORMAL;ATUADO;Error</t>
        </is>
      </c>
      <c r="D326" s="68" t="inlineStr">
        <is>
          <t>0;1;2;3</t>
        </is>
      </c>
      <c r="E326" s="68" t="inlineStr">
        <is>
          <t>2;1;0;3</t>
        </is>
      </c>
      <c r="F326" s="68" t="inlineStr">
        <is>
          <t>;;;</t>
        </is>
      </c>
      <c r="G326" s="68" t="inlineStr">
        <is>
          <t>#FF000000;#FF00FF00;#FFFF0000;#FFA9A9A9</t>
        </is>
      </c>
      <c r="H326" s="68" t="inlineStr">
        <is>
          <t>Abnormal;Auto;Auto;Abnormal</t>
        </is>
      </c>
      <c r="I326" s="68" t="inlineStr">
        <is>
          <t>FALSE;TRUE;TRUE;FALSE</t>
        </is>
      </c>
      <c r="J326" s="68" t="inlineStr">
        <is>
          <t>Alarme de Estado em Ponto Telessinalizado SA</t>
        </is>
      </c>
      <c r="K326" s="69" t="inlineStr">
        <is>
          <t>Alarme de Estado em Ponto Telessinalizado SA</t>
        </is>
      </c>
      <c r="L326" s="69">
        <f>VLOOKUP(LinkTable6789[[#This Row],[Coluna1]],[4]AlarmCatalog!$A:$M,11,FALSE)</f>
        <v/>
      </c>
    </row>
    <row r="327" ht="16.5" customFormat="1" customHeight="1" s="67">
      <c r="A327" s="68" t="inlineStr">
        <is>
          <t>INCLUIR@EXCLUIR___INCLUIDO@EXCLUIDO___Custom_D_TC</t>
        </is>
      </c>
      <c r="B327" s="68" t="inlineStr"/>
      <c r="C327" s="68" t="inlineStr">
        <is>
          <t>Error;INCLUIDO;EXCLUIDO;Transit</t>
        </is>
      </c>
      <c r="D327" s="68" t="inlineStr">
        <is>
          <t>0;1;2;3</t>
        </is>
      </c>
      <c r="E327" s="68" t="inlineStr">
        <is>
          <t>2;0;1;3</t>
        </is>
      </c>
      <c r="F327" s="68" t="inlineStr">
        <is>
          <t>;INCLUIR;EXCLUIR;</t>
        </is>
      </c>
      <c r="G327" s="68" t="inlineStr">
        <is>
          <t>#FF000000;#FFFF0000;#FF00FF00;#FFA9A9A9</t>
        </is>
      </c>
      <c r="H327" s="68" t="inlineStr">
        <is>
          <t>Abnormal;Normal;Normal;Normal</t>
        </is>
      </c>
      <c r="I327" s="68" t="inlineStr">
        <is>
          <t>FALSE;TRUE;TRUE;FALSE</t>
        </is>
      </c>
      <c r="J327" s="68" t="inlineStr">
        <is>
          <t>Alarme de Estado em Ponto Telecontrolado</t>
        </is>
      </c>
      <c r="K327" s="69" t="inlineStr">
        <is>
          <t>Alarme de Estado em Ponto Telecontrolado</t>
        </is>
      </c>
      <c r="L327" s="69">
        <f>VLOOKUP(LinkTable6789[[#This Row],[Coluna1]],[4]AlarmCatalog!$A:$M,11,FALSE)</f>
        <v/>
      </c>
    </row>
    <row r="328" ht="16.5" customFormat="1" customHeight="1" s="67">
      <c r="A328" s="68" t="inlineStr">
        <is>
          <t>INCLUIR@EXCLUIR___INCLUIDO@EXCLUIDO___Custom_D_TC_SS</t>
        </is>
      </c>
      <c r="B328" s="68" t="inlineStr"/>
      <c r="C328" s="68" t="inlineStr">
        <is>
          <t>Invalido;INCLUIDO;EXCLUIDO;Error</t>
        </is>
      </c>
      <c r="D328" s="68" t="inlineStr">
        <is>
          <t>0;1;2;3</t>
        </is>
      </c>
      <c r="E328" s="68" t="inlineStr">
        <is>
          <t>0;1;2;3</t>
        </is>
      </c>
      <c r="F328" s="68" t="inlineStr">
        <is>
          <t>;INCLUIR;EXCLUIR;</t>
        </is>
      </c>
      <c r="G328" s="68" t="inlineStr">
        <is>
          <t>#FF000000;#FFFF0000;#FF00FF00;#FFA9A9A9</t>
        </is>
      </c>
      <c r="H328" s="68" t="inlineStr">
        <is>
          <t>Abnormal;Auto;Auto;Normal</t>
        </is>
      </c>
      <c r="I328" s="68" t="inlineStr">
        <is>
          <t>FALSE;TRUE;TRUE;FALSE</t>
        </is>
      </c>
      <c r="J328" s="68" t="inlineStr">
        <is>
          <t>Alarme de Estado em Ponto Telecontrolado SS</t>
        </is>
      </c>
      <c r="K328" s="69" t="inlineStr">
        <is>
          <t>Alarme de Estado em Ponto Telecontrolado SS</t>
        </is>
      </c>
      <c r="L328" s="69">
        <f>VLOOKUP(LinkTable6789[[#This Row],[Coluna1]],[4]AlarmCatalog!$A:$M,11,FALSE)</f>
        <v/>
      </c>
    </row>
    <row r="329" ht="16.5" customFormat="1" customHeight="1" s="67">
      <c r="A329" s="68" t="inlineStr">
        <is>
          <t>DESBLOQUEAR@BLOQUEAR___NORMAL@BLOQUEADA___Enabled___admsINV_S_TS_SA</t>
        </is>
      </c>
      <c r="B329" s="68" t="inlineStr"/>
      <c r="C329" s="68" t="inlineStr">
        <is>
          <t>Transit;NORMAL;BLOQUEADA;Error</t>
        </is>
      </c>
      <c r="D329" s="68" t="inlineStr">
        <is>
          <t>0;2;1;3</t>
        </is>
      </c>
      <c r="E329" s="68" t="inlineStr">
        <is>
          <t>2;0;1;3</t>
        </is>
      </c>
      <c r="F329" s="68" t="inlineStr">
        <is>
          <t>;;;</t>
        </is>
      </c>
      <c r="G329" s="68" t="inlineStr">
        <is>
          <t>#FF000000;#FF00FF00;#FFFF0000;#FFA9A9A9</t>
        </is>
      </c>
      <c r="H329" s="68" t="inlineStr">
        <is>
          <t>Abnormal;Auto;Auto;Abnormal</t>
        </is>
      </c>
      <c r="I329" s="68" t="inlineStr">
        <is>
          <t>FALSE;TRUE;TRUE;FALSE</t>
        </is>
      </c>
      <c r="J329" s="68" t="inlineStr">
        <is>
          <t>Alarme de Estado em Ponto Telessinalizado SA</t>
        </is>
      </c>
      <c r="K329" s="69" t="inlineStr">
        <is>
          <t>Alarme de Estado em Ponto Telessinalizado SA</t>
        </is>
      </c>
      <c r="L329" s="69">
        <f>VLOOKUP(LinkTable6789[[#This Row],[Coluna1]],[4]AlarmCatalog!$A:$M,11,FALSE)</f>
        <v/>
      </c>
    </row>
    <row r="330" ht="16.5" customFormat="1" customHeight="1" s="67">
      <c r="A330" s="68" t="inlineStr">
        <is>
          <t>null@null___NORMAL@TRANSFERIDA___Custom_S_TS_SA</t>
        </is>
      </c>
      <c r="B330" s="68" t="inlineStr"/>
      <c r="C330" s="68" t="inlineStr">
        <is>
          <t>Transit;NORMAL;TRANSFERIDA;Error</t>
        </is>
      </c>
      <c r="D330" s="68" t="inlineStr">
        <is>
          <t>0;1;2;3</t>
        </is>
      </c>
      <c r="E330" s="68" t="inlineStr">
        <is>
          <t>2;0;1;3</t>
        </is>
      </c>
      <c r="F330" s="68" t="inlineStr">
        <is>
          <t>;;;</t>
        </is>
      </c>
      <c r="G330" s="68" t="inlineStr">
        <is>
          <t>#FF000000;#FF00FF00;#FFFF0000;#FFA9A9A9</t>
        </is>
      </c>
      <c r="H330" s="68" t="inlineStr">
        <is>
          <t>Abnormal;Auto;Auto;Abnormal</t>
        </is>
      </c>
      <c r="I330" s="68" t="inlineStr">
        <is>
          <t>FALSE;TRUE;TRUE;FALSE</t>
        </is>
      </c>
      <c r="J330" s="68" t="inlineStr">
        <is>
          <t>Alarme de Estado em Ponto Telessinalizado SA</t>
        </is>
      </c>
      <c r="K330" s="69" t="inlineStr">
        <is>
          <t>Alarme de Estado em Ponto Telessinalizado SA</t>
        </is>
      </c>
      <c r="L330" s="69">
        <f>VLOOKUP(LinkTable6789[[#This Row],[Coluna1]],[4]AlarmCatalog!$A:$M,11,FALSE)</f>
        <v/>
      </c>
    </row>
    <row r="331" ht="16.5" customFormat="1" customHeight="1" s="67">
      <c r="A331" s="68" t="inlineStr">
        <is>
          <t>DESBLOQUEAR@BLOQUEAR___NORMAL@BLOQUEADA___Enabled___INV___admsINV_S_TS_SA</t>
        </is>
      </c>
      <c r="B331" s="68" t="inlineStr"/>
      <c r="C331" s="68" t="inlineStr">
        <is>
          <t>Transit;NORMAL;BLOQUEADA;Error</t>
        </is>
      </c>
      <c r="D331" s="68" t="inlineStr">
        <is>
          <t>0;2;1;3</t>
        </is>
      </c>
      <c r="E331" s="68" t="inlineStr">
        <is>
          <t>2;1;0;3</t>
        </is>
      </c>
      <c r="F331" s="68" t="inlineStr">
        <is>
          <t>;;;</t>
        </is>
      </c>
      <c r="G331" s="68" t="inlineStr">
        <is>
          <t>#FF000000;#FF00FF00;#FFFF0000;#FFA9A9A9</t>
        </is>
      </c>
      <c r="H331" s="68" t="inlineStr">
        <is>
          <t>Abnormal;Auto;Auto;Abnormal</t>
        </is>
      </c>
      <c r="I331" s="68" t="inlineStr">
        <is>
          <t>FALSE;TRUE;TRUE;FALSE</t>
        </is>
      </c>
      <c r="J331" s="68" t="inlineStr">
        <is>
          <t>Alarme de Estado em Ponto Telessinalizado SA</t>
        </is>
      </c>
      <c r="K331" s="69" t="inlineStr">
        <is>
          <t>Alarme de Estado em Ponto Telessinalizado SA</t>
        </is>
      </c>
      <c r="L331" s="69">
        <f>VLOOKUP(LinkTable6789[[#This Row],[Coluna1]],[4]AlarmCatalog!$A:$M,11,FALSE)</f>
        <v/>
      </c>
    </row>
    <row r="332" ht="16.5" customFormat="1" customHeight="1" s="67">
      <c r="A332" s="68" t="inlineStr">
        <is>
          <t>null@null___DESABILITADO@HABILITADO___Custom_S_TS</t>
        </is>
      </c>
      <c r="B332" s="68" t="inlineStr"/>
      <c r="C332" s="68" t="inlineStr">
        <is>
          <t>Error;DESABILITADO;HABILITADO;Transit</t>
        </is>
      </c>
      <c r="D332" s="68" t="inlineStr">
        <is>
          <t>0;1;2;3</t>
        </is>
      </c>
      <c r="E332" s="68" t="inlineStr">
        <is>
          <t>2;0;1;3</t>
        </is>
      </c>
      <c r="F332" s="68" t="inlineStr">
        <is>
          <t>;;;</t>
        </is>
      </c>
      <c r="G332" s="68" t="inlineStr">
        <is>
          <t>#FF000000;#FF00FF00;#FFFF0000;#FFA9A9A9</t>
        </is>
      </c>
      <c r="H332" s="68" t="inlineStr">
        <is>
          <t>Normal;Normal;Normal;Normal</t>
        </is>
      </c>
      <c r="I332" s="68" t="inlineStr">
        <is>
          <t>FALSE;TRUE;TRUE;FALSE</t>
        </is>
      </c>
      <c r="J332" s="68" t="inlineStr">
        <is>
          <t>Alarme de Estado em Ponto Telessinalizado</t>
        </is>
      </c>
      <c r="K332" s="69" t="inlineStr">
        <is>
          <t>Alarme de Estado em Ponto Telessinalizado</t>
        </is>
      </c>
      <c r="L332" s="69">
        <f>VLOOKUP(LinkTable6789[[#This Row],[Coluna1]],[4]AlarmCatalog!$A:$M,11,FALSE)</f>
        <v/>
      </c>
    </row>
    <row r="333" ht="16.5" customFormat="1" customHeight="1" s="67">
      <c r="A333" s="68" t="inlineStr">
        <is>
          <t>null@null___NORMAL@ERRO___Custom_S_TS_SA</t>
        </is>
      </c>
      <c r="B333" s="68" t="inlineStr"/>
      <c r="C333" s="68" t="inlineStr">
        <is>
          <t>Transit;NORMAL;ERRO;Error</t>
        </is>
      </c>
      <c r="D333" s="68" t="inlineStr">
        <is>
          <t>0;1;2;3</t>
        </is>
      </c>
      <c r="E333" s="68" t="inlineStr">
        <is>
          <t>2;0;1;3</t>
        </is>
      </c>
      <c r="F333" s="68" t="inlineStr">
        <is>
          <t>;;;</t>
        </is>
      </c>
      <c r="G333" s="68" t="inlineStr">
        <is>
          <t>#FF000000;#FF00FF00;#FFFF0000;#FFA9A9A9</t>
        </is>
      </c>
      <c r="H333" s="68" t="inlineStr">
        <is>
          <t>Abnormal;Auto;Auto;Abnormal</t>
        </is>
      </c>
      <c r="I333" s="68" t="inlineStr">
        <is>
          <t>FALSE;TRUE;TRUE;FALSE</t>
        </is>
      </c>
      <c r="J333" s="68" t="inlineStr">
        <is>
          <t>Alarme de Estado em Ponto Telessinalizado SA</t>
        </is>
      </c>
      <c r="K333" s="69" t="inlineStr">
        <is>
          <t>Alarme de Estado em Ponto Telessinalizado SA</t>
        </is>
      </c>
      <c r="L333" s="69">
        <f>VLOOKUP(LinkTable6789[[#This Row],[Coluna1]],[4]AlarmCatalog!$A:$M,11,FALSE)</f>
        <v/>
      </c>
    </row>
    <row r="334" ht="16.5" customFormat="1" customHeight="1" s="67">
      <c r="A334" s="68" t="inlineStr">
        <is>
          <t>null@REARMAR___NORMAL@ATUADO___Custom___INV_S_TS_SA</t>
        </is>
      </c>
      <c r="B334" s="68" t="inlineStr"/>
      <c r="C334" s="68" t="inlineStr">
        <is>
          <t>Transit;NORMAL;ATUADO;Error</t>
        </is>
      </c>
      <c r="D334" s="68" t="inlineStr">
        <is>
          <t>0;1;2;3</t>
        </is>
      </c>
      <c r="E334" s="68" t="inlineStr">
        <is>
          <t>2;1;0;3</t>
        </is>
      </c>
      <c r="F334" s="68" t="inlineStr">
        <is>
          <t>;;;</t>
        </is>
      </c>
      <c r="G334" s="68" t="inlineStr">
        <is>
          <t>#FF000000;#FF00FF00;#FFFF0000;#FFA9A9A9</t>
        </is>
      </c>
      <c r="H334" s="68" t="inlineStr">
        <is>
          <t>Abnormal;Auto;Auto;Abnormal</t>
        </is>
      </c>
      <c r="I334" s="68" t="inlineStr">
        <is>
          <t>FALSE;TRUE;TRUE;FALSE</t>
        </is>
      </c>
      <c r="J334" s="68" t="inlineStr">
        <is>
          <t>Alarme de Estado em Ponto Telessinalizado SA</t>
        </is>
      </c>
      <c r="K334" s="69" t="inlineStr">
        <is>
          <t>Alarme de Estado em Ponto Telessinalizado SA</t>
        </is>
      </c>
      <c r="L334" s="69">
        <f>VLOOKUP(LinkTable6789[[#This Row],[Coluna1]],[4]AlarmCatalog!$A:$M,11,FALSE)</f>
        <v/>
      </c>
    </row>
    <row r="335" ht="16.5" customFormat="1" customHeight="1" s="67">
      <c r="A335" s="68" t="inlineStr">
        <is>
          <t>null@null___NORMAL@BLOQUEADO___Custom_S_TS_SA</t>
        </is>
      </c>
      <c r="B335" s="68" t="inlineStr"/>
      <c r="C335" s="68" t="inlineStr">
        <is>
          <t>Transit;NORMAL;BLOQUEADO;Error</t>
        </is>
      </c>
      <c r="D335" s="68" t="inlineStr">
        <is>
          <t>0;1;2;3</t>
        </is>
      </c>
      <c r="E335" s="68" t="inlineStr">
        <is>
          <t>2;0;1;3</t>
        </is>
      </c>
      <c r="F335" s="68" t="inlineStr">
        <is>
          <t>;;;</t>
        </is>
      </c>
      <c r="G335" s="68" t="inlineStr">
        <is>
          <t>#FF000000;#FF00FF00;#FFFF0000;#FFA9A9A9</t>
        </is>
      </c>
      <c r="H335" s="68" t="inlineStr">
        <is>
          <t>Abnormal;Auto;Auto;Abnormal</t>
        </is>
      </c>
      <c r="I335" s="68" t="inlineStr">
        <is>
          <t>FALSE;TRUE;TRUE;FALSE</t>
        </is>
      </c>
      <c r="J335" s="68" t="inlineStr">
        <is>
          <t>Alarme de Estado em Ponto Telessinalizado SA</t>
        </is>
      </c>
      <c r="K335" s="69" t="inlineStr">
        <is>
          <t>Alarme de Estado em Ponto Telessinalizado SA</t>
        </is>
      </c>
      <c r="L335" s="69">
        <f>VLOOKUP(LinkTable6789[[#This Row],[Coluna1]],[4]AlarmCatalog!$A:$M,11,FALSE)</f>
        <v/>
      </c>
    </row>
    <row r="336" ht="16.5" customFormat="1" customHeight="1" s="67">
      <c r="A336" s="68" t="inlineStr">
        <is>
          <t>null@null___NORMAL@NORMAL___ControlActiveSetting_S_TC_SA</t>
        </is>
      </c>
      <c r="B336" s="68" t="inlineStr"/>
      <c r="C336" s="68" t="inlineStr">
        <is>
          <t>Transit;NORMAL;NORMAL;Error</t>
        </is>
      </c>
      <c r="D336" s="68" t="inlineStr">
        <is>
          <t>0;1;2;3</t>
        </is>
      </c>
      <c r="E336" s="68" t="inlineStr">
        <is>
          <t>2;0;1;3</t>
        </is>
      </c>
      <c r="F336" s="68" t="inlineStr">
        <is>
          <t>;;;</t>
        </is>
      </c>
      <c r="G336" s="68" t="inlineStr">
        <is>
          <t>#FF000000;#FF00FF00;#FFFF0000;#FFA9A9A9</t>
        </is>
      </c>
      <c r="H336" s="68" t="inlineStr">
        <is>
          <t>Abnormal;Auto;Auto;Abnormal</t>
        </is>
      </c>
      <c r="I336" s="68" t="inlineStr">
        <is>
          <t>FALSE;TRUE;TRUE;FALSE</t>
        </is>
      </c>
      <c r="J336" s="68" t="inlineStr">
        <is>
          <t>Alarme de Estado em Ponto Telecontrolado SA</t>
        </is>
      </c>
      <c r="K336" s="69" t="inlineStr">
        <is>
          <t>Alarme de Estado em Ponto Telecontrolado SA</t>
        </is>
      </c>
      <c r="L336" s="69">
        <f>VLOOKUP(LinkTable6789[[#This Row],[Coluna1]],[4]AlarmCatalog!$A:$M,11,FALSE)</f>
        <v/>
      </c>
    </row>
    <row r="337" ht="16.5" customFormat="1" customHeight="1" s="67">
      <c r="A337" s="68" t="inlineStr">
        <is>
          <t>null@null___NORMAL@ATUADO___Custom_S_TC_SA</t>
        </is>
      </c>
      <c r="B337" s="68" t="inlineStr"/>
      <c r="C337" s="68" t="inlineStr">
        <is>
          <t>Transit;NORMAL;ATUADO;Error</t>
        </is>
      </c>
      <c r="D337" s="68" t="inlineStr">
        <is>
          <t>0;1;2;3</t>
        </is>
      </c>
      <c r="E337" s="68" t="inlineStr">
        <is>
          <t>2;0;1;3</t>
        </is>
      </c>
      <c r="F337" s="68" t="inlineStr">
        <is>
          <t>;;;</t>
        </is>
      </c>
      <c r="G337" s="68" t="inlineStr">
        <is>
          <t>#FF000000;#FF00FF00;#FFFF0000;#FFA9A9A9</t>
        </is>
      </c>
      <c r="H337" s="68" t="inlineStr">
        <is>
          <t>Abnormal;Auto;Auto;Abnormal</t>
        </is>
      </c>
      <c r="I337" s="68" t="inlineStr">
        <is>
          <t>FALSE;TRUE;TRUE;FALSE</t>
        </is>
      </c>
      <c r="J337" s="68" t="inlineStr">
        <is>
          <t>Alarme de Estado em Ponto Telecontrolado SA</t>
        </is>
      </c>
      <c r="K337" s="69" t="inlineStr">
        <is>
          <t>Alarme de Estado em Ponto Telecontrolado SA</t>
        </is>
      </c>
      <c r="L337" s="69">
        <f>VLOOKUP(LinkTable6789[[#This Row],[Coluna1]],[4]AlarmCatalog!$A:$M,11,FALSE)</f>
        <v/>
      </c>
    </row>
    <row r="338" ht="16.5" customFormat="1" customHeight="1" s="67">
      <c r="A338" s="68" t="inlineStr">
        <is>
          <t>null@null___DESINIBIDA@INIBIDA___Custom_S_TS_SA</t>
        </is>
      </c>
      <c r="B338" s="68" t="inlineStr"/>
      <c r="C338" s="68" t="inlineStr">
        <is>
          <t>Transit;DESINIBIDA;INIBIDA;Error</t>
        </is>
      </c>
      <c r="D338" s="68" t="inlineStr">
        <is>
          <t>0;1;2;3</t>
        </is>
      </c>
      <c r="E338" s="68" t="inlineStr">
        <is>
          <t>2;0;1;3</t>
        </is>
      </c>
      <c r="F338" s="68" t="inlineStr">
        <is>
          <t>;;;</t>
        </is>
      </c>
      <c r="G338" s="68" t="inlineStr">
        <is>
          <t>#FF000000;#FF00FF00;#FFFF0000;#FFA9A9A9</t>
        </is>
      </c>
      <c r="H338" s="68" t="inlineStr">
        <is>
          <t>Abnormal;Auto;Auto;Abnormal</t>
        </is>
      </c>
      <c r="I338" s="68" t="inlineStr">
        <is>
          <t>FALSE;TRUE;TRUE;FALSE</t>
        </is>
      </c>
      <c r="J338" s="68" t="n"/>
      <c r="K338" s="69" t="inlineStr">
        <is>
          <t>Alarme de Estado em Ponto Telessinalizado SA</t>
        </is>
      </c>
      <c r="L338" s="69">
        <f>VLOOKUP(LinkTable6789[[#This Row],[Coluna1]],[4]AlarmCatalog!$A:$M,11,FALSE)</f>
        <v/>
      </c>
    </row>
    <row r="339" ht="16.5" customFormat="1" customHeight="1" s="67">
      <c r="A339" s="68" t="inlineStr">
        <is>
          <t>null@null___LIGADO@DESLIGADO___Custom_S_TS_SA</t>
        </is>
      </c>
      <c r="B339" s="68" t="inlineStr"/>
      <c r="C339" s="68" t="inlineStr">
        <is>
          <t>Transit;LIGADO;DESLIGADO;Error</t>
        </is>
      </c>
      <c r="D339" s="68" t="inlineStr">
        <is>
          <t>0;1;2;3</t>
        </is>
      </c>
      <c r="E339" s="68" t="inlineStr">
        <is>
          <t>2;0;1;3</t>
        </is>
      </c>
      <c r="F339" s="68" t="inlineStr">
        <is>
          <t>;;;</t>
        </is>
      </c>
      <c r="G339" s="68" t="inlineStr">
        <is>
          <t>#FF000000;#FF00FF00;#FFFF0000;#FFA9A9A9</t>
        </is>
      </c>
      <c r="H339" s="68" t="inlineStr">
        <is>
          <t>Abnormal;Auto;Auto;Abnormal</t>
        </is>
      </c>
      <c r="I339" s="68" t="inlineStr">
        <is>
          <t>FALSE;TRUE;TRUE;FALSE</t>
        </is>
      </c>
      <c r="J339" s="68" t="inlineStr">
        <is>
          <t>Alarme de Estado em Ponto Telessinalizado SA</t>
        </is>
      </c>
      <c r="K339" s="69" t="inlineStr">
        <is>
          <t>Alarme de Estado em Ponto Telessinalizado SA</t>
        </is>
      </c>
      <c r="L339" s="69">
        <f>VLOOKUP(LinkTable6789[[#This Row],[Coluna1]],[4]AlarmCatalog!$A:$M,11,FALSE)</f>
        <v/>
      </c>
    </row>
    <row r="340" ht="16.5" customFormat="1" customHeight="1" s="67">
      <c r="A340" s="68" t="inlineStr">
        <is>
          <t>null@null___DESATRACADO@ATRACADO___Custom___INV_S_TS_SA</t>
        </is>
      </c>
      <c r="B340" s="68" t="inlineStr"/>
      <c r="C340" s="68" t="inlineStr">
        <is>
          <t>Transit;DESATRACADO;ATRACADO;Error</t>
        </is>
      </c>
      <c r="D340" s="68" t="inlineStr">
        <is>
          <t>0;1;2;3</t>
        </is>
      </c>
      <c r="E340" s="68" t="inlineStr">
        <is>
          <t>2;1;0;3</t>
        </is>
      </c>
      <c r="F340" s="68" t="inlineStr">
        <is>
          <t>;;;</t>
        </is>
      </c>
      <c r="G340" s="68" t="inlineStr">
        <is>
          <t>#FF000000;#FF00FF00;#FFFF0000;#FFA9A9A9</t>
        </is>
      </c>
      <c r="H340" s="68" t="inlineStr">
        <is>
          <t>Abnormal;Auto;Auto;Abnormal</t>
        </is>
      </c>
      <c r="I340" s="68" t="inlineStr">
        <is>
          <t>FALSE;TRUE;TRUE;FALSE</t>
        </is>
      </c>
      <c r="J340" s="68" t="inlineStr">
        <is>
          <t>Alarme de Estado em Ponto Telessinalizado SA</t>
        </is>
      </c>
      <c r="K340" s="69" t="inlineStr">
        <is>
          <t>Alarme de Estado em Ponto Telessinalizado SA</t>
        </is>
      </c>
      <c r="L340" s="69">
        <f>VLOOKUP(LinkTable6789[[#This Row],[Coluna1]],[4]AlarmCatalog!$A:$M,11,FALSE)</f>
        <v/>
      </c>
    </row>
    <row r="341" ht="16.5" customFormat="1" customHeight="1" s="67">
      <c r="A341" s="68" t="inlineStr">
        <is>
          <t>null@null___NORMALIZADO@TENSAO RETORNO___Custom_S_TS_SA</t>
        </is>
      </c>
      <c r="B341" s="68" t="inlineStr"/>
      <c r="C341" s="68" t="inlineStr">
        <is>
          <t>Transit;NORMALIZADO;TENSAO RETORNO;Error</t>
        </is>
      </c>
      <c r="D341" s="68" t="inlineStr">
        <is>
          <t>0;1;2;3</t>
        </is>
      </c>
      <c r="E341" s="68" t="inlineStr">
        <is>
          <t>2;0;1;3</t>
        </is>
      </c>
      <c r="F341" s="68" t="inlineStr">
        <is>
          <t>;;;</t>
        </is>
      </c>
      <c r="G341" s="68" t="inlineStr">
        <is>
          <t>#FF000000;#FF00FF00;#FFFF0000;#FFA9A9A9</t>
        </is>
      </c>
      <c r="H341" s="68" t="inlineStr">
        <is>
          <t>Abnormal;Auto;Auto;Abnormal</t>
        </is>
      </c>
      <c r="I341" s="68" t="inlineStr">
        <is>
          <t>FALSE;TRUE;TRUE;FALSE</t>
        </is>
      </c>
      <c r="J341" s="68" t="inlineStr">
        <is>
          <t>Alarme de Estado em Ponto Telessinalizado SA</t>
        </is>
      </c>
      <c r="K341" s="69" t="inlineStr">
        <is>
          <t>Alarme de Estado em Ponto Telessinalizado SA</t>
        </is>
      </c>
      <c r="L341" s="69">
        <f>VLOOKUP(LinkTable6789[[#This Row],[Coluna1]],[4]AlarmCatalog!$A:$M,11,FALSE)</f>
        <v/>
      </c>
    </row>
    <row r="342" ht="16.5" customFormat="1" customHeight="1" s="67">
      <c r="A342" s="68" t="inlineStr">
        <is>
          <t>null@null___NORMAL@ATUADO___RelayTrip___INV_S_TS_SA</t>
        </is>
      </c>
      <c r="B342" s="68" t="inlineStr"/>
      <c r="C342" s="68" t="inlineStr">
        <is>
          <t>Transit;NORMAL;ATUADO;Error</t>
        </is>
      </c>
      <c r="D342" s="68" t="inlineStr">
        <is>
          <t>0;1;2;3</t>
        </is>
      </c>
      <c r="E342" s="68" t="inlineStr">
        <is>
          <t>2;1;0;3</t>
        </is>
      </c>
      <c r="F342" s="68" t="inlineStr">
        <is>
          <t>;;;</t>
        </is>
      </c>
      <c r="G342" s="68" t="inlineStr">
        <is>
          <t>#FF000000;#FF00FF00;#FFFF0000;#FFA9A9A9</t>
        </is>
      </c>
      <c r="H342" s="68" t="inlineStr">
        <is>
          <t>Abnormal;Auto;Auto;Abnormal</t>
        </is>
      </c>
      <c r="I342" s="68" t="inlineStr">
        <is>
          <t>FALSE;TRUE;TRUE;FALSE</t>
        </is>
      </c>
      <c r="J342" s="68" t="inlineStr">
        <is>
          <t>Alarme de Estado em Ponto Telessinalizado SA</t>
        </is>
      </c>
      <c r="K342" s="69" t="inlineStr">
        <is>
          <t>Alarme de Estado em Ponto Telessinalizado SA</t>
        </is>
      </c>
      <c r="L342" s="69">
        <f>VLOOKUP(LinkTable6789[[#This Row],[Coluna1]],[4]AlarmCatalog!$A:$M,11,FALSE)</f>
        <v/>
      </c>
    </row>
    <row r="343" ht="16.5" customFormat="1" customHeight="1" s="67">
      <c r="A343" s="68" t="inlineStr">
        <is>
          <t>RELIGADOR@ALTERNATIVO___null@null___Custom_S_TC_SA</t>
        </is>
      </c>
      <c r="B343" s="68" t="inlineStr"/>
      <c r="C343" s="68" t="inlineStr">
        <is>
          <t>Transit;;;Error</t>
        </is>
      </c>
      <c r="D343" s="68" t="inlineStr">
        <is>
          <t>0;1;2;3</t>
        </is>
      </c>
      <c r="E343" s="68" t="inlineStr">
        <is>
          <t>2;0;1;3</t>
        </is>
      </c>
      <c r="F343" s="68" t="inlineStr">
        <is>
          <t>;RELIGADOR;ALTERNATIVO;</t>
        </is>
      </c>
      <c r="G343" s="68" t="inlineStr">
        <is>
          <t>#FF000000;#FF00FF00;#FFFF0000;#FFA9A9A9</t>
        </is>
      </c>
      <c r="H343" s="68" t="inlineStr">
        <is>
          <t>Normal;Normal;Normal;Normal</t>
        </is>
      </c>
      <c r="I343" s="68" t="inlineStr">
        <is>
          <t>FALSE;TRUE;TRUE;FALSE</t>
        </is>
      </c>
      <c r="J343" s="68" t="inlineStr">
        <is>
          <t>Alarme de Estado em Ponto Telecontrolado SA</t>
        </is>
      </c>
      <c r="K343" s="69" t="inlineStr">
        <is>
          <t>Alarme de Estado em Ponto Telecontrolado SA</t>
        </is>
      </c>
      <c r="L343" s="69">
        <f>VLOOKUP(LinkTable6789[[#This Row],[Coluna1]],[4]AlarmCatalog!$A:$M,11,FALSE)</f>
        <v/>
      </c>
    </row>
    <row r="344" ht="16.5" customFormat="1" customHeight="1" s="67">
      <c r="A344" s="68" t="inlineStr">
        <is>
          <t>null@null___NORMAL@INTERMITENTE___Custom_S_TS_SA</t>
        </is>
      </c>
      <c r="B344" s="68" t="inlineStr"/>
      <c r="C344" s="68" t="inlineStr">
        <is>
          <t>Transit;NORMAL;INTERMITENTE;Error</t>
        </is>
      </c>
      <c r="D344" s="68" t="inlineStr">
        <is>
          <t>0;1;2;3</t>
        </is>
      </c>
      <c r="E344" s="68" t="inlineStr">
        <is>
          <t>2;0;1;3</t>
        </is>
      </c>
      <c r="F344" s="68" t="inlineStr">
        <is>
          <t>;;;</t>
        </is>
      </c>
      <c r="G344" s="68" t="inlineStr">
        <is>
          <t>#FF000000;#FF00FF00;#FFFF0000;#FFA9A9A9</t>
        </is>
      </c>
      <c r="H344" s="68" t="inlineStr">
        <is>
          <t>Abnormal;Auto;Auto;Abnormal</t>
        </is>
      </c>
      <c r="I344" s="68" t="inlineStr">
        <is>
          <t>FALSE;TRUE;TRUE;FALSE</t>
        </is>
      </c>
      <c r="J344" s="68" t="inlineStr">
        <is>
          <t>Alarme de Estado em Ponto Telessinalizado SA</t>
        </is>
      </c>
      <c r="K344" s="69" t="inlineStr">
        <is>
          <t>Alarme de Estado em Ponto Telessinalizado SA</t>
        </is>
      </c>
      <c r="L344" s="69">
        <f>VLOOKUP(LinkTable6789[[#This Row],[Coluna1]],[4]AlarmCatalog!$A:$M,11,FALSE)</f>
        <v/>
      </c>
    </row>
    <row r="345" ht="16.5" customFormat="1" customHeight="1" s="67">
      <c r="A345" s="68" t="inlineStr">
        <is>
          <t>null@null___DESABILITADO@HABILITADO___Custom6_S_TS</t>
        </is>
      </c>
      <c r="B345" s="68" t="inlineStr"/>
      <c r="C345" s="68" t="inlineStr">
        <is>
          <t>Transit;DESABILITADO;HABILITADO;Error</t>
        </is>
      </c>
      <c r="D345" s="68" t="inlineStr">
        <is>
          <t>0;1;2;3</t>
        </is>
      </c>
      <c r="E345" s="68" t="inlineStr">
        <is>
          <t>2;0;1;3</t>
        </is>
      </c>
      <c r="F345" s="68" t="inlineStr">
        <is>
          <t>;;;</t>
        </is>
      </c>
      <c r="G345" s="68" t="inlineStr">
        <is>
          <t>#FF000000;#FF00FF00;#FFFF0000;#FFA9A9A9</t>
        </is>
      </c>
      <c r="H345" s="68" t="inlineStr">
        <is>
          <t>Normal;Normal;Normal;Normal</t>
        </is>
      </c>
      <c r="I345" s="68" t="inlineStr">
        <is>
          <t>FALSE;TRUE;TRUE;FALSE</t>
        </is>
      </c>
      <c r="J345" s="68" t="inlineStr">
        <is>
          <t>Alarme de Estado em Ponto Telessinalizado</t>
        </is>
      </c>
      <c r="K345" s="69" t="inlineStr">
        <is>
          <t>Alarme de Estado em Ponto Telessinalizado</t>
        </is>
      </c>
      <c r="L345" s="69">
        <f>VLOOKUP(LinkTable6789[[#This Row],[Coluna1]],[4]AlarmCatalog!$A:$M,11,FALSE)</f>
        <v/>
      </c>
    </row>
    <row r="346" ht="16.5" customFormat="1" customHeight="1" s="67">
      <c r="A346" s="68" t="inlineStr">
        <is>
          <t>null@null___CARREGADA@DESCARREGADA___Custom_S_TS_SA</t>
        </is>
      </c>
      <c r="B346" s="68" t="inlineStr"/>
      <c r="C346" s="68" t="inlineStr">
        <is>
          <t>Transit;CARREGADA;DESCARREGADA;Error</t>
        </is>
      </c>
      <c r="D346" s="68" t="inlineStr">
        <is>
          <t>0;1;2;3</t>
        </is>
      </c>
      <c r="E346" s="68" t="inlineStr">
        <is>
          <t>2;0;1;3</t>
        </is>
      </c>
      <c r="F346" s="68" t="inlineStr">
        <is>
          <t>;;;</t>
        </is>
      </c>
      <c r="G346" s="68" t="inlineStr">
        <is>
          <t>#FF000000;#FF00FF00;#FFFF0000;#FFA9A9A9</t>
        </is>
      </c>
      <c r="H346" s="68" t="inlineStr">
        <is>
          <t>Abnormal;Auto;Auto;Abnormal</t>
        </is>
      </c>
      <c r="I346" s="68" t="inlineStr">
        <is>
          <t>FALSE;TRUE;TRUE;FALSE</t>
        </is>
      </c>
      <c r="J346" s="68" t="inlineStr">
        <is>
          <t>Alarme de Estado em Ponto Telessinalizado SA</t>
        </is>
      </c>
      <c r="K346" s="69" t="inlineStr">
        <is>
          <t>Alarme de Estado em Ponto Telessinalizado SA</t>
        </is>
      </c>
      <c r="L346" s="69">
        <f>VLOOKUP(LinkTable6789[[#This Row],[Coluna1]],[4]AlarmCatalog!$A:$M,11,FALSE)</f>
        <v/>
      </c>
    </row>
    <row r="347" ht="16.5" customFormat="1" customHeight="1" s="67">
      <c r="A347" s="68" t="inlineStr">
        <is>
          <t>null@null___NORMAL@ATUADO___RelayTrip_D_TS_SA</t>
        </is>
      </c>
      <c r="B347" s="68" t="inlineStr"/>
      <c r="C347" s="68" t="inlineStr">
        <is>
          <t>Transit;NORMAL;ATUADO;Error</t>
        </is>
      </c>
      <c r="D347" s="68" t="inlineStr">
        <is>
          <t>0;1;2;3</t>
        </is>
      </c>
      <c r="E347" s="68" t="inlineStr">
        <is>
          <t>2;0;1;3</t>
        </is>
      </c>
      <c r="F347" s="68" t="inlineStr">
        <is>
          <t>;;;</t>
        </is>
      </c>
      <c r="G347" s="68" t="inlineStr">
        <is>
          <t>#FF000000;#FF00FF00;#FFFF0000;#FFA9A9A9</t>
        </is>
      </c>
      <c r="H347" s="68" t="inlineStr">
        <is>
          <t>Abnormal;Normal;Normal;Normal</t>
        </is>
      </c>
      <c r="I347" s="68" t="inlineStr">
        <is>
          <t>FALSE;TRUE;TRUE;FALSE</t>
        </is>
      </c>
      <c r="J347" s="68" t="inlineStr">
        <is>
          <t>Alarme de Estado em Ponto Telessinalizado SA</t>
        </is>
      </c>
      <c r="K347" s="69" t="inlineStr">
        <is>
          <t>Alarme de Estado em Ponto Telessinalizado SA</t>
        </is>
      </c>
      <c r="L347" s="69">
        <f>VLOOKUP(LinkTable6789[[#This Row],[Coluna1]],[4]AlarmCatalog!$A:$M,11,FALSE)</f>
        <v/>
      </c>
    </row>
    <row r="348" ht="16.5" customFormat="1" customHeight="1" s="67">
      <c r="A348" s="68" t="inlineStr">
        <is>
          <t>null@null___NORMAL@INCOMPLETA___Custom_S_TS_SA</t>
        </is>
      </c>
      <c r="B348" s="68" t="inlineStr"/>
      <c r="C348" s="68" t="inlineStr">
        <is>
          <t>Transit;NORMAL;INCOMPLETA;Error</t>
        </is>
      </c>
      <c r="D348" s="68" t="inlineStr">
        <is>
          <t>0;1;2;3</t>
        </is>
      </c>
      <c r="E348" s="68" t="inlineStr">
        <is>
          <t>2;0;1;3</t>
        </is>
      </c>
      <c r="F348" s="68" t="inlineStr">
        <is>
          <t>;;;</t>
        </is>
      </c>
      <c r="G348" s="68" t="inlineStr">
        <is>
          <t>#FF000000;#FF00FF00;#FFFF0000;#FFA9A9A9</t>
        </is>
      </c>
      <c r="H348" s="68" t="inlineStr">
        <is>
          <t>Abnormal;Auto;Auto;Abnormal</t>
        </is>
      </c>
      <c r="I348" s="68" t="inlineStr">
        <is>
          <t>FALSE;TRUE;TRUE;FALSE</t>
        </is>
      </c>
      <c r="J348" s="68" t="inlineStr">
        <is>
          <t>Alarme de Estado em Ponto Telessinalizado SA</t>
        </is>
      </c>
      <c r="K348" s="69" t="inlineStr">
        <is>
          <t>Alarme de Estado em Ponto Telessinalizado SA</t>
        </is>
      </c>
      <c r="L348" s="69">
        <f>VLOOKUP(LinkTable6789[[#This Row],[Coluna1]],[4]AlarmCatalog!$A:$M,11,FALSE)</f>
        <v/>
      </c>
    </row>
    <row r="349" ht="16.5" customFormat="1" customHeight="1" s="67">
      <c r="A349" s="68" t="inlineStr">
        <is>
          <t>INCLUIR@EXCLUIR___INCLUIDO@EXCLUIDO___Custom_S_TC</t>
        </is>
      </c>
      <c r="B349" s="68" t="inlineStr"/>
      <c r="C349" s="68" t="inlineStr">
        <is>
          <t>Transit;INCLUIDO;EXCLUIDO;Error</t>
        </is>
      </c>
      <c r="D349" s="68" t="inlineStr">
        <is>
          <t>0;1;2;3</t>
        </is>
      </c>
      <c r="E349" s="68" t="inlineStr">
        <is>
          <t>2;0;1;3</t>
        </is>
      </c>
      <c r="F349" s="68" t="inlineStr">
        <is>
          <t>;INCLUIR;EXCLUIR;</t>
        </is>
      </c>
      <c r="G349" s="68" t="inlineStr">
        <is>
          <t>#FF000000;#FFFF0000;#FF00FF00;#FFA9A9A9</t>
        </is>
      </c>
      <c r="H349" s="68" t="inlineStr">
        <is>
          <t>Abnormal;Auto;Auto;Abnormal</t>
        </is>
      </c>
      <c r="I349" s="68" t="inlineStr">
        <is>
          <t>FALSE;TRUE;TRUE;FALSE</t>
        </is>
      </c>
      <c r="J349" s="68" t="inlineStr">
        <is>
          <t>Alarme de Estado em Ponto Telecontrolado</t>
        </is>
      </c>
      <c r="K349" s="69" t="inlineStr">
        <is>
          <t>Alarme de Estado em Ponto Telecontrolado</t>
        </is>
      </c>
      <c r="L349" s="69">
        <f>VLOOKUP(LinkTable6789[[#This Row],[Coluna1]],[4]AlarmCatalog!$A:$M,11,FALSE)</f>
        <v/>
      </c>
    </row>
    <row r="350" ht="16.5" customFormat="1" customHeight="1" s="67">
      <c r="A350" s="68" t="inlineStr">
        <is>
          <t>null@null___CARGA@DESCARGA___Custom_S_TS_SA</t>
        </is>
      </c>
      <c r="B350" s="68" t="inlineStr"/>
      <c r="C350" s="68" t="inlineStr">
        <is>
          <t>Transit;CARGA;DESCARGA;Error</t>
        </is>
      </c>
      <c r="D350" s="68" t="inlineStr">
        <is>
          <t>0;1;2;3</t>
        </is>
      </c>
      <c r="E350" s="68" t="inlineStr">
        <is>
          <t>2;0;1;3</t>
        </is>
      </c>
      <c r="F350" s="68" t="inlineStr">
        <is>
          <t>;;;</t>
        </is>
      </c>
      <c r="G350" s="68" t="inlineStr">
        <is>
          <t>#FF000000;#FF00FF00;#FFFF0000;#FFA9A9A9</t>
        </is>
      </c>
      <c r="H350" s="68" t="inlineStr">
        <is>
          <t>Abnormal;Auto;Auto;Abnormal</t>
        </is>
      </c>
      <c r="I350" s="68" t="inlineStr">
        <is>
          <t>FALSE;TRUE;TRUE;FALSE</t>
        </is>
      </c>
      <c r="J350" s="68" t="inlineStr">
        <is>
          <t>Alarme de Estado em Ponto Telessinalizado SA</t>
        </is>
      </c>
      <c r="K350" s="69" t="inlineStr">
        <is>
          <t>Alarme de Estado em Ponto Telessinalizado SA</t>
        </is>
      </c>
      <c r="L350" s="69">
        <f>VLOOKUP(LinkTable6789[[#This Row],[Coluna1]],[4]AlarmCatalog!$A:$M,11,FALSE)</f>
        <v/>
      </c>
    </row>
    <row r="351" ht="16.5" customFormat="1" customHeight="1" s="67">
      <c r="A351" s="68" t="inlineStr">
        <is>
          <t>null@null___NORMAL@DISCREPANCIA___Custom___INV_S_TS_SA</t>
        </is>
      </c>
      <c r="B351" s="68" t="inlineStr"/>
      <c r="C351" s="68" t="inlineStr">
        <is>
          <t>Transit;NORMAL;DISCREPANCIA;Error</t>
        </is>
      </c>
      <c r="D351" s="68" t="inlineStr">
        <is>
          <t>0;1;2;3</t>
        </is>
      </c>
      <c r="E351" s="68" t="inlineStr">
        <is>
          <t>2;1;0;3</t>
        </is>
      </c>
      <c r="F351" s="68" t="inlineStr">
        <is>
          <t>;;;</t>
        </is>
      </c>
      <c r="G351" s="68" t="inlineStr">
        <is>
          <t>#FF000000;#FF00FF00;#FFFF0000;#FFA9A9A9</t>
        </is>
      </c>
      <c r="H351" s="68" t="inlineStr">
        <is>
          <t>Abnormal;Auto;Auto;Abnormal</t>
        </is>
      </c>
      <c r="I351" s="68" t="inlineStr">
        <is>
          <t>FALSE;TRUE;TRUE;FALSE</t>
        </is>
      </c>
      <c r="J351" s="68" t="inlineStr">
        <is>
          <t>Alarme de Estado em Ponto Telessinalizado SA</t>
        </is>
      </c>
      <c r="K351" s="69" t="inlineStr">
        <is>
          <t>Alarme de Estado em Ponto Telessinalizado SA</t>
        </is>
      </c>
      <c r="L351" s="69">
        <f>VLOOKUP(LinkTable6789[[#This Row],[Coluna1]],[4]AlarmCatalog!$A:$M,11,FALSE)</f>
        <v/>
      </c>
    </row>
    <row r="352" ht="16.5" customFormat="1" customHeight="1" s="67">
      <c r="A352" s="68" t="inlineStr">
        <is>
          <t>CMD_CEEE@CMD_RGE___CEEE@RGE___Custom___INV___admsINV_S_TC_SA</t>
        </is>
      </c>
      <c r="B352" s="68" t="inlineStr"/>
      <c r="C352" s="68" t="inlineStr">
        <is>
          <t>Transit;CEEE;RGE;Error</t>
        </is>
      </c>
      <c r="D352" s="68" t="inlineStr">
        <is>
          <t>0;2;1;3</t>
        </is>
      </c>
      <c r="E352" s="68" t="inlineStr">
        <is>
          <t>2;1;0;3</t>
        </is>
      </c>
      <c r="F352" s="68" t="inlineStr">
        <is>
          <t>;CMD_CEEE;CMD_RGE;</t>
        </is>
      </c>
      <c r="G352" s="68" t="inlineStr">
        <is>
          <t>#FF000000;#FF00FF00;#FFFF0000;#FFA9A9A9</t>
        </is>
      </c>
      <c r="H352" s="68" t="inlineStr">
        <is>
          <t>Abnormal;Auto;Auto;Abnormal</t>
        </is>
      </c>
      <c r="I352" s="68" t="inlineStr">
        <is>
          <t>FALSE;TRUE;TRUE;FALSE</t>
        </is>
      </c>
      <c r="J352" s="68" t="inlineStr">
        <is>
          <t>Alarme de Estado em Ponto Telecontrolado SA</t>
        </is>
      </c>
      <c r="K352" s="69" t="inlineStr">
        <is>
          <t>Alarme de Estado em Ponto Telecontrolado SA</t>
        </is>
      </c>
      <c r="L352" s="69">
        <f>VLOOKUP(LinkTable6789[[#This Row],[Coluna1]],[4]AlarmCatalog!$A:$M,11,FALSE)</f>
        <v/>
      </c>
    </row>
    <row r="353" ht="16.5" customFormat="1" customHeight="1" s="67">
      <c r="A353" s="68" t="inlineStr">
        <is>
          <t>null@null___OPERANDO@BLOQUEADO___Custom_S_TS_SA</t>
        </is>
      </c>
      <c r="B353" s="68" t="inlineStr"/>
      <c r="C353" s="68" t="inlineStr">
        <is>
          <t>Transit;OPERANDO;BLOQUEADO;Error</t>
        </is>
      </c>
      <c r="D353" s="68" t="inlineStr">
        <is>
          <t>0;1;2;3</t>
        </is>
      </c>
      <c r="E353" s="68" t="inlineStr">
        <is>
          <t>2;0;1;3</t>
        </is>
      </c>
      <c r="F353" s="68" t="inlineStr">
        <is>
          <t>;;;</t>
        </is>
      </c>
      <c r="G353" s="68" t="inlineStr">
        <is>
          <t>#FF000000;#FF00FF00;#FFFF0000;#FFA9A9A9</t>
        </is>
      </c>
      <c r="H353" s="68" t="inlineStr">
        <is>
          <t>Abnormal;Auto;Auto;Abnormal</t>
        </is>
      </c>
      <c r="I353" s="68" t="inlineStr">
        <is>
          <t>FALSE;TRUE;TRUE;FALSE</t>
        </is>
      </c>
      <c r="J353" s="68" t="inlineStr">
        <is>
          <t>Alarme de Estado em Ponto Telessinalizado SA</t>
        </is>
      </c>
      <c r="K353" s="69" t="inlineStr">
        <is>
          <t>Alarme de Estado em Ponto Telessinalizado SA</t>
        </is>
      </c>
      <c r="L353" s="69">
        <f>VLOOKUP(LinkTable6789[[#This Row],[Coluna1]],[4]AlarmCatalog!$A:$M,11,FALSE)</f>
        <v/>
      </c>
    </row>
    <row r="354" ht="16.5" customFormat="1" customHeight="1" s="67">
      <c r="A354" s="68" t="inlineStr">
        <is>
          <t>null@null___NORMAL@RECEBIDO___Custom_S_TS_SA</t>
        </is>
      </c>
      <c r="B354" s="68" t="inlineStr"/>
      <c r="C354" s="68" t="inlineStr">
        <is>
          <t>Transit;NORMAL;RECEBIDO;Error</t>
        </is>
      </c>
      <c r="D354" s="68" t="inlineStr">
        <is>
          <t>0;1;2;3</t>
        </is>
      </c>
      <c r="E354" s="68" t="inlineStr">
        <is>
          <t>2;0;1;3</t>
        </is>
      </c>
      <c r="F354" s="68" t="inlineStr">
        <is>
          <t>;;;</t>
        </is>
      </c>
      <c r="G354" s="68" t="inlineStr">
        <is>
          <t>#FF000000;#FF00FF00;#FFFF0000;#FFA9A9A9</t>
        </is>
      </c>
      <c r="H354" s="68" t="inlineStr">
        <is>
          <t>Abnormal;Auto;Auto;Abnormal</t>
        </is>
      </c>
      <c r="I354" s="68" t="inlineStr">
        <is>
          <t>FALSE;TRUE;TRUE;FALSE</t>
        </is>
      </c>
      <c r="J354" s="68" t="inlineStr">
        <is>
          <t>Alarme de Estado em Ponto Telessinalizado SA</t>
        </is>
      </c>
      <c r="K354" s="69" t="inlineStr">
        <is>
          <t>Alarme de Estado em Ponto Telessinalizado SA</t>
        </is>
      </c>
      <c r="L354" s="69">
        <f>VLOOKUP(LinkTable6789[[#This Row],[Coluna1]],[4]AlarmCatalog!$A:$M,11,FALSE)</f>
        <v/>
      </c>
    </row>
    <row r="355" ht="16.5" customFormat="1" customHeight="1" s="67">
      <c r="A355" s="68" t="inlineStr">
        <is>
          <t>null@null___NORMAL@TRANSMITIDO___Custom_S_TS_SA</t>
        </is>
      </c>
      <c r="B355" s="68" t="inlineStr"/>
      <c r="C355" s="68" t="inlineStr">
        <is>
          <t>Transit;NORMAL;TRANSMITIDO;Error</t>
        </is>
      </c>
      <c r="D355" s="68" t="inlineStr">
        <is>
          <t>0;1;2;3</t>
        </is>
      </c>
      <c r="E355" s="68" t="inlineStr">
        <is>
          <t>2;0;1;3</t>
        </is>
      </c>
      <c r="F355" s="68" t="inlineStr">
        <is>
          <t>;;;</t>
        </is>
      </c>
      <c r="G355" s="68" t="inlineStr">
        <is>
          <t>#FF000000;#FF00FF00;#FFFF0000;#FFA9A9A9</t>
        </is>
      </c>
      <c r="H355" s="68" t="inlineStr">
        <is>
          <t>Abnormal;Auto;Auto;Abnormal</t>
        </is>
      </c>
      <c r="I355" s="68" t="inlineStr">
        <is>
          <t>FALSE;TRUE;TRUE;FALSE</t>
        </is>
      </c>
      <c r="J355" s="68" t="inlineStr">
        <is>
          <t>Alarme de Estado em Ponto Telessinalizado SA</t>
        </is>
      </c>
      <c r="K355" s="69" t="inlineStr">
        <is>
          <t>Alarme de Estado em Ponto Telessinalizado SA</t>
        </is>
      </c>
      <c r="L355" s="69">
        <f>VLOOKUP(LinkTable6789[[#This Row],[Coluna1]],[4]AlarmCatalog!$A:$M,11,FALSE)</f>
        <v/>
      </c>
    </row>
    <row r="356" ht="16.5" customFormat="1" customHeight="1" s="67">
      <c r="A356" s="68" t="inlineStr">
        <is>
          <t>null@null___NORMAL@ATUADO___Custom___INV_S_TS_DA</t>
        </is>
      </c>
      <c r="B356" s="68" t="inlineStr"/>
      <c r="C356" s="68" t="inlineStr">
        <is>
          <t>Transit;NORMAL;ATUADO;Error</t>
        </is>
      </c>
      <c r="D356" s="68" t="inlineStr">
        <is>
          <t>0;1;2;3</t>
        </is>
      </c>
      <c r="E356" s="68" t="inlineStr">
        <is>
          <t>2;1;0;3</t>
        </is>
      </c>
      <c r="F356" s="68" t="inlineStr">
        <is>
          <t>;;;</t>
        </is>
      </c>
      <c r="G356" s="68" t="inlineStr">
        <is>
          <t>#FF000000;#FFFF0000;#FF00FF00;#FFA9A9A9</t>
        </is>
      </c>
      <c r="H356" s="68" t="inlineStr">
        <is>
          <t>Abnormal;Auto;Auto;Abnormal</t>
        </is>
      </c>
      <c r="I356" s="68" t="inlineStr">
        <is>
          <t>FALSE;TRUE;TRUE;FALSE</t>
        </is>
      </c>
      <c r="J356" s="68" t="inlineStr">
        <is>
          <t>Alarme de Estado em Ponto Telessinalizado DA</t>
        </is>
      </c>
      <c r="K356" s="69" t="inlineStr">
        <is>
          <t>Alarme de Estado em Ponto Telessinalizado DA</t>
        </is>
      </c>
      <c r="L356" s="69">
        <f>VLOOKUP(LinkTable6789[[#This Row],[Coluna1]],[4]AlarmCatalog!$A:$M,11,FALSE)</f>
        <v/>
      </c>
    </row>
    <row r="357" ht="16.5" customFormat="1" customHeight="1" s="67">
      <c r="A357" s="68" t="inlineStr">
        <is>
          <t>DI_null@null___CARREGADO@DESCARREGADO___Custom___INV_S_TS_Dax</t>
        </is>
      </c>
      <c r="B357" s="68" t="inlineStr"/>
      <c r="C357" s="68" t="inlineStr">
        <is>
          <t>Transit;CARREGADO;DESCARREGADO;Error</t>
        </is>
      </c>
      <c r="D357" s="68" t="inlineStr">
        <is>
          <t>0;1;2;3</t>
        </is>
      </c>
      <c r="E357" s="68" t="inlineStr">
        <is>
          <t>2;1;0;3</t>
        </is>
      </c>
      <c r="F357" s="68" t="inlineStr">
        <is>
          <t>;;;</t>
        </is>
      </c>
      <c r="G357" s="68" t="inlineStr">
        <is>
          <t>#FF000000;#FF00FF00;#FFFF0000;#FFA9A9A9</t>
        </is>
      </c>
      <c r="H357" s="68" t="inlineStr">
        <is>
          <t>Abnormal;Auto;Auto;Abnormal</t>
        </is>
      </c>
      <c r="I357" s="68" t="inlineStr">
        <is>
          <t>FALSE;TRUE;TRUE;FALSE</t>
        </is>
      </c>
      <c r="J357" s="68" t="inlineStr">
        <is>
          <t>Alarme de Estado em Ponto Telessinalizado DAx</t>
        </is>
      </c>
      <c r="K357" s="69" t="inlineStr">
        <is>
          <t>Alarme de Estado em Ponto Telessinalizado DAx</t>
        </is>
      </c>
      <c r="L357" s="69">
        <f>VLOOKUP(LinkTable6789[[#This Row],[Coluna1]],[4]AlarmCatalog!$A:$M,11,FALSE)</f>
        <v/>
      </c>
    </row>
    <row r="358" ht="16.5" customFormat="1" customHeight="1" s="67">
      <c r="A358" s="68" t="inlineStr">
        <is>
          <t>DI_null@null___NORMAL@ATUADO___Custom_S_TS_Dax</t>
        </is>
      </c>
      <c r="B358" s="68" t="inlineStr"/>
      <c r="C358" s="68" t="inlineStr">
        <is>
          <t>Transit;NORMAL;ATUADO;Error</t>
        </is>
      </c>
      <c r="D358" s="68" t="inlineStr">
        <is>
          <t>0;1;2;3</t>
        </is>
      </c>
      <c r="E358" s="68" t="inlineStr">
        <is>
          <t>2;0;1;3</t>
        </is>
      </c>
      <c r="F358" s="68" t="inlineStr">
        <is>
          <t>;;;</t>
        </is>
      </c>
      <c r="G358" s="68" t="inlineStr">
        <is>
          <t>#FF000000;#FF00FF00;#FFFF0000;#FFA9A9A9</t>
        </is>
      </c>
      <c r="H358" s="68" t="inlineStr">
        <is>
          <t>Abnormal;Auto;Auto;Abnormal</t>
        </is>
      </c>
      <c r="I358" s="68" t="inlineStr">
        <is>
          <t>FALSE;TRUE;TRUE;FALSE</t>
        </is>
      </c>
      <c r="J358" s="68" t="inlineStr">
        <is>
          <t>Alarme de Estado em Ponto Telessinalizado DAx</t>
        </is>
      </c>
      <c r="K358" s="69" t="inlineStr">
        <is>
          <t>Alarme de Estado em Ponto Telessinalizado DAx</t>
        </is>
      </c>
      <c r="L358" s="69">
        <f>VLOOKUP(LinkTable6789[[#This Row],[Coluna1]],[4]AlarmCatalog!$A:$M,11,FALSE)</f>
        <v/>
      </c>
    </row>
    <row r="359" ht="16.5" customFormat="1" customHeight="1" s="67">
      <c r="A359" s="68" t="inlineStr">
        <is>
          <t>DESATIVAR@ATIVAR___DESATIVADO@ATIVADO___Custom___INV_S_TC_Sax</t>
        </is>
      </c>
      <c r="B359" s="68" t="inlineStr"/>
      <c r="C359" s="68" t="inlineStr">
        <is>
          <t>Transit;DESATIVADO;ATIVADO;Error</t>
        </is>
      </c>
      <c r="D359" s="68" t="inlineStr">
        <is>
          <t>0;1;2;3</t>
        </is>
      </c>
      <c r="E359" s="68" t="inlineStr">
        <is>
          <t>2;1;0;3</t>
        </is>
      </c>
      <c r="F359" s="68" t="inlineStr">
        <is>
          <t>;DESATIVAR;ATIVAR;</t>
        </is>
      </c>
      <c r="G359" s="68" t="inlineStr">
        <is>
          <t>#FF000000;#FF00FF00;#FFFF0000;#FFA9A9A9</t>
        </is>
      </c>
      <c r="H359" s="68" t="inlineStr">
        <is>
          <t>Abnormal;Auto;Auto;Abnormal</t>
        </is>
      </c>
      <c r="I359" s="68" t="inlineStr">
        <is>
          <t>FALSE;TRUE;TRUE;FALSE</t>
        </is>
      </c>
      <c r="J359" s="68" t="inlineStr">
        <is>
          <t>Alarme de Estado em Ponto Telecontrolado SAx</t>
        </is>
      </c>
      <c r="K359" s="69" t="inlineStr">
        <is>
          <t>Alarme de Estado em Ponto Telecontrolado SAx</t>
        </is>
      </c>
      <c r="L359" s="69">
        <f>VLOOKUP(LinkTable6789[[#This Row],[Coluna1]],[4]AlarmCatalog!$A:$M,11,FALSE)</f>
        <v/>
      </c>
    </row>
    <row r="360" ht="16.5" customFormat="1" customHeight="1" s="67">
      <c r="A360" s="68" t="inlineStr">
        <is>
          <t>DESATIVAR@ATIVAR___DESATIVADO@ATIVADO___Custom___INV_S_TS_Sax</t>
        </is>
      </c>
      <c r="B360" s="68" t="inlineStr"/>
      <c r="C360" s="68" t="inlineStr">
        <is>
          <t>Transit;DESATIVADO;ATIVADO;Error</t>
        </is>
      </c>
      <c r="D360" s="68" t="inlineStr">
        <is>
          <t>0;1;2;3</t>
        </is>
      </c>
      <c r="E360" s="68" t="inlineStr">
        <is>
          <t>2;1;0;3</t>
        </is>
      </c>
      <c r="F360" s="68" t="inlineStr">
        <is>
          <t>;;;</t>
        </is>
      </c>
      <c r="G360" s="68" t="inlineStr">
        <is>
          <t>#FF000000;#FF00FF00;#FFFF0000;#FFA9A9A9</t>
        </is>
      </c>
      <c r="H360" s="68" t="inlineStr">
        <is>
          <t>Normal;Normal;Normal;Normal</t>
        </is>
      </c>
      <c r="I360" s="68" t="inlineStr">
        <is>
          <t>FALSE;TRUE;TRUE;FALSE</t>
        </is>
      </c>
      <c r="J360" s="68" t="inlineStr">
        <is>
          <t>Alarme de Estado em Ponto Telessinalizado SAx</t>
        </is>
      </c>
      <c r="K360" s="69" t="inlineStr">
        <is>
          <t>Alarme de Estado em Ponto Telessinalizado SAx</t>
        </is>
      </c>
      <c r="L360" s="69">
        <f>VLOOKUP(LinkTable6789[[#This Row],[Coluna1]],[4]AlarmCatalog!$A:$M,11,FALSE)</f>
        <v/>
      </c>
    </row>
    <row r="361" ht="16.5" customFormat="1" customHeight="1" s="67">
      <c r="A361" s="68" t="inlineStr">
        <is>
          <t>null@null___DESLIGADO@LIGADO___SwitchStatus_S_TS_USO_BC</t>
        </is>
      </c>
      <c r="B361" s="68" t="inlineStr"/>
      <c r="C361" s="68" t="inlineStr">
        <is>
          <t>Transit;DESLIGADO;LIGADO;Error</t>
        </is>
      </c>
      <c r="D361" s="68" t="inlineStr">
        <is>
          <t>0;1;2;3</t>
        </is>
      </c>
      <c r="E361" s="68" t="inlineStr">
        <is>
          <t>2;0;1;3</t>
        </is>
      </c>
      <c r="F361" s="68" t="inlineStr">
        <is>
          <t>;DESLIGAR;LIGAR;</t>
        </is>
      </c>
      <c r="G361" s="68" t="inlineStr">
        <is>
          <t>#FF000000;#FF00FF00;#FFFF0000;#FFA9A9A9</t>
        </is>
      </c>
      <c r="H361" s="68" t="inlineStr">
        <is>
          <t>Abnormal;Normal;Normal;Abnormal</t>
        </is>
      </c>
      <c r="I361" s="68" t="inlineStr">
        <is>
          <t>FALSE;TRUE;TRUE;FALSE</t>
        </is>
      </c>
      <c r="J361" s="68" t="inlineStr">
        <is>
          <t>Alarme de Estado em Ponto Telessinalizado</t>
        </is>
      </c>
      <c r="K361" s="69" t="inlineStr">
        <is>
          <t>Alarme de Estado em Ponto Telessinalizado</t>
        </is>
      </c>
      <c r="L361" s="69">
        <f>VLOOKUP(LinkTable6789[[#This Row],[Coluna1]],[4]AlarmCatalog!$A:$M,11,FALSE)</f>
        <v/>
      </c>
    </row>
    <row r="362" ht="16.5" customFormat="1" customHeight="1" s="67">
      <c r="A362" s="68" t="inlineStr">
        <is>
          <t>null@null___NORMAL@REVERSO___Custom_S_TS</t>
        </is>
      </c>
      <c r="B362" s="68" t="inlineStr"/>
      <c r="C362" s="68" t="inlineStr">
        <is>
          <t>Error;NORMAL;REVERSO;Transit</t>
        </is>
      </c>
      <c r="D362" s="68" t="inlineStr">
        <is>
          <t>0;1;2;3</t>
        </is>
      </c>
      <c r="E362" s="68" t="inlineStr">
        <is>
          <t>2;0;1;3</t>
        </is>
      </c>
      <c r="F362" s="68" t="inlineStr">
        <is>
          <t>;;;</t>
        </is>
      </c>
      <c r="G362" s="68" t="inlineStr">
        <is>
          <t>#FF000000;#FF00FF00;#FFFF0000;#FFA9A9A9</t>
        </is>
      </c>
      <c r="H362" s="68" t="inlineStr">
        <is>
          <t>Abnormal;Auto;Auto;Abnormal</t>
        </is>
      </c>
      <c r="I362" s="68" t="inlineStr">
        <is>
          <t>FALSE;TRUE;TRUE;FALSE</t>
        </is>
      </c>
      <c r="J362" s="68" t="inlineStr">
        <is>
          <t>Alarme de Estado em Ponto Telessinalizado</t>
        </is>
      </c>
      <c r="K362" s="69" t="inlineStr">
        <is>
          <t>Alarme de Estado em Ponto Telessinalizado</t>
        </is>
      </c>
      <c r="L362" s="69">
        <f>VLOOKUP(LinkTable6789[[#This Row],[Coluna1]],[4]AlarmCatalog!$A:$M,11,FALSE)</f>
        <v/>
      </c>
    </row>
    <row r="363" ht="16.5" customFormat="1" customHeight="1" s="67">
      <c r="A363" s="68" t="inlineStr">
        <is>
          <t>DI_null@null___NORMAL@ATUADO___Custom_S_TS_A1</t>
        </is>
      </c>
      <c r="B363" s="68" t="inlineStr"/>
      <c r="C363" s="68" t="inlineStr">
        <is>
          <t>Transit;NORMAL;ATUADO;Error</t>
        </is>
      </c>
      <c r="D363" s="68" t="inlineStr">
        <is>
          <t>0;1;2;3</t>
        </is>
      </c>
      <c r="E363" s="68" t="inlineStr">
        <is>
          <t>2;0;1;3</t>
        </is>
      </c>
      <c r="F363" s="68" t="inlineStr">
        <is>
          <t>;;;</t>
        </is>
      </c>
      <c r="G363" s="68" t="inlineStr">
        <is>
          <t>#FF000000;#FF00FF00;#FFFF0000;#FFA9A9A9</t>
        </is>
      </c>
      <c r="H363" s="68" t="inlineStr">
        <is>
          <t>Abnormal;Normal;Abnormal;Abnormal</t>
        </is>
      </c>
      <c r="I363" s="68" t="inlineStr">
        <is>
          <t>FALSE;TRUE;TRUE;FALSE</t>
        </is>
      </c>
      <c r="J363" s="68" t="inlineStr">
        <is>
          <t>Alarme de Estado em Ponto Telessinalizado A1</t>
        </is>
      </c>
      <c r="K363" s="69" t="inlineStr">
        <is>
          <t>Alarme de Estado em Ponto Telessinalizado A1</t>
        </is>
      </c>
      <c r="L363" s="69">
        <f>VLOOKUP(LinkTable6789[[#This Row],[Coluna1]],[4]AlarmCatalog!$A:$M,11,FALSE)</f>
        <v/>
      </c>
    </row>
    <row r="364" ht="16.5" customFormat="1" customHeight="1" s="67">
      <c r="A364" s="68" t="inlineStr">
        <is>
          <t>DI_null@null___NORMAL@REVERSO___Custom_S_TS</t>
        </is>
      </c>
      <c r="B364" s="68" t="inlineStr"/>
      <c r="C364" s="68" t="inlineStr">
        <is>
          <t>Error;NORMAL;REVERSO;Transit</t>
        </is>
      </c>
      <c r="D364" s="68" t="inlineStr">
        <is>
          <t>0;1;2;3</t>
        </is>
      </c>
      <c r="E364" s="68" t="inlineStr">
        <is>
          <t>2;0;1;3</t>
        </is>
      </c>
      <c r="F364" s="68" t="inlineStr">
        <is>
          <t>;;;</t>
        </is>
      </c>
      <c r="G364" s="68" t="inlineStr">
        <is>
          <t>#FF000000;#FF00FF00;#FFFF0000;#FFA9A9A9</t>
        </is>
      </c>
      <c r="H364" s="68" t="inlineStr">
        <is>
          <t>Abnormal;Normal;Normal;Abnormal</t>
        </is>
      </c>
      <c r="I364" s="68" t="inlineStr">
        <is>
          <t>FALSE;TRUE;TRUE;FALSE</t>
        </is>
      </c>
      <c r="J364" s="68" t="inlineStr">
        <is>
          <t>Alarme de Estado em Ponto Telessinalizado</t>
        </is>
      </c>
      <c r="K364" s="69" t="inlineStr">
        <is>
          <t>Alarme de Estado em Ponto Telessinalizado</t>
        </is>
      </c>
      <c r="L364" s="69">
        <f>VLOOKUP(LinkTable6789[[#This Row],[Coluna1]],[4]AlarmCatalog!$A:$M,11,FALSE)</f>
        <v/>
      </c>
    </row>
    <row r="365" ht="16.5" customFormat="1" customHeight="1" s="67">
      <c r="A365" s="68" t="inlineStr">
        <is>
          <t>DI_null@null___NORMAL@ATUADO___Custom_Sinv_TS_A1</t>
        </is>
      </c>
      <c r="B365" s="68" t="inlineStr"/>
      <c r="C365" s="68" t="inlineStr">
        <is>
          <t>Transit;NORMAL;ATUADO;Error</t>
        </is>
      </c>
      <c r="D365" s="68" t="inlineStr">
        <is>
          <t>0;1;2;3</t>
        </is>
      </c>
      <c r="E365" s="68" t="inlineStr">
        <is>
          <t>2;1;0;3</t>
        </is>
      </c>
      <c r="F365" s="68" t="inlineStr">
        <is>
          <t>;;;</t>
        </is>
      </c>
      <c r="G365" s="68" t="inlineStr">
        <is>
          <t>#FF000000;#FF00FF00;#FFFF0000;#FFA9A9A9</t>
        </is>
      </c>
      <c r="H365" s="68" t="inlineStr">
        <is>
          <t>Abnormal;Normal;Abnormal;Abnormal</t>
        </is>
      </c>
      <c r="I365" s="68" t="inlineStr">
        <is>
          <t>FALSE;TRUE;TRUE;FALSE</t>
        </is>
      </c>
      <c r="J365" s="68" t="inlineStr">
        <is>
          <t>Alarme de Estado em Ponto Telessinalizado A1</t>
        </is>
      </c>
      <c r="K365" s="69" t="inlineStr">
        <is>
          <t>Alarme de Estado em Ponto Telessinalizado A1</t>
        </is>
      </c>
      <c r="L365" s="69">
        <f>VLOOKUP(LinkTable6789[[#This Row],[Coluna1]],[4]AlarmCatalog!$A:$M,11,FALSE)</f>
        <v/>
      </c>
    </row>
    <row r="366" ht="16.5" customFormat="1" customHeight="1" s="67">
      <c r="A366" s="68" t="inlineStr">
        <is>
          <t>DI_RELIGADOR@CHAVE___RELIGADOR@CHAVE___Custom6_S_TC_DV</t>
        </is>
      </c>
      <c r="B366" s="68" t="inlineStr"/>
      <c r="C366" s="68" t="inlineStr">
        <is>
          <t>Transit;RELIGADOR;CHAVE;Error</t>
        </is>
      </c>
      <c r="D366" s="68" t="inlineStr">
        <is>
          <t>0;2;1;3</t>
        </is>
      </c>
      <c r="E366" s="68" t="inlineStr">
        <is>
          <t>2;0;1;3</t>
        </is>
      </c>
      <c r="F366" s="68" t="inlineStr">
        <is>
          <t>;RELIGADOR;CHAVE;</t>
        </is>
      </c>
      <c r="G366" s="68" t="inlineStr">
        <is>
          <t>#FF000000;#FF00FF00;#FF00FF00;#FF000000</t>
        </is>
      </c>
      <c r="H366" s="68" t="inlineStr">
        <is>
          <t>Abnormal;Normal;Abnormal;Abnormal</t>
        </is>
      </c>
      <c r="I366" s="68" t="inlineStr">
        <is>
          <t>FALSE;TRUE;TRUE;FALSE</t>
        </is>
      </c>
      <c r="J366" s="68" t="inlineStr">
        <is>
          <t>Alarme de Estado em Ponto Telecontrolado DV</t>
        </is>
      </c>
      <c r="K366" s="69" t="inlineStr">
        <is>
          <t>Alarme de Estado em Ponto Telecontrolado DV</t>
        </is>
      </c>
      <c r="L366" s="69">
        <f>VLOOKUP(LinkTable6789[[#This Row],[Coluna1]],[4]AlarmCatalog!$A:$M,11,FALSE)</f>
        <v/>
      </c>
    </row>
    <row r="367" ht="16.5" customFormat="1" customHeight="1" s="67">
      <c r="A367" s="68" t="inlineStr">
        <is>
          <t>DI_null@null___ABERTO@FECHADO___Custom___S_TS_DP</t>
        </is>
      </c>
      <c r="B367" s="68" t="inlineStr"/>
      <c r="C367" s="68" t="inlineStr">
        <is>
          <t>Transit;ABERTO;FECHADO;Error</t>
        </is>
      </c>
      <c r="D367" s="68" t="inlineStr">
        <is>
          <t>0;1;2;3</t>
        </is>
      </c>
      <c r="E367" s="68" t="inlineStr">
        <is>
          <t>2;0;1;3</t>
        </is>
      </c>
      <c r="F367" s="68" t="inlineStr">
        <is>
          <t>;;;</t>
        </is>
      </c>
      <c r="G367" s="68" t="inlineStr">
        <is>
          <t>#FF000000;#FF00FF00;#FFFF0000;#FFA9A9A9</t>
        </is>
      </c>
      <c r="H367" s="68" t="inlineStr">
        <is>
          <t>Abnormal;Abnormal;Normal;Abnormal</t>
        </is>
      </c>
      <c r="I367" s="68" t="inlineStr">
        <is>
          <t>FALSE;TRUE;TRUE;FALSE</t>
        </is>
      </c>
      <c r="J367" s="68" t="inlineStr">
        <is>
          <t>Alarme de Estado em Ponto Telessinalizado DP</t>
        </is>
      </c>
      <c r="K367" s="69" t="inlineStr">
        <is>
          <t>Alarme de Estado em Ponto Telessinalizado DP</t>
        </is>
      </c>
      <c r="L367" s="69">
        <f>VLOOKUP(LinkTable6789[[#This Row],[Coluna1]],[4]AlarmCatalog!$A:$M,11,FALSE)</f>
        <v/>
      </c>
    </row>
    <row r="368" ht="16.5" customFormat="1" customHeight="1" s="67">
      <c r="A368" s="68" t="inlineStr">
        <is>
          <t>RELIGADOR@ALTERNATIVO___NORMAL@ALTERNATIVO___Custom_S_TS_DV</t>
        </is>
      </c>
      <c r="B368" s="68" t="inlineStr"/>
      <c r="C368" s="68" t="inlineStr">
        <is>
          <t>Transit;NORMAL;ALTERNATIVO;Error</t>
        </is>
      </c>
      <c r="D368" s="68" t="inlineStr">
        <is>
          <t>0;1;2;3</t>
        </is>
      </c>
      <c r="E368" s="68" t="inlineStr">
        <is>
          <t>2;0;1;3</t>
        </is>
      </c>
      <c r="F368" s="68" t="inlineStr">
        <is>
          <t>;;;</t>
        </is>
      </c>
      <c r="G368" s="68" t="inlineStr">
        <is>
          <t>#FF000000;#FF00FF00;#FFFF0000;#FFA9A9A9</t>
        </is>
      </c>
      <c r="H368" s="68" t="inlineStr">
        <is>
          <t>Normal;Normal;Normal;Normal</t>
        </is>
      </c>
      <c r="I368" s="68" t="inlineStr">
        <is>
          <t>FALSE;TRUE;TRUE;FALSE</t>
        </is>
      </c>
      <c r="J368" s="68" t="inlineStr">
        <is>
          <t>Alarme de Estado em Ponto Telessinalizado DV</t>
        </is>
      </c>
      <c r="K368" s="69" t="inlineStr">
        <is>
          <t>Alarme de Estado em Ponto Telessinalizado DV</t>
        </is>
      </c>
      <c r="L368" s="69">
        <f>VLOOKUP(LinkTable6789[[#This Row],[Coluna1]],[4]AlarmCatalog!$A:$M,11,FALSE)</f>
        <v/>
      </c>
    </row>
    <row r="369" ht="16.5" customFormat="1" customHeight="1" s="67">
      <c r="A369" s="68" t="inlineStr">
        <is>
          <t>G1@G2___GRUPO 1@GRUPO 2___Custom_D_TC_SV</t>
        </is>
      </c>
      <c r="B369" s="68" t="inlineStr"/>
      <c r="C369" s="68" t="inlineStr">
        <is>
          <t>Transit;GRUPO 1;GRUPO 2;Error</t>
        </is>
      </c>
      <c r="D369" s="68" t="inlineStr">
        <is>
          <t>0;1;2;3</t>
        </is>
      </c>
      <c r="E369" s="68" t="inlineStr">
        <is>
          <t>0;1;2;3</t>
        </is>
      </c>
      <c r="F369" s="68" t="inlineStr">
        <is>
          <t>;G1;G2;</t>
        </is>
      </c>
      <c r="G369" s="68" t="inlineStr">
        <is>
          <t>#FF000000;#FF00FF00;#FFFF0000;#FFA9A9A9</t>
        </is>
      </c>
      <c r="H369" s="68" t="inlineStr">
        <is>
          <t>Normal;Normal;Normal;Normal</t>
        </is>
      </c>
      <c r="I369" s="68" t="inlineStr">
        <is>
          <t>FALSE;TRUE;TRUE;FALSE</t>
        </is>
      </c>
      <c r="J369" s="68" t="inlineStr">
        <is>
          <t>Alarme de Estado em Ponto Telecontrolado SV</t>
        </is>
      </c>
      <c r="K369" s="69" t="inlineStr">
        <is>
          <t>Alarme de Estado em Ponto Telecontrolado SV</t>
        </is>
      </c>
      <c r="L369" s="69">
        <f>VLOOKUP(LinkTable6789[[#This Row],[Coluna1]],[4]AlarmCatalog!$A:$M,11,FALSE)</f>
        <v/>
      </c>
    </row>
    <row r="370" ht="16.5" customFormat="1" customHeight="1" s="67">
      <c r="A370" s="68" t="inlineStr">
        <is>
          <t>DI_null@null___ABERTO@FECHADO___Custom_S_TS_DP</t>
        </is>
      </c>
      <c r="B370" s="68" t="inlineStr"/>
      <c r="C370" s="68" t="inlineStr">
        <is>
          <t>Transit;ABERTO;FECHADO;Error</t>
        </is>
      </c>
      <c r="D370" s="68" t="inlineStr">
        <is>
          <t>0;1;2;3</t>
        </is>
      </c>
      <c r="E370" s="68" t="inlineStr">
        <is>
          <t>2;0;1;3</t>
        </is>
      </c>
      <c r="F370" s="68" t="inlineStr">
        <is>
          <t>;;;</t>
        </is>
      </c>
      <c r="G370" s="68" t="inlineStr">
        <is>
          <t>#FF000000;#FF00FF00;#FFFF0000;#FFA9A9A9</t>
        </is>
      </c>
      <c r="H370" s="68" t="inlineStr">
        <is>
          <t>Abnormal;Auto;Auto;Abnormal</t>
        </is>
      </c>
      <c r="I370" s="68" t="inlineStr">
        <is>
          <t>FALSE;TRUE;TRUE;FALSE</t>
        </is>
      </c>
      <c r="J370" s="68" t="inlineStr">
        <is>
          <t>Alarme de Estado em Ponto Telessinalizado DP</t>
        </is>
      </c>
      <c r="K370" s="69" t="inlineStr">
        <is>
          <t>Alarme de Estado em Ponto Telessinalizado DP</t>
        </is>
      </c>
      <c r="L370" s="69">
        <f>VLOOKUP(LinkTable6789[[#This Row],[Coluna1]],[4]AlarmCatalog!$A:$M,11,FALSE)</f>
        <v/>
      </c>
    </row>
    <row r="371" ht="16.5" customFormat="1" customHeight="1" s="67">
      <c r="A371" s="68" t="inlineStr">
        <is>
          <t>TROCA@null___NORMAL@ALTERNATIVO___Custom_S_TC_SV</t>
        </is>
      </c>
      <c r="B371" s="68" t="inlineStr"/>
      <c r="C371" s="68" t="inlineStr">
        <is>
          <t>Transit;NORMAL;ALTERNATIVO;Error</t>
        </is>
      </c>
      <c r="D371" s="68" t="inlineStr">
        <is>
          <t>0;1;2;3</t>
        </is>
      </c>
      <c r="E371" s="68" t="inlineStr">
        <is>
          <t>2;0;1;3</t>
        </is>
      </c>
      <c r="F371" s="68" t="inlineStr">
        <is>
          <t>;TROCA;;</t>
        </is>
      </c>
      <c r="G371" s="68" t="inlineStr">
        <is>
          <t>#FF000000;#FF00FF00;#FFFF0000;#FFA9A9A9</t>
        </is>
      </c>
      <c r="H371" s="68" t="inlineStr">
        <is>
          <t>Normal;Normal;Normal;Normal</t>
        </is>
      </c>
      <c r="I371" s="68" t="inlineStr">
        <is>
          <t>FALSE;TRUE;TRUE;FALSE</t>
        </is>
      </c>
      <c r="J371" s="68" t="inlineStr">
        <is>
          <t>Alarme de Estado em Ponto Telecontrolado SV</t>
        </is>
      </c>
      <c r="K371" s="69" t="inlineStr">
        <is>
          <t>Alarme de Estado em Ponto Telecontrolado SV</t>
        </is>
      </c>
      <c r="L371" s="69">
        <f>VLOOKUP(LinkTable6789[[#This Row],[Coluna1]],[4]AlarmCatalog!$A:$M,11,FALSE)</f>
        <v/>
      </c>
    </row>
    <row r="372" ht="16.5" customFormat="1" customHeight="1" s="67">
      <c r="A372" s="68" t="inlineStr">
        <is>
          <t>DESATIVAR@ATIVAR___DESATIVADO@ATIVADO___Custom_S_TC_SP</t>
        </is>
      </c>
      <c r="B372" s="68" t="inlineStr"/>
      <c r="C372" s="68" t="inlineStr">
        <is>
          <t>Transit;DESATIVADO;ATIVADO;Error</t>
        </is>
      </c>
      <c r="D372" s="68" t="inlineStr">
        <is>
          <t>0;1;2;3</t>
        </is>
      </c>
      <c r="E372" s="68" t="inlineStr">
        <is>
          <t>2;0;1;3</t>
        </is>
      </c>
      <c r="F372" s="68" t="inlineStr">
        <is>
          <t>;DESATIVAR;ATIVAR;</t>
        </is>
      </c>
      <c r="G372" s="68" t="inlineStr">
        <is>
          <t>#FF000000;#FF00FF00;#FFFF0000;#FFA9A9A9</t>
        </is>
      </c>
      <c r="H372" s="68" t="inlineStr">
        <is>
          <t>Abnormal;Auto;Auto;Abnormal</t>
        </is>
      </c>
      <c r="I372" s="68" t="inlineStr">
        <is>
          <t>FALSE;TRUE;TRUE;FALSE</t>
        </is>
      </c>
      <c r="J372" s="68" t="inlineStr">
        <is>
          <t>Alarme de Estado em Ponto Telecontrolado SP</t>
        </is>
      </c>
      <c r="K372" s="69" t="inlineStr">
        <is>
          <t>Alarme de Estado em Ponto Telecontrolado SP</t>
        </is>
      </c>
      <c r="L372" s="69">
        <f>VLOOKUP(LinkTable6789[[#This Row],[Coluna1]],[4]AlarmCatalog!$A:$M,11,FALSE)</f>
        <v/>
      </c>
    </row>
    <row r="373" ht="16.5" customFormat="1" customHeight="1" s="67">
      <c r="A373" s="68" t="inlineStr">
        <is>
          <t>null@null___NORMAL@ATUADO___Custom_S_TS_SP</t>
        </is>
      </c>
      <c r="B373" s="68" t="inlineStr"/>
      <c r="C373" s="68" t="inlineStr">
        <is>
          <t>Transit;NORMAL;ATUADO;Error</t>
        </is>
      </c>
      <c r="D373" s="68" t="inlineStr">
        <is>
          <t>0;1;2;3</t>
        </is>
      </c>
      <c r="E373" s="68" t="inlineStr">
        <is>
          <t>2;0;1;3</t>
        </is>
      </c>
      <c r="F373" s="68" t="inlineStr">
        <is>
          <t>;;;</t>
        </is>
      </c>
      <c r="G373" s="68" t="inlineStr">
        <is>
          <t>#FF000000;#FF00FF00;#FFFF0000;#FFA9A9A9</t>
        </is>
      </c>
      <c r="H373" s="68" t="inlineStr">
        <is>
          <t>Abnormal;Auto;Auto;Abnormal</t>
        </is>
      </c>
      <c r="I373" s="68" t="inlineStr">
        <is>
          <t>FALSE;TRUE;TRUE;FALSE</t>
        </is>
      </c>
      <c r="J373" s="68" t="inlineStr">
        <is>
          <t>Alarme de Estado em Ponto Telessinalizado SP</t>
        </is>
      </c>
      <c r="K373" s="69" t="inlineStr">
        <is>
          <t>Alarme de Estado em Ponto Telessinalizado SP</t>
        </is>
      </c>
      <c r="L373" s="69">
        <f>VLOOKUP(LinkTable6789[[#This Row],[Coluna1]],[4]AlarmCatalog!$A:$M,11,FALSE)</f>
        <v/>
      </c>
    </row>
    <row r="374" ht="16.5" customFormat="1" customHeight="1" s="67">
      <c r="A374" s="68" t="inlineStr">
        <is>
          <t>null@null___NORMAL@DISPARADA___Custom_S_TS</t>
        </is>
      </c>
      <c r="B374" s="68" t="inlineStr"/>
      <c r="C374" s="68" t="inlineStr">
        <is>
          <t>Transit;NORMAL;DISPARADA;Error</t>
        </is>
      </c>
      <c r="D374" s="68" t="inlineStr">
        <is>
          <t>0;1;2;3</t>
        </is>
      </c>
      <c r="E374" s="68" t="inlineStr">
        <is>
          <t>2;0;1;3</t>
        </is>
      </c>
      <c r="F374" s="68" t="inlineStr">
        <is>
          <t>;;;</t>
        </is>
      </c>
      <c r="G374" s="68" t="inlineStr">
        <is>
          <t>#FF000000;#FF00FF00;#FFFF0000;#FFA9A9A9</t>
        </is>
      </c>
      <c r="H374" s="68" t="inlineStr">
        <is>
          <t>Abnormal;Auto;Auto;Abnormal</t>
        </is>
      </c>
      <c r="I374" s="68" t="inlineStr">
        <is>
          <t>FALSE;TRUE;TRUE;FALSE</t>
        </is>
      </c>
      <c r="J374" s="68" t="inlineStr">
        <is>
          <t>Alarme de Estado em Ponto Telessinalizado</t>
        </is>
      </c>
      <c r="K374" s="69" t="inlineStr">
        <is>
          <t>Alarme de Estado em Ponto Telessinalizado</t>
        </is>
      </c>
      <c r="L374" s="69">
        <f>VLOOKUP(LinkTable6789[[#This Row],[Coluna1]],[4]AlarmCatalog!$A:$M,11,FALSE)</f>
        <v/>
      </c>
    </row>
    <row r="375" ht="16.5" customFormat="1" customHeight="1" s="67">
      <c r="A375" s="68" t="inlineStr">
        <is>
          <t>DESLIGAR@LIGAR___DESLIGADO@LIGADO___Custom_S_TC_SV</t>
        </is>
      </c>
      <c r="B375" s="68" t="inlineStr"/>
      <c r="C375" s="68" t="inlineStr">
        <is>
          <t>Transit;DESLIGADO;LIGADO;Error</t>
        </is>
      </c>
      <c r="D375" s="68" t="inlineStr">
        <is>
          <t>0;1;2;3</t>
        </is>
      </c>
      <c r="E375" s="68" t="inlineStr">
        <is>
          <t>2;0;1;3</t>
        </is>
      </c>
      <c r="F375" s="68" t="inlineStr">
        <is>
          <t>;DESLIGAR;LIGAR;</t>
        </is>
      </c>
      <c r="G375" s="68" t="inlineStr">
        <is>
          <t>#FF000000;#FF00FF00;#FFFF0000;#FFA9A9A9</t>
        </is>
      </c>
      <c r="H375" s="68" t="inlineStr">
        <is>
          <t>Abnormal;Normal;Normal;Abnormal</t>
        </is>
      </c>
      <c r="I375" s="68" t="inlineStr">
        <is>
          <t>FALSE;TRUE;TRUE;FALSE</t>
        </is>
      </c>
      <c r="J375" s="68" t="inlineStr">
        <is>
          <t>Alarme de Estado em Ponto Telecontrolado SV</t>
        </is>
      </c>
      <c r="K375" s="69" t="inlineStr">
        <is>
          <t>Alarme de Estado em Ponto Telecontrolado SV</t>
        </is>
      </c>
      <c r="L375" s="69">
        <f>VLOOKUP(LinkTable6789[[#This Row],[Coluna1]],[4]AlarmCatalog!$A:$M,11,FALSE)</f>
        <v/>
      </c>
    </row>
    <row r="376" ht="16.5" customFormat="1" customHeight="1" s="67">
      <c r="A376" s="68" t="inlineStr">
        <is>
          <t>DESLIGAR@LIGAR___DESLIGADO@LIGADO___Custom_S_TS_SV</t>
        </is>
      </c>
      <c r="B376" s="68" t="inlineStr"/>
      <c r="C376" s="68" t="inlineStr">
        <is>
          <t>Transit;DESLIGADO;LIGADO;Error</t>
        </is>
      </c>
      <c r="D376" s="68" t="inlineStr">
        <is>
          <t>0;1;2;3</t>
        </is>
      </c>
      <c r="E376" s="68" t="inlineStr">
        <is>
          <t>2;0;1;3</t>
        </is>
      </c>
      <c r="F376" s="68" t="inlineStr">
        <is>
          <t>;;;</t>
        </is>
      </c>
      <c r="G376" s="68" t="inlineStr">
        <is>
          <t>#FF000000;#FF00FF00;#FFFF0000;#FFA9A9A9</t>
        </is>
      </c>
      <c r="H376" s="68" t="inlineStr">
        <is>
          <t>Normal;Normal;Normal;Normal</t>
        </is>
      </c>
      <c r="I376" s="68" t="inlineStr">
        <is>
          <t>FALSE;TRUE;TRUE;FALSE</t>
        </is>
      </c>
      <c r="J376" s="68" t="inlineStr">
        <is>
          <t>Alarme de Estado em Ponto Telessinalizado SV</t>
        </is>
      </c>
      <c r="K376" s="69" t="inlineStr">
        <is>
          <t>Alarme de Estado em Ponto Telessinalizado SV</t>
        </is>
      </c>
      <c r="L376" s="69">
        <f>VLOOKUP(LinkTable6789[[#This Row],[Coluna1]],[4]AlarmCatalog!$A:$M,11,FALSE)</f>
        <v/>
      </c>
    </row>
    <row r="377" ht="16.5" customFormat="1" customHeight="1" s="67">
      <c r="A377" s="68" t="inlineStr">
        <is>
          <t>MANUAL@AUTOMATICO___MANUAL@AUTOMATICO___Custom_S_TS_SV</t>
        </is>
      </c>
      <c r="B377" s="68" t="inlineStr"/>
      <c r="C377" s="68" t="inlineStr">
        <is>
          <t>Transit;MANUAL;AUTOMATICO;Error</t>
        </is>
      </c>
      <c r="D377" s="68" t="inlineStr">
        <is>
          <t>0;1;2;3</t>
        </is>
      </c>
      <c r="E377" s="68" t="inlineStr">
        <is>
          <t>2;0;1;3</t>
        </is>
      </c>
      <c r="F377" s="68" t="inlineStr">
        <is>
          <t>;;;</t>
        </is>
      </c>
      <c r="G377" s="68" t="inlineStr">
        <is>
          <t>#FF000000;#FF00FF00;#FFFF0000;#FFA9A9A9</t>
        </is>
      </c>
      <c r="H377" s="68" t="inlineStr">
        <is>
          <t>Normal;Normal;Normal;Normal</t>
        </is>
      </c>
      <c r="I377" s="68" t="inlineStr">
        <is>
          <t>FALSE;TRUE;TRUE;FALSE</t>
        </is>
      </c>
      <c r="J377" s="68" t="inlineStr">
        <is>
          <t>Alarme de Estado em Ponto Telessinalizado SV</t>
        </is>
      </c>
      <c r="K377" s="69" t="inlineStr">
        <is>
          <t>Alarme de Estado em Ponto Telessinalizado SV</t>
        </is>
      </c>
      <c r="L377" s="69">
        <f>VLOOKUP(LinkTable6789[[#This Row],[Coluna1]],[4]AlarmCatalog!$A:$M,11,FALSE)</f>
        <v/>
      </c>
    </row>
    <row r="378" ht="16.5" customFormat="1" customHeight="1" s="67">
      <c r="A378" s="68" t="inlineStr">
        <is>
          <t>null@null___ABERTO@FECHADO___Custom___INV_S_TS_SP</t>
        </is>
      </c>
      <c r="B378" s="68" t="inlineStr"/>
      <c r="C378" s="68" t="inlineStr">
        <is>
          <t>Transit;ABERTO;FECHADO;Error</t>
        </is>
      </c>
      <c r="D378" s="68" t="inlineStr">
        <is>
          <t>0;1;2;3</t>
        </is>
      </c>
      <c r="E378" s="68" t="inlineStr">
        <is>
          <t>2;1;0;3</t>
        </is>
      </c>
      <c r="F378" s="68" t="inlineStr">
        <is>
          <t>;;;</t>
        </is>
      </c>
      <c r="G378" s="68" t="inlineStr">
        <is>
          <t>#FF000000;#FF00FF00;#FFFF0000;#FFA9A9A9</t>
        </is>
      </c>
      <c r="H378" s="68" t="inlineStr">
        <is>
          <t>Abnormal;Auto;Auto;Abnormal</t>
        </is>
      </c>
      <c r="I378" s="68" t="inlineStr">
        <is>
          <t>FALSE;TRUE;TRUE;FALSE</t>
        </is>
      </c>
      <c r="J378" s="68" t="inlineStr">
        <is>
          <t>Alarme de Estado em Ponto Telessinalizado SP</t>
        </is>
      </c>
      <c r="K378" s="69" t="inlineStr">
        <is>
          <t>Alarme de Estado em Ponto Telessinalizado SP</t>
        </is>
      </c>
      <c r="L378" s="69">
        <f>VLOOKUP(LinkTable6789[[#This Row],[Coluna1]],[4]AlarmCatalog!$A:$M,11,FALSE)</f>
        <v/>
      </c>
    </row>
    <row r="379" ht="16.5" customFormat="1" customHeight="1" s="67">
      <c r="A379" s="68" t="inlineStr">
        <is>
          <t>DESATIVAR@ATIVAR___DESATIVADO@ATIVADO___Custom_S_TC_SV</t>
        </is>
      </c>
      <c r="B379" s="68" t="inlineStr"/>
      <c r="C379" s="68" t="inlineStr">
        <is>
          <t>Transit;DESATIVADO;ATIVADO;Error</t>
        </is>
      </c>
      <c r="D379" s="68" t="inlineStr">
        <is>
          <t>0;1;2;3</t>
        </is>
      </c>
      <c r="E379" s="68" t="inlineStr">
        <is>
          <t>2;0;1;3</t>
        </is>
      </c>
      <c r="F379" s="68" t="inlineStr">
        <is>
          <t>;DESATIVAR;ATIVAR;</t>
        </is>
      </c>
      <c r="G379" s="68" t="inlineStr">
        <is>
          <t>#FF000000;#FF00FF00;#FFFF0000;#FFA9A9A9</t>
        </is>
      </c>
      <c r="H379" s="68" t="inlineStr">
        <is>
          <t>Abnormal;Normal;Abnormal;Abnormal</t>
        </is>
      </c>
      <c r="I379" s="68" t="inlineStr">
        <is>
          <t>FALSE;TRUE;TRUE;FALSE</t>
        </is>
      </c>
      <c r="J379" s="68" t="inlineStr">
        <is>
          <t>Alarme de Estado em Ponto Telecontrolado SV</t>
        </is>
      </c>
      <c r="K379" s="69" t="inlineStr">
        <is>
          <t>Alarme de Estado em Ponto Telecontrolado SV</t>
        </is>
      </c>
      <c r="L379" s="69">
        <f>VLOOKUP(LinkTable6789[[#This Row],[Coluna1]],[4]AlarmCatalog!$A:$M,11,FALSE)</f>
        <v/>
      </c>
    </row>
    <row r="380" ht="16.5" customFormat="1" customHeight="1" s="67">
      <c r="A380" s="68" t="inlineStr">
        <is>
          <t>null@ATIV_DES___DESATIVADO@ATIVADO___Custom_S_TS_SV</t>
        </is>
      </c>
      <c r="B380" s="68" t="inlineStr"/>
      <c r="C380" s="68" t="inlineStr">
        <is>
          <t>Transit;DESATIVADO;ATIVADO;Error</t>
        </is>
      </c>
      <c r="D380" s="68" t="inlineStr">
        <is>
          <t>0;1;2;3</t>
        </is>
      </c>
      <c r="E380" s="68" t="inlineStr">
        <is>
          <t>2;0;1;3</t>
        </is>
      </c>
      <c r="F380" s="68" t="inlineStr">
        <is>
          <t>;;;</t>
        </is>
      </c>
      <c r="G380" s="68" t="inlineStr">
        <is>
          <t>#FF000000;#FF00FF00;#FFFF0000;#FFA9A9A9</t>
        </is>
      </c>
      <c r="H380" s="68" t="inlineStr">
        <is>
          <t>Normal;Normal;Normal;Normal</t>
        </is>
      </c>
      <c r="I380" s="68" t="inlineStr">
        <is>
          <t>FALSE;TRUE;TRUE;FALSE</t>
        </is>
      </c>
      <c r="J380" s="68" t="inlineStr">
        <is>
          <t>Alarme de Estado em Ponto Telessinalizado SV</t>
        </is>
      </c>
      <c r="K380" s="69" t="inlineStr">
        <is>
          <t>Alarme de Estado em Ponto Telessinalizado SV</t>
        </is>
      </c>
      <c r="L380" s="69">
        <f>VLOOKUP(LinkTable6789[[#This Row],[Coluna1]],[4]AlarmCatalog!$A:$M,11,FALSE)</f>
        <v/>
      </c>
    </row>
    <row r="381" ht="16.5" customFormat="1" customHeight="1" s="67">
      <c r="A381" s="68" t="inlineStr">
        <is>
          <t>null@null___DESATIVADO@ATIVADO___Custom_S_TS_SV</t>
        </is>
      </c>
      <c r="B381" s="68" t="inlineStr"/>
      <c r="C381" s="68" t="inlineStr">
        <is>
          <t>Transit;DESATIVADO;ATIVADO;Error</t>
        </is>
      </c>
      <c r="D381" s="68" t="inlineStr">
        <is>
          <t>0;1;2;3</t>
        </is>
      </c>
      <c r="E381" s="68" t="inlineStr">
        <is>
          <t>2;0;1;3</t>
        </is>
      </c>
      <c r="F381" s="68" t="inlineStr">
        <is>
          <t>;;;</t>
        </is>
      </c>
      <c r="G381" s="68" t="inlineStr">
        <is>
          <t>#FF000000;#FF00FF00;#FFFF0000;#FFA9A9A9</t>
        </is>
      </c>
      <c r="H381" s="68" t="inlineStr">
        <is>
          <t>Abnormal;Auto;Auto;Abnormal</t>
        </is>
      </c>
      <c r="I381" s="68" t="inlineStr">
        <is>
          <t>FALSE;TRUE;TRUE;FALSE</t>
        </is>
      </c>
      <c r="J381" s="68" t="inlineStr">
        <is>
          <t>Alarme de Estado em Ponto Telessinalizado SV</t>
        </is>
      </c>
      <c r="K381" s="69" t="inlineStr">
        <is>
          <t>Alarme de Estado em Ponto Telessinalizado SV</t>
        </is>
      </c>
      <c r="L381" s="69">
        <f>VLOOKUP(LinkTable6789[[#This Row],[Coluna1]],[4]AlarmCatalog!$A:$M,11,FALSE)</f>
        <v/>
      </c>
    </row>
    <row r="382" ht="16.5" customFormat="1" customHeight="1" s="67">
      <c r="A382" s="68" t="inlineStr">
        <is>
          <t>DESATIVAR@ATIVAR___DESATIVADO@ATIVADO___Custom_S_TS_SV</t>
        </is>
      </c>
      <c r="B382" s="68" t="inlineStr"/>
      <c r="C382" s="68" t="inlineStr">
        <is>
          <t>Transit;DESATIVADO;ATIVADO;Error</t>
        </is>
      </c>
      <c r="D382" s="68" t="inlineStr">
        <is>
          <t>0;1;2;3</t>
        </is>
      </c>
      <c r="E382" s="68" t="inlineStr">
        <is>
          <t>2;0;1;3</t>
        </is>
      </c>
      <c r="F382" s="68" t="inlineStr">
        <is>
          <t>;;;</t>
        </is>
      </c>
      <c r="G382" s="68" t="inlineStr">
        <is>
          <t>#FF000000;#FF00FF00;#FFFF0000;#FFA9A9A9</t>
        </is>
      </c>
      <c r="H382" s="68" t="inlineStr">
        <is>
          <t>Normal;Normal;Normal;Normal</t>
        </is>
      </c>
      <c r="I382" s="68" t="inlineStr">
        <is>
          <t>FALSE;TRUE;TRUE;FALSE</t>
        </is>
      </c>
      <c r="J382" s="68" t="inlineStr">
        <is>
          <t>Alarme de Estado em Ponto Telessinalizado SV</t>
        </is>
      </c>
      <c r="K382" s="69" t="inlineStr">
        <is>
          <t>Alarme de Estado em Ponto Telessinalizado SV</t>
        </is>
      </c>
      <c r="L382" s="69">
        <f>VLOOKUP(LinkTable6789[[#This Row],[Coluna1]],[4]AlarmCatalog!$A:$M,11,FALSE)</f>
        <v/>
      </c>
    </row>
    <row r="383" ht="16.5" customFormat="1" customHeight="1" s="67">
      <c r="A383" s="68" t="inlineStr">
        <is>
          <t>RELIGADOR@ALTERNATIVO___null@null___Custom_S_TC_SV</t>
        </is>
      </c>
      <c r="B383" s="68" t="inlineStr"/>
      <c r="C383" s="68" t="inlineStr">
        <is>
          <t>Transit;;;Error</t>
        </is>
      </c>
      <c r="D383" s="68" t="inlineStr">
        <is>
          <t>0;1;2;3</t>
        </is>
      </c>
      <c r="E383" s="68" t="inlineStr">
        <is>
          <t>2;0;1;3</t>
        </is>
      </c>
      <c r="F383" s="68" t="inlineStr">
        <is>
          <t>;RELIGADOR;ALTERNATIVO;</t>
        </is>
      </c>
      <c r="G383" s="68" t="inlineStr">
        <is>
          <t>#FF000000;#FF00FF00;#FFFF0000;#FFA9A9A9</t>
        </is>
      </c>
      <c r="H383" s="68" t="inlineStr">
        <is>
          <t>Abnormal;Auto;Auto;Abnormal</t>
        </is>
      </c>
      <c r="I383" s="68" t="inlineStr">
        <is>
          <t>FALSE;TRUE;TRUE;FALSE</t>
        </is>
      </c>
      <c r="J383" s="68" t="inlineStr">
        <is>
          <t>Alarme de Estado em Ponto Telecontrolado SV</t>
        </is>
      </c>
      <c r="K383" s="69" t="inlineStr">
        <is>
          <t>Alarme de Estado em Ponto Telecontrolado SV</t>
        </is>
      </c>
      <c r="L383" s="69">
        <f>VLOOKUP(LinkTable6789[[#This Row],[Coluna1]],[4]AlarmCatalog!$A:$M,11,FALSE)</f>
        <v/>
      </c>
    </row>
    <row r="384" ht="16.5" customFormat="1" customHeight="1" s="67">
      <c r="A384" s="68" t="inlineStr">
        <is>
          <t>null@null___ABERTO@FECHADO___Custom_S_TS_SP</t>
        </is>
      </c>
      <c r="B384" s="68" t="inlineStr"/>
      <c r="C384" s="68" t="inlineStr">
        <is>
          <t>Transit;ABERTO;FECHADO;Error</t>
        </is>
      </c>
      <c r="D384" s="68" t="inlineStr">
        <is>
          <t>0;1;2;3</t>
        </is>
      </c>
      <c r="E384" s="68" t="inlineStr">
        <is>
          <t>2;0;1;3</t>
        </is>
      </c>
      <c r="F384" s="68" t="inlineStr">
        <is>
          <t>;;;</t>
        </is>
      </c>
      <c r="G384" s="68" t="inlineStr">
        <is>
          <t>#FF000000;#FF00FF00;#FFFF0000;#FFA9A9A9</t>
        </is>
      </c>
      <c r="H384" s="68" t="inlineStr">
        <is>
          <t>Abnormal;Auto;Auto;Abnormal</t>
        </is>
      </c>
      <c r="I384" s="68" t="inlineStr">
        <is>
          <t>FALSE;TRUE;TRUE;FALSE</t>
        </is>
      </c>
      <c r="J384" s="68" t="inlineStr">
        <is>
          <t>Alarme de Estado em Ponto Telessinalizado SP</t>
        </is>
      </c>
      <c r="K384" s="69" t="inlineStr">
        <is>
          <t>Alarme de Estado em Ponto Telessinalizado SP</t>
        </is>
      </c>
      <c r="L384" s="69">
        <f>VLOOKUP(LinkTable6789[[#This Row],[Coluna1]],[4]AlarmCatalog!$A:$M,11,FALSE)</f>
        <v/>
      </c>
    </row>
    <row r="385" ht="16.5" customFormat="1" customHeight="1" s="67">
      <c r="A385" s="68" t="inlineStr">
        <is>
          <t>null@null___NORMAL@DEFEITO___Custom_S_TS_SP</t>
        </is>
      </c>
      <c r="B385" s="68" t="inlineStr"/>
      <c r="C385" s="68" t="inlineStr">
        <is>
          <t>Transit;NORMAL;DEFEITO;Error</t>
        </is>
      </c>
      <c r="D385" s="68" t="inlineStr">
        <is>
          <t>0;1;2;3</t>
        </is>
      </c>
      <c r="E385" s="68" t="inlineStr">
        <is>
          <t>2;0;1;3</t>
        </is>
      </c>
      <c r="F385" s="68" t="inlineStr">
        <is>
          <t>;;;</t>
        </is>
      </c>
      <c r="G385" s="68" t="inlineStr">
        <is>
          <t>#FF000000;#FF00FF00;#FFFF0000;#FFA9A9A9</t>
        </is>
      </c>
      <c r="H385" s="68" t="inlineStr">
        <is>
          <t>Abnormal;Auto;Auto;Abnormal</t>
        </is>
      </c>
      <c r="I385" s="68" t="inlineStr">
        <is>
          <t>FALSE;TRUE;TRUE;FALSE</t>
        </is>
      </c>
      <c r="J385" s="68" t="inlineStr">
        <is>
          <t>Alarme de Estado em Ponto Telessinalizado SP</t>
        </is>
      </c>
      <c r="K385" s="69" t="inlineStr">
        <is>
          <t>Alarme de Estado em Ponto Telessinalizado SP</t>
        </is>
      </c>
      <c r="L385" s="69">
        <f>VLOOKUP(LinkTable6789[[#This Row],[Coluna1]],[4]AlarmCatalog!$A:$M,11,FALSE)</f>
        <v/>
      </c>
    </row>
    <row r="386" ht="16.5" customFormat="1" customHeight="1" s="67">
      <c r="A386" s="68" t="inlineStr">
        <is>
          <t>DESATIVAR@ATIVAR___DESATIVADO@ATIVADO___Custom_S_TS_SP</t>
        </is>
      </c>
      <c r="B386" s="68" t="inlineStr"/>
      <c r="C386" s="68" t="inlineStr">
        <is>
          <t>Transit;DESATIVADO;ATIVADO;Error</t>
        </is>
      </c>
      <c r="D386" s="68" t="inlineStr">
        <is>
          <t>0;1;2;3</t>
        </is>
      </c>
      <c r="E386" s="68" t="inlineStr">
        <is>
          <t>2;0;1;3</t>
        </is>
      </c>
      <c r="F386" s="68" t="inlineStr">
        <is>
          <t>;;;</t>
        </is>
      </c>
      <c r="G386" s="68" t="inlineStr">
        <is>
          <t>#FF000000;#FF00FF00;#FFFF0000;#FFA9A9A9</t>
        </is>
      </c>
      <c r="H386" s="68" t="inlineStr">
        <is>
          <t>Abnormal;Auto;Auto;Abnormal</t>
        </is>
      </c>
      <c r="I386" s="68" t="inlineStr">
        <is>
          <t>FALSE;TRUE;TRUE;FALSE</t>
        </is>
      </c>
      <c r="J386" s="68" t="inlineStr">
        <is>
          <t>Alarme de Estado em Ponto Telessinalizado SP</t>
        </is>
      </c>
      <c r="K386" s="69" t="inlineStr">
        <is>
          <t>Alarme de Estado em Ponto Telessinalizado SP</t>
        </is>
      </c>
      <c r="L386" s="69">
        <f>VLOOKUP(LinkTable6789[[#This Row],[Coluna1]],[4]AlarmCatalog!$A:$M,11,FALSE)</f>
        <v/>
      </c>
    </row>
    <row r="387" ht="16.5" customFormat="1" customHeight="1" s="67">
      <c r="A387" s="68" t="inlineStr">
        <is>
          <t>DI_ALTERNATIVO@RELIGADOR@CHAVE___ALTERNATIVO@RELIGADOR@CHAVE___Custom_D_TC_DV</t>
        </is>
      </c>
      <c r="B387" s="68" t="inlineStr"/>
      <c r="C387" s="68" t="inlineStr">
        <is>
          <t>ALTERNATIVO;RELIGADOR;CHAVE;</t>
        </is>
      </c>
      <c r="D387" s="68" t="inlineStr">
        <is>
          <t>0;1;2;3</t>
        </is>
      </c>
      <c r="E387" s="68" t="inlineStr">
        <is>
          <t>0;1;2;3</t>
        </is>
      </c>
      <c r="F387" s="68" t="inlineStr">
        <is>
          <t>ALTERNATIVO;RELIGADOR;CHAVE;</t>
        </is>
      </c>
      <c r="G387" s="68" t="inlineStr">
        <is>
          <t>#FF00FF00;#FF00FF00;#FF00FF00;#FF000000</t>
        </is>
      </c>
      <c r="H387" s="68" t="inlineStr">
        <is>
          <t>Normal;Normal;Normal;Abnormal</t>
        </is>
      </c>
      <c r="I387" s="68" t="inlineStr">
        <is>
          <t>TRUE;TRUE;TRUE;FALSE</t>
        </is>
      </c>
      <c r="J387" s="68" t="inlineStr">
        <is>
          <t>Alarme de Estado em Ponto Telecontrolado DV</t>
        </is>
      </c>
      <c r="K387" s="69" t="inlineStr">
        <is>
          <t>Alarme de Estado em Ponto Telecontrolado DV</t>
        </is>
      </c>
      <c r="L387" s="69">
        <f>VLOOKUP(LinkTable6789[[#This Row],[Coluna1]],[4]AlarmCatalog!$A:$M,11,FALSE)</f>
        <v/>
      </c>
    </row>
    <row r="388" ht="16.5" customFormat="1" customHeight="1" s="67">
      <c r="A388" s="68" t="inlineStr">
        <is>
          <t>null@null___DESABILITADO@HABILITADO___HotLineTag___INV_S_TS</t>
        </is>
      </c>
      <c r="B388" s="68" t="inlineStr"/>
      <c r="C388" s="68" t="inlineStr">
        <is>
          <t>Transit;DESABILITADO;HABILITADO;Error</t>
        </is>
      </c>
      <c r="D388" s="68" t="inlineStr">
        <is>
          <t>0;1;2;3</t>
        </is>
      </c>
      <c r="E388" s="68" t="inlineStr">
        <is>
          <t>2;1;0;3</t>
        </is>
      </c>
      <c r="F388" s="68" t="inlineStr">
        <is>
          <t>;;;</t>
        </is>
      </c>
      <c r="G388" s="68" t="inlineStr">
        <is>
          <t>#FF000000;#FF00FF00;#FFFF0000;#FFA9A9A9</t>
        </is>
      </c>
      <c r="H388" s="68" t="inlineStr">
        <is>
          <t>Abnormal;Auto;Auto;Abnormal</t>
        </is>
      </c>
      <c r="I388" s="68" t="inlineStr">
        <is>
          <t>FALSE;TRUE;TRUE;FALSE</t>
        </is>
      </c>
      <c r="J388" s="68" t="inlineStr">
        <is>
          <t>Alarme de Estado em Ponto Telessinalizado</t>
        </is>
      </c>
      <c r="K388" s="69" t="inlineStr">
        <is>
          <t>Alarme de Estado em Ponto Telessinalizado</t>
        </is>
      </c>
      <c r="L388" s="69">
        <f>VLOOKUP(LinkTable6789[[#This Row],[Coluna1]],[4]AlarmCatalog!$A:$M,11,FALSE)</f>
        <v/>
      </c>
    </row>
    <row r="389" ht="16.5" customFormat="1" customHeight="1" s="67">
      <c r="A389" s="68" t="inlineStr">
        <is>
          <t>DI_NORMAL@ALTERNATIVO___NORMAL@ALTERNATIVO___Custom_D_TC_DV</t>
        </is>
      </c>
      <c r="B389" s="68" t="inlineStr"/>
      <c r="C389" s="68" t="inlineStr">
        <is>
          <t>Transit;NORMAL;ALTERNATIVO;Error</t>
        </is>
      </c>
      <c r="D389" s="68" t="inlineStr">
        <is>
          <t>0;1;2;3</t>
        </is>
      </c>
      <c r="E389" s="68" t="inlineStr">
        <is>
          <t>0;1;2;3</t>
        </is>
      </c>
      <c r="F389" s="68" t="inlineStr">
        <is>
          <t>;NORMAL;ALTERNATIVO;</t>
        </is>
      </c>
      <c r="G389" s="68" t="inlineStr">
        <is>
          <t>#FF000000;#FF00FF00;#FFFF0000;#FFA9A9A9</t>
        </is>
      </c>
      <c r="H389" s="68" t="inlineStr">
        <is>
          <t>Normal;Normal;Normal;Normal</t>
        </is>
      </c>
      <c r="I389" s="68" t="inlineStr">
        <is>
          <t>FALSE;TRUE;TRUE;FALSE</t>
        </is>
      </c>
      <c r="J389" s="68" t="inlineStr">
        <is>
          <t>Alarme de Estado em Ponto Telecontrolado DV</t>
        </is>
      </c>
      <c r="K389" s="69" t="inlineStr">
        <is>
          <t>Alarme de Estado em Ponto Telecontrolado DV</t>
        </is>
      </c>
      <c r="L389" s="69">
        <f>VLOOKUP(LinkTable6789[[#This Row],[Coluna1]],[4]AlarmCatalog!$A:$M,11,FALSE)</f>
        <v/>
      </c>
    </row>
    <row r="390" ht="16.5" customFormat="1" customHeight="1" s="67">
      <c r="A390" s="68" t="inlineStr">
        <is>
          <t>DI_null@null___RELIGADOR@CHAVE___Custom6_S_TC_DV</t>
        </is>
      </c>
      <c r="B390" s="68" t="inlineStr"/>
      <c r="C390" s="68" t="inlineStr">
        <is>
          <t>Transit;RELIGADOR;CHAVE;Error</t>
        </is>
      </c>
      <c r="D390" s="68" t="inlineStr">
        <is>
          <t>0;1;2;3</t>
        </is>
      </c>
      <c r="E390" s="68" t="inlineStr">
        <is>
          <t>2;0;1;3</t>
        </is>
      </c>
      <c r="F390" s="68" t="inlineStr">
        <is>
          <t>;;;</t>
        </is>
      </c>
      <c r="G390" s="68" t="inlineStr">
        <is>
          <t>#FF000000;#FF00FF00;#FFFF0000;#FFA9A9A9</t>
        </is>
      </c>
      <c r="H390" s="68" t="inlineStr">
        <is>
          <t>Normal;Normal;Normal;Normal</t>
        </is>
      </c>
      <c r="I390" s="68" t="inlineStr">
        <is>
          <t>FALSE;TRUE;TRUE;FALSE</t>
        </is>
      </c>
      <c r="J390" s="68" t="inlineStr">
        <is>
          <t>Alarme de Estado em Ponto Telecontrolado DV</t>
        </is>
      </c>
      <c r="K390" s="69" t="inlineStr">
        <is>
          <t>Alarme de Estado em Ponto Telecontrolado DV</t>
        </is>
      </c>
      <c r="L390" s="69">
        <f>VLOOKUP(LinkTable6789[[#This Row],[Coluna1]],[4]AlarmCatalog!$A:$M,11,FALSE)</f>
        <v/>
      </c>
    </row>
    <row r="391" ht="16.5" customFormat="1" customHeight="1" s="67">
      <c r="A391" s="68" t="inlineStr">
        <is>
          <t>DI_null@null___0@FALHA___Custom_S_TS_DV</t>
        </is>
      </c>
      <c r="B391" s="68" t="inlineStr"/>
      <c r="C391" s="68" t="inlineStr">
        <is>
          <t>Transit;0;FALHA;Error</t>
        </is>
      </c>
      <c r="D391" s="68" t="inlineStr">
        <is>
          <t>0;1;2;3</t>
        </is>
      </c>
      <c r="E391" s="68" t="inlineStr">
        <is>
          <t>2;0;1;3</t>
        </is>
      </c>
      <c r="F391" s="68" t="inlineStr">
        <is>
          <t>;;;</t>
        </is>
      </c>
      <c r="G391" s="68" t="inlineStr">
        <is>
          <t>#FF000000;#FF00FF00;#FFFF0000;#FFA9A9A9</t>
        </is>
      </c>
      <c r="H391" s="68" t="inlineStr">
        <is>
          <t>Abnormal;Auto;Auto;Abnormal</t>
        </is>
      </c>
      <c r="I391" s="68" t="inlineStr">
        <is>
          <t>FALSE;TRUE;TRUE;FALSE</t>
        </is>
      </c>
      <c r="J391" s="68" t="inlineStr">
        <is>
          <t>Alarme de Estado em Ponto Telessinalizado DV</t>
        </is>
      </c>
      <c r="K391" s="69" t="inlineStr">
        <is>
          <t>Alarme de Estado em Ponto Telessinalizado DV</t>
        </is>
      </c>
      <c r="L391" s="69">
        <f>VLOOKUP(LinkTable6789[[#This Row],[Coluna1]],[4]AlarmCatalog!$A:$M,11,FALSE)</f>
        <v/>
      </c>
    </row>
    <row r="392" ht="16.5" customFormat="1" customHeight="1" s="67">
      <c r="A392" s="68" t="inlineStr">
        <is>
          <t>DI_RELIGADOR@CHAVE___RELIGADOR@CHAVE___Custom___INV_S_TC_DV</t>
        </is>
      </c>
      <c r="B392" s="68" t="inlineStr"/>
      <c r="C392" s="68" t="inlineStr">
        <is>
          <t>Transit;RELIGADOR;CHAVE;Error</t>
        </is>
      </c>
      <c r="D392" s="68" t="inlineStr">
        <is>
          <t>0;1;2;3</t>
        </is>
      </c>
      <c r="E392" s="68" t="inlineStr">
        <is>
          <t>2;0;1;3</t>
        </is>
      </c>
      <c r="F392" s="68" t="inlineStr">
        <is>
          <t>;RELIGADOR;CHAVE;</t>
        </is>
      </c>
      <c r="G392" s="68" t="inlineStr">
        <is>
          <t>#FF000000;#FF00FF00;#FF00FF00;#FF000000</t>
        </is>
      </c>
      <c r="H392" s="68" t="inlineStr">
        <is>
          <t>Abnormal;Normal;Normal;Abnormal</t>
        </is>
      </c>
      <c r="I392" s="68" t="inlineStr">
        <is>
          <t>FALSE;TRUE;TRUE;FALSE</t>
        </is>
      </c>
      <c r="J392" s="68" t="inlineStr">
        <is>
          <t>Alarme de Estado em Ponto Telecontrolado DV</t>
        </is>
      </c>
      <c r="K392" s="69" t="inlineStr">
        <is>
          <t>Alarme de Estado em Ponto Telecontrolado DV</t>
        </is>
      </c>
      <c r="L392" s="69">
        <f>VLOOKUP(LinkTable6789[[#This Row],[Coluna1]],[4]AlarmCatalog!$A:$M,11,FALSE)</f>
        <v/>
      </c>
    </row>
    <row r="393" ht="16.5" customFormat="1" customHeight="1" s="67">
      <c r="A393" s="68" t="inlineStr">
        <is>
          <t>DI_null@null___0@SUCESSO___Custom_S_TS_DV</t>
        </is>
      </c>
      <c r="B393" s="68" t="inlineStr"/>
      <c r="C393" s="68" t="inlineStr">
        <is>
          <t>Transit;0;SUCESSO;Error</t>
        </is>
      </c>
      <c r="D393" s="68" t="inlineStr">
        <is>
          <t>0;1;2;3</t>
        </is>
      </c>
      <c r="E393" s="68" t="inlineStr">
        <is>
          <t>2;0;1;3</t>
        </is>
      </c>
      <c r="F393" s="68" t="inlineStr">
        <is>
          <t>;;;</t>
        </is>
      </c>
      <c r="G393" s="68" t="inlineStr">
        <is>
          <t>#FF000000;#FF00FF00;#FFFF0000;#FFA9A9A9</t>
        </is>
      </c>
      <c r="H393" s="68" t="inlineStr">
        <is>
          <t>Abnormal;Auto;Auto;Abnormal</t>
        </is>
      </c>
      <c r="I393" s="68" t="inlineStr">
        <is>
          <t>FALSE;TRUE;TRUE;FALSE</t>
        </is>
      </c>
      <c r="J393" s="68" t="inlineStr">
        <is>
          <t>Alarme de Estado em Ponto Telessinalizado DV</t>
        </is>
      </c>
      <c r="K393" s="69" t="inlineStr">
        <is>
          <t>Alarme de Estado em Ponto Telessinalizado DV</t>
        </is>
      </c>
      <c r="L393" s="69">
        <f>VLOOKUP(LinkTable6789[[#This Row],[Coluna1]],[4]AlarmCatalog!$A:$M,11,FALSE)</f>
        <v/>
      </c>
    </row>
    <row r="394" ht="16.5" customFormat="1" customHeight="1" s="67">
      <c r="A394" s="68" t="inlineStr">
        <is>
          <t>DI_null@null___ABERTO@FECHADO___Custom___INV_S_TS_DP</t>
        </is>
      </c>
      <c r="B394" s="68" t="inlineStr"/>
      <c r="C394" s="68" t="inlineStr">
        <is>
          <t>Transit;ABERTO;FECHADO;Error</t>
        </is>
      </c>
      <c r="D394" s="68" t="inlineStr">
        <is>
          <t>0;1;2;3</t>
        </is>
      </c>
      <c r="E394" s="68" t="inlineStr">
        <is>
          <t>2;1;0;3</t>
        </is>
      </c>
      <c r="F394" s="68" t="inlineStr">
        <is>
          <t>;;;</t>
        </is>
      </c>
      <c r="G394" s="68" t="inlineStr">
        <is>
          <t>#FF000000;#FF00FF00;#FFFF0000;#FFA9A9A9</t>
        </is>
      </c>
      <c r="H394" s="68" t="inlineStr">
        <is>
          <t>Abnormal;Auto;Auto;Abnormal</t>
        </is>
      </c>
      <c r="I394" s="68" t="inlineStr">
        <is>
          <t>FALSE;TRUE;TRUE;FALSE</t>
        </is>
      </c>
      <c r="J394" s="68" t="inlineStr">
        <is>
          <t>Alarme de Estado em Ponto Telessinalizado DP</t>
        </is>
      </c>
      <c r="K394" s="69" t="inlineStr">
        <is>
          <t>Alarme de Estado em Ponto Telessinalizado DP</t>
        </is>
      </c>
      <c r="L394" s="69">
        <f>VLOOKUP(LinkTable6789[[#This Row],[Coluna1]],[4]AlarmCatalog!$A:$M,11,FALSE)</f>
        <v/>
      </c>
    </row>
    <row r="395" ht="16.5" customFormat="1" customHeight="1" s="67">
      <c r="A395" s="68" t="inlineStr">
        <is>
          <t>DI_null@null___NORMAL@ATUADO___Custom_S_TS_DV</t>
        </is>
      </c>
      <c r="B395" s="68" t="inlineStr"/>
      <c r="C395" s="68" t="inlineStr">
        <is>
          <t>Transit;NORMAL;ATUADO;Error</t>
        </is>
      </c>
      <c r="D395" s="68" t="inlineStr">
        <is>
          <t>0;1;2;3</t>
        </is>
      </c>
      <c r="E395" s="68" t="inlineStr">
        <is>
          <t>2;0;1;3</t>
        </is>
      </c>
      <c r="F395" s="68" t="inlineStr">
        <is>
          <t>;;;</t>
        </is>
      </c>
      <c r="G395" s="68" t="inlineStr">
        <is>
          <t>#FF000000;#FF00FF00;#FFFF0000;#FFA9A9A9</t>
        </is>
      </c>
      <c r="H395" s="68" t="inlineStr">
        <is>
          <t>Abnormal;Normal;Abnormal;Abnormal</t>
        </is>
      </c>
      <c r="I395" s="68" t="inlineStr">
        <is>
          <t>FALSE;TRUE;TRUE;FALSE</t>
        </is>
      </c>
      <c r="J395" s="68" t="inlineStr">
        <is>
          <t>Alarme de Estado em Ponto Telessinalizado DV</t>
        </is>
      </c>
      <c r="K395" s="69" t="inlineStr">
        <is>
          <t>Alarme de Estado em Ponto Telessinalizado DV</t>
        </is>
      </c>
      <c r="L395" s="69">
        <f>VLOOKUP(LinkTable6789[[#This Row],[Coluna1]],[4]AlarmCatalog!$A:$M,11,FALSE)</f>
        <v/>
      </c>
    </row>
    <row r="396" ht="16.5" customFormat="1" customHeight="1" s="67">
      <c r="A396" s="68" t="inlineStr">
        <is>
          <t>DI_DESBLOQUEAR@BLOQUEAR___NORMAL@BLOQUEADA___Enabled___INV_S_TC_DV</t>
        </is>
      </c>
      <c r="B396" s="68" t="inlineStr"/>
      <c r="C396" s="68" t="inlineStr">
        <is>
          <t>Transit;NORMAL;BLOQUEADA;Error</t>
        </is>
      </c>
      <c r="D396" s="68" t="inlineStr">
        <is>
          <t>0;1;2;3</t>
        </is>
      </c>
      <c r="E396" s="68" t="inlineStr">
        <is>
          <t>2;1;0;3</t>
        </is>
      </c>
      <c r="F396" s="68" t="inlineStr">
        <is>
          <t>;DESBLOQUEAR;BLOQUEAR;</t>
        </is>
      </c>
      <c r="G396" s="68" t="inlineStr">
        <is>
          <t>#FF000000;#FF00FF00;#FFFF0000;#FFA9A9A9</t>
        </is>
      </c>
      <c r="H396" s="68" t="inlineStr">
        <is>
          <t>Abnormal;Auto;Auto;Abnormal</t>
        </is>
      </c>
      <c r="I396" s="68" t="inlineStr">
        <is>
          <t>FALSE;TRUE;TRUE;FALSE</t>
        </is>
      </c>
      <c r="J396" s="68" t="inlineStr">
        <is>
          <t>Alarme de Estado em Ponto Telecontrolado DV</t>
        </is>
      </c>
      <c r="K396" s="69" t="inlineStr">
        <is>
          <t>Alarme de Estado em Ponto Telecontrolado DV</t>
        </is>
      </c>
      <c r="L396" s="69">
        <f>VLOOKUP(LinkTable6789[[#This Row],[Coluna1]],[4]AlarmCatalog!$A:$M,11,FALSE)</f>
        <v/>
      </c>
    </row>
    <row r="397" ht="16.5" customFormat="1" customHeight="1" s="67">
      <c r="A397" s="68" t="inlineStr">
        <is>
          <t>DI_null@null@null___PROTEÇÃO@CHAVE@SECCIONALIZADOR___Custom_D_TS_DV</t>
        </is>
      </c>
      <c r="B397" s="68" t="inlineStr"/>
      <c r="C397" s="68" t="inlineStr">
        <is>
          <t>PROTEÇÃO;CHAVE;SECCIONALIZADOR;</t>
        </is>
      </c>
      <c r="D397" s="68" t="inlineStr">
        <is>
          <t>0;1;2;3</t>
        </is>
      </c>
      <c r="E397" s="68" t="inlineStr">
        <is>
          <t>0;1;2;3</t>
        </is>
      </c>
      <c r="F397" s="68" t="inlineStr">
        <is>
          <t>;;;</t>
        </is>
      </c>
      <c r="G397" s="68" t="inlineStr">
        <is>
          <t>#FF00FF00;#FF00FF00;#FF00FF00;#FF000000</t>
        </is>
      </c>
      <c r="H397" s="68" t="inlineStr">
        <is>
          <t>Normal;Normal;Normal;Abnormal</t>
        </is>
      </c>
      <c r="I397" s="68" t="inlineStr">
        <is>
          <t>TRUE;TRUE;TRUE;FALSE</t>
        </is>
      </c>
      <c r="J397" s="68" t="inlineStr">
        <is>
          <t>Alarme de Estado em Ponto Telessinalizado DV</t>
        </is>
      </c>
      <c r="K397" s="69" t="inlineStr">
        <is>
          <t>Alarme de Estado em Ponto Telessinalizado DV</t>
        </is>
      </c>
      <c r="L397" s="69">
        <f>VLOOKUP(LinkTable6789[[#This Row],[Coluna1]],[4]AlarmCatalog!$A:$M,11,FALSE)</f>
        <v/>
      </c>
    </row>
    <row r="398" ht="16.5" customFormat="1" customHeight="1" s="67">
      <c r="A398" s="68" t="inlineStr">
        <is>
          <t>DI_DESBLOQUEAR@null___NORMAL@BLOQUEADA___Enabled_S_TS_DV</t>
        </is>
      </c>
      <c r="B398" s="68" t="inlineStr"/>
      <c r="C398" s="68" t="inlineStr">
        <is>
          <t>Transit;NORMAL;BLOQUEADA;Error</t>
        </is>
      </c>
      <c r="D398" s="68" t="inlineStr">
        <is>
          <t>0;1;2;3</t>
        </is>
      </c>
      <c r="E398" s="68" t="inlineStr">
        <is>
          <t>2;0;1;3</t>
        </is>
      </c>
      <c r="F398" s="68" t="inlineStr">
        <is>
          <t>;;;</t>
        </is>
      </c>
      <c r="G398" s="68" t="inlineStr">
        <is>
          <t>#FF000000;#FF00FF00;#FFFF0000;#FFA9A9A9</t>
        </is>
      </c>
      <c r="H398" s="68" t="inlineStr">
        <is>
          <t>Abnormal;Auto;Auto;Abnormal</t>
        </is>
      </c>
      <c r="I398" s="68" t="inlineStr">
        <is>
          <t>FALSE;TRUE;TRUE;FALSE</t>
        </is>
      </c>
      <c r="J398" s="68" t="inlineStr">
        <is>
          <t>Alarme de Estado em Ponto Telessinalizado DV</t>
        </is>
      </c>
      <c r="K398" s="69" t="inlineStr">
        <is>
          <t>Alarme de Estado em Ponto Telessinalizado DV</t>
        </is>
      </c>
      <c r="L398" s="69">
        <f>VLOOKUP(LinkTable6789[[#This Row],[Coluna1]],[4]AlarmCatalog!$A:$M,11,FALSE)</f>
        <v/>
      </c>
    </row>
    <row r="399" ht="16.5" customFormat="1" customHeight="1" s="67">
      <c r="A399" s="68" t="inlineStr">
        <is>
          <t>DI_RESETAR@null___RESET@null___Custom_S_TC_DV</t>
        </is>
      </c>
      <c r="B399" s="68" t="inlineStr"/>
      <c r="C399" s="68" t="inlineStr">
        <is>
          <t>Transit;RESET;;Error</t>
        </is>
      </c>
      <c r="D399" s="68" t="inlineStr">
        <is>
          <t>0;1;2;3</t>
        </is>
      </c>
      <c r="E399" s="68" t="inlineStr">
        <is>
          <t>2;0;1;3</t>
        </is>
      </c>
      <c r="F399" s="68" t="inlineStr">
        <is>
          <t>;RESETAR;;</t>
        </is>
      </c>
      <c r="G399" s="68" t="inlineStr">
        <is>
          <t>#FF000000;#FF00FF00;#FFFF0000;#FFA9A9A9</t>
        </is>
      </c>
      <c r="H399" s="68" t="inlineStr">
        <is>
          <t>Abnormal;Auto;Auto;Abnormal</t>
        </is>
      </c>
      <c r="I399" s="68" t="inlineStr">
        <is>
          <t>FALSE;TRUE;TRUE;FALSE</t>
        </is>
      </c>
      <c r="J399" s="68" t="inlineStr">
        <is>
          <t>Alarme de Estado em Ponto Telecontrolado DV</t>
        </is>
      </c>
      <c r="K399" s="69" t="inlineStr">
        <is>
          <t>Alarme de Estado em Ponto Telecontrolado DV</t>
        </is>
      </c>
      <c r="L399" s="69">
        <f>VLOOKUP(LinkTable6789[[#This Row],[Coluna1]],[4]AlarmCatalog!$A:$M,11,FALSE)</f>
        <v/>
      </c>
    </row>
    <row r="400" ht="16.5" customFormat="1" customHeight="1" s="67">
      <c r="A400" s="68" t="inlineStr">
        <is>
          <t>DI_DESBLOQUEAR@null___NORMAL@BLOQUEADA___Enabled___INV_S_TC_DV</t>
        </is>
      </c>
      <c r="B400" s="68" t="inlineStr"/>
      <c r="C400" s="68" t="inlineStr">
        <is>
          <t>Transit;NORMAL;BLOQUEADA;Error</t>
        </is>
      </c>
      <c r="D400" s="68" t="inlineStr">
        <is>
          <t>0;1;2;3</t>
        </is>
      </c>
      <c r="E400" s="68" t="inlineStr">
        <is>
          <t>2;1;0;3</t>
        </is>
      </c>
      <c r="F400" s="68" t="inlineStr">
        <is>
          <t>;DESBLOQUEAR;;</t>
        </is>
      </c>
      <c r="G400" s="68" t="inlineStr">
        <is>
          <t>#FF000000;#FF00FF00;#FFFF0000;#FFA9A9A9</t>
        </is>
      </c>
      <c r="H400" s="68" t="inlineStr">
        <is>
          <t>Abnormal;Auto;Auto;Abnormal</t>
        </is>
      </c>
      <c r="I400" s="68" t="inlineStr">
        <is>
          <t>FALSE;TRUE;TRUE;FALSE</t>
        </is>
      </c>
      <c r="J400" s="68" t="inlineStr">
        <is>
          <t>Alarme de Estado em Ponto Telecontrolado DV</t>
        </is>
      </c>
      <c r="K400" s="69" t="inlineStr">
        <is>
          <t>Alarme de Estado em Ponto Telecontrolado DV</t>
        </is>
      </c>
      <c r="L400" s="69">
        <f>VLOOKUP(LinkTable6789[[#This Row],[Coluna1]],[4]AlarmCatalog!$A:$M,11,FALSE)</f>
        <v/>
      </c>
    </row>
    <row r="401" ht="16.5" customFormat="1" customHeight="1" s="67">
      <c r="A401" s="68" t="inlineStr">
        <is>
          <t>DI_ATIVAR@null___ATIVADO@DESATIVADO___Custom_S_TC_SV</t>
        </is>
      </c>
      <c r="B401" s="68" t="inlineStr"/>
      <c r="C401" s="68" t="inlineStr">
        <is>
          <t>Transit;ATIVADO;DESATIVADO;Error</t>
        </is>
      </c>
      <c r="D401" s="68" t="inlineStr">
        <is>
          <t>0;1;2;3</t>
        </is>
      </c>
      <c r="E401" s="68" t="inlineStr">
        <is>
          <t>2;0;1;3</t>
        </is>
      </c>
      <c r="F401" s="68" t="inlineStr">
        <is>
          <t>;ATIVAR;;</t>
        </is>
      </c>
      <c r="G401" s="68" t="inlineStr">
        <is>
          <t>#FF000000;#FF00FF00;#FFFF0000;#FFA9A9A9</t>
        </is>
      </c>
      <c r="H401" s="68" t="inlineStr">
        <is>
          <t>Normal;Normal;Normal;Normal</t>
        </is>
      </c>
      <c r="I401" s="68" t="inlineStr">
        <is>
          <t>FALSE;TRUE;TRUE;FALSE</t>
        </is>
      </c>
      <c r="J401" s="68" t="inlineStr">
        <is>
          <t>Alarme de Estado em Ponto Telecontrolado SV</t>
        </is>
      </c>
      <c r="K401" s="69" t="inlineStr">
        <is>
          <t>Alarme de Estado em Ponto Telecontrolado SV</t>
        </is>
      </c>
      <c r="L401" s="69">
        <f>VLOOKUP(LinkTable6789[[#This Row],[Coluna1]],[4]AlarmCatalog!$A:$M,11,FALSE)</f>
        <v/>
      </c>
    </row>
    <row r="402" ht="16.5" customFormat="1" customHeight="1" s="67">
      <c r="A402" s="68" t="inlineStr">
        <is>
          <t>DI_null@ATIVAR___DESATIVADO@ATIVADO___Custom_S_TC_SV</t>
        </is>
      </c>
      <c r="B402" s="68" t="inlineStr"/>
      <c r="C402" s="68" t="inlineStr">
        <is>
          <t>Transit;DESATIVADO;ATIVADO;Error</t>
        </is>
      </c>
      <c r="D402" s="68" t="inlineStr">
        <is>
          <t>0;1;2;3</t>
        </is>
      </c>
      <c r="E402" s="68" t="inlineStr">
        <is>
          <t>2;0;1;3</t>
        </is>
      </c>
      <c r="F402" s="68" t="inlineStr">
        <is>
          <t>;;ATIVAR;</t>
        </is>
      </c>
      <c r="G402" s="68" t="inlineStr">
        <is>
          <t>#FF000000;#FF00FF00;#FFFF0000;#FFA9A9A9</t>
        </is>
      </c>
      <c r="H402" s="68" t="inlineStr">
        <is>
          <t>Abnormal;Auto;Auto;Abnormal</t>
        </is>
      </c>
      <c r="I402" s="68" t="inlineStr">
        <is>
          <t>FALSE;TRUE;TRUE;FALSE</t>
        </is>
      </c>
      <c r="J402" s="68" t="inlineStr">
        <is>
          <t>Alarme de Estado em Ponto Telecontrolado SV</t>
        </is>
      </c>
      <c r="K402" s="69" t="inlineStr">
        <is>
          <t>Alarme de Estado em Ponto Telecontrolado SV</t>
        </is>
      </c>
      <c r="L402" s="69">
        <f>VLOOKUP(LinkTable6789[[#This Row],[Coluna1]],[4]AlarmCatalog!$A:$M,11,FALSE)</f>
        <v/>
      </c>
    </row>
    <row r="403" ht="16.5" customFormat="1" customHeight="1" s="67">
      <c r="A403" s="68" t="inlineStr">
        <is>
          <t>null@null___NORMAL@DEFEITO___Custom___INV_S_TS_SP</t>
        </is>
      </c>
      <c r="B403" s="68" t="inlineStr"/>
      <c r="C403" s="68" t="inlineStr">
        <is>
          <t>Transit;NORMAL;DEFEITO;Error</t>
        </is>
      </c>
      <c r="D403" s="68" t="inlineStr">
        <is>
          <t>0;1;2;3</t>
        </is>
      </c>
      <c r="E403" s="68" t="inlineStr">
        <is>
          <t>2;1;0;3</t>
        </is>
      </c>
      <c r="F403" s="68" t="inlineStr">
        <is>
          <t>;;;</t>
        </is>
      </c>
      <c r="G403" s="68" t="inlineStr">
        <is>
          <t>#FF000000;#FF00FF00;#FFFF0000;#FFA9A9A9</t>
        </is>
      </c>
      <c r="H403" s="68" t="inlineStr">
        <is>
          <t>Abnormal;Auto;Auto;Abnormal</t>
        </is>
      </c>
      <c r="I403" s="68" t="inlineStr">
        <is>
          <t>FALSE;TRUE;TRUE;FALSE</t>
        </is>
      </c>
      <c r="J403" s="68" t="inlineStr">
        <is>
          <t>Alarme de Estado em Ponto Telessinalizado SP</t>
        </is>
      </c>
      <c r="K403" s="69" t="inlineStr">
        <is>
          <t>Alarme de Estado em Ponto Telessinalizado SP</t>
        </is>
      </c>
      <c r="L403" s="69">
        <f>VLOOKUP(LinkTable6789[[#This Row],[Coluna1]],[4]AlarmCatalog!$A:$M,11,FALSE)</f>
        <v/>
      </c>
    </row>
    <row r="404" ht="16.5" customFormat="1" customHeight="1" s="67">
      <c r="A404" s="68" t="inlineStr">
        <is>
          <t>null@null___NORMAL@FALTA___Custom_S_TS_SP</t>
        </is>
      </c>
      <c r="B404" s="68" t="inlineStr"/>
      <c r="C404" s="68" t="inlineStr">
        <is>
          <t>Transit;NORMAL;FALTA;Error</t>
        </is>
      </c>
      <c r="D404" s="68" t="inlineStr">
        <is>
          <t>0;1;2;3</t>
        </is>
      </c>
      <c r="E404" s="68" t="inlineStr">
        <is>
          <t>2;0;1;3</t>
        </is>
      </c>
      <c r="F404" s="68" t="inlineStr">
        <is>
          <t>;;;</t>
        </is>
      </c>
      <c r="G404" s="68" t="inlineStr">
        <is>
          <t>#FF000000;#FF00FF00;#FFFF0000;#FFA9A9A9</t>
        </is>
      </c>
      <c r="H404" s="68" t="inlineStr">
        <is>
          <t>Abnormal;Auto;Auto;Abnormal</t>
        </is>
      </c>
      <c r="I404" s="68" t="inlineStr">
        <is>
          <t>FALSE;TRUE;TRUE;FALSE</t>
        </is>
      </c>
      <c r="J404" s="68" t="inlineStr">
        <is>
          <t>Alarme de Estado em Ponto Telessinalizado SP</t>
        </is>
      </c>
      <c r="K404" s="69" t="inlineStr">
        <is>
          <t>Alarme de Estado em Ponto Telessinalizado SP</t>
        </is>
      </c>
      <c r="L404" s="69">
        <f>VLOOKUP(LinkTable6789[[#This Row],[Coluna1]],[4]AlarmCatalog!$A:$M,11,FALSE)</f>
        <v/>
      </c>
    </row>
    <row r="405" ht="16.5" customFormat="1" customHeight="1" s="67">
      <c r="A405" s="68" t="inlineStr">
        <is>
          <t>DI_DESBLOQUEAR@BLOQUEAR___NORMAL@BLOQUEADA___Enabled___INV___admsINV_S_TC_DV</t>
        </is>
      </c>
      <c r="B405" s="68" t="inlineStr"/>
      <c r="C405" s="68" t="inlineStr">
        <is>
          <t>Transit;NORMAL;BLOQUEADA;Error</t>
        </is>
      </c>
      <c r="D405" s="68" t="inlineStr">
        <is>
          <t>0;2;1;3</t>
        </is>
      </c>
      <c r="E405" s="68" t="inlineStr">
        <is>
          <t>2;1;0;3</t>
        </is>
      </c>
      <c r="F405" s="68" t="inlineStr">
        <is>
          <t>;DESBLOQUEAR;BLOQUEAR;</t>
        </is>
      </c>
      <c r="G405" s="68" t="inlineStr">
        <is>
          <t>#FF000000;#FF00FF00;#FFFF0000;#FFA9A9A9</t>
        </is>
      </c>
      <c r="H405" s="68" t="inlineStr">
        <is>
          <t>Abnormal;Auto;Auto;Abnormal</t>
        </is>
      </c>
      <c r="I405" s="68" t="inlineStr">
        <is>
          <t>FALSE;TRUE;TRUE;FALSE</t>
        </is>
      </c>
      <c r="J405" s="68" t="inlineStr">
        <is>
          <t>Alarme de Estado em Ponto Telecontrolado DV</t>
        </is>
      </c>
      <c r="K405" s="69" t="inlineStr">
        <is>
          <t>Alarme de Estado em Ponto Telecontrolado DV</t>
        </is>
      </c>
      <c r="L405" s="69">
        <f>VLOOKUP(LinkTable6789[[#This Row],[Coluna1]],[4]AlarmCatalog!$A:$M,11,FALSE)</f>
        <v/>
      </c>
    </row>
    <row r="406" ht="16.5" customFormat="1" customHeight="1" s="67">
      <c r="A406" s="68" t="inlineStr">
        <is>
          <t>DI_DESBLOQUEAR@null___NORMAL@BLOQUEADA___Enabled___admsINV_S_TS_DV</t>
        </is>
      </c>
      <c r="B406" s="68" t="inlineStr"/>
      <c r="C406" s="68" t="inlineStr">
        <is>
          <t>Transit;NORMAL;BLOQUEADA;Error</t>
        </is>
      </c>
      <c r="D406" s="68" t="inlineStr">
        <is>
          <t>0;2;1;3</t>
        </is>
      </c>
      <c r="E406" s="68" t="inlineStr">
        <is>
          <t>2;0;1;3</t>
        </is>
      </c>
      <c r="F406" s="68" t="inlineStr">
        <is>
          <t>;;;</t>
        </is>
      </c>
      <c r="G406" s="68" t="inlineStr">
        <is>
          <t>#FF000000;#FF00FF00;#FFFF0000;#FFA9A9A9</t>
        </is>
      </c>
      <c r="H406" s="68" t="inlineStr">
        <is>
          <t>Abnormal;Auto;Auto;Abnormal</t>
        </is>
      </c>
      <c r="I406" s="68" t="inlineStr">
        <is>
          <t>FALSE;TRUE;TRUE;FALSE</t>
        </is>
      </c>
      <c r="J406" s="68" t="inlineStr">
        <is>
          <t>Alarme de Estado em Ponto Telessinalizado DV</t>
        </is>
      </c>
      <c r="K406" s="69" t="inlineStr">
        <is>
          <t>Alarme de Estado em Ponto Telessinalizado DV</t>
        </is>
      </c>
      <c r="L406" s="69">
        <f>VLOOKUP(LinkTable6789[[#This Row],[Coluna1]],[4]AlarmCatalog!$A:$M,11,FALSE)</f>
        <v/>
      </c>
    </row>
    <row r="407" ht="16.5" customFormat="1" customHeight="1" s="67">
      <c r="A407" s="68" t="inlineStr">
        <is>
          <t>DI_DESBLOQUEAR@null___NORMAL@BLOQUEADA___Enabled___INV___admsINV_S_TC_DV</t>
        </is>
      </c>
      <c r="B407" s="68" t="inlineStr"/>
      <c r="C407" s="68" t="inlineStr">
        <is>
          <t>Transit;NORMAL;BLOQUEADA;Error</t>
        </is>
      </c>
      <c r="D407" s="68" t="inlineStr">
        <is>
          <t>0;2;1;3</t>
        </is>
      </c>
      <c r="E407" s="68" t="inlineStr">
        <is>
          <t>2;1;0;3</t>
        </is>
      </c>
      <c r="F407" s="68" t="inlineStr">
        <is>
          <t>;DESBLOQUEAR;;</t>
        </is>
      </c>
      <c r="G407" s="68" t="inlineStr">
        <is>
          <t>#FF000000;#FF00FF00;#FFFF0000;#FFA9A9A9</t>
        </is>
      </c>
      <c r="H407" s="68" t="inlineStr">
        <is>
          <t>Abnormal;Auto;Auto;Abnormal</t>
        </is>
      </c>
      <c r="I407" s="68" t="inlineStr">
        <is>
          <t>FALSE;TRUE;TRUE;FALSE</t>
        </is>
      </c>
      <c r="J407" s="68" t="inlineStr">
        <is>
          <t>Alarme de Estado em Ponto Telecontrolado DV</t>
        </is>
      </c>
      <c r="K407" s="69" t="inlineStr">
        <is>
          <t>Alarme de Estado em Ponto Telecontrolado DV</t>
        </is>
      </c>
      <c r="L407" s="69">
        <f>VLOOKUP(LinkTable6789[[#This Row],[Coluna1]],[4]AlarmCatalog!$A:$M,11,FALSE)</f>
        <v/>
      </c>
    </row>
    <row r="408" ht="16.5" customFormat="1" customHeight="1" s="67">
      <c r="A408" s="68" t="inlineStr">
        <is>
          <t>TROCA@null___NORMAL@ALTERNATIVO___Custom___INV_S_TS_DV</t>
        </is>
      </c>
      <c r="B408" s="68" t="inlineStr"/>
      <c r="C408" s="68" t="inlineStr">
        <is>
          <t>Transit;NORMAL;ALTERNATIVO;Error</t>
        </is>
      </c>
      <c r="D408" s="68" t="inlineStr">
        <is>
          <t>0;1;2;3</t>
        </is>
      </c>
      <c r="E408" s="68" t="inlineStr">
        <is>
          <t>2;1;0;3</t>
        </is>
      </c>
      <c r="F408" s="68" t="inlineStr">
        <is>
          <t>;;;</t>
        </is>
      </c>
      <c r="G408" s="68" t="inlineStr">
        <is>
          <t>#FF000000;#FF00FF00;#FFFF0000;#FFA9A9A9</t>
        </is>
      </c>
      <c r="H408" s="68" t="inlineStr">
        <is>
          <t>Normal;Normal;Normal;Normal</t>
        </is>
      </c>
      <c r="I408" s="68" t="inlineStr">
        <is>
          <t>FALSE;TRUE;TRUE;FALSE</t>
        </is>
      </c>
      <c r="J408" s="68" t="inlineStr">
        <is>
          <t>Alarme de Estado em Ponto Telessinalizado DV</t>
        </is>
      </c>
      <c r="K408" s="69" t="inlineStr">
        <is>
          <t>Alarme de Estado em Ponto Telessinalizado DV</t>
        </is>
      </c>
      <c r="L408" s="69">
        <f>VLOOKUP(LinkTable6789[[#This Row],[Coluna1]],[4]AlarmCatalog!$A:$M,11,FALSE)</f>
        <v/>
      </c>
    </row>
    <row r="409" ht="16.5" customFormat="1" customHeight="1" s="67">
      <c r="A409" s="68" t="inlineStr">
        <is>
          <t>null@null___NORMAL@ATUADO___Custom_S_TS_SV</t>
        </is>
      </c>
      <c r="B409" s="68" t="inlineStr"/>
      <c r="C409" s="68" t="inlineStr">
        <is>
          <t>Transit;NORMAL;ATUADO;Error</t>
        </is>
      </c>
      <c r="D409" s="68" t="inlineStr">
        <is>
          <t>0;1;2;3</t>
        </is>
      </c>
      <c r="E409" s="68" t="inlineStr">
        <is>
          <t>2;0;1;3</t>
        </is>
      </c>
      <c r="F409" s="68" t="inlineStr">
        <is>
          <t>;;;</t>
        </is>
      </c>
      <c r="G409" s="68" t="inlineStr">
        <is>
          <t>#FF000000;#FF00FF00;#FFFF0000;#FFA9A9A9</t>
        </is>
      </c>
      <c r="H409" s="68" t="inlineStr">
        <is>
          <t>Abnormal;Auto;Auto;Abnormal</t>
        </is>
      </c>
      <c r="I409" s="68" t="inlineStr">
        <is>
          <t>FALSE;TRUE;TRUE;FALSE</t>
        </is>
      </c>
      <c r="J409" s="68" t="inlineStr">
        <is>
          <t>Alarme de Estado em Ponto Telessinalizado SV</t>
        </is>
      </c>
      <c r="K409" s="69" t="inlineStr">
        <is>
          <t>Alarme de Estado em Ponto Telessinalizado SV</t>
        </is>
      </c>
      <c r="L409" s="69">
        <f>VLOOKUP(LinkTable6789[[#This Row],[Coluna1]],[4]AlarmCatalog!$A:$M,11,FALSE)</f>
        <v/>
      </c>
    </row>
    <row r="410" ht="16.5" customFormat="1" customHeight="1" s="67">
      <c r="A410" s="68" t="inlineStr">
        <is>
          <t>AUTOMATICO@MANUAL___AUTOMATICO@MANUAL___Custom___admsINV_S_TS_SV</t>
        </is>
      </c>
      <c r="B410" s="68" t="inlineStr"/>
      <c r="C410" s="68" t="inlineStr">
        <is>
          <t>Transit;AUTOMATICO;MANUAL;Error</t>
        </is>
      </c>
      <c r="D410" s="68" t="inlineStr">
        <is>
          <t>0;2;1;3</t>
        </is>
      </c>
      <c r="E410" s="68" t="inlineStr">
        <is>
          <t>2;0;1;3</t>
        </is>
      </c>
      <c r="F410" s="68" t="inlineStr">
        <is>
          <t>;;;</t>
        </is>
      </c>
      <c r="G410" s="68" t="inlineStr">
        <is>
          <t>#FF000000;#FF00FF00;#FFFF0000;#FFA9A9A9</t>
        </is>
      </c>
      <c r="H410" s="68" t="inlineStr">
        <is>
          <t>Abnormal;Auto;Auto;Abnormal</t>
        </is>
      </c>
      <c r="I410" s="68" t="inlineStr">
        <is>
          <t>FALSE;TRUE;TRUE;FALSE</t>
        </is>
      </c>
      <c r="J410" s="68" t="inlineStr">
        <is>
          <t>Alarme de Estado em Ponto Telessinalizado SV</t>
        </is>
      </c>
      <c r="K410" s="69" t="inlineStr">
        <is>
          <t>Alarme de Estado em Ponto Telessinalizado SV</t>
        </is>
      </c>
      <c r="L410" s="69">
        <f>VLOOKUP(LinkTable6789[[#This Row],[Coluna1]],[4]AlarmCatalog!$A:$M,11,FALSE)</f>
        <v/>
      </c>
    </row>
    <row r="411" ht="16.5" customFormat="1" customHeight="1" s="67">
      <c r="A411" s="68" t="inlineStr">
        <is>
          <t>null@null___LIGADO@DESLIGADO___Custom_S_TS_SP</t>
        </is>
      </c>
      <c r="B411" s="68" t="inlineStr"/>
      <c r="C411" s="68" t="inlineStr">
        <is>
          <t>Transit;LIGADO;DESLIGADO;Error</t>
        </is>
      </c>
      <c r="D411" s="68" t="inlineStr">
        <is>
          <t>0;1;2;3</t>
        </is>
      </c>
      <c r="E411" s="68" t="inlineStr">
        <is>
          <t>2;0;1;3</t>
        </is>
      </c>
      <c r="F411" s="68" t="inlineStr">
        <is>
          <t>;;;</t>
        </is>
      </c>
      <c r="G411" s="68" t="inlineStr">
        <is>
          <t>#FF000000;#FF00FF00;#FFFF0000;#FFA9A9A9</t>
        </is>
      </c>
      <c r="H411" s="68" t="inlineStr">
        <is>
          <t>Abnormal;Auto;Auto;Abnormal</t>
        </is>
      </c>
      <c r="I411" s="68" t="inlineStr">
        <is>
          <t>FALSE;TRUE;TRUE;FALSE</t>
        </is>
      </c>
      <c r="J411" s="68" t="inlineStr">
        <is>
          <t>Alarme de Estado em Ponto Telessinalizado SP</t>
        </is>
      </c>
      <c r="K411" s="69" t="inlineStr">
        <is>
          <t>Alarme de Estado em Ponto Telessinalizado SP</t>
        </is>
      </c>
      <c r="L411" s="69">
        <f>VLOOKUP(LinkTable6789[[#This Row],[Coluna1]],[4]AlarmCatalog!$A:$M,11,FALSE)</f>
        <v/>
      </c>
    </row>
    <row r="412" ht="16.5" customFormat="1" customHeight="1" s="67">
      <c r="A412" s="68" t="inlineStr">
        <is>
          <t>DESLIGAR@LIGAR___DESLIGADO@LIGADO___Custom_D_TS_SP</t>
        </is>
      </c>
      <c r="B412" s="68" t="inlineStr"/>
      <c r="C412" s="68" t="inlineStr">
        <is>
          <t>Transit;DESLIGADO;LIGADO;Error</t>
        </is>
      </c>
      <c r="D412" s="68" t="inlineStr">
        <is>
          <t>0;1;2;3</t>
        </is>
      </c>
      <c r="E412" s="68" t="inlineStr">
        <is>
          <t>0;1;2;3</t>
        </is>
      </c>
      <c r="F412" s="68" t="inlineStr">
        <is>
          <t>;;;</t>
        </is>
      </c>
      <c r="G412" s="68" t="inlineStr">
        <is>
          <t>#FF000000;#FF00FF00;#FFFF0000;#FFA9A9A9</t>
        </is>
      </c>
      <c r="H412" s="68" t="inlineStr">
        <is>
          <t>Abnormal;Auto;Auto;Abnormal</t>
        </is>
      </c>
      <c r="I412" s="68" t="inlineStr">
        <is>
          <t>FALSE;TRUE;TRUE;FALSE</t>
        </is>
      </c>
      <c r="J412" s="68" t="inlineStr">
        <is>
          <t>Alarme de Estado em Ponto Telessinalizado SP</t>
        </is>
      </c>
      <c r="K412" s="69" t="inlineStr">
        <is>
          <t>Alarme de Estado em Ponto Telessinalizado SP</t>
        </is>
      </c>
      <c r="L412" s="69">
        <f>VLOOKUP(LinkTable6789[[#This Row],[Coluna1]],[4]AlarmCatalog!$A:$M,11,FALSE)</f>
        <v/>
      </c>
    </row>
    <row r="413" ht="16.5" customFormat="1" customHeight="1" s="67">
      <c r="A413" s="68" t="inlineStr">
        <is>
          <t>DESLIGAR@LIGAR___DESLIGADO@LIGADO___Custom___INV_S_TC_SV</t>
        </is>
      </c>
      <c r="B413" s="68" t="inlineStr"/>
      <c r="C413" s="68" t="inlineStr">
        <is>
          <t>Transit;DESLIGADO;LIGADO;Error</t>
        </is>
      </c>
      <c r="D413" s="68" t="inlineStr">
        <is>
          <t>0;1;2;3</t>
        </is>
      </c>
      <c r="E413" s="68" t="inlineStr">
        <is>
          <t>2;1;0;3</t>
        </is>
      </c>
      <c r="F413" s="68" t="inlineStr">
        <is>
          <t>;DESLIGAR;LIGAR;</t>
        </is>
      </c>
      <c r="G413" s="68" t="inlineStr">
        <is>
          <t>#FF000000;#FF00FF00;#FFFF0000;#FFA9A9A9</t>
        </is>
      </c>
      <c r="H413" s="68" t="inlineStr">
        <is>
          <t>Abnormal;Normal;Normal;Abnormal</t>
        </is>
      </c>
      <c r="I413" s="68" t="inlineStr">
        <is>
          <t>FALSE;TRUE;TRUE;FALSE</t>
        </is>
      </c>
      <c r="J413" s="68" t="inlineStr">
        <is>
          <t>Alarme de Estado em Ponto Telecontrolado SV</t>
        </is>
      </c>
      <c r="K413" s="69" t="inlineStr">
        <is>
          <t>Alarme de Estado em Ponto Telecontrolado SV</t>
        </is>
      </c>
      <c r="L413" s="69">
        <f>VLOOKUP(LinkTable6789[[#This Row],[Coluna1]],[4]AlarmCatalog!$A:$M,11,FALSE)</f>
        <v/>
      </c>
    </row>
    <row r="414" ht="16.5" customFormat="1" customHeight="1" s="67">
      <c r="A414" s="68" t="inlineStr">
        <is>
          <t>null@null___NORMAL@ATUADO___Custom___INV_S_TS_SP</t>
        </is>
      </c>
      <c r="B414" s="68" t="inlineStr"/>
      <c r="C414" s="68" t="inlineStr">
        <is>
          <t>Transit;NORMAL;ATUADO;Error</t>
        </is>
      </c>
      <c r="D414" s="68" t="inlineStr">
        <is>
          <t>0;1;2;3</t>
        </is>
      </c>
      <c r="E414" s="68" t="inlineStr">
        <is>
          <t>2;1;0;3</t>
        </is>
      </c>
      <c r="F414" s="68" t="inlineStr">
        <is>
          <t>;;;</t>
        </is>
      </c>
      <c r="G414" s="68" t="inlineStr">
        <is>
          <t>#FF000000;#FF00FF00;#FFFF0000;#FFA9A9A9</t>
        </is>
      </c>
      <c r="H414" s="68" t="inlineStr">
        <is>
          <t>Abnormal;Auto;Auto;Abnormal</t>
        </is>
      </c>
      <c r="I414" s="68" t="inlineStr">
        <is>
          <t>FALSE;TRUE;TRUE;FALSE</t>
        </is>
      </c>
      <c r="J414" s="68" t="inlineStr">
        <is>
          <t>Alarme de Estado em Ponto Telessinalizado SP</t>
        </is>
      </c>
      <c r="K414" s="69" t="inlineStr">
        <is>
          <t>Alarme de Estado em Ponto Telessinalizado SP</t>
        </is>
      </c>
      <c r="L414" s="69">
        <f>VLOOKUP(LinkTable6789[[#This Row],[Coluna1]],[4]AlarmCatalog!$A:$M,11,FALSE)</f>
        <v/>
      </c>
    </row>
    <row r="415" ht="16.5" customFormat="1" customHeight="1" s="67">
      <c r="A415" s="68" t="inlineStr">
        <is>
          <t>AUTOMATICO@MANUAL___AUTOMATICO@MANUAL___Custom___admsINV_S_TC_SV</t>
        </is>
      </c>
      <c r="B415" s="68" t="inlineStr"/>
      <c r="C415" s="68" t="inlineStr">
        <is>
          <t>Transit;AUTOMATICO;MANUAL;Error</t>
        </is>
      </c>
      <c r="D415" s="68" t="inlineStr">
        <is>
          <t>0;2;1;3</t>
        </is>
      </c>
      <c r="E415" s="68" t="inlineStr">
        <is>
          <t>2;0;1;3</t>
        </is>
      </c>
      <c r="F415" s="68" t="inlineStr">
        <is>
          <t>;AUTOMATICO;MANUAL;</t>
        </is>
      </c>
      <c r="G415" s="68" t="inlineStr">
        <is>
          <t>#FF000000;#FF00FF00;#FFFF0000;#FFA9A9A9</t>
        </is>
      </c>
      <c r="H415" s="68" t="inlineStr">
        <is>
          <t>Normal;Normal;Normal;Normal</t>
        </is>
      </c>
      <c r="I415" s="68" t="inlineStr">
        <is>
          <t>FALSE;TRUE;TRUE;FALSE</t>
        </is>
      </c>
      <c r="J415" s="68" t="inlineStr">
        <is>
          <t>Alarme de Estado em Ponto Telecontrolado SV</t>
        </is>
      </c>
      <c r="K415" s="69" t="inlineStr">
        <is>
          <t>Alarme de Estado em Ponto Telecontrolado SV</t>
        </is>
      </c>
      <c r="L415" s="69">
        <f>VLOOKUP(LinkTable6789[[#This Row],[Coluna1]],[4]AlarmCatalog!$A:$M,11,FALSE)</f>
        <v/>
      </c>
    </row>
    <row r="416" ht="16.5" customFormat="1" customHeight="1" s="67">
      <c r="A416" s="68" t="inlineStr">
        <is>
          <t>null@null___DESABILITADO@HABILITADO___HotLineTag___INV_S_TS_SS</t>
        </is>
      </c>
      <c r="B416" s="68" t="inlineStr"/>
      <c r="C416" s="68" t="inlineStr">
        <is>
          <t>Transit;DESABILITADO;HABILITADO;Error</t>
        </is>
      </c>
      <c r="D416" s="68" t="inlineStr">
        <is>
          <t>0;1;2;3</t>
        </is>
      </c>
      <c r="E416" s="68" t="inlineStr">
        <is>
          <t>2;1;0;3</t>
        </is>
      </c>
      <c r="F416" s="68" t="inlineStr">
        <is>
          <t>;;;</t>
        </is>
      </c>
      <c r="G416" s="68" t="inlineStr">
        <is>
          <t>#FF000000;#FF00FF00;#FFFF0000;#FFA9A9A9</t>
        </is>
      </c>
      <c r="H416" s="68" t="inlineStr">
        <is>
          <t>Abnormal;Auto;Auto;Abnormal</t>
        </is>
      </c>
      <c r="I416" s="68" t="inlineStr">
        <is>
          <t>FALSE;TRUE;TRUE;FALSE</t>
        </is>
      </c>
      <c r="J416" s="68" t="inlineStr">
        <is>
          <t>Alarme de Estado em Ponto Telessinalizado SS</t>
        </is>
      </c>
      <c r="K416" s="69" t="inlineStr">
        <is>
          <t>Alarme de Estado em Ponto Telessinalizado SS</t>
        </is>
      </c>
      <c r="L416" s="69">
        <f>VLOOKUP(LinkTable6789[[#This Row],[Coluna1]],[4]AlarmCatalog!$A:$M,11,FALSE)</f>
        <v/>
      </c>
    </row>
    <row r="417" ht="16.5" customFormat="1" customHeight="1" s="67">
      <c r="A417" s="68" t="inlineStr">
        <is>
          <t>G1@G2___GRUPO 1@GRUPO 2___Custom_S_TC_SV</t>
        </is>
      </c>
      <c r="B417" s="68" t="inlineStr"/>
      <c r="C417" s="68" t="inlineStr">
        <is>
          <t>Transit;GRUPO 1;GRUPO 2;Error</t>
        </is>
      </c>
      <c r="D417" s="68" t="inlineStr">
        <is>
          <t>0;1;2;3</t>
        </is>
      </c>
      <c r="E417" s="68" t="inlineStr">
        <is>
          <t>2;0;1;3</t>
        </is>
      </c>
      <c r="F417" s="68" t="inlineStr">
        <is>
          <t>;G1;G2;</t>
        </is>
      </c>
      <c r="G417" s="68" t="inlineStr">
        <is>
          <t>#FF000000;#FF00FF00;#FFFF0000;#FFA9A9A9</t>
        </is>
      </c>
      <c r="H417" s="68" t="inlineStr">
        <is>
          <t>Normal;Normal;Normal;Normal</t>
        </is>
      </c>
      <c r="I417" s="68" t="inlineStr">
        <is>
          <t>FALSE;TRUE;TRUE;FALSE</t>
        </is>
      </c>
      <c r="J417" s="68" t="inlineStr">
        <is>
          <t>Alarme de Estado em Ponto Telecontrolado SV</t>
        </is>
      </c>
      <c r="K417" s="69" t="inlineStr">
        <is>
          <t>Alarme de Estado em Ponto Telecontrolado SV</t>
        </is>
      </c>
      <c r="L417" s="69">
        <f>VLOOKUP(LinkTable6789[[#This Row],[Coluna1]],[4]AlarmCatalog!$A:$M,11,FALSE)</f>
        <v/>
      </c>
    </row>
    <row r="418" ht="16.5" customFormat="1" customHeight="1" s="67">
      <c r="A418" s="68" t="inlineStr">
        <is>
          <t>DESATIVAR@ATIVAR___DESATIVADO@ATIVADO___Custom___INV_S_TS_SV</t>
        </is>
      </c>
      <c r="B418" s="68" t="inlineStr"/>
      <c r="C418" s="68" t="inlineStr">
        <is>
          <t>Transit;DESATIVADO;ATIVADO;Error</t>
        </is>
      </c>
      <c r="D418" s="68" t="inlineStr">
        <is>
          <t>0;1;2;3</t>
        </is>
      </c>
      <c r="E418" s="68" t="inlineStr">
        <is>
          <t>2;1;0;3</t>
        </is>
      </c>
      <c r="F418" s="68" t="inlineStr">
        <is>
          <t>;;;</t>
        </is>
      </c>
      <c r="G418" s="68" t="inlineStr">
        <is>
          <t>#FF000000;#FF00FF00;#FFFF0000;#FFA9A9A9</t>
        </is>
      </c>
      <c r="H418" s="68" t="inlineStr">
        <is>
          <t>Normal;Normal;Normal;Normal</t>
        </is>
      </c>
      <c r="I418" s="68" t="inlineStr">
        <is>
          <t>FALSE;TRUE;TRUE;FALSE</t>
        </is>
      </c>
      <c r="J418" s="68" t="inlineStr">
        <is>
          <t>Alarme de Estado em Ponto Telessinalizado SV</t>
        </is>
      </c>
      <c r="K418" s="69" t="inlineStr">
        <is>
          <t>Alarme de Estado em Ponto Telessinalizado SV</t>
        </is>
      </c>
      <c r="L418" s="69">
        <f>VLOOKUP(LinkTable6789[[#This Row],[Coluna1]],[4]AlarmCatalog!$A:$M,11,FALSE)</f>
        <v/>
      </c>
    </row>
    <row r="419" ht="16.5" customFormat="1" customHeight="1" s="67">
      <c r="A419" s="70" t="inlineStr">
        <is>
          <t>null@null___NORMAL@DISPARADA___Custom_S_TS_SV</t>
        </is>
      </c>
      <c r="B419" s="68" t="inlineStr"/>
      <c r="C419" s="68" t="inlineStr">
        <is>
          <t>Transit;NORMAL;DISPARADA;Error</t>
        </is>
      </c>
      <c r="D419" s="68" t="inlineStr">
        <is>
          <t>0;1;2;3</t>
        </is>
      </c>
      <c r="E419" s="68" t="inlineStr">
        <is>
          <t>2;0;1;3</t>
        </is>
      </c>
      <c r="F419" s="68" t="inlineStr">
        <is>
          <t>;;;</t>
        </is>
      </c>
      <c r="G419" s="68" t="inlineStr">
        <is>
          <t>#FF000000;#FF00FF00;#FFFF0000;#FFA9A9A9</t>
        </is>
      </c>
      <c r="H419" s="68" t="inlineStr">
        <is>
          <t>Abnormal;Auto;Auto;Abnormal</t>
        </is>
      </c>
      <c r="I419" s="68" t="inlineStr">
        <is>
          <t>FALSE;TRUE;TRUE;FALSE</t>
        </is>
      </c>
      <c r="J419" s="68" t="inlineStr">
        <is>
          <t>Alarme de Estado em Ponto Telessinalizado SP</t>
        </is>
      </c>
      <c r="K419" s="69" t="inlineStr">
        <is>
          <t>Alarme de Estado em Ponto Telessinalizado SV</t>
        </is>
      </c>
      <c r="L419" s="69">
        <f>VLOOKUP(LinkTable6789[[#This Row],[Coluna1]],[4]AlarmCatalog!$A:$M,11,FALSE)</f>
        <v/>
      </c>
    </row>
    <row r="420" ht="16.5" customFormat="1" customHeight="1" s="67">
      <c r="A420" s="68" t="inlineStr">
        <is>
          <t>null@null___DEFEITO@NORMAL___Custom_S_TS_SP</t>
        </is>
      </c>
      <c r="B420" s="68" t="inlineStr"/>
      <c r="C420" s="68" t="inlineStr">
        <is>
          <t>Transit;DEFEITO;NORMAL;Error</t>
        </is>
      </c>
      <c r="D420" s="68" t="inlineStr">
        <is>
          <t>0;1;2;3</t>
        </is>
      </c>
      <c r="E420" s="68" t="inlineStr">
        <is>
          <t>2;0;1;3</t>
        </is>
      </c>
      <c r="F420" s="68" t="inlineStr">
        <is>
          <t>;;;</t>
        </is>
      </c>
      <c r="G420" s="68" t="inlineStr">
        <is>
          <t>#FF000000;#FF00FF00;#FFFF0000;#FFA9A9A9</t>
        </is>
      </c>
      <c r="H420" s="68" t="inlineStr">
        <is>
          <t>Abnormal;Auto;Auto;Abnormal</t>
        </is>
      </c>
      <c r="I420" s="68" t="inlineStr">
        <is>
          <t>FALSE;TRUE;TRUE;FALSE</t>
        </is>
      </c>
      <c r="J420" s="68" t="inlineStr">
        <is>
          <t>Alarme de Estado em Ponto Telessinalizado SP</t>
        </is>
      </c>
      <c r="K420" s="69" t="inlineStr">
        <is>
          <t>Alarme de Estado em Ponto Telessinalizado SP</t>
        </is>
      </c>
      <c r="L420" s="69">
        <f>VLOOKUP(LinkTable6789[[#This Row],[Coluna1]],[4]AlarmCatalog!$A:$M,11,FALSE)</f>
        <v/>
      </c>
    </row>
    <row r="421" ht="16.5" customFormat="1" customHeight="1" s="67">
      <c r="A421" s="68" t="inlineStr">
        <is>
          <t>DI_null@CHAVE__INATIVO@CHAVE___Custom_S_TC_DV</t>
        </is>
      </c>
      <c r="B421" s="68" t="inlineStr"/>
      <c r="C421" s="68" t="inlineStr">
        <is>
          <t>Transit;INATIVO;CHAVE;Error</t>
        </is>
      </c>
      <c r="D421" s="68" t="inlineStr">
        <is>
          <t>0;1;2;3</t>
        </is>
      </c>
      <c r="E421" s="68" t="inlineStr">
        <is>
          <t>2;0;1;3</t>
        </is>
      </c>
      <c r="F421" s="68" t="inlineStr">
        <is>
          <t>;;CHAVE;</t>
        </is>
      </c>
      <c r="G421" s="68" t="inlineStr">
        <is>
          <t>#FF000000;#FF00FF00;#FF00FF00;#FF000000</t>
        </is>
      </c>
      <c r="H421" s="68" t="inlineStr">
        <is>
          <t>Abnormal;Normal;Normal;Abnormal</t>
        </is>
      </c>
      <c r="I421" s="68" t="inlineStr">
        <is>
          <t>TRUE;TRUE;TRUE;FALSE</t>
        </is>
      </c>
      <c r="J421" s="68" t="inlineStr">
        <is>
          <t>Alarme de Estado em Ponto Telecontrolado DV</t>
        </is>
      </c>
      <c r="K421" s="69" t="inlineStr">
        <is>
          <t>Alarme de Estado em Ponto Telecontrolado DV</t>
        </is>
      </c>
      <c r="L421" s="69">
        <f>VLOOKUP(LinkTable6789[[#This Row],[Coluna1]],[4]AlarmCatalog!$A:$M,11,FALSE)</f>
        <v/>
      </c>
    </row>
    <row r="422" ht="16.5" customFormat="1" customHeight="1" s="67">
      <c r="A422" s="68" t="inlineStr">
        <is>
          <t>DI_ALTERNATIVO@RELIGADOR__ALTERNATIVO@RELIGADOR___Custom_S_TC_DV</t>
        </is>
      </c>
      <c r="B422" s="68" t="inlineStr"/>
      <c r="C422" s="68" t="inlineStr">
        <is>
          <t>Transit;ALTERNATIVO;RELIGADOR;Error</t>
        </is>
      </c>
      <c r="D422" s="68" t="inlineStr">
        <is>
          <t>0;1;2;3</t>
        </is>
      </c>
      <c r="E422" s="68" t="inlineStr">
        <is>
          <t>2;0;1;3</t>
        </is>
      </c>
      <c r="F422" s="68" t="inlineStr">
        <is>
          <t>;ALTERNATIVO;RELIGADOR;</t>
        </is>
      </c>
      <c r="G422" s="68" t="inlineStr">
        <is>
          <t>#FF000000;#FF00FF00;#FF00FF00;#FF000000</t>
        </is>
      </c>
      <c r="H422" s="68" t="inlineStr">
        <is>
          <t>Abnormal;Normal;Normal;Abnormal</t>
        </is>
      </c>
      <c r="I422" s="68" t="inlineStr">
        <is>
          <t>TRUE;TRUE;TRUE;FALSE</t>
        </is>
      </c>
      <c r="J422" s="68" t="inlineStr">
        <is>
          <t>Alarme de Estado em Ponto Telecontrolado DV</t>
        </is>
      </c>
      <c r="K422" s="69" t="inlineStr">
        <is>
          <t>Alarme de Estado em Ponto Telecontrolado DV</t>
        </is>
      </c>
      <c r="L422" s="69">
        <f>VLOOKUP(LinkTable6789[[#This Row],[Coluna1]],[4]AlarmCatalog!$A:$M,11,FALSE)</f>
        <v/>
      </c>
    </row>
    <row r="423" ht="16.5" customFormat="1" customHeight="1" s="67">
      <c r="A423" s="68" t="inlineStr">
        <is>
          <t>AUTOMATICO@MANUAL___AUTOMATICO@MANUAL___Custom___INV___admsINV_S_TS_SV</t>
        </is>
      </c>
      <c r="B423" s="68" t="inlineStr"/>
      <c r="C423" s="68" t="inlineStr">
        <is>
          <t>Transit;AUTOMATICO;MANUAL;Error</t>
        </is>
      </c>
      <c r="D423" s="68" t="inlineStr">
        <is>
          <t>0;2;1;3</t>
        </is>
      </c>
      <c r="E423" s="68" t="inlineStr">
        <is>
          <t>2;1;0;3</t>
        </is>
      </c>
      <c r="F423" s="68" t="inlineStr">
        <is>
          <t>;;;</t>
        </is>
      </c>
      <c r="G423" s="68" t="inlineStr">
        <is>
          <t>#FF000000;#FF00FF00;#FFFF0000;#FFA9A9A9</t>
        </is>
      </c>
      <c r="H423" s="68" t="inlineStr">
        <is>
          <t>Normal;Normal;Normal;Normal</t>
        </is>
      </c>
      <c r="I423" s="68" t="inlineStr">
        <is>
          <t>FALSE;TRUE;TRUE;FALSE</t>
        </is>
      </c>
      <c r="J423" s="68" t="inlineStr">
        <is>
          <t>Alarme de Estado em Ponto Telessinalizado SV</t>
        </is>
      </c>
      <c r="K423" s="69" t="inlineStr">
        <is>
          <t>Alarme de Estado em Ponto Telessinalizado SV</t>
        </is>
      </c>
      <c r="L423" s="69">
        <f>VLOOKUP(LinkTable6789[[#This Row],[Coluna1]],[4]AlarmCatalog!$A:$M,11,FALSE)</f>
        <v/>
      </c>
    </row>
    <row r="424" ht="16.5" customFormat="1" customHeight="1" s="67">
      <c r="A424" s="68" t="inlineStr">
        <is>
          <t>G1@G2___DESATIVADO@ATIVADO___Custom_S_TS_SV</t>
        </is>
      </c>
      <c r="B424" s="68" t="inlineStr"/>
      <c r="C424" s="68" t="inlineStr">
        <is>
          <t>Transit;DESATIVADO;ATIVADO;Error</t>
        </is>
      </c>
      <c r="D424" s="68" t="inlineStr">
        <is>
          <t>0;1;2;3</t>
        </is>
      </c>
      <c r="E424" s="68" t="inlineStr">
        <is>
          <t>2;0;1;3</t>
        </is>
      </c>
      <c r="F424" s="68" t="inlineStr">
        <is>
          <t>;;;</t>
        </is>
      </c>
      <c r="G424" s="68" t="inlineStr">
        <is>
          <t>#FF000000;#FF00FF00;#FFFF0000;#FFA9A9A9</t>
        </is>
      </c>
      <c r="H424" s="68" t="inlineStr">
        <is>
          <t>Normal;Normal;Normal;Normal</t>
        </is>
      </c>
      <c r="I424" s="68" t="inlineStr">
        <is>
          <t>FALSE;TRUE;TRUE;FALSE</t>
        </is>
      </c>
      <c r="J424" s="68" t="inlineStr">
        <is>
          <t>Alarme de Estado em Ponto Telessinalizado SV</t>
        </is>
      </c>
      <c r="K424" s="69" t="inlineStr">
        <is>
          <t>Alarme de Estado em Ponto Telessinalizado SV</t>
        </is>
      </c>
      <c r="L424" s="69">
        <f>VLOOKUP(LinkTable6789[[#This Row],[Coluna1]],[4]AlarmCatalog!$A:$M,11,FALSE)</f>
        <v/>
      </c>
    </row>
    <row r="425" ht="16.5" customFormat="1" customHeight="1" s="67">
      <c r="A425" s="68" t="inlineStr">
        <is>
          <t>null@ATIV_DES___DESATIVADO@ATIVADO___Custom_S_TC_SV</t>
        </is>
      </c>
      <c r="B425" s="68" t="inlineStr"/>
      <c r="C425" s="68" t="inlineStr">
        <is>
          <t>Transit;DESATIVADO;ATIVADO;Error</t>
        </is>
      </c>
      <c r="D425" s="68" t="inlineStr">
        <is>
          <t>0;1;2;3</t>
        </is>
      </c>
      <c r="E425" s="68" t="inlineStr">
        <is>
          <t>2;0;1;3</t>
        </is>
      </c>
      <c r="F425" s="68" t="inlineStr">
        <is>
          <t>;;ATIV_DES;</t>
        </is>
      </c>
      <c r="G425" s="68" t="inlineStr">
        <is>
          <t>#FF000000;#FF00FF00;#FFFF0000;#FFA9A9A9</t>
        </is>
      </c>
      <c r="H425" s="68" t="inlineStr">
        <is>
          <t>Normal;Normal;Normal;Normal</t>
        </is>
      </c>
      <c r="I425" s="68" t="inlineStr">
        <is>
          <t>FALSE;TRUE;TRUE;FALSE</t>
        </is>
      </c>
      <c r="J425" s="68" t="inlineStr">
        <is>
          <t>Alarme de Estado em Ponto Telecontrolado SV</t>
        </is>
      </c>
      <c r="K425" s="69" t="inlineStr">
        <is>
          <t>Alarme de Estado em Ponto Telecontrolado SV</t>
        </is>
      </c>
      <c r="L425" s="69">
        <f>VLOOKUP(LinkTable6789[[#This Row],[Coluna1]],[4]AlarmCatalog!$A:$M,11,FALSE)</f>
        <v/>
      </c>
    </row>
    <row r="426" ht="16.5" customFormat="1" customHeight="1" s="67">
      <c r="A426" s="68" t="inlineStr">
        <is>
          <t>DI_CHAVE@null__CHAVE@null___Custom_S_TC_DV</t>
        </is>
      </c>
      <c r="B426" s="68" t="inlineStr"/>
      <c r="C426" s="68" t="inlineStr">
        <is>
          <t>Transit;CHAVE;INATIVO;Error</t>
        </is>
      </c>
      <c r="D426" s="68" t="inlineStr">
        <is>
          <t>0;1;2;3</t>
        </is>
      </c>
      <c r="E426" s="68" t="inlineStr">
        <is>
          <t>2;0;1;3</t>
        </is>
      </c>
      <c r="F426" s="68" t="inlineStr">
        <is>
          <t>;CHAVE;;</t>
        </is>
      </c>
      <c r="G426" s="68" t="inlineStr">
        <is>
          <t>#FF000000;#FF00FF00;#FF00FF00;#FF000000</t>
        </is>
      </c>
      <c r="H426" s="68" t="inlineStr">
        <is>
          <t>Abnormal;Normal;Normal;Abnormal</t>
        </is>
      </c>
      <c r="I426" s="68" t="inlineStr">
        <is>
          <t>TRUE;TRUE;TRUE;FALSE</t>
        </is>
      </c>
      <c r="J426" s="68" t="inlineStr">
        <is>
          <t>Alarme de Estado em Ponto Telecontrolado DV</t>
        </is>
      </c>
      <c r="K426" s="69" t="inlineStr">
        <is>
          <t>Alarme de Estado em Ponto Telecontrolado DV</t>
        </is>
      </c>
      <c r="L426" s="69">
        <f>VLOOKUP(LinkTable6789[[#This Row],[Coluna1]],[4]AlarmCatalog!$A:$M,11,FALSE)</f>
        <v/>
      </c>
    </row>
    <row r="427" ht="16.5" customFormat="1" customHeight="1" s="67">
      <c r="A427" s="68" t="inlineStr">
        <is>
          <t>DI_null@null@null___ALTERNATIVO@RELIGADOR@CHAVE___Custom_D_TS_DV</t>
        </is>
      </c>
      <c r="B427" s="68" t="inlineStr"/>
      <c r="C427" s="68" t="inlineStr">
        <is>
          <t>ALTERNATIVO;RELIGADOR;CHAVE;Error</t>
        </is>
      </c>
      <c r="D427" s="68" t="inlineStr">
        <is>
          <t>0;1;2;3</t>
        </is>
      </c>
      <c r="E427" s="68" t="inlineStr">
        <is>
          <t>0;1;2;3</t>
        </is>
      </c>
      <c r="F427" s="68" t="inlineStr">
        <is>
          <t>;;;</t>
        </is>
      </c>
      <c r="G427" s="68" t="inlineStr">
        <is>
          <t>#FF00FF00;#FF00FF00;#FF00FF00;#FF000000</t>
        </is>
      </c>
      <c r="H427" s="68" t="inlineStr">
        <is>
          <t>Normal;Normal;Normal;Abnormal</t>
        </is>
      </c>
      <c r="I427" s="68" t="inlineStr">
        <is>
          <t>TRUE;TRUE;TRUE;FALSE</t>
        </is>
      </c>
      <c r="J427" s="68" t="inlineStr">
        <is>
          <t>Alarme de Estado em Ponto Telecontrolado DV</t>
        </is>
      </c>
      <c r="K427" s="69" t="inlineStr">
        <is>
          <t>Alarme de Estado em Ponto Telecontrolado DV</t>
        </is>
      </c>
      <c r="L427" s="69">
        <f>VLOOKUP(LinkTable6789[[#This Row],[Coluna1]],[4]AlarmCatalog!$A:$M,11,FALSE)</f>
        <v/>
      </c>
    </row>
    <row r="428" ht="16.5" customFormat="1" customHeight="1" s="67">
      <c r="A428" s="68" t="inlineStr">
        <is>
          <t>DI_RELIGADOR@null__RELIGADOR@null___Custom_S_TC_DV</t>
        </is>
      </c>
      <c r="B428" s="68" t="inlineStr"/>
      <c r="C428" s="68" t="inlineStr">
        <is>
          <t>Transit;RELIGADOR;INATIVO;Error</t>
        </is>
      </c>
      <c r="D428" s="68" t="inlineStr">
        <is>
          <t>0;1;2;3</t>
        </is>
      </c>
      <c r="E428" s="68" t="inlineStr">
        <is>
          <t>2;0;1;3</t>
        </is>
      </c>
      <c r="F428" s="68" t="inlineStr">
        <is>
          <t>;RELIGADOR;;</t>
        </is>
      </c>
      <c r="G428" s="68" t="inlineStr">
        <is>
          <t>#FF000000;#FF00FF00;#FF00FF00;#FF000000</t>
        </is>
      </c>
      <c r="H428" s="68" t="inlineStr">
        <is>
          <t>Abnormal;Normal;Normal;Abnormal</t>
        </is>
      </c>
      <c r="I428" s="68" t="inlineStr">
        <is>
          <t>TRUE;TRUE;TRUE;FALSE</t>
        </is>
      </c>
      <c r="J428" s="68" t="inlineStr">
        <is>
          <t>Alarme de Estado em Ponto Telecontrolado DV</t>
        </is>
      </c>
      <c r="K428" s="69" t="inlineStr">
        <is>
          <t>Alarme de Estado em Ponto Telecontrolado DV</t>
        </is>
      </c>
      <c r="L428" s="69">
        <f>VLOOKUP(LinkTable6789[[#This Row],[Coluna1]],[4]AlarmCatalog!$A:$M,11,FALSE)</f>
        <v/>
      </c>
    </row>
    <row r="429" ht="16.5" customFormat="1" customHeight="1" s="67">
      <c r="A429" s="68" t="inlineStr">
        <is>
          <t>DI_ALTERNATIVO@null__ALTERNATIVO@null___Custom_S_TC_DV</t>
        </is>
      </c>
      <c r="B429" s="68" t="inlineStr"/>
      <c r="C429" s="68" t="inlineStr">
        <is>
          <t>Transit;ALTERNATIVO;Inativo;Error</t>
        </is>
      </c>
      <c r="D429" s="68" t="inlineStr">
        <is>
          <t>0;1;2;3</t>
        </is>
      </c>
      <c r="E429" s="68" t="inlineStr">
        <is>
          <t>2;0;1;3</t>
        </is>
      </c>
      <c r="F429" s="68" t="inlineStr">
        <is>
          <t>;ALTERNATIVO;;</t>
        </is>
      </c>
      <c r="G429" s="68" t="inlineStr">
        <is>
          <t>#FF000000;#FF00FF00;#FF00FF00;#FF000000</t>
        </is>
      </c>
      <c r="H429" s="68" t="inlineStr">
        <is>
          <t>Abnormal;Normal;Normal;Abnormal</t>
        </is>
      </c>
      <c r="I429" s="68" t="inlineStr">
        <is>
          <t>TRUE;TRUE;TRUE;FALSE</t>
        </is>
      </c>
      <c r="J429" s="68" t="inlineStr">
        <is>
          <t>Alarme de Estado em Ponto Telecontrolado DV</t>
        </is>
      </c>
      <c r="K429" s="69" t="inlineStr">
        <is>
          <t>Alarme de Estado em Ponto Telecontrolado DV</t>
        </is>
      </c>
      <c r="L429" s="69">
        <f>VLOOKUP(LinkTable6789[[#This Row],[Coluna1]],[4]AlarmCatalog!$A:$M,11,FALSE)</f>
        <v/>
      </c>
    </row>
    <row r="430" ht="16.5" customFormat="1" customHeight="1" s="67">
      <c r="A430" s="68" t="inlineStr">
        <is>
          <t>null@null___DESABILITADO@HABILITADO___HotLineTag_S_TC_SS</t>
        </is>
      </c>
      <c r="B430" s="68" t="inlineStr"/>
      <c r="C430" s="68" t="inlineStr">
        <is>
          <t>Transit;DESABILITADO;HABILITADO;Error</t>
        </is>
      </c>
      <c r="D430" s="68" t="inlineStr">
        <is>
          <t>0;1;2;3</t>
        </is>
      </c>
      <c r="E430" s="68" t="inlineStr">
        <is>
          <t>2;0;1;3</t>
        </is>
      </c>
      <c r="F430" s="68" t="inlineStr">
        <is>
          <t>;;;</t>
        </is>
      </c>
      <c r="G430" s="68" t="inlineStr">
        <is>
          <t>#FF000000;#FF00FF00;#FFFF0000;#FFA9A9A9</t>
        </is>
      </c>
      <c r="H430" s="68" t="inlineStr">
        <is>
          <t>Abnormal;Auto;Auto;Abnormal</t>
        </is>
      </c>
      <c r="I430" s="68" t="inlineStr">
        <is>
          <t>FALSE;TRUE;TRUE;FALSE</t>
        </is>
      </c>
      <c r="J430" s="68" t="inlineStr">
        <is>
          <t>Alarme de Estado em Ponto Telecontrolado SS</t>
        </is>
      </c>
      <c r="K430" s="69" t="inlineStr">
        <is>
          <t>Alarme de Estado em Ponto Telecontrolado SS</t>
        </is>
      </c>
      <c r="L430" s="69">
        <f>VLOOKUP(LinkTable6789[[#This Row],[Coluna1]],[4]AlarmCatalog!$A:$M,11,FALSE)</f>
        <v/>
      </c>
    </row>
    <row r="431" ht="16.5" customFormat="1" customHeight="1" s="67">
      <c r="A431" s="68" t="inlineStr">
        <is>
          <t>null@null___DEFEITO@NORMAL___Custom___INV_S_TS_SP</t>
        </is>
      </c>
      <c r="B431" s="68" t="inlineStr"/>
      <c r="C431" s="68" t="inlineStr">
        <is>
          <t>Transit;DEFEITO;NORMAL;Error</t>
        </is>
      </c>
      <c r="D431" s="68" t="inlineStr">
        <is>
          <t>0;1;2;3</t>
        </is>
      </c>
      <c r="E431" s="68" t="inlineStr">
        <is>
          <t>2;1;0;3</t>
        </is>
      </c>
      <c r="F431" s="68" t="inlineStr">
        <is>
          <t>;;;</t>
        </is>
      </c>
      <c r="G431" s="68" t="inlineStr">
        <is>
          <t>#FF000000;#FF00FF00;#FFFF0000;#FFA9A9A9</t>
        </is>
      </c>
      <c r="H431" s="68" t="inlineStr">
        <is>
          <t>Abnormal;Auto;Auto;Abnormal</t>
        </is>
      </c>
      <c r="I431" s="68" t="inlineStr">
        <is>
          <t>FALSE;TRUE;TRUE;FALSE</t>
        </is>
      </c>
      <c r="J431" s="68" t="inlineStr">
        <is>
          <t>Alarme de Estado em Ponto Telessinalizado SP</t>
        </is>
      </c>
      <c r="K431" s="69" t="inlineStr">
        <is>
          <t>Alarme de Estado em Ponto Telessinalizado SP</t>
        </is>
      </c>
      <c r="L431" s="69">
        <f>VLOOKUP(LinkTable6789[[#This Row],[Coluna1]],[4]AlarmCatalog!$A:$M,11,FALSE)</f>
        <v/>
      </c>
    </row>
    <row r="432" ht="16.5" customFormat="1" customHeight="1" s="67">
      <c r="A432" s="68" t="inlineStr">
        <is>
          <t>DESLIGAR@LIGAR___DESLIGADO@LIGADO___Custom_S_TS_SP</t>
        </is>
      </c>
      <c r="B432" s="68" t="inlineStr"/>
      <c r="C432" s="68" t="inlineStr">
        <is>
          <t>Transit;DESLIGADO;LIGADO;Error</t>
        </is>
      </c>
      <c r="D432" s="68" t="inlineStr">
        <is>
          <t>0;1;2;3</t>
        </is>
      </c>
      <c r="E432" s="68" t="inlineStr">
        <is>
          <t>2;0;1;3</t>
        </is>
      </c>
      <c r="F432" s="68" t="inlineStr">
        <is>
          <t>;;;</t>
        </is>
      </c>
      <c r="G432" s="68" t="inlineStr">
        <is>
          <t>#FF000000;#FF00FF00;#FFFF0000;#FFA9A9A9</t>
        </is>
      </c>
      <c r="H432" s="68" t="inlineStr">
        <is>
          <t>Abnormal;Auto;Auto;Abnormal</t>
        </is>
      </c>
      <c r="I432" s="68" t="inlineStr">
        <is>
          <t>FALSE;TRUE;TRUE;FALSE</t>
        </is>
      </c>
      <c r="J432" s="68" t="inlineStr">
        <is>
          <t>Alarme de Estado em Ponto Telessinalizado SP</t>
        </is>
      </c>
      <c r="K432" s="69" t="inlineStr">
        <is>
          <t>Alarme de Estado em Ponto Telessinalizado SP</t>
        </is>
      </c>
      <c r="L432" s="69">
        <f>VLOOKUP(LinkTable6789[[#This Row],[Coluna1]],[4]AlarmCatalog!$A:$M,11,FALSE)</f>
        <v/>
      </c>
    </row>
    <row r="433" ht="16.5" customFormat="1" customHeight="1" s="67">
      <c r="A433" s="68" t="inlineStr">
        <is>
          <t>DESLIGAR@LIGAR___DESLIGADO@LIGADO___Custom___INV_S_TS_SV</t>
        </is>
      </c>
      <c r="B433" s="68" t="inlineStr"/>
      <c r="C433" s="68" t="inlineStr">
        <is>
          <t>Transit;DESLIGADO;LIGADO;Error</t>
        </is>
      </c>
      <c r="D433" s="68" t="inlineStr">
        <is>
          <t>0;1;2;3</t>
        </is>
      </c>
      <c r="E433" s="68" t="inlineStr">
        <is>
          <t>2;1;0;3</t>
        </is>
      </c>
      <c r="F433" s="68" t="inlineStr">
        <is>
          <t>;;;</t>
        </is>
      </c>
      <c r="G433" s="68" t="inlineStr">
        <is>
          <t>#FF000000;#FF00FF00;#FFFF0000;#FFA9A9A9</t>
        </is>
      </c>
      <c r="H433" s="68" t="inlineStr">
        <is>
          <t>Normal;Normal;Normal;Normal</t>
        </is>
      </c>
      <c r="I433" s="68" t="inlineStr">
        <is>
          <t>FALSE;TRUE;TRUE;FALSE</t>
        </is>
      </c>
      <c r="J433" s="68" t="inlineStr">
        <is>
          <t>Alarme de Estado em Ponto Telessinalizado SV</t>
        </is>
      </c>
      <c r="K433" s="69" t="inlineStr">
        <is>
          <t>Alarme de Estado em Ponto Telessinalizado SV</t>
        </is>
      </c>
      <c r="L433" s="69">
        <f>VLOOKUP(LinkTable6789[[#This Row],[Coluna1]],[4]AlarmCatalog!$A:$M,11,FALSE)</f>
        <v/>
      </c>
    </row>
    <row r="434" ht="16.5" customFormat="1" customHeight="1" s="67">
      <c r="A434" s="68" t="inlineStr">
        <is>
          <t>null@null___DESLIGADO@LIGADO___Custom_S_TS_SV</t>
        </is>
      </c>
      <c r="B434" s="68" t="inlineStr"/>
      <c r="C434" s="68" t="inlineStr">
        <is>
          <t>Transit;DESLIGADO;LIGADO;Error</t>
        </is>
      </c>
      <c r="D434" s="68" t="inlineStr">
        <is>
          <t>0;1;2;3</t>
        </is>
      </c>
      <c r="E434" s="68" t="inlineStr">
        <is>
          <t>2;0;1;3</t>
        </is>
      </c>
      <c r="F434" s="68" t="inlineStr">
        <is>
          <t>;DESLIGAR;LIGAR;</t>
        </is>
      </c>
      <c r="G434" s="68" t="inlineStr">
        <is>
          <t>#FF000000;#FF00FF00;#FFFF0000;#FFA9A9A9</t>
        </is>
      </c>
      <c r="H434" s="68" t="inlineStr">
        <is>
          <t>Normal;Normal;Normal;Normal</t>
        </is>
      </c>
      <c r="I434" s="68" t="inlineStr">
        <is>
          <t>FALSE;TRUE;TRUE;FALSE</t>
        </is>
      </c>
      <c r="J434" s="68" t="inlineStr">
        <is>
          <t>Alarme de Estado em Ponto Telessinalizado SV</t>
        </is>
      </c>
      <c r="K434" s="69" t="inlineStr">
        <is>
          <t>Alarme de Estado em Ponto Telessinalizado SV</t>
        </is>
      </c>
      <c r="L434" s="69">
        <f>VLOOKUP(LinkTable6789[[#This Row],[Coluna1]],[4]AlarmCatalog!$A:$M,11,FALSE)</f>
        <v/>
      </c>
    </row>
    <row r="435" ht="16.5" customFormat="1" customHeight="1" s="67">
      <c r="A435" s="68" t="inlineStr">
        <is>
          <t>DI_RELIGADOR@ALTERNATIVO@CHAVE___RELIGADOR@ALTERNATIVO@CHAVE___Custom_D_TC_DV</t>
        </is>
      </c>
      <c r="B435" s="68" t="inlineStr"/>
      <c r="C435" s="68" t="inlineStr">
        <is>
          <t>RELIGADOR;ALTERNATIVO;CHAVE;</t>
        </is>
      </c>
      <c r="D435" s="68" t="inlineStr">
        <is>
          <t>0;1;2;3</t>
        </is>
      </c>
      <c r="E435" s="68" t="inlineStr">
        <is>
          <t>0;1;2;3</t>
        </is>
      </c>
      <c r="F435" s="68" t="inlineStr">
        <is>
          <t>RELIGADOR;ALTERNATIVO;CHAVE;</t>
        </is>
      </c>
      <c r="G435" s="68" t="inlineStr">
        <is>
          <t>#FF00FF00;#FF00FF00;#FF00FF00;#FF000000</t>
        </is>
      </c>
      <c r="H435" s="68" t="inlineStr">
        <is>
          <t>Normal;Normal;Normal;Abnormal</t>
        </is>
      </c>
      <c r="I435" s="68" t="inlineStr">
        <is>
          <t>TRUE;TRUE;TRUE;FALSE</t>
        </is>
      </c>
      <c r="J435" s="68" t="inlineStr">
        <is>
          <t>Alarme de Estado em Ponto Telecontrolado DV</t>
        </is>
      </c>
      <c r="K435" s="69" t="inlineStr">
        <is>
          <t>Alarme de Estado em Ponto Telecontrolado DV</t>
        </is>
      </c>
      <c r="L435" s="69">
        <f>VLOOKUP(LinkTable6789[[#This Row],[Coluna1]],[4]AlarmCatalog!$A:$M,11,FALSE)</f>
        <v/>
      </c>
    </row>
    <row r="436" ht="16.5" customFormat="1" customHeight="1" s="67">
      <c r="A436" s="68" t="inlineStr">
        <is>
          <t>DI_RESETAR@null___null@null___Custom_S_TC_DV</t>
        </is>
      </c>
      <c r="B436" s="68" t="inlineStr"/>
      <c r="C436" s="68" t="inlineStr">
        <is>
          <t>Transit;;;Error</t>
        </is>
      </c>
      <c r="D436" s="68" t="inlineStr">
        <is>
          <t>0;1;2;3</t>
        </is>
      </c>
      <c r="E436" s="68" t="inlineStr">
        <is>
          <t>2;0;1;3</t>
        </is>
      </c>
      <c r="F436" s="68" t="inlineStr">
        <is>
          <t>;RESETAR;;</t>
        </is>
      </c>
      <c r="G436" s="68" t="inlineStr">
        <is>
          <t>#FF000000;#FF00FF00;#FFFF0000;#FFA9A9A9</t>
        </is>
      </c>
      <c r="H436" s="68" t="inlineStr">
        <is>
          <t>Abnormal;Auto;Auto;Abnormal</t>
        </is>
      </c>
      <c r="I436" s="68" t="inlineStr">
        <is>
          <t>FALSE;TRUE;TRUE;FALSE</t>
        </is>
      </c>
      <c r="J436" s="68" t="inlineStr">
        <is>
          <t>Alarme de Estado em Ponto Telecontrolado DV</t>
        </is>
      </c>
      <c r="K436" s="69" t="inlineStr">
        <is>
          <t>Alarme de Estado em Ponto Telecontrolado DV</t>
        </is>
      </c>
      <c r="L436" s="69">
        <f>VLOOKUP(LinkTable6789[[#This Row],[Coluna1]],[4]AlarmCatalog!$A:$M,11,FALSE)</f>
        <v/>
      </c>
    </row>
    <row r="437" ht="16.5" customFormat="1" customHeight="1" s="67">
      <c r="A437" s="68" t="inlineStr">
        <is>
          <t>DI_DESBLOQUEAR@null___NORMAL@BLOQUEADA___Enabled___admsINV_S_TC_DV</t>
        </is>
      </c>
      <c r="B437" s="68" t="inlineStr"/>
      <c r="C437" s="68" t="inlineStr">
        <is>
          <t>Transit;NORMAL;BLOQUEADA;Error</t>
        </is>
      </c>
      <c r="D437" s="68" t="inlineStr">
        <is>
          <t>0;2;1;3</t>
        </is>
      </c>
      <c r="E437" s="68" t="inlineStr">
        <is>
          <t>2;0;1;3</t>
        </is>
      </c>
      <c r="F437" s="68" t="inlineStr">
        <is>
          <t>;DESBLOQUEAR;;</t>
        </is>
      </c>
      <c r="G437" s="68" t="inlineStr">
        <is>
          <t>#FF000000;#FF00FF00;#FFFF0000;#FFA9A9A9</t>
        </is>
      </c>
      <c r="H437" s="68" t="inlineStr">
        <is>
          <t>Abnormal;Auto;Auto;Abnormal</t>
        </is>
      </c>
      <c r="I437" s="68" t="inlineStr">
        <is>
          <t>FALSE;TRUE;TRUE;FALSE</t>
        </is>
      </c>
      <c r="J437" s="68" t="inlineStr">
        <is>
          <t>Alarme de Estado em Ponto Telecontrolado DV</t>
        </is>
      </c>
      <c r="K437" s="69" t="inlineStr">
        <is>
          <t>Alarme de Estado em Ponto Telecontrolado DV</t>
        </is>
      </c>
      <c r="L437" s="69">
        <f>VLOOKUP(LinkTable6789[[#This Row],[Coluna1]],[4]AlarmCatalog!$A:$M,11,FALSE)</f>
        <v/>
      </c>
    </row>
    <row r="438" ht="16.5" customFormat="1" customHeight="1" s="67">
      <c r="A438" s="68" t="inlineStr">
        <is>
          <t>RELIGADOR@ALTERNATIVO___NORMAL@ALTERNATIVO___Custom_S_TC_SV</t>
        </is>
      </c>
      <c r="B438" s="68" t="inlineStr"/>
      <c r="C438" s="68" t="inlineStr">
        <is>
          <t>Transit;NORMAL;ALTERNATIVO;Error</t>
        </is>
      </c>
      <c r="D438" s="68" t="inlineStr">
        <is>
          <t>0;1;2;3</t>
        </is>
      </c>
      <c r="E438" s="68" t="inlineStr">
        <is>
          <t>2;0;1;3</t>
        </is>
      </c>
      <c r="F438" s="68" t="inlineStr">
        <is>
          <t>;RELIGADOR;ALTERNATIVO;</t>
        </is>
      </c>
      <c r="G438" s="68" t="inlineStr">
        <is>
          <t>#FF000000;#FF00FF00;#FFFF0000;#FFA9A9A9</t>
        </is>
      </c>
      <c r="H438" s="68" t="inlineStr">
        <is>
          <t>Normal;Normal;Normal;Normal</t>
        </is>
      </c>
      <c r="I438" s="68" t="inlineStr">
        <is>
          <t>FALSE;TRUE;TRUE;FALSE</t>
        </is>
      </c>
      <c r="J438" s="68" t="inlineStr">
        <is>
          <t>Alarme de Estado em Ponto Telecontrolado SV</t>
        </is>
      </c>
      <c r="K438" s="69" t="inlineStr">
        <is>
          <t>Alarme de Estado em Ponto Telecontrolado SV</t>
        </is>
      </c>
      <c r="L438" s="69">
        <f>VLOOKUP(LinkTable6789[[#This Row],[Coluna1]],[4]AlarmCatalog!$A:$M,11,FALSE)</f>
        <v/>
      </c>
    </row>
    <row r="439" ht="16.5" customFormat="1" customHeight="1" s="67">
      <c r="A439" s="68" t="inlineStr">
        <is>
          <t>RELIGADOR@ALTERNATIVO___null@null___Custom_S_TS_SV</t>
        </is>
      </c>
      <c r="B439" s="68" t="inlineStr"/>
      <c r="C439" s="68" t="inlineStr">
        <is>
          <t>Transit;;;Error</t>
        </is>
      </c>
      <c r="D439" s="68" t="inlineStr">
        <is>
          <t>0;1;2;3</t>
        </is>
      </c>
      <c r="E439" s="68" t="inlineStr">
        <is>
          <t>2;0;1;3</t>
        </is>
      </c>
      <c r="F439" s="68" t="inlineStr">
        <is>
          <t>;;;</t>
        </is>
      </c>
      <c r="G439" s="68" t="inlineStr">
        <is>
          <t>#FF000000;#FF00FF00;#FFFF0000;#FFA9A9A9</t>
        </is>
      </c>
      <c r="H439" s="68" t="inlineStr">
        <is>
          <t>Normal;Normal;Normal;Normal</t>
        </is>
      </c>
      <c r="I439" s="68" t="inlineStr">
        <is>
          <t>FALSE;TRUE;TRUE;FALSE</t>
        </is>
      </c>
      <c r="J439" s="68" t="inlineStr">
        <is>
          <t>Alarme de Estado em Ponto Telessinalizado SV</t>
        </is>
      </c>
      <c r="K439" s="69" t="inlineStr">
        <is>
          <t>Alarme de Estado em Ponto Telessinalizado SV</t>
        </is>
      </c>
      <c r="L439" s="69">
        <f>VLOOKUP(LinkTable6789[[#This Row],[Coluna1]],[4]AlarmCatalog!$A:$M,11,FALSE)</f>
        <v/>
      </c>
    </row>
    <row r="440" ht="16.5" customFormat="1" customHeight="1" s="67">
      <c r="A440" s="68" t="inlineStr">
        <is>
          <t>DI_null@null___DESATIVADO@ATIVADO___Custom_S_TC_DV</t>
        </is>
      </c>
      <c r="B440" s="68" t="inlineStr"/>
      <c r="C440" s="68" t="inlineStr">
        <is>
          <t>Transit;DESATIVADO;ATIVADO;Error</t>
        </is>
      </c>
      <c r="D440" s="68" t="inlineStr">
        <is>
          <t>0;1;2;3</t>
        </is>
      </c>
      <c r="E440" s="68" t="inlineStr">
        <is>
          <t>2;0;1;3</t>
        </is>
      </c>
      <c r="F440" s="68" t="inlineStr">
        <is>
          <t>;;ATIVAR;</t>
        </is>
      </c>
      <c r="G440" s="68" t="inlineStr">
        <is>
          <t>#FF000000;#FF00FF00;#FFFF0000;#FFA9A9A9</t>
        </is>
      </c>
      <c r="H440" s="68" t="inlineStr">
        <is>
          <t>Normal;Normal;Normal;Normal</t>
        </is>
      </c>
      <c r="I440" s="68" t="inlineStr">
        <is>
          <t>FALSE;TRUE;TRUE;FALSE</t>
        </is>
      </c>
      <c r="J440" s="68" t="inlineStr">
        <is>
          <t>Alarme de Estado em Ponto Telecontrolado DV</t>
        </is>
      </c>
      <c r="K440" s="69" t="inlineStr">
        <is>
          <t>Alarme de Estado em Ponto Telecontrolado DV</t>
        </is>
      </c>
      <c r="L440" s="69">
        <f>VLOOKUP(LinkTable6789[[#This Row],[Coluna1]],[4]AlarmCatalog!$A:$M,11,FALSE)</f>
        <v/>
      </c>
    </row>
    <row r="441" ht="16.5" customFormat="1" customHeight="1" s="67">
      <c r="A441" s="68" t="inlineStr">
        <is>
          <t>TROCA@null___null@null___Custom_S_TC_SV</t>
        </is>
      </c>
      <c r="B441" s="68" t="inlineStr"/>
      <c r="C441" s="68" t="inlineStr">
        <is>
          <t>Transit;;;Error</t>
        </is>
      </c>
      <c r="D441" s="68" t="inlineStr">
        <is>
          <t>0;1;2;3</t>
        </is>
      </c>
      <c r="E441" s="68" t="inlineStr">
        <is>
          <t>2;0;1;3</t>
        </is>
      </c>
      <c r="F441" s="68" t="inlineStr">
        <is>
          <t>;TROCA;;</t>
        </is>
      </c>
      <c r="G441" s="68" t="inlineStr">
        <is>
          <t>#FF000000;#FF00FF00;#FFFF0000;#FFA9A9A9</t>
        </is>
      </c>
      <c r="H441" s="68" t="inlineStr">
        <is>
          <t>Normal;Normal;Normal;Normal</t>
        </is>
      </c>
      <c r="I441" s="68" t="inlineStr">
        <is>
          <t>FALSE;TRUE;TRUE;FALSE</t>
        </is>
      </c>
      <c r="J441" s="68" t="inlineStr">
        <is>
          <t>Alarme de Estado em Ponto Telecontrolado SV</t>
        </is>
      </c>
      <c r="K441" s="69" t="inlineStr">
        <is>
          <t>Alarme de Estado em Ponto Telecontrolado SV</t>
        </is>
      </c>
      <c r="L441" s="69">
        <f>VLOOKUP(LinkTable6789[[#This Row],[Coluna1]],[4]AlarmCatalog!$A:$M,11,FALSE)</f>
        <v/>
      </c>
    </row>
    <row r="442" ht="16.5" customFormat="1" customHeight="1" s="67">
      <c r="A442" s="68" t="inlineStr">
        <is>
          <t>DI_NORMAL@ALTERNATIVO@CHAVE___Null@Null@Null___Custom_D_TS_DV</t>
        </is>
      </c>
      <c r="B442" s="68" t="inlineStr"/>
      <c r="C442" s="68" t="inlineStr">
        <is>
          <t>NORMAL;ALTERNATIVO;CHAVE;</t>
        </is>
      </c>
      <c r="D442" s="68" t="inlineStr">
        <is>
          <t>0;1;2;3</t>
        </is>
      </c>
      <c r="E442" s="68" t="inlineStr">
        <is>
          <t>1;0;2;3</t>
        </is>
      </c>
      <c r="F442" s="68" t="inlineStr">
        <is>
          <t>;;;</t>
        </is>
      </c>
      <c r="G442" s="68" t="inlineStr">
        <is>
          <t>#FF00FF00;#FF00FF00;#FF00FF00;#FF000000</t>
        </is>
      </c>
      <c r="H442" s="68" t="inlineStr">
        <is>
          <t>Normal;Normal;Normal;Abnormal</t>
        </is>
      </c>
      <c r="I442" s="68" t="inlineStr">
        <is>
          <t>TRUE;TRUE;TRUE;FALSE</t>
        </is>
      </c>
      <c r="J442" s="68" t="inlineStr">
        <is>
          <t>Alarme de Estado em Ponto Telecontrolado DV</t>
        </is>
      </c>
      <c r="K442" s="69" t="inlineStr">
        <is>
          <t>Alarme de Estado em Ponto Telecontrolado DV</t>
        </is>
      </c>
      <c r="L442" s="69">
        <f>VLOOKUP(LinkTable6789[[#This Row],[Coluna1]],[4]AlarmCatalog!$A:$M,11,FALSE)</f>
        <v/>
      </c>
    </row>
    <row r="443" ht="16.5" customFormat="1" customHeight="1" s="67">
      <c r="A443" s="68" t="inlineStr">
        <is>
          <t>DI_null@ATIVAR___DESATIVADO@ATIVADO___AJPRTN_S_TC_SV</t>
        </is>
      </c>
      <c r="B443" s="68" t="inlineStr"/>
      <c r="C443" s="68" t="inlineStr">
        <is>
          <t>Transit;DESATIVADO;ATIVADO;Error</t>
        </is>
      </c>
      <c r="D443" s="68" t="inlineStr">
        <is>
          <t>0;2;1;3</t>
        </is>
      </c>
      <c r="E443" s="68" t="inlineStr">
        <is>
          <t>2;0;1;3</t>
        </is>
      </c>
      <c r="F443" s="68" t="inlineStr">
        <is>
          <t>;;ATIVAR;</t>
        </is>
      </c>
      <c r="G443" s="68" t="inlineStr">
        <is>
          <t>#FF000000;#FF00FF00;#FFFF0000;#FFA9A9A9</t>
        </is>
      </c>
      <c r="H443" s="68" t="inlineStr">
        <is>
          <t>Normal;Normal;Normal;Normal</t>
        </is>
      </c>
      <c r="I443" s="68" t="inlineStr">
        <is>
          <t>FALSE;TRUE;TRUE;FALSE</t>
        </is>
      </c>
      <c r="J443" s="68" t="inlineStr">
        <is>
          <t>Alarme de Estado em Ponto Telecontrolado SV</t>
        </is>
      </c>
      <c r="K443" s="69" t="inlineStr">
        <is>
          <t>Alarme de Estado em Ponto Telecontrolado SV</t>
        </is>
      </c>
      <c r="L443" s="69">
        <f>VLOOKUP(LinkTable6789[[#This Row],[Coluna1]],[4]AlarmCatalog!$A:$M,11,FALSE)</f>
        <v/>
      </c>
    </row>
    <row r="444" ht="16.5" customFormat="1" customHeight="1" s="67">
      <c r="A444" s="68" t="inlineStr">
        <is>
          <t>DI_null@ATIVAR___DESATIVADO@ATIVADO___Custom_S_TC_DV</t>
        </is>
      </c>
      <c r="B444" s="68" t="inlineStr"/>
      <c r="C444" s="68" t="inlineStr">
        <is>
          <t>Transit;DESATIVADO;ATIVADO;Error</t>
        </is>
      </c>
      <c r="D444" s="68" t="inlineStr">
        <is>
          <t>0;1;2;3</t>
        </is>
      </c>
      <c r="E444" s="68" t="inlineStr">
        <is>
          <t>2;0;1;3</t>
        </is>
      </c>
      <c r="F444" s="68" t="inlineStr">
        <is>
          <t>;;ATIVAR;</t>
        </is>
      </c>
      <c r="G444" s="68" t="inlineStr">
        <is>
          <t>#FF000000;#FF00FF00;#FFFF0000;#FFA9A9A9</t>
        </is>
      </c>
      <c r="H444" s="68" t="inlineStr">
        <is>
          <t>Abnormal;Auto;Auto;Abnormal</t>
        </is>
      </c>
      <c r="I444" s="68" t="inlineStr">
        <is>
          <t>FALSE;TRUE;TRUE;FALSE</t>
        </is>
      </c>
      <c r="J444" s="68" t="inlineStr">
        <is>
          <t>Alarme de Estado em Ponto Telecontrolado DV</t>
        </is>
      </c>
      <c r="K444" s="69" t="inlineStr">
        <is>
          <t>Alarme de Estado em Ponto Telecontrolado DV</t>
        </is>
      </c>
      <c r="L444" s="69">
        <f>VLOOKUP(LinkTable6789[[#This Row],[Coluna1]],[4]AlarmCatalog!$A:$M,11,FALSE)</f>
        <v/>
      </c>
    </row>
    <row r="445" ht="16.5" customFormat="1" customHeight="1" s="67">
      <c r="A445" s="68" t="inlineStr">
        <is>
          <t>DI_NORMAL@ALTERNATIVO@CHAVE___NORMAL@ALTERNATIVO@CHAVE___Custom_D_TS_DV</t>
        </is>
      </c>
      <c r="B445" s="68" t="inlineStr"/>
      <c r="C445" s="68" t="inlineStr">
        <is>
          <t>NORMAL;ALTERNATIVO;CHAVE;</t>
        </is>
      </c>
      <c r="D445" s="68" t="inlineStr">
        <is>
          <t>0;1;2;3</t>
        </is>
      </c>
      <c r="E445" s="68" t="inlineStr">
        <is>
          <t>0;1;2;3</t>
        </is>
      </c>
      <c r="F445" s="68" t="inlineStr">
        <is>
          <t>NORMAL;ALTERNATIVO;CHAVE;</t>
        </is>
      </c>
      <c r="G445" s="68" t="inlineStr">
        <is>
          <t>#FF00FF00;#FF00FF00;#FF00FF00;#FF000000</t>
        </is>
      </c>
      <c r="H445" s="68" t="inlineStr">
        <is>
          <t>Normal;Normal;Normal;Abnormal</t>
        </is>
      </c>
      <c r="I445" s="68" t="inlineStr">
        <is>
          <t>TRUE;TRUE;TRUE;FALSE</t>
        </is>
      </c>
      <c r="J445" s="68" t="inlineStr">
        <is>
          <t>Alarme de Estado em Ponto Telessinalizado DV</t>
        </is>
      </c>
      <c r="K445" s="69" t="inlineStr">
        <is>
          <t>Alarme de Estado em Ponto Telessinalizado DV</t>
        </is>
      </c>
      <c r="L445" s="69">
        <f>VLOOKUP(LinkTable6789[[#This Row],[Coluna1]],[4]AlarmCatalog!$A:$M,11,FALSE)</f>
        <v/>
      </c>
    </row>
    <row r="446" ht="16.5" customFormat="1" customHeight="1" s="67">
      <c r="A446" s="68" t="inlineStr">
        <is>
          <t>DI_CHAVE@NORMAL___CHAVE@NORMAL___Custom___INV_S_TC_DV_F5V</t>
        </is>
      </c>
      <c r="B446" s="68" t="inlineStr"/>
      <c r="C446" s="68" t="inlineStr">
        <is>
          <t>Transit;CHAVE;NORMAL;Error</t>
        </is>
      </c>
      <c r="D446" s="68" t="inlineStr">
        <is>
          <t>0;2;1;3</t>
        </is>
      </c>
      <c r="E446" s="68" t="inlineStr">
        <is>
          <t>2;0;1;3</t>
        </is>
      </c>
      <c r="F446" s="68" t="inlineStr">
        <is>
          <t>;CHAVE;NORMAL;</t>
        </is>
      </c>
      <c r="G446" s="68" t="inlineStr">
        <is>
          <t>#FF000000;#FF00FF00;#FF00FF00;#FF000000</t>
        </is>
      </c>
      <c r="H446" s="68" t="inlineStr">
        <is>
          <t>Abnormal;Normal;Normal;Abnormal</t>
        </is>
      </c>
      <c r="I446" s="68" t="inlineStr">
        <is>
          <t>FALSE;TRUE;TRUE;FALSE</t>
        </is>
      </c>
      <c r="J446" s="68" t="inlineStr">
        <is>
          <t>Alarme de Estado em Ponto Telecontrolado DV</t>
        </is>
      </c>
      <c r="K446" s="69" t="inlineStr">
        <is>
          <t>Alarme de Estado em Ponto Telecontrolado DV</t>
        </is>
      </c>
      <c r="L446" s="69">
        <f>VLOOKUP(LinkTable6789[[#This Row],[Coluna1]],[4]AlarmCatalog!$A:$M,11,FALSE)</f>
        <v/>
      </c>
    </row>
    <row r="447" ht="16.5" customFormat="1" customHeight="1" s="67">
      <c r="A447" s="68" t="inlineStr">
        <is>
          <t>DI_null@null@null___ALTERNATIVO@NORMAL@CHAVE___Custom_D_TS_DV_ART1</t>
        </is>
      </c>
      <c r="B447" s="68" t="inlineStr"/>
      <c r="C447" s="68" t="inlineStr">
        <is>
          <t>ALTERNATIVO;NORMAL;CHAVE;</t>
        </is>
      </c>
      <c r="D447" s="68" t="inlineStr">
        <is>
          <t>0;1;2;3</t>
        </is>
      </c>
      <c r="E447" s="68" t="inlineStr">
        <is>
          <t>0;1;2;3</t>
        </is>
      </c>
      <c r="F447" s="68" t="inlineStr">
        <is>
          <t>ALTERNATIVO;NORMAL;CHAVE;</t>
        </is>
      </c>
      <c r="G447" s="68" t="inlineStr">
        <is>
          <t>#FF00FF00;#FF00FF00;#FF00FF00;#FF000000</t>
        </is>
      </c>
      <c r="H447" s="68" t="inlineStr">
        <is>
          <t>Normal;Normal;Normal;Abnormal</t>
        </is>
      </c>
      <c r="I447" s="68" t="inlineStr">
        <is>
          <t>TRUE;TRUE;TRUE;FALSE</t>
        </is>
      </c>
      <c r="J447" s="68" t="inlineStr">
        <is>
          <t>Alarme de Estado em Ponto Telessinalizado DV</t>
        </is>
      </c>
      <c r="K447" s="69" t="inlineStr">
        <is>
          <t>Alarme de Estado em Ponto Telessinalizado DV</t>
        </is>
      </c>
      <c r="L447" s="69">
        <f>VLOOKUP(LinkTable6789[[#This Row],[Coluna1]],[4]AlarmCatalog!$A:$M,11,FALSE)</f>
        <v/>
      </c>
    </row>
    <row r="448" ht="16.5" customFormat="1" customHeight="1" s="67">
      <c r="A448" s="68" t="inlineStr">
        <is>
          <t>DI_null@null@null___NORMAL@ALTERNATIVO@CHAVE___Custom_D_TS_DV_SNV3</t>
        </is>
      </c>
      <c r="B448" s="68" t="inlineStr"/>
      <c r="C448" s="68" t="inlineStr">
        <is>
          <t>NORMAL;ALTERNATIVO;CHAVE;</t>
        </is>
      </c>
      <c r="D448" s="68" t="inlineStr">
        <is>
          <t>0;1;2;3</t>
        </is>
      </c>
      <c r="E448" s="68" t="inlineStr">
        <is>
          <t>1;0;2;3</t>
        </is>
      </c>
      <c r="F448" s="68" t="inlineStr">
        <is>
          <t>NORMAL;ALTERNATIVO;CHAVE;</t>
        </is>
      </c>
      <c r="G448" s="68" t="inlineStr">
        <is>
          <t>#FF00FF00;#FF00FF00;#FF00FF00;#FF000000</t>
        </is>
      </c>
      <c r="H448" s="68" t="inlineStr">
        <is>
          <t>Normal;Normal;Normal;Abnormal</t>
        </is>
      </c>
      <c r="I448" s="68" t="inlineStr">
        <is>
          <t>TRUE;TRUE;TRUE;FALSE</t>
        </is>
      </c>
      <c r="J448" s="68" t="inlineStr">
        <is>
          <t>Alarme de Estado em Ponto Telessinalizado DV</t>
        </is>
      </c>
      <c r="K448" s="69" t="inlineStr">
        <is>
          <t>Alarme de Estado em Ponto Telessinalizado DV</t>
        </is>
      </c>
      <c r="L448" s="69">
        <f>VLOOKUP(LinkTable6789[[#This Row],[Coluna1]],[4]AlarmCatalog!$A:$M,11,FALSE)</f>
        <v/>
      </c>
    </row>
    <row r="449" ht="16.5" customFormat="1" customHeight="1" s="67">
      <c r="A449" s="68" t="inlineStr">
        <is>
          <t>DI_NORMAL@ALTERNATIVO___NORMAL@ALTERNATIVO___Custom_D_TC_DV_SIV</t>
        </is>
      </c>
      <c r="B449" s="68" t="inlineStr"/>
      <c r="C449" s="68" t="inlineStr">
        <is>
          <t>Transit;NORMAL;ALTERNATIVO;Error</t>
        </is>
      </c>
      <c r="D449" s="68" t="inlineStr">
        <is>
          <t>0;1;2;3</t>
        </is>
      </c>
      <c r="E449" s="68" t="inlineStr">
        <is>
          <t>0;1;2;3</t>
        </is>
      </c>
      <c r="F449" s="68" t="inlineStr">
        <is>
          <t>;NORMAL;ALTERNATIVO;</t>
        </is>
      </c>
      <c r="G449" s="68" t="inlineStr">
        <is>
          <t>#FF000000;#FFFF0000;#FF00FF00;#FFA9A9A9</t>
        </is>
      </c>
      <c r="H449" s="68" t="inlineStr">
        <is>
          <t>Abnormal;Normal;Normal;Abnormal</t>
        </is>
      </c>
      <c r="I449" s="68" t="inlineStr">
        <is>
          <t>FALSE;TRUE;TRUE;FALSE</t>
        </is>
      </c>
      <c r="J449" s="68" t="inlineStr">
        <is>
          <t>Alarme de Estado em Ponto Telecontrolado DV</t>
        </is>
      </c>
      <c r="K449" s="69" t="inlineStr">
        <is>
          <t>Alarme de Estado em Ponto Telecontrolado DV</t>
        </is>
      </c>
      <c r="L449" s="69">
        <f>VLOOKUP(LinkTable6789[[#This Row],[Coluna1]],[4]AlarmCatalog!$A:$M,11,FALSE)</f>
        <v/>
      </c>
    </row>
    <row r="450" ht="16.5" customFormat="1" customHeight="1" s="67">
      <c r="A450" s="68" t="inlineStr">
        <is>
          <t>DI_null@ATIVAR___null@null___Custom_S_TC_DV</t>
        </is>
      </c>
      <c r="B450" s="68" t="inlineStr"/>
      <c r="C450" s="68" t="inlineStr">
        <is>
          <t>Transit;;;Error</t>
        </is>
      </c>
      <c r="D450" s="68" t="inlineStr">
        <is>
          <t>0;1;2;3</t>
        </is>
      </c>
      <c r="E450" s="68" t="inlineStr">
        <is>
          <t>2;0;1;3</t>
        </is>
      </c>
      <c r="F450" s="68" t="inlineStr">
        <is>
          <t>;;ATIVAR;</t>
        </is>
      </c>
      <c r="G450" s="68" t="inlineStr">
        <is>
          <t>#FF000000;#FF00FF00;#FFFF0000;#FFA9A9A9</t>
        </is>
      </c>
      <c r="H450" s="68" t="inlineStr">
        <is>
          <t>Abnormal;Auto;Auto;Abnormal</t>
        </is>
      </c>
      <c r="I450" s="68" t="inlineStr">
        <is>
          <t>FALSE;TRUE;TRUE;FALSE</t>
        </is>
      </c>
      <c r="J450" s="68" t="inlineStr">
        <is>
          <t>Alarme de Estado em Ponto Telecontrolado DV</t>
        </is>
      </c>
      <c r="K450" s="69" t="inlineStr">
        <is>
          <t>Alarme de Estado em Ponto Telecontrolado DV</t>
        </is>
      </c>
      <c r="L450" s="69">
        <f>VLOOKUP(LinkTable6789[[#This Row],[Coluna1]],[4]AlarmCatalog!$A:$M,11,FALSE)</f>
        <v/>
      </c>
    </row>
    <row r="451" ht="16.5" customFormat="1" customHeight="1" s="67">
      <c r="A451" s="68" t="inlineStr">
        <is>
          <t>DI_BLOQUEAR@DESBLOQUEAR___BLOQUEADA@NORMAL___Enabled___S_TC_DV_SNV4</t>
        </is>
      </c>
      <c r="B451" s="68" t="inlineStr"/>
      <c r="C451" s="68" t="inlineStr">
        <is>
          <t>Transit;BLOQUEADA;NORMAL;Error</t>
        </is>
      </c>
      <c r="D451" s="68" t="inlineStr">
        <is>
          <t>0;1;2;3</t>
        </is>
      </c>
      <c r="E451" s="68" t="inlineStr">
        <is>
          <t>2;0;1;3</t>
        </is>
      </c>
      <c r="F451" s="68" t="inlineStr">
        <is>
          <t>;BLOQUEAR;DESBLOQUEAR;</t>
        </is>
      </c>
      <c r="G451" s="68" t="inlineStr">
        <is>
          <t>#FF000000;#FFFF0000;#FF00FF00;#FFA9A9A9</t>
        </is>
      </c>
      <c r="H451" s="68" t="inlineStr">
        <is>
          <t>Abnormal;Normal;Normal;Abnormal</t>
        </is>
      </c>
      <c r="I451" s="68" t="inlineStr">
        <is>
          <t>FALSE;TRUE;TRUE;FALSE</t>
        </is>
      </c>
      <c r="J451" s="68" t="inlineStr">
        <is>
          <t>Alarme de Estado em Ponto Telecontrolado DV</t>
        </is>
      </c>
      <c r="K451" s="69" t="inlineStr">
        <is>
          <t>Alarme de Estado em Ponto Telecontrolado DV</t>
        </is>
      </c>
      <c r="L451" s="69">
        <f>VLOOKUP(LinkTable6789[[#This Row],[Coluna1]],[4]AlarmCatalog!$A:$M,11,FALSE)</f>
        <v/>
      </c>
    </row>
    <row r="452" ht="16.5" customFormat="1" customHeight="1" s="67">
      <c r="A452" s="68" t="inlineStr">
        <is>
          <t>DI_DESBLOQUEAR@BLOQUEAR___NORMAL@BLOQUEADA___Enabled___admsINV_S_TC_DV</t>
        </is>
      </c>
      <c r="B452" s="68" t="inlineStr"/>
      <c r="C452" s="68" t="inlineStr">
        <is>
          <t>Transit;NORMAL;BLOQUEADA;Error</t>
        </is>
      </c>
      <c r="D452" s="68" t="inlineStr">
        <is>
          <t>0;2;1;3</t>
        </is>
      </c>
      <c r="E452" s="68" t="inlineStr">
        <is>
          <t>2;0;1;3</t>
        </is>
      </c>
      <c r="F452" s="68" t="inlineStr">
        <is>
          <t>;DESBLOQUEAR;BLOQUEAR;</t>
        </is>
      </c>
      <c r="G452" s="68" t="inlineStr">
        <is>
          <t>#FF000000;#FF00FF00;#FFFF0000;#FFA9A9A9</t>
        </is>
      </c>
      <c r="H452" s="68" t="inlineStr">
        <is>
          <t>Abnormal;Auto;Auto;Abnormal</t>
        </is>
      </c>
      <c r="I452" s="68" t="inlineStr">
        <is>
          <t>FALSE;TRUE;TRUE;FALSE</t>
        </is>
      </c>
      <c r="J452" s="68" t="inlineStr">
        <is>
          <t>Alarme de Estado em Ponto Telecontrolado DV</t>
        </is>
      </c>
      <c r="K452" s="69" t="inlineStr">
        <is>
          <t>Alarme de Estado em Ponto Telecontrolado DV</t>
        </is>
      </c>
      <c r="L452" s="69">
        <f>VLOOKUP(LinkTable6789[[#This Row],[Coluna1]],[4]AlarmCatalog!$A:$M,11,FALSE)</f>
        <v/>
      </c>
    </row>
    <row r="453" ht="16.5" customFormat="1" customHeight="1" s="67">
      <c r="A453" s="68" t="inlineStr">
        <is>
          <t>DI_null@ATIVAR___DESATIVADO@ATIVADO___Custom6_S_TC_DV</t>
        </is>
      </c>
      <c r="B453" s="68" t="inlineStr"/>
      <c r="C453" s="68" t="inlineStr">
        <is>
          <t>Transit;DESATIVADO;ATIVADO;Error</t>
        </is>
      </c>
      <c r="D453" s="68" t="inlineStr">
        <is>
          <t>0;2;1;3</t>
        </is>
      </c>
      <c r="E453" s="68" t="inlineStr">
        <is>
          <t>2;0;1;3</t>
        </is>
      </c>
      <c r="F453" s="68" t="inlineStr">
        <is>
          <t>;;ATIVAR;</t>
        </is>
      </c>
      <c r="G453" s="68" t="inlineStr">
        <is>
          <t>#FF000000;#FF00FF00;#FFFF0000;#FFA9A9A9</t>
        </is>
      </c>
      <c r="H453" s="68" t="inlineStr">
        <is>
          <t>Abnormal;Auto;Auto;Abnormal</t>
        </is>
      </c>
      <c r="I453" s="68" t="inlineStr">
        <is>
          <t>FALSE;TRUE;TRUE;FALSE</t>
        </is>
      </c>
      <c r="J453" s="68" t="inlineStr">
        <is>
          <t>Alarme de Estado em Ponto Telecontrolado DV</t>
        </is>
      </c>
      <c r="K453" s="69" t="inlineStr">
        <is>
          <t>Alarme de Estado em Ponto Telecontrolado DV</t>
        </is>
      </c>
      <c r="L453" s="69">
        <f>VLOOKUP(LinkTable6789[[#This Row],[Coluna1]],[4]AlarmCatalog!$A:$M,11,FALSE)</f>
        <v/>
      </c>
    </row>
    <row r="454" ht="16.5" customFormat="1" customHeight="1" s="67">
      <c r="A454" s="68" t="inlineStr">
        <is>
          <t>DI_null@ATIVAR___DESATIVADO@ATIVADO___Custom6_S_TC_SV</t>
        </is>
      </c>
      <c r="B454" s="68" t="inlineStr"/>
      <c r="C454" s="68" t="inlineStr">
        <is>
          <t>Transit;DESATIVADO;ATIVADO;Error</t>
        </is>
      </c>
      <c r="D454" s="68" t="inlineStr">
        <is>
          <t>0;2;1;3</t>
        </is>
      </c>
      <c r="E454" s="68" t="inlineStr">
        <is>
          <t>2;0;1;3</t>
        </is>
      </c>
      <c r="F454" s="68" t="inlineStr">
        <is>
          <t>;;ATIVAR;</t>
        </is>
      </c>
      <c r="G454" s="68" t="inlineStr">
        <is>
          <t>#FF000000;#FF00FF00;#FFFF0000;#FFA9A9A9</t>
        </is>
      </c>
      <c r="H454" s="68" t="inlineStr">
        <is>
          <t>Abnormal;Auto;Auto;Abnormal</t>
        </is>
      </c>
      <c r="I454" s="68" t="inlineStr">
        <is>
          <t>FALSE;TRUE;TRUE;FALSE</t>
        </is>
      </c>
      <c r="J454" s="68" t="inlineStr">
        <is>
          <t>Alarme de Estado em Ponto Telecontrolado SV</t>
        </is>
      </c>
      <c r="K454" s="69" t="inlineStr">
        <is>
          <t>Alarme de Estado em Ponto Telecontrolado SV</t>
        </is>
      </c>
      <c r="L454" s="69">
        <f>VLOOKUP(LinkTable6789[[#This Row],[Coluna1]],[4]AlarmCatalog!$A:$M,11,FALSE)</f>
        <v/>
      </c>
    </row>
    <row r="455" ht="16.5" customFormat="1" customHeight="1" s="67">
      <c r="A455" s="68" t="inlineStr">
        <is>
          <t>DI_null@null@null___ALTERNATIVO@NORMAL@CHAVE___Custom6_D_TS_DV_ART1</t>
        </is>
      </c>
      <c r="B455" s="68" t="inlineStr"/>
      <c r="C455" s="68" t="inlineStr">
        <is>
          <t>ALTERNATIVO;NORMAL;CHAVE;</t>
        </is>
      </c>
      <c r="D455" s="68" t="inlineStr">
        <is>
          <t>0;2;1;3</t>
        </is>
      </c>
      <c r="E455" s="68" t="inlineStr">
        <is>
          <t>0;1;2;3</t>
        </is>
      </c>
      <c r="F455" s="68" t="inlineStr">
        <is>
          <t>ALTERNATIVO;NORMAL;CHAVE;</t>
        </is>
      </c>
      <c r="G455" s="68" t="inlineStr">
        <is>
          <t>#FF00FF00;#FF00FF00;#FF00FF00;#FF000000</t>
        </is>
      </c>
      <c r="H455" s="68" t="inlineStr">
        <is>
          <t>Normal;Normal;Abnormal;Abnormal</t>
        </is>
      </c>
      <c r="I455" s="68" t="inlineStr">
        <is>
          <t>TRUE;TRUE;TRUE;FALSE</t>
        </is>
      </c>
      <c r="J455" s="68" t="inlineStr">
        <is>
          <t>Alarme de Estado em Ponto Telessinalizado DV</t>
        </is>
      </c>
      <c r="K455" s="69" t="inlineStr">
        <is>
          <t>Alarme de Estado em Ponto Telessinalizado DV</t>
        </is>
      </c>
      <c r="L455" s="69">
        <f>VLOOKUP(LinkTable6789[[#This Row],[Coluna1]],[4]AlarmCatalog!$A:$M,11,FALSE)</f>
        <v/>
      </c>
    </row>
    <row r="456" ht="16.5" customFormat="1" customHeight="1" s="67">
      <c r="A456" s="68" t="inlineStr">
        <is>
          <t>DI_null@null@null___NORMAL@ALTERNATIVO@CHAVE___Custom6_D_TS_DV_SNV3</t>
        </is>
      </c>
      <c r="B456" s="68" t="inlineStr"/>
      <c r="C456" s="68" t="inlineStr">
        <is>
          <t>NORMAL;ALTERNATIVO;CHAVE;</t>
        </is>
      </c>
      <c r="D456" s="68" t="inlineStr">
        <is>
          <t>2;0;1;3</t>
        </is>
      </c>
      <c r="E456" s="68" t="inlineStr">
        <is>
          <t>1;0;2;3</t>
        </is>
      </c>
      <c r="F456" s="68" t="inlineStr">
        <is>
          <t>NORMAL;ALTERNATIVO;CHAVE;</t>
        </is>
      </c>
      <c r="G456" s="68" t="inlineStr">
        <is>
          <t>#FF00FF00;#FF00FF00;#FF00FF00;#FF000000</t>
        </is>
      </c>
      <c r="H456" s="68" t="inlineStr">
        <is>
          <t>Auto;Auto;Auto;Abnormal</t>
        </is>
      </c>
      <c r="I456" s="68" t="inlineStr">
        <is>
          <t>TRUE;TRUE;TRUE;FALSE</t>
        </is>
      </c>
      <c r="J456" s="68" t="inlineStr">
        <is>
          <t>Alarme de Estado em Ponto Telessinalizado DV</t>
        </is>
      </c>
      <c r="K456" s="69" t="inlineStr">
        <is>
          <t>Alarme de Estado em Ponto Telessinalizado DV</t>
        </is>
      </c>
      <c r="L456" s="69">
        <f>VLOOKUP(LinkTable6789[[#This Row],[Coluna1]],[4]AlarmCatalog!$A:$M,11,FALSE)</f>
        <v/>
      </c>
    </row>
    <row r="457" ht="16.5" customFormat="1" customHeight="1" s="67">
      <c r="A457" s="68" t="inlineStr">
        <is>
          <t>DI_CHAVE@NORMAL___CHAVE@NORMAL___Custom6___INV_S_TC_DV_F5V</t>
        </is>
      </c>
      <c r="B457" s="68" t="inlineStr"/>
      <c r="C457" s="68" t="inlineStr">
        <is>
          <t>Transit;CHAVE;NORMAL;Error</t>
        </is>
      </c>
      <c r="D457" s="68" t="inlineStr">
        <is>
          <t>0;1;2;3</t>
        </is>
      </c>
      <c r="E457" s="68" t="inlineStr">
        <is>
          <t>2;0;1;3</t>
        </is>
      </c>
      <c r="F457" s="68" t="inlineStr">
        <is>
          <t>;CHAVE;NORMAL;</t>
        </is>
      </c>
      <c r="G457" s="68" t="inlineStr">
        <is>
          <t>#FF000000;#FF00FF00;#FF00FF00;#FF000000</t>
        </is>
      </c>
      <c r="H457" s="68" t="inlineStr">
        <is>
          <t>Abnormal;Abnormal;Normal;Abnormal</t>
        </is>
      </c>
      <c r="I457" s="68" t="inlineStr">
        <is>
          <t>FALSE;TRUE;TRUE;FALSE</t>
        </is>
      </c>
      <c r="J457" s="68" t="inlineStr">
        <is>
          <t>Alarme de Estado em Ponto Telecontrolado DV</t>
        </is>
      </c>
      <c r="K457" s="69" t="inlineStr">
        <is>
          <t>Alarme de Estado em Ponto Telecontrolado DV</t>
        </is>
      </c>
      <c r="L457" s="69">
        <f>VLOOKUP(LinkTable6789[[#This Row],[Coluna1]],[4]AlarmCatalog!$A:$M,11,FALSE)</f>
        <v/>
      </c>
    </row>
    <row r="458" ht="16.5" customFormat="1" customHeight="1" s="67">
      <c r="A458" s="68" t="inlineStr">
        <is>
          <t>DI_RELIGADOR@CHAVE___RELIGADOR@CHAVE___Custom6_S_TC_DVx</t>
        </is>
      </c>
      <c r="B458" s="68" t="inlineStr"/>
      <c r="C458" s="68" t="inlineStr">
        <is>
          <t>Transit;RELIGADOR;CHAVE;Error</t>
        </is>
      </c>
      <c r="D458" s="68" t="inlineStr">
        <is>
          <t>0;2;1;3</t>
        </is>
      </c>
      <c r="E458" s="68" t="inlineStr">
        <is>
          <t>2;0;1;3</t>
        </is>
      </c>
      <c r="F458" s="68" t="inlineStr">
        <is>
          <t>;RELIGADOR;CHAVE;</t>
        </is>
      </c>
      <c r="G458" s="68" t="inlineStr">
        <is>
          <t>#FF000000;#FF00FF00;#FF00FF00;#FF000000</t>
        </is>
      </c>
      <c r="H458" s="68" t="inlineStr">
        <is>
          <t>Abnormal;Normal;Normal;Abnormal</t>
        </is>
      </c>
      <c r="I458" s="68" t="inlineStr">
        <is>
          <t>FALSE;TRUE;TRUE;FALSE</t>
        </is>
      </c>
      <c r="J458" s="68" t="inlineStr">
        <is>
          <t>Alarme de Estado em Ponto Telecontrolado DVx</t>
        </is>
      </c>
      <c r="K458" s="69" t="inlineStr">
        <is>
          <t>Alarme de Estado em Ponto Telecontrolado DVx</t>
        </is>
      </c>
      <c r="L458" s="69">
        <f>VLOOKUP(LinkTable6789[[#This Row],[Coluna1]],[4]AlarmCatalog!$A:$M,11,FALSE)</f>
        <v/>
      </c>
    </row>
    <row r="459" ht="16.5" customFormat="1" customHeight="1" s="67">
      <c r="A459" s="68" t="inlineStr">
        <is>
          <t>null@ATIV_DES___DESATIVADO@ATIVADO___Custom_S_TS_SVx</t>
        </is>
      </c>
      <c r="B459" s="68" t="inlineStr"/>
      <c r="C459" s="68" t="inlineStr">
        <is>
          <t>Transit;DESATIVADO;ATIVADO;Error</t>
        </is>
      </c>
      <c r="D459" s="68" t="inlineStr">
        <is>
          <t>0;1;2;3</t>
        </is>
      </c>
      <c r="E459" s="68" t="inlineStr">
        <is>
          <t>2;0;1;3</t>
        </is>
      </c>
      <c r="F459" s="68" t="inlineStr">
        <is>
          <t>;;;</t>
        </is>
      </c>
      <c r="G459" s="68" t="inlineStr">
        <is>
          <t>#FF000000;#FF00FF00;#FFFF0000;#FFA9A9A9</t>
        </is>
      </c>
      <c r="H459" s="68" t="inlineStr">
        <is>
          <t>Normal;Normal;Normal;Normal</t>
        </is>
      </c>
      <c r="I459" s="68" t="inlineStr">
        <is>
          <t>FALSE;TRUE;TRUE;FALSE</t>
        </is>
      </c>
      <c r="J459" s="68" t="inlineStr">
        <is>
          <t>Alarme de Estado em Ponto Telessinalizado SVx</t>
        </is>
      </c>
      <c r="K459" s="69" t="inlineStr">
        <is>
          <t>Alarme de Estado em Ponto Telessinalizado SVx</t>
        </is>
      </c>
      <c r="L459" s="69">
        <f>VLOOKUP(LinkTable6789[[#This Row],[Coluna1]],[4]AlarmCatalog!$A:$M,11,FALSE)</f>
        <v/>
      </c>
    </row>
    <row r="460" ht="16.5" customFormat="1" customHeight="1" s="67">
      <c r="A460" s="68" t="inlineStr">
        <is>
          <t>null@null___DESATIVADO@ATIVADO___Custom_S_TS_SVx</t>
        </is>
      </c>
      <c r="B460" s="68" t="inlineStr"/>
      <c r="C460" s="68" t="inlineStr">
        <is>
          <t>Transit;DESATIVADO;ATIVADO;Error</t>
        </is>
      </c>
      <c r="D460" s="68" t="inlineStr">
        <is>
          <t>0;1;2;3</t>
        </is>
      </c>
      <c r="E460" s="68" t="inlineStr">
        <is>
          <t>2;0;1;3</t>
        </is>
      </c>
      <c r="F460" s="68" t="inlineStr">
        <is>
          <t>;;;</t>
        </is>
      </c>
      <c r="G460" s="68" t="inlineStr">
        <is>
          <t>#FF000000;#FF00FF00;#FFFF0000;#FFA9A9A9</t>
        </is>
      </c>
      <c r="H460" s="68" t="inlineStr">
        <is>
          <t>Abnormal;Auto;Auto;Abnormal</t>
        </is>
      </c>
      <c r="I460" s="68" t="inlineStr">
        <is>
          <t>FALSE;TRUE;TRUE;FALSE</t>
        </is>
      </c>
      <c r="J460" s="68" t="inlineStr">
        <is>
          <t>Alarme de Estado em Ponto Telessinalizado SVx</t>
        </is>
      </c>
      <c r="K460" s="69" t="inlineStr">
        <is>
          <t>Alarme de Estado em Ponto Telessinalizado SVx</t>
        </is>
      </c>
      <c r="L460" s="69">
        <f>VLOOKUP(LinkTable6789[[#This Row],[Coluna1]],[4]AlarmCatalog!$A:$M,11,FALSE)</f>
        <v/>
      </c>
    </row>
    <row r="461" ht="16.5" customFormat="1" customHeight="1" s="67">
      <c r="A461" s="68" t="inlineStr">
        <is>
          <t>RELIGADOR@ALTERNATIVO___NORMAL@ALTERNATIVO___Custom_S_TS_DVx</t>
        </is>
      </c>
      <c r="B461" s="68" t="inlineStr"/>
      <c r="C461" s="68" t="inlineStr">
        <is>
          <t>Transit;NORMAL;ALTERNATIVO;Error</t>
        </is>
      </c>
      <c r="D461" s="68" t="inlineStr">
        <is>
          <t>0;1;2;3</t>
        </is>
      </c>
      <c r="E461" s="68" t="inlineStr">
        <is>
          <t>2;0;1;3</t>
        </is>
      </c>
      <c r="F461" s="68" t="inlineStr">
        <is>
          <t>;;;</t>
        </is>
      </c>
      <c r="G461" s="68" t="inlineStr">
        <is>
          <t>#FF000000;#FF00FF00;#FFFF0000;#FFA9A9A9</t>
        </is>
      </c>
      <c r="H461" s="68" t="inlineStr">
        <is>
          <t>Normal;Normal;Normal;Normal</t>
        </is>
      </c>
      <c r="I461" s="68" t="inlineStr">
        <is>
          <t>FALSE;TRUE;TRUE;FALSE</t>
        </is>
      </c>
      <c r="J461" s="68" t="inlineStr">
        <is>
          <t>Alarme de Estado em Ponto Telessinalizado DVx</t>
        </is>
      </c>
      <c r="K461" s="69" t="inlineStr">
        <is>
          <t>Alarme de Estado em Ponto Telessinalizado DVx</t>
        </is>
      </c>
      <c r="L461" s="69">
        <f>VLOOKUP(LinkTable6789[[#This Row],[Coluna1]],[4]AlarmCatalog!$A:$M,11,FALSE)</f>
        <v/>
      </c>
    </row>
    <row r="462" ht="16.5" customFormat="1" customHeight="1" s="67">
      <c r="A462" s="68" t="inlineStr">
        <is>
          <t>DI_null@null___ABERTO@FECHADO___Custom_S_TS_DPx</t>
        </is>
      </c>
      <c r="B462" s="68" t="inlineStr"/>
      <c r="C462" s="68" t="inlineStr">
        <is>
          <t>Transit;ABERTO;FECHADO;Error</t>
        </is>
      </c>
      <c r="D462" s="68" t="inlineStr">
        <is>
          <t>0;1;2;3</t>
        </is>
      </c>
      <c r="E462" s="68" t="inlineStr">
        <is>
          <t>2;0;1;3</t>
        </is>
      </c>
      <c r="F462" s="68" t="inlineStr">
        <is>
          <t>;;;</t>
        </is>
      </c>
      <c r="G462" s="68" t="inlineStr">
        <is>
          <t>#FF000000;#FF00FF00;#FFFF0000;#FFA9A9A9</t>
        </is>
      </c>
      <c r="H462" s="68" t="inlineStr">
        <is>
          <t>Abnormal;Auto;Auto;Abnormal</t>
        </is>
      </c>
      <c r="I462" s="68" t="inlineStr">
        <is>
          <t>FALSE;TRUE;TRUE;FALSE</t>
        </is>
      </c>
      <c r="J462" s="68" t="inlineStr">
        <is>
          <t>Alarme de Estado em Ponto Telessinalizado DPx</t>
        </is>
      </c>
      <c r="K462" s="69" t="inlineStr">
        <is>
          <t>Alarme de Estado em Ponto Telessinalizado DPx</t>
        </is>
      </c>
      <c r="L462" s="69">
        <f>VLOOKUP(LinkTable6789[[#This Row],[Coluna1]],[4]AlarmCatalog!$A:$M,11,FALSE)</f>
        <v/>
      </c>
    </row>
    <row r="463" ht="16.5" customFormat="1" customHeight="1" s="67">
      <c r="A463" s="68" t="inlineStr">
        <is>
          <t>DI_null@null___0@SUCESSO___Custom_S_TS_DVx</t>
        </is>
      </c>
      <c r="B463" s="68" t="inlineStr"/>
      <c r="C463" s="68" t="inlineStr">
        <is>
          <t>Transit;0;SUCESSO;Error</t>
        </is>
      </c>
      <c r="D463" s="68" t="inlineStr">
        <is>
          <t>0;1;2;3</t>
        </is>
      </c>
      <c r="E463" s="68" t="inlineStr">
        <is>
          <t>2;0;1;3</t>
        </is>
      </c>
      <c r="F463" s="68" t="inlineStr">
        <is>
          <t>;;;</t>
        </is>
      </c>
      <c r="G463" s="68" t="inlineStr">
        <is>
          <t>#FF000000;#FF00FF00;#FFFF0000;#FFA9A9A9</t>
        </is>
      </c>
      <c r="H463" s="68" t="inlineStr">
        <is>
          <t>Abnormal;Auto;Auto;Abnormal</t>
        </is>
      </c>
      <c r="I463" s="68" t="inlineStr">
        <is>
          <t>FALSE;TRUE;TRUE;FALSE</t>
        </is>
      </c>
      <c r="J463" s="68" t="inlineStr">
        <is>
          <t>Alarme de Estado em Ponto Telessinalizado DVx</t>
        </is>
      </c>
      <c r="K463" s="69" t="inlineStr">
        <is>
          <t>Alarme de Estado em Ponto Telessinalizado DVx</t>
        </is>
      </c>
      <c r="L463" s="69">
        <f>VLOOKUP(LinkTable6789[[#This Row],[Coluna1]],[4]AlarmCatalog!$A:$M,11,FALSE)</f>
        <v/>
      </c>
    </row>
    <row r="464" ht="16.5" customFormat="1" customHeight="1" s="67">
      <c r="A464" s="68" t="inlineStr">
        <is>
          <t>DI_null@ATIVAR___null@null___Custom_S_TC_DVx</t>
        </is>
      </c>
      <c r="B464" s="68" t="inlineStr"/>
      <c r="C464" s="68" t="inlineStr">
        <is>
          <t>Transit;;;Error</t>
        </is>
      </c>
      <c r="D464" s="68" t="inlineStr">
        <is>
          <t>0;1;2;3</t>
        </is>
      </c>
      <c r="E464" s="68" t="inlineStr">
        <is>
          <t>2;0;1;3</t>
        </is>
      </c>
      <c r="F464" s="68" t="inlineStr">
        <is>
          <t>;;ATIVAR;</t>
        </is>
      </c>
      <c r="G464" s="68" t="inlineStr">
        <is>
          <t>#FF000000;#FF00FF00;#FFFF0000;#FFA9A9A9</t>
        </is>
      </c>
      <c r="H464" s="68" t="inlineStr">
        <is>
          <t>Abnormal;Normal;Normal;Abnormal</t>
        </is>
      </c>
      <c r="I464" s="68" t="inlineStr">
        <is>
          <t>FALSE;TRUE;TRUE;FALSE</t>
        </is>
      </c>
      <c r="J464" s="68" t="inlineStr">
        <is>
          <t>Alarme de Estado em Ponto Telecontrolado DVx</t>
        </is>
      </c>
      <c r="K464" s="69" t="inlineStr">
        <is>
          <t>Alarme de Estado em Ponto Telecontrolado DVx</t>
        </is>
      </c>
      <c r="L464" s="69">
        <f>VLOOKUP(LinkTable6789[[#This Row],[Coluna1]],[4]AlarmCatalog!$A:$M,11,FALSE)</f>
        <v/>
      </c>
    </row>
    <row r="465" ht="16.5" customFormat="1" customHeight="1" s="67">
      <c r="A465" s="68" t="inlineStr">
        <is>
          <t>G1@G2___GRUPO 1@GRUPO 2___Custom_S_TC_SVx</t>
        </is>
      </c>
      <c r="B465" s="68" t="inlineStr"/>
      <c r="C465" s="68" t="inlineStr">
        <is>
          <t>Transit;GRUPO 1;GRUPO 2;Error</t>
        </is>
      </c>
      <c r="D465" s="68" t="inlineStr">
        <is>
          <t>0;1;2;3</t>
        </is>
      </c>
      <c r="E465" s="68" t="inlineStr">
        <is>
          <t>2;0;1;3</t>
        </is>
      </c>
      <c r="F465" s="68" t="inlineStr">
        <is>
          <t>;G1;G2;</t>
        </is>
      </c>
      <c r="G465" s="68" t="inlineStr">
        <is>
          <t>#FF000000;#FF00FF00;#FFFF0000;#FFA9A9A9</t>
        </is>
      </c>
      <c r="H465" s="68" t="inlineStr">
        <is>
          <t>Normal;Normal;Normal;Normal</t>
        </is>
      </c>
      <c r="I465" s="68" t="inlineStr">
        <is>
          <t>FALSE;TRUE;TRUE;FALSE</t>
        </is>
      </c>
      <c r="J465" s="68" t="inlineStr">
        <is>
          <t>Alarme de Estado em Ponto Telecontrolado SVx</t>
        </is>
      </c>
      <c r="K465" s="69" t="inlineStr">
        <is>
          <t>Alarme de Estado em Ponto Telecontrolado SVx</t>
        </is>
      </c>
      <c r="L465" s="69">
        <f>VLOOKUP(LinkTable6789[[#This Row],[Coluna1]],[4]AlarmCatalog!$A:$M,11,FALSE)</f>
        <v/>
      </c>
    </row>
    <row r="466" ht="16.5" customFormat="1" customHeight="1" s="67">
      <c r="A466" s="68" t="inlineStr">
        <is>
          <t>DI_null@ATIVAR___DESATIVADO@ATIVADO___Custom_S_TC_SVx</t>
        </is>
      </c>
      <c r="B466" s="68" t="inlineStr"/>
      <c r="C466" s="68" t="inlineStr">
        <is>
          <t>Transit;DESATIVADO;ATIVADO;Error</t>
        </is>
      </c>
      <c r="D466" s="68" t="inlineStr">
        <is>
          <t>0;1;2;3</t>
        </is>
      </c>
      <c r="E466" s="68" t="inlineStr">
        <is>
          <t>2;0;1;3</t>
        </is>
      </c>
      <c r="F466" s="68" t="inlineStr">
        <is>
          <t>;;ATIVAR;</t>
        </is>
      </c>
      <c r="G466" s="68" t="inlineStr">
        <is>
          <t>#FF000000;#FF00FF00;#FFFF0000;#FFA9A9A9</t>
        </is>
      </c>
      <c r="H466" s="68" t="inlineStr">
        <is>
          <t>Abnormal;Normal;Normal;Abnormal</t>
        </is>
      </c>
      <c r="I466" s="68" t="inlineStr">
        <is>
          <t>FALSE;TRUE;TRUE;FALSE</t>
        </is>
      </c>
      <c r="J466" s="68" t="inlineStr">
        <is>
          <t>Alarme de Estado em Ponto Telecontrolado SVx</t>
        </is>
      </c>
      <c r="K466" s="69" t="inlineStr">
        <is>
          <t>Alarme de Estado em Ponto Telecontrolado SVx</t>
        </is>
      </c>
      <c r="L466" s="69">
        <f>VLOOKUP(LinkTable6789[[#This Row],[Coluna1]],[4]AlarmCatalog!$A:$M,11,FALSE)</f>
        <v/>
      </c>
    </row>
    <row r="467" ht="16.5" customFormat="1" customHeight="1" s="67">
      <c r="A467" s="68" t="inlineStr">
        <is>
          <t>DI_null@ATIVAR___DESATIVADO@ATIVADO___Custom6_S_TC_DVx</t>
        </is>
      </c>
      <c r="B467" s="68" t="inlineStr"/>
      <c r="C467" s="68" t="inlineStr">
        <is>
          <t>Transit;DESATIVADO;ATIVADO;Error</t>
        </is>
      </c>
      <c r="D467" s="68" t="inlineStr">
        <is>
          <t>0;2;1;3</t>
        </is>
      </c>
      <c r="E467" s="68" t="inlineStr">
        <is>
          <t>2;0;1;3</t>
        </is>
      </c>
      <c r="F467" s="68" t="inlineStr">
        <is>
          <t>;;ATIVAR;</t>
        </is>
      </c>
      <c r="G467" s="68" t="inlineStr">
        <is>
          <t>#FF000000;#FF00FF00;#FFFF0000;#FFA9A9A9</t>
        </is>
      </c>
      <c r="H467" s="68" t="inlineStr">
        <is>
          <t>Abnormal;Normal;Normal;Abnormal</t>
        </is>
      </c>
      <c r="I467" s="68" t="inlineStr">
        <is>
          <t>FALSE;TRUE;TRUE;FALSE</t>
        </is>
      </c>
      <c r="J467" s="68" t="inlineStr">
        <is>
          <t>Alarme de Estado em Ponto Telecontrolado DVx</t>
        </is>
      </c>
      <c r="K467" s="69" t="inlineStr">
        <is>
          <t>Alarme de Estado em Ponto Telecontrolado DVx</t>
        </is>
      </c>
      <c r="L467" s="69">
        <f>VLOOKUP(LinkTable6789[[#This Row],[Coluna1]],[4]AlarmCatalog!$A:$M,11,FALSE)</f>
        <v/>
      </c>
    </row>
    <row r="468" ht="16.5" customFormat="1" customHeight="1" s="67">
      <c r="A468" s="68" t="inlineStr">
        <is>
          <t>DI_null@null___0@FALHA___Custom_S_TS_DVx</t>
        </is>
      </c>
      <c r="B468" s="68" t="inlineStr"/>
      <c r="C468" s="68" t="inlineStr">
        <is>
          <t>Transit;0;FALHA;Error</t>
        </is>
      </c>
      <c r="D468" s="68" t="inlineStr">
        <is>
          <t>0;1;2;3</t>
        </is>
      </c>
      <c r="E468" s="68" t="inlineStr">
        <is>
          <t>2;0;1;3</t>
        </is>
      </c>
      <c r="F468" s="68" t="inlineStr">
        <is>
          <t>;;;</t>
        </is>
      </c>
      <c r="G468" s="68" t="inlineStr">
        <is>
          <t>#FF000000;#FF00FF00;#FFFF0000;#FFA9A9A9</t>
        </is>
      </c>
      <c r="H468" s="68" t="inlineStr">
        <is>
          <t>Abnormal;Auto;Auto;Abnormal</t>
        </is>
      </c>
      <c r="I468" s="68" t="inlineStr">
        <is>
          <t>FALSE;TRUE;TRUE;FALSE</t>
        </is>
      </c>
      <c r="J468" s="68" t="inlineStr">
        <is>
          <t>Alarme de Estado em Ponto Telessinalizado DVx</t>
        </is>
      </c>
      <c r="K468" s="69" t="inlineStr">
        <is>
          <t>Alarme de Estado em Ponto Telessinalizado DVx</t>
        </is>
      </c>
      <c r="L468" s="69">
        <f>VLOOKUP(LinkTable6789[[#This Row],[Coluna1]],[4]AlarmCatalog!$A:$M,11,FALSE)</f>
        <v/>
      </c>
    </row>
    <row r="469" ht="16.5" customFormat="1" customHeight="1" s="67">
      <c r="A469" s="68" t="inlineStr">
        <is>
          <t>DI_null@ATIVAR___DESATIVADO@ATIVADO___Custom_S_TC_DVx</t>
        </is>
      </c>
      <c r="B469" s="68" t="inlineStr"/>
      <c r="C469" s="68" t="inlineStr">
        <is>
          <t>Transit;DESATIVADO;ATIVADO;Error</t>
        </is>
      </c>
      <c r="D469" s="68" t="inlineStr">
        <is>
          <t>0;1;2;3</t>
        </is>
      </c>
      <c r="E469" s="68" t="inlineStr">
        <is>
          <t>2;0;1;3</t>
        </is>
      </c>
      <c r="F469" s="68" t="inlineStr">
        <is>
          <t>;;ATIVAR;</t>
        </is>
      </c>
      <c r="G469" s="68" t="inlineStr">
        <is>
          <t>#FF000000;#FF00FF00;#FFFF0000;#FFA9A9A9</t>
        </is>
      </c>
      <c r="H469" s="68" t="inlineStr">
        <is>
          <t>Abnormal;Normal;Normal;Abnormal</t>
        </is>
      </c>
      <c r="I469" s="68" t="inlineStr">
        <is>
          <t>FALSE;TRUE;TRUE;FALSE</t>
        </is>
      </c>
      <c r="J469" s="68" t="inlineStr">
        <is>
          <t>Alarme de Estado em Ponto Telecontrolado DVx</t>
        </is>
      </c>
      <c r="K469" s="69" t="inlineStr">
        <is>
          <t>Alarme de Estado em Ponto Telecontrolado DVx</t>
        </is>
      </c>
      <c r="L469" s="69">
        <f>VLOOKUP(LinkTable6789[[#This Row],[Coluna1]],[4]AlarmCatalog!$A:$M,11,FALSE)</f>
        <v/>
      </c>
    </row>
    <row r="470" ht="16.5" customFormat="1" customHeight="1" s="67">
      <c r="A470" s="68" t="inlineStr">
        <is>
          <t>DI_null@ATIVAR___DESATIVADO@ATIVADO___Custom6_S_TC_SVx</t>
        </is>
      </c>
      <c r="B470" s="68" t="inlineStr"/>
      <c r="C470" s="68" t="inlineStr">
        <is>
          <t>Transit;DESATIVADO;ATIVADO;Error</t>
        </is>
      </c>
      <c r="D470" s="68" t="inlineStr">
        <is>
          <t>0;2;1;3</t>
        </is>
      </c>
      <c r="E470" s="68" t="inlineStr">
        <is>
          <t>2;0;1;3</t>
        </is>
      </c>
      <c r="F470" s="68" t="inlineStr">
        <is>
          <t>;;ATIVAR;</t>
        </is>
      </c>
      <c r="G470" s="68" t="inlineStr">
        <is>
          <t>#FF000000;#FF00FF00;#FFFF0000;#FFA9A9A9</t>
        </is>
      </c>
      <c r="H470" s="68" t="inlineStr">
        <is>
          <t>Abnormal;Auto;Auto;Abnormal</t>
        </is>
      </c>
      <c r="I470" s="68" t="inlineStr">
        <is>
          <t>FALSE;TRUE;TRUE;FALSE</t>
        </is>
      </c>
      <c r="J470" s="68" t="inlineStr">
        <is>
          <t>Alarme de Estado em Ponto Telecontrolado SVx</t>
        </is>
      </c>
      <c r="K470" s="69" t="inlineStr">
        <is>
          <t>Alarme de Estado em Ponto Telecontrolado SVx</t>
        </is>
      </c>
      <c r="L470" s="69">
        <f>VLOOKUP(LinkTable6789[[#This Row],[Coluna1]],[4]AlarmCatalog!$A:$M,11,FALSE)</f>
        <v/>
      </c>
    </row>
    <row r="471" ht="16.5" customFormat="1" customHeight="1" s="67">
      <c r="A471" s="68" t="inlineStr">
        <is>
          <t>DESATIVAR@ATIVAR___DESATIVADO@ATIVADO___Custom_S_TC_SVx</t>
        </is>
      </c>
      <c r="B471" s="68" t="inlineStr"/>
      <c r="C471" s="68" t="inlineStr">
        <is>
          <t>Transit;DESATIVADO;ATIVADO;Error</t>
        </is>
      </c>
      <c r="D471" s="68" t="inlineStr">
        <is>
          <t>0;1;2;3</t>
        </is>
      </c>
      <c r="E471" s="68" t="inlineStr">
        <is>
          <t>2;0;1;3</t>
        </is>
      </c>
      <c r="F471" s="68" t="inlineStr">
        <is>
          <t>;DESATIVAR;ATIVAR;</t>
        </is>
      </c>
      <c r="G471" s="68" t="inlineStr">
        <is>
          <t>#FF000000;#FF00FF00;#FFFF0000;#FFA9A9A9</t>
        </is>
      </c>
      <c r="H471" s="68" t="inlineStr">
        <is>
          <t>Abnormal;Auto;Auto;Abnormal</t>
        </is>
      </c>
      <c r="I471" s="68" t="inlineStr">
        <is>
          <t>FALSE;TRUE;TRUE;FALSE</t>
        </is>
      </c>
      <c r="J471" s="68" t="inlineStr">
        <is>
          <t>Alarme de Estado em Ponto Telecontrolado SVx</t>
        </is>
      </c>
      <c r="K471" s="69" t="inlineStr">
        <is>
          <t>Alarme de Estado em Ponto Telecontrolado SVx</t>
        </is>
      </c>
      <c r="L471" s="69">
        <f>VLOOKUP(LinkTable6789[[#This Row],[Coluna1]],[4]AlarmCatalog!$A:$M,11,FALSE)</f>
        <v/>
      </c>
    </row>
    <row r="472" ht="16.5" customFormat="1" customHeight="1" s="67">
      <c r="A472" s="68" t="inlineStr">
        <is>
          <t>DI_null@null___ABERTO@FECHADO___Custom___INV_S_TS_DPx</t>
        </is>
      </c>
      <c r="B472" s="68" t="inlineStr"/>
      <c r="C472" s="68" t="inlineStr">
        <is>
          <t>Transit;ABERTO;FECHADO;Error</t>
        </is>
      </c>
      <c r="D472" s="68" t="inlineStr">
        <is>
          <t>0;1;2;3</t>
        </is>
      </c>
      <c r="E472" s="68" t="inlineStr">
        <is>
          <t>2;1;0;3</t>
        </is>
      </c>
      <c r="F472" s="68" t="inlineStr">
        <is>
          <t>;;;</t>
        </is>
      </c>
      <c r="G472" s="68" t="inlineStr">
        <is>
          <t>#FF000000;#FF00FF00;#FFFF0000;#FFA9A9A9</t>
        </is>
      </c>
      <c r="H472" s="68" t="inlineStr">
        <is>
          <t>Abnormal;Auto;Auto;Abnormal</t>
        </is>
      </c>
      <c r="I472" s="68" t="inlineStr">
        <is>
          <t>FALSE;TRUE;TRUE;FALSE</t>
        </is>
      </c>
      <c r="J472" s="68" t="inlineStr">
        <is>
          <t>Alarme de Estado em Ponto Telessinalizado DPx</t>
        </is>
      </c>
      <c r="K472" s="69" t="inlineStr">
        <is>
          <t>Alarme de Estado em Ponto Telessinalizado DPx</t>
        </is>
      </c>
      <c r="L472" s="69">
        <f>VLOOKUP(LinkTable6789[[#This Row],[Coluna1]],[4]AlarmCatalog!$A:$M,11,FALSE)</f>
        <v/>
      </c>
    </row>
    <row r="473" ht="16.5" customFormat="1" customHeight="1" s="67">
      <c r="A473" s="68" t="inlineStr">
        <is>
          <t>ABRIR@FECHAR___ABERTO@FECHADO___SwitchStatus_D_TS_SO</t>
        </is>
      </c>
      <c r="B473" s="68" t="inlineStr"/>
      <c r="C473" s="68" t="inlineStr">
        <is>
          <t>Transit;ABERTO;FECHADO;Error</t>
        </is>
      </c>
      <c r="D473" s="68" t="inlineStr">
        <is>
          <t>0;1;2;3</t>
        </is>
      </c>
      <c r="E473" s="68" t="inlineStr">
        <is>
          <t>0;1;2;3</t>
        </is>
      </c>
      <c r="F473" s="68" t="inlineStr">
        <is>
          <t>;ABRIR;FECHAR;</t>
        </is>
      </c>
      <c r="G473" s="68" t="inlineStr">
        <is>
          <t>#FF000000;#FF00FF00;#FFFF0000;#FFA9A9A9</t>
        </is>
      </c>
      <c r="H473" s="68" t="inlineStr">
        <is>
          <t>Abnormal;Auto;Auto;Abnormal</t>
        </is>
      </c>
      <c r="I473" s="68" t="inlineStr">
        <is>
          <t>FALSE;TRUE;TRUE;FALSE</t>
        </is>
      </c>
      <c r="J473" s="68" t="inlineStr">
        <is>
          <t>Alarme de Estado em Ponto Telessinalizado SO</t>
        </is>
      </c>
      <c r="K473" s="69" t="inlineStr">
        <is>
          <t>Alarme de Estado em Ponto Telessinalizado SO</t>
        </is>
      </c>
      <c r="L473" s="69">
        <f>VLOOKUP(LinkTable6789[[#This Row],[Coluna1]],[4]AlarmCatalog!$A:$M,11,FALSE)</f>
        <v/>
      </c>
    </row>
    <row r="474" ht="16.5" customFormat="1" customHeight="1" s="67">
      <c r="A474" s="68" t="inlineStr">
        <is>
          <t>DESLIGAR@LIGAR___DESLIGADO@LIGADO___SwitchStatus_D_TC_SC</t>
        </is>
      </c>
      <c r="B474" s="68" t="inlineStr"/>
      <c r="C474" s="68" t="inlineStr">
        <is>
          <t>Transit;DESLIGADO;LIGADO;Error</t>
        </is>
      </c>
      <c r="D474" s="68" t="inlineStr">
        <is>
          <t>0;1;2;3</t>
        </is>
      </c>
      <c r="E474" s="68" t="inlineStr">
        <is>
          <t>0;1;2;3</t>
        </is>
      </c>
      <c r="F474" s="68" t="inlineStr">
        <is>
          <t>;DESLIGAR;LIGAR;</t>
        </is>
      </c>
      <c r="G474" s="68" t="inlineStr">
        <is>
          <t>#FF000000;#FF00FF00;#FFFF0000;#FFA9A9A9</t>
        </is>
      </c>
      <c r="H474" s="68" t="inlineStr">
        <is>
          <t>Abnormal;Auto;Auto;Abnormal</t>
        </is>
      </c>
      <c r="I474" s="68" t="inlineStr">
        <is>
          <t>FALSE;TRUE;TRUE;FALSE</t>
        </is>
      </c>
      <c r="J474" s="68" t="inlineStr">
        <is>
          <t>Alarme de Estado em Ponto Telecontrolado SC</t>
        </is>
      </c>
      <c r="K474" s="69" t="inlineStr">
        <is>
          <t>Alarme de Estado em Ponto Telecontrolado SC</t>
        </is>
      </c>
      <c r="L474" s="69">
        <f>VLOOKUP(LinkTable6789[[#This Row],[Coluna1]],[4]AlarmCatalog!$A:$M,11,FALSE)</f>
        <v/>
      </c>
    </row>
    <row r="475" ht="16.5" customFormat="1" customHeight="1" s="67">
      <c r="A475" s="68" t="inlineStr">
        <is>
          <t>ABRIR@FECHAR___ABERTO@FECHADO___SwitchStatus_D_TC_SO</t>
        </is>
      </c>
      <c r="B475" s="68" t="inlineStr"/>
      <c r="C475" s="68" t="inlineStr">
        <is>
          <t>Transit;ABERTO;FECHADO;Error</t>
        </is>
      </c>
      <c r="D475" s="68" t="inlineStr">
        <is>
          <t>0;1;2;3</t>
        </is>
      </c>
      <c r="E475" s="68" t="inlineStr">
        <is>
          <t>0;1;2;3</t>
        </is>
      </c>
      <c r="F475" s="68" t="inlineStr">
        <is>
          <t>;ABRIR;FECHAR;</t>
        </is>
      </c>
      <c r="G475" s="68" t="inlineStr">
        <is>
          <t>#FF000000;#FF00FF00;#FFFF0000;#FFA9A9A9</t>
        </is>
      </c>
      <c r="H475" s="68" t="inlineStr">
        <is>
          <t>Abnormal;Auto;Auto;Abnormal</t>
        </is>
      </c>
      <c r="I475" s="68" t="inlineStr">
        <is>
          <t>FALSE;TRUE;TRUE;TRUE</t>
        </is>
      </c>
      <c r="J475" s="68" t="inlineStr">
        <is>
          <t>Alarme de Estado em Ponto Telecontrolado SO</t>
        </is>
      </c>
      <c r="K475" s="69" t="inlineStr">
        <is>
          <t>Alarme de Estado em Ponto Telecontrolado SO</t>
        </is>
      </c>
      <c r="L475" s="69">
        <f>VLOOKUP(LinkTable6789[[#This Row],[Coluna1]],[4]AlarmCatalog!$A:$M,11,FALSE)</f>
        <v/>
      </c>
    </row>
    <row r="476" ht="16.5" customFormat="1" customHeight="1" s="67">
      <c r="A476" s="68" t="inlineStr">
        <is>
          <t>ABRIR@FECHAR___ABERTO@FECHADO___SwitchStatus_S_TS_SO</t>
        </is>
      </c>
      <c r="B476" s="68" t="inlineStr"/>
      <c r="C476" s="68" t="inlineStr">
        <is>
          <t>Transit;ABERTO;FECHADO;Error</t>
        </is>
      </c>
      <c r="D476" s="68" t="inlineStr">
        <is>
          <t>0;1;2;3</t>
        </is>
      </c>
      <c r="E476" s="68" t="inlineStr">
        <is>
          <t>2;0;1;3</t>
        </is>
      </c>
      <c r="F476" s="68" t="inlineStr">
        <is>
          <t>;ABRIR;FECHAR;</t>
        </is>
      </c>
      <c r="G476" s="68" t="inlineStr">
        <is>
          <t>#FF000000;#FF00FF00;#FFFF0000;#FFA9A9A9</t>
        </is>
      </c>
      <c r="H476" s="68" t="inlineStr">
        <is>
          <t>Abnormal;Auto;Auto;Abnormal</t>
        </is>
      </c>
      <c r="I476" s="68" t="inlineStr">
        <is>
          <t>FALSE;TRUE;TRUE;FALSE</t>
        </is>
      </c>
      <c r="J476" s="68" t="inlineStr">
        <is>
          <t>Alarme de Estado em Ponto Telessinalizado SO</t>
        </is>
      </c>
      <c r="K476" s="69" t="inlineStr">
        <is>
          <t>Alarme de Estado em Ponto Telessinalizado SO</t>
        </is>
      </c>
      <c r="L476" s="69">
        <f>VLOOKUP(LinkTable6789[[#This Row],[Coluna1]],[4]AlarmCatalog!$A:$M,11,FALSE)</f>
        <v/>
      </c>
    </row>
    <row r="477" ht="16.5" customFormat="1" customHeight="1" s="67">
      <c r="A477" s="68" t="inlineStr">
        <is>
          <t>ABRIR@FECHAR___ABERTO@FECHADO___SwitchStatus___INV_D_TS_SO</t>
        </is>
      </c>
      <c r="B477" s="68" t="inlineStr"/>
      <c r="C477" s="68" t="inlineStr">
        <is>
          <t>Transit;ABERTO;FECHADO;Error</t>
        </is>
      </c>
      <c r="D477" s="68" t="inlineStr">
        <is>
          <t>0;1;2;3</t>
        </is>
      </c>
      <c r="E477" s="68" t="inlineStr">
        <is>
          <t>0;2;1;3</t>
        </is>
      </c>
      <c r="F477" s="68" t="inlineStr">
        <is>
          <t>;ABRIR;FECHAR;</t>
        </is>
      </c>
      <c r="G477" s="68" t="inlineStr">
        <is>
          <t>#FF000000;#FF00FF00;#FFFF0000;#FFA9A9A9</t>
        </is>
      </c>
      <c r="H477" s="68" t="inlineStr">
        <is>
          <t>Abnormal;Auto;Auto;Abnormal</t>
        </is>
      </c>
      <c r="I477" s="68" t="inlineStr">
        <is>
          <t>FALSE;TRUE;TRUE;FALSE</t>
        </is>
      </c>
      <c r="J477" s="68" t="inlineStr">
        <is>
          <t>Alarme de Estado em Ponto Telessinalizado SO</t>
        </is>
      </c>
      <c r="K477" s="69" t="inlineStr">
        <is>
          <t>Alarme de Estado em Ponto Telessinalizado SO</t>
        </is>
      </c>
      <c r="L477" s="69">
        <f>VLOOKUP(LinkTable6789[[#This Row],[Coluna1]],[4]AlarmCatalog!$A:$M,11,FALSE)</f>
        <v/>
      </c>
    </row>
    <row r="478" ht="16.5" customFormat="1" customHeight="1" s="67">
      <c r="A478" s="68" t="inlineStr">
        <is>
          <t>DESLIGAR@LIGAR___DESLIGADO@LIGADO___SwitchStatus___INV_D_TC_SC</t>
        </is>
      </c>
      <c r="B478" s="68" t="inlineStr"/>
      <c r="C478" s="68" t="inlineStr">
        <is>
          <t>Transit;DESLIGADO;LIGADO;Error</t>
        </is>
      </c>
      <c r="D478" s="68" t="inlineStr">
        <is>
          <t>0;1;2;3</t>
        </is>
      </c>
      <c r="E478" s="68" t="inlineStr">
        <is>
          <t>0;2;1;3</t>
        </is>
      </c>
      <c r="F478" s="68" t="inlineStr">
        <is>
          <t>;DESLIGAR;LIGAR;</t>
        </is>
      </c>
      <c r="G478" s="68" t="inlineStr">
        <is>
          <t>#FF000000;#FF00FF00;#FFFF0000;#FFA9A9A9</t>
        </is>
      </c>
      <c r="H478" s="68" t="inlineStr">
        <is>
          <t>Abnormal;Auto;Auto;Abnormal</t>
        </is>
      </c>
      <c r="I478" s="68" t="inlineStr">
        <is>
          <t>FALSE;TRUE;TRUE;FALSE</t>
        </is>
      </c>
      <c r="J478" s="68" t="inlineStr">
        <is>
          <t>Alarme de Estado em Ponto Telecontrolado SC</t>
        </is>
      </c>
      <c r="K478" s="69" t="inlineStr">
        <is>
          <t>Alarme de Estado em Ponto Telecontrolado SC</t>
        </is>
      </c>
      <c r="L478" s="69">
        <f>VLOOKUP(LinkTable6789[[#This Row],[Coluna1]],[4]AlarmCatalog!$A:$M,11,FALSE)</f>
        <v/>
      </c>
    </row>
    <row r="479" ht="16.5" customFormat="1" customHeight="1" s="67">
      <c r="A479" s="68" t="inlineStr">
        <is>
          <t>DESLIGAR@LIGAR___DESLIGADO@LIGADO___SwitchStatus_S_TC_SC</t>
        </is>
      </c>
      <c r="B479" s="68" t="inlineStr"/>
      <c r="C479" s="68" t="inlineStr">
        <is>
          <t>Transit;DESLIGADO;LIGADO;Error</t>
        </is>
      </c>
      <c r="D479" s="68" t="inlineStr">
        <is>
          <t>0;1;2;3</t>
        </is>
      </c>
      <c r="E479" s="68" t="inlineStr">
        <is>
          <t>2;0;1;3</t>
        </is>
      </c>
      <c r="F479" s="68" t="inlineStr">
        <is>
          <t>;DESLIGAR;LIGAR;</t>
        </is>
      </c>
      <c r="G479" s="68" t="inlineStr">
        <is>
          <t>#FF000000;#FF00FF00;#FFFF0000;#FFA9A9A9</t>
        </is>
      </c>
      <c r="H479" s="68" t="inlineStr">
        <is>
          <t>Abnormal;Auto;Auto;Abnormal</t>
        </is>
      </c>
      <c r="I479" s="68" t="inlineStr">
        <is>
          <t>FALSE;TRUE;TRUE;FALSE</t>
        </is>
      </c>
      <c r="J479" s="68" t="inlineStr">
        <is>
          <t>Alarme de Estado em Ponto Telecontrolado SC</t>
        </is>
      </c>
      <c r="K479" s="69" t="inlineStr">
        <is>
          <t>Alarme de Estado em Ponto Telecontrolado SC</t>
        </is>
      </c>
      <c r="L479" s="69">
        <f>VLOOKUP(LinkTable6789[[#This Row],[Coluna1]],[4]AlarmCatalog!$A:$M,11,FALSE)</f>
        <v/>
      </c>
    </row>
    <row r="480" ht="16.5" customFormat="1" customHeight="1" s="67">
      <c r="A480" s="68" t="inlineStr">
        <is>
          <t>ABRIR@FECHAR___ABERTO@FECHADO___SwitchStatus_S_TC_SO</t>
        </is>
      </c>
      <c r="B480" s="68" t="inlineStr"/>
      <c r="C480" s="68" t="inlineStr">
        <is>
          <t>Transit;ABERTO;FECHADO;Error</t>
        </is>
      </c>
      <c r="D480" s="68" t="inlineStr">
        <is>
          <t>0;1;2;3</t>
        </is>
      </c>
      <c r="E480" s="68" t="inlineStr">
        <is>
          <t>2;0;1;3</t>
        </is>
      </c>
      <c r="F480" s="68" t="inlineStr">
        <is>
          <t>;ABRIR;FECHAR;</t>
        </is>
      </c>
      <c r="G480" s="68" t="inlineStr">
        <is>
          <t>#FF000000;#FF00FF00;#FFFF0000;#FFA9A9A9</t>
        </is>
      </c>
      <c r="H480" s="68" t="inlineStr">
        <is>
          <t>Abnormal;Auto;Auto;Abnormal</t>
        </is>
      </c>
      <c r="I480" s="68" t="inlineStr">
        <is>
          <t>FALSE;TRUE;TRUE;FALSE</t>
        </is>
      </c>
      <c r="J480" s="68" t="inlineStr">
        <is>
          <t>Alarme de Estado em Ponto Telecontrolado SO</t>
        </is>
      </c>
      <c r="K480" s="69" t="inlineStr">
        <is>
          <t>Alarme de Estado em Ponto Telecontrolado SO</t>
        </is>
      </c>
      <c r="L480" s="69">
        <f>VLOOKUP(LinkTable6789[[#This Row],[Coluna1]],[4]AlarmCatalog!$A:$M,11,FALSE)</f>
        <v/>
      </c>
    </row>
    <row r="481" ht="16.5" customFormat="1" customHeight="1" s="67">
      <c r="A481" s="68" t="inlineStr">
        <is>
          <t>ABRIR@FECHAR___ABERTO@FECHADO___SwitchStatus___INV_S_TS_SO</t>
        </is>
      </c>
      <c r="B481" s="68" t="inlineStr"/>
      <c r="C481" s="68" t="inlineStr">
        <is>
          <t>Transit;ABERTO;FECHADO;Error</t>
        </is>
      </c>
      <c r="D481" s="68" t="inlineStr">
        <is>
          <t>0;1;2;3</t>
        </is>
      </c>
      <c r="E481" s="68" t="inlineStr">
        <is>
          <t>2;1;0;3</t>
        </is>
      </c>
      <c r="F481" s="68" t="inlineStr">
        <is>
          <t>;ABRIR;FECHAR;</t>
        </is>
      </c>
      <c r="G481" s="68" t="inlineStr">
        <is>
          <t>#FF000000;#FF00FF00;#FFFF0000;#FFA9A9A9</t>
        </is>
      </c>
      <c r="H481" s="68" t="inlineStr">
        <is>
          <t>Abnormal;Auto;Auto;Abnormal</t>
        </is>
      </c>
      <c r="I481" s="68" t="inlineStr">
        <is>
          <t>FALSE;TRUE;TRUE;FALSE</t>
        </is>
      </c>
      <c r="J481" s="68" t="inlineStr">
        <is>
          <t>Alarme de Estado em Ponto Telessinalizado SO</t>
        </is>
      </c>
      <c r="K481" s="69" t="inlineStr">
        <is>
          <t>Alarme de Estado em Ponto Telessinalizado SO</t>
        </is>
      </c>
      <c r="L481" s="69">
        <f>VLOOKUP(LinkTable6789[[#This Row],[Coluna1]],[4]AlarmCatalog!$A:$M,11,FALSE)</f>
        <v/>
      </c>
    </row>
    <row r="482" ht="16.5" customFormat="1" customHeight="1" s="67">
      <c r="A482" s="68" t="inlineStr">
        <is>
          <t>ABRIR@FECHAR___ABERTO@FECHADO___SwitchStatus___INV_S_TC_SO</t>
        </is>
      </c>
      <c r="B482" s="68" t="inlineStr"/>
      <c r="C482" s="68" t="inlineStr">
        <is>
          <t>Transit;ABERTO;FECHADO;Error</t>
        </is>
      </c>
      <c r="D482" s="68" t="inlineStr">
        <is>
          <t>0;1;2;3</t>
        </is>
      </c>
      <c r="E482" s="68" t="inlineStr">
        <is>
          <t>2;1;0;3</t>
        </is>
      </c>
      <c r="F482" s="68" t="inlineStr">
        <is>
          <t>;ABRIR;FECHAR;</t>
        </is>
      </c>
      <c r="G482" s="68" t="inlineStr">
        <is>
          <t>#FF000000;#FF00FF00;#FFFF0000;#FFA9A9A9</t>
        </is>
      </c>
      <c r="H482" s="68" t="inlineStr">
        <is>
          <t>Abnormal;Auto;Auto;Abnormal</t>
        </is>
      </c>
      <c r="I482" s="68" t="inlineStr">
        <is>
          <t>FALSE;TRUE;TRUE;FALSE</t>
        </is>
      </c>
      <c r="J482" s="68" t="inlineStr">
        <is>
          <t>Alarme de Estado em Ponto Telecontrolado SO</t>
        </is>
      </c>
      <c r="K482" s="69" t="inlineStr">
        <is>
          <t>Alarme de Estado em Ponto Telecontrolado SO</t>
        </is>
      </c>
      <c r="L482" s="69">
        <f>VLOOKUP(LinkTable6789[[#This Row],[Coluna1]],[4]AlarmCatalog!$A:$M,11,FALSE)</f>
        <v/>
      </c>
    </row>
    <row r="483" ht="16.5" customFormat="1" customHeight="1" s="67">
      <c r="A483" s="68" t="inlineStr">
        <is>
          <t>ABRIR@FECHAR___ABERTO@FECHADO___SwitchStatus___INV_D_TC_SO</t>
        </is>
      </c>
      <c r="B483" s="68" t="inlineStr"/>
      <c r="C483" s="68" t="inlineStr">
        <is>
          <t>Transit;ABERTO;FECHADO;Error</t>
        </is>
      </c>
      <c r="D483" s="68" t="inlineStr">
        <is>
          <t>0;1;2;3</t>
        </is>
      </c>
      <c r="E483" s="68" t="inlineStr">
        <is>
          <t>0;2;1;3</t>
        </is>
      </c>
      <c r="F483" s="68" t="inlineStr">
        <is>
          <t>;ABRIR;FECHAR;</t>
        </is>
      </c>
      <c r="G483" s="68" t="inlineStr">
        <is>
          <t>#FF000000;#FF00FF00;#FFFF0000;#FFA9A9A9</t>
        </is>
      </c>
      <c r="H483" s="68" t="inlineStr">
        <is>
          <t>Abnormal;Auto;Auto;Abnormal</t>
        </is>
      </c>
      <c r="I483" s="68" t="inlineStr">
        <is>
          <t>FALSE;TRUE;TRUE;FALSE</t>
        </is>
      </c>
      <c r="J483" s="68" t="inlineStr">
        <is>
          <t>Alarme de Estado em Ponto Telecontrolado SO</t>
        </is>
      </c>
      <c r="K483" s="69" t="inlineStr">
        <is>
          <t>Alarme de Estado em Ponto Telecontrolado SO</t>
        </is>
      </c>
      <c r="L483" s="69">
        <f>VLOOKUP(LinkTable6789[[#This Row],[Coluna1]],[4]AlarmCatalog!$A:$M,11,FALSE)</f>
        <v/>
      </c>
    </row>
    <row r="484" ht="16.5" customFormat="1" customHeight="1" s="67">
      <c r="A484" s="68" t="inlineStr">
        <is>
          <t>DESLIGAR@LIGAR___DESLIGADO@LIGADO___SwitchStatus___INV_S_TC_SC</t>
        </is>
      </c>
      <c r="B484" s="68" t="inlineStr"/>
      <c r="C484" s="68" t="inlineStr">
        <is>
          <t>Transit;DESLIGADO;LIGADO;Error</t>
        </is>
      </c>
      <c r="D484" s="68" t="inlineStr">
        <is>
          <t>0;1;2;3</t>
        </is>
      </c>
      <c r="E484" s="68" t="inlineStr">
        <is>
          <t>2;1;0;3</t>
        </is>
      </c>
      <c r="F484" s="68" t="inlineStr">
        <is>
          <t>;DESLIGAR;LIGAR;</t>
        </is>
      </c>
      <c r="G484" s="68" t="inlineStr">
        <is>
          <t>#FF000000;#FF00FF00;#FFFF0000;#FFA9A9A9</t>
        </is>
      </c>
      <c r="H484" s="68" t="inlineStr">
        <is>
          <t>Abnormal;Auto;Auto;Abnormal</t>
        </is>
      </c>
      <c r="I484" s="68" t="inlineStr">
        <is>
          <t>FALSE;TRUE;TRUE;FALSE</t>
        </is>
      </c>
      <c r="J484" s="68" t="inlineStr">
        <is>
          <t>Alarme de Estado em Ponto Telecontrolado SC</t>
        </is>
      </c>
      <c r="K484" s="69" t="inlineStr">
        <is>
          <t>Alarme de Estado em Ponto Telecontrolado SC</t>
        </is>
      </c>
      <c r="L484" s="69">
        <f>VLOOKUP(LinkTable6789[[#This Row],[Coluna1]],[4]AlarmCatalog!$A:$M,11,FALSE)</f>
        <v/>
      </c>
    </row>
    <row r="485" ht="16.5" customFormat="1" customHeight="1" s="67">
      <c r="A485" s="68" t="inlineStr">
        <is>
          <t>DESLIGAR@LIGAR___DESLIGADO@LIGADO___SwitchStatus___INV_D_TS_SC</t>
        </is>
      </c>
      <c r="B485" s="68" t="inlineStr"/>
      <c r="C485" s="68" t="inlineStr">
        <is>
          <t>Transit;DESLIGADO;LIGADO;Error</t>
        </is>
      </c>
      <c r="D485" s="68" t="inlineStr">
        <is>
          <t>0;1;2;3</t>
        </is>
      </c>
      <c r="E485" s="68" t="inlineStr">
        <is>
          <t>0;2;1;3</t>
        </is>
      </c>
      <c r="F485" s="68" t="inlineStr">
        <is>
          <t>;;;</t>
        </is>
      </c>
      <c r="G485" s="68" t="inlineStr">
        <is>
          <t>#FF000000;#FF00FF00;#FFFF0000;#FFA9A9A9</t>
        </is>
      </c>
      <c r="H485" s="68" t="inlineStr">
        <is>
          <t>Abnormal;Auto;Auto;Abnormal</t>
        </is>
      </c>
      <c r="I485" s="68" t="inlineStr">
        <is>
          <t>FALSE;TRUE;TRUE;FALSE</t>
        </is>
      </c>
      <c r="J485" s="68" t="inlineStr">
        <is>
          <t>Alarme de Estado em Ponto Telessinalizado SC</t>
        </is>
      </c>
      <c r="K485" s="69" t="inlineStr">
        <is>
          <t>Alarme de Estado em Ponto Telessinalizado SC</t>
        </is>
      </c>
      <c r="L485" s="69">
        <f>VLOOKUP(LinkTable6789[[#This Row],[Coluna1]],[4]AlarmCatalog!$A:$M,11,FALSE)</f>
        <v/>
      </c>
    </row>
    <row r="486" ht="16.5" customFormat="1" customHeight="1" s="67">
      <c r="A486" s="68" t="inlineStr">
        <is>
          <t>DESLIGAR@LIGAR___DESLIGADO@LIGADO___SwitchStatus_S_TS_SC</t>
        </is>
      </c>
      <c r="B486" s="68" t="inlineStr"/>
      <c r="C486" s="68" t="inlineStr">
        <is>
          <t>Transit;DESLIGADO;LIGADO;Error</t>
        </is>
      </c>
      <c r="D486" s="68" t="inlineStr">
        <is>
          <t>0;1;2;3</t>
        </is>
      </c>
      <c r="E486" s="68" t="inlineStr">
        <is>
          <t>2;0;1;3</t>
        </is>
      </c>
      <c r="F486" s="68" t="inlineStr">
        <is>
          <t>;DESLIGAR;LIGAR;</t>
        </is>
      </c>
      <c r="G486" s="68" t="inlineStr">
        <is>
          <t>#FF000000;#FF00FF00;#FFFF0000;#FFA9A9A9</t>
        </is>
      </c>
      <c r="H486" s="68" t="inlineStr">
        <is>
          <t>Abnormal;Auto;Auto;Abnormal</t>
        </is>
      </c>
      <c r="I486" s="68" t="inlineStr">
        <is>
          <t>FALSE;TRUE;TRUE;FALSE</t>
        </is>
      </c>
      <c r="J486" s="68" t="inlineStr">
        <is>
          <t>Alarme de Estado em Ponto Telessinalizado SC</t>
        </is>
      </c>
      <c r="K486" s="69" t="inlineStr">
        <is>
          <t>Alarme de Estado em Ponto Telessinalizado SC</t>
        </is>
      </c>
      <c r="L486" s="69">
        <f>VLOOKUP(LinkTable6789[[#This Row],[Coluna1]],[4]AlarmCatalog!$A:$M,11,FALSE)</f>
        <v/>
      </c>
    </row>
    <row r="487" ht="16.5" customFormat="1" customHeight="1" s="67">
      <c r="A487" s="68" t="inlineStr">
        <is>
          <t>DESLIGAR@LIGAR___DESLIGADO@LIGADO___SwitchStatus___INV_S_TS_SC</t>
        </is>
      </c>
      <c r="B487" s="68" t="inlineStr"/>
      <c r="C487" s="68" t="inlineStr">
        <is>
          <t>Transit;DESLIGADO;LIGADO;Error</t>
        </is>
      </c>
      <c r="D487" s="68" t="inlineStr">
        <is>
          <t>0;1;2;3</t>
        </is>
      </c>
      <c r="E487" s="68" t="inlineStr">
        <is>
          <t>2;1;0;3</t>
        </is>
      </c>
      <c r="F487" s="68" t="inlineStr">
        <is>
          <t>;;;</t>
        </is>
      </c>
      <c r="G487" s="68" t="inlineStr">
        <is>
          <t>#FF000000;#FF00FF00;#FFFF0000;#FFA9A9A9</t>
        </is>
      </c>
      <c r="H487" s="68" t="inlineStr">
        <is>
          <t>Abnormal;Auto;Auto;Abnormal</t>
        </is>
      </c>
      <c r="I487" s="68" t="inlineStr">
        <is>
          <t>FALSE;TRUE;TRUE;FALSE</t>
        </is>
      </c>
      <c r="J487" s="68" t="inlineStr">
        <is>
          <t>Alarme de Estado em Ponto Telessinalizado SC</t>
        </is>
      </c>
      <c r="K487" s="69" t="inlineStr">
        <is>
          <t>Alarme de Estado em Ponto Telessinalizado SC</t>
        </is>
      </c>
      <c r="L487" s="69">
        <f>VLOOKUP(LinkTable6789[[#This Row],[Coluna1]],[4]AlarmCatalog!$A:$M,11,FALSE)</f>
        <v/>
      </c>
    </row>
    <row r="488" ht="16.5" customFormat="1" customHeight="1" s="67">
      <c r="A488" s="68" t="inlineStr">
        <is>
          <t>DESLIGAR@LIGAR___DESLIGADO@LIGADO___SwitchStatus___INV_D_TC_SC_USO_BC</t>
        </is>
      </c>
      <c r="B488" s="68" t="inlineStr"/>
      <c r="C488" s="68" t="inlineStr">
        <is>
          <t>Transit;DESLIGADO;LIGADO;Error</t>
        </is>
      </c>
      <c r="D488" s="68" t="inlineStr">
        <is>
          <t>0;1;2;3</t>
        </is>
      </c>
      <c r="E488" s="68" t="inlineStr">
        <is>
          <t>0;2;1;3</t>
        </is>
      </c>
      <c r="F488" s="68" t="inlineStr">
        <is>
          <t>;DESLIGAR;LIGAR;</t>
        </is>
      </c>
      <c r="G488" s="68" t="inlineStr">
        <is>
          <t>#FF000000;#FF00FF00;#FFFF0000;#FFA9A9A9</t>
        </is>
      </c>
      <c r="H488" s="68" t="inlineStr">
        <is>
          <t>Abnormal;Normal;Normal;Abnormal</t>
        </is>
      </c>
      <c r="I488" s="68" t="inlineStr">
        <is>
          <t>FALSE;TRUE;TRUE;FALSE</t>
        </is>
      </c>
      <c r="J488" s="68" t="inlineStr">
        <is>
          <t>Alarme de Estado em Ponto Telecontrolado SC</t>
        </is>
      </c>
      <c r="K488" s="69" t="inlineStr">
        <is>
          <t>Alarme de Estado em Ponto Telecontrolado SC</t>
        </is>
      </c>
      <c r="L488" s="69">
        <f>VLOOKUP(LinkTable6789[[#This Row],[Coluna1]],[4]AlarmCatalog!$A:$M,11,FALSE)</f>
        <v/>
      </c>
    </row>
    <row r="489" ht="16.5" customFormat="1" customHeight="1" s="67">
      <c r="A489" s="68" t="inlineStr">
        <is>
          <t>DESLIGAR@LIGAR___DESLIGADO@LIGADO___SwitchStatus___INV_S_TS_SC_USO_BC</t>
        </is>
      </c>
      <c r="B489" s="68" t="inlineStr"/>
      <c r="C489" s="68" t="inlineStr">
        <is>
          <t>Transit;DESLIGADO;LIGADO;Error</t>
        </is>
      </c>
      <c r="D489" s="68" t="inlineStr">
        <is>
          <t>0;1;2;3</t>
        </is>
      </c>
      <c r="E489" s="68" t="inlineStr">
        <is>
          <t>2;1;0;3</t>
        </is>
      </c>
      <c r="F489" s="68" t="inlineStr">
        <is>
          <t>;;;</t>
        </is>
      </c>
      <c r="G489" s="68" t="inlineStr">
        <is>
          <t>#FF000000;#FF00FF00;#FFFF0000;#FFA9A9A9</t>
        </is>
      </c>
      <c r="H489" s="68" t="inlineStr">
        <is>
          <t>Abnormal;Normal;Normal;Abnormal</t>
        </is>
      </c>
      <c r="I489" s="68" t="inlineStr">
        <is>
          <t>FALSE;TRUE;TRUE;FALSE</t>
        </is>
      </c>
      <c r="J489" s="68" t="inlineStr">
        <is>
          <t>Alarme de Estado em Ponto Telessinalizado SC</t>
        </is>
      </c>
      <c r="K489" s="69" t="inlineStr">
        <is>
          <t>Alarme de Estado em Ponto Telessinalizado SC</t>
        </is>
      </c>
      <c r="L489" s="69">
        <f>VLOOKUP(LinkTable6789[[#This Row],[Coluna1]],[4]AlarmCatalog!$A:$M,11,FALSE)</f>
        <v/>
      </c>
    </row>
    <row r="490" ht="16.5" customFormat="1" customHeight="1" s="67">
      <c r="A490" s="68" t="inlineStr">
        <is>
          <t>DESLIGAR@LIGAR___DESLIGADO@LIGADO___SwitchStatus___INV_S_TC_SC_USO_BC</t>
        </is>
      </c>
      <c r="B490" s="68" t="inlineStr"/>
      <c r="C490" s="68" t="inlineStr">
        <is>
          <t>Transit;DESLIGADO;LIGADO;Error</t>
        </is>
      </c>
      <c r="D490" s="68" t="inlineStr">
        <is>
          <t>0;1;2;3</t>
        </is>
      </c>
      <c r="E490" s="68" t="inlineStr">
        <is>
          <t>2;1;0;3</t>
        </is>
      </c>
      <c r="F490" s="68" t="inlineStr">
        <is>
          <t>;DESLIGAR;LIGAR;</t>
        </is>
      </c>
      <c r="G490" s="68" t="inlineStr">
        <is>
          <t>#FF000000;#FF00FF00;#FFFF0000;#FFA9A9A9</t>
        </is>
      </c>
      <c r="H490" s="68" t="inlineStr">
        <is>
          <t>Abnormal;Normal;Normal;Abnormal</t>
        </is>
      </c>
      <c r="I490" s="68" t="inlineStr">
        <is>
          <t>FALSE;TRUE;TRUE;FALSE</t>
        </is>
      </c>
      <c r="J490" s="68" t="inlineStr">
        <is>
          <t>Alarme de Estado em Ponto Telecontrolado SC</t>
        </is>
      </c>
      <c r="K490" s="69" t="inlineStr">
        <is>
          <t>Alarme de Estado em Ponto Telecontrolado SC</t>
        </is>
      </c>
      <c r="L490" s="69">
        <f>VLOOKUP(LinkTable6789[[#This Row],[Coluna1]],[4]AlarmCatalog!$A:$M,11,FALSE)</f>
        <v/>
      </c>
    </row>
    <row r="491" ht="16.5" customFormat="1" customHeight="1" s="67">
      <c r="A491" s="68" t="inlineStr">
        <is>
          <t>DESLIGAR@LIGAR___DESLIGADO@LIGADO___SwitchStatus_D_TC_SC_USO_BC</t>
        </is>
      </c>
      <c r="B491" s="68" t="inlineStr"/>
      <c r="C491" s="68" t="inlineStr">
        <is>
          <t>Transit;DESLIGADO;LIGADO;Error</t>
        </is>
      </c>
      <c r="D491" s="68" t="inlineStr">
        <is>
          <t>0;1;2;3</t>
        </is>
      </c>
      <c r="E491" s="68" t="inlineStr">
        <is>
          <t>0;1;2;3</t>
        </is>
      </c>
      <c r="F491" s="68" t="inlineStr">
        <is>
          <t>;DESLIGAR;LIGAR;</t>
        </is>
      </c>
      <c r="G491" s="68" t="inlineStr">
        <is>
          <t>#FF000000;#FF00FF00;#FFFF0000;#FFA9A9A9</t>
        </is>
      </c>
      <c r="H491" s="68" t="inlineStr">
        <is>
          <t>Abnormal;Normal;Normal;Abnormal</t>
        </is>
      </c>
      <c r="I491" s="68" t="inlineStr">
        <is>
          <t>FALSE;TRUE;TRUE;FALSE</t>
        </is>
      </c>
      <c r="J491" s="68" t="inlineStr">
        <is>
          <t>Alarme de Estado em Ponto Telecontrolado SC</t>
        </is>
      </c>
      <c r="K491" s="69" t="inlineStr">
        <is>
          <t>Alarme de Estado em Ponto Telecontrolado SC</t>
        </is>
      </c>
      <c r="L491" s="69">
        <f>VLOOKUP(LinkTable6789[[#This Row],[Coluna1]],[4]AlarmCatalog!$A:$M,11,FALSE)</f>
        <v/>
      </c>
    </row>
    <row r="492" ht="16.5" customFormat="1" customHeight="1" s="67">
      <c r="A492" s="68" t="inlineStr">
        <is>
          <t>DESLIGAR@LIGAR___DESLIGADO@LIGADO___SwitchStatus_S_TC_SC_USO_BC</t>
        </is>
      </c>
      <c r="B492" s="68" t="inlineStr"/>
      <c r="C492" s="68" t="inlineStr">
        <is>
          <t>Transit;DESLIGADO;LIGADO;Error</t>
        </is>
      </c>
      <c r="D492" s="68" t="inlineStr">
        <is>
          <t>0;1;2;3</t>
        </is>
      </c>
      <c r="E492" s="68" t="inlineStr">
        <is>
          <t>2;0;1;3</t>
        </is>
      </c>
      <c r="F492" s="68" t="inlineStr">
        <is>
          <t>;DESLIGAR;LIGAR;</t>
        </is>
      </c>
      <c r="G492" s="68" t="inlineStr">
        <is>
          <t>#FF000000;#FF00FF00;#FFFF0000;#FFA9A9A9</t>
        </is>
      </c>
      <c r="H492" s="68" t="inlineStr">
        <is>
          <t>Abnormal;Normal;Normal;Abnormal</t>
        </is>
      </c>
      <c r="I492" s="68" t="inlineStr">
        <is>
          <t>FALSE;TRUE;TRUE;FALSE</t>
        </is>
      </c>
      <c r="J492" s="68" t="inlineStr">
        <is>
          <t>Alarme de Estado em Ponto Telecontrolado SC</t>
        </is>
      </c>
      <c r="K492" s="69" t="inlineStr">
        <is>
          <t>Alarme de Estado em Ponto Telecontrolado SC</t>
        </is>
      </c>
      <c r="L492" s="69">
        <f>VLOOKUP(LinkTable6789[[#This Row],[Coluna1]],[4]AlarmCatalog!$A:$M,11,FALSE)</f>
        <v/>
      </c>
    </row>
    <row r="493" ht="16.5" customFormat="1" customHeight="1" s="67">
      <c r="A493" s="68" t="inlineStr">
        <is>
          <t>DESLIGAR@LIGAR___DESLIGADO@LIGADO___SwitchStatus_S_TS_SC_USO_BC</t>
        </is>
      </c>
      <c r="B493" s="68" t="inlineStr"/>
      <c r="C493" s="68" t="inlineStr">
        <is>
          <t>Transit;DESLIGADO;LIGADO;Error</t>
        </is>
      </c>
      <c r="D493" s="68" t="inlineStr">
        <is>
          <t>0;1;2;3</t>
        </is>
      </c>
      <c r="E493" s="68" t="inlineStr">
        <is>
          <t>2;0;1;3</t>
        </is>
      </c>
      <c r="F493" s="68" t="inlineStr">
        <is>
          <t>;DESLIGAR;LIGAR;</t>
        </is>
      </c>
      <c r="G493" s="68" t="inlineStr">
        <is>
          <t>#FF000000;#FF00FF00;#FFFF0000;#FFA9A9A9</t>
        </is>
      </c>
      <c r="H493" s="68" t="inlineStr">
        <is>
          <t>Abnormal;Normal;Normal;Abnormal</t>
        </is>
      </c>
      <c r="I493" s="68" t="inlineStr">
        <is>
          <t>FALSE;TRUE;TRUE;FALSE</t>
        </is>
      </c>
      <c r="J493" s="68" t="inlineStr">
        <is>
          <t>Alarme de Estado em Ponto Telessinalizado SC</t>
        </is>
      </c>
      <c r="K493" s="69" t="inlineStr">
        <is>
          <t>Alarme de Estado em Ponto Telessinalizado SC</t>
        </is>
      </c>
      <c r="L493" s="69">
        <f>VLOOKUP(LinkTable6789[[#This Row],[Coluna1]],[4]AlarmCatalog!$A:$M,11,FALSE)</f>
        <v/>
      </c>
    </row>
    <row r="494" ht="16.5" customFormat="1" customHeight="1" s="67">
      <c r="A494" s="68" t="inlineStr">
        <is>
          <t>null@null___NORMAL@INIBIDO___Custom___INV_S_TS_SB</t>
        </is>
      </c>
      <c r="B494" s="68" t="inlineStr"/>
      <c r="C494" s="68" t="inlineStr">
        <is>
          <t>Transit;NORMAL;INIBIDO;Error</t>
        </is>
      </c>
      <c r="D494" s="68" t="inlineStr">
        <is>
          <t>0;1;2;3</t>
        </is>
      </c>
      <c r="E494" s="68" t="inlineStr">
        <is>
          <t>2;1;0;3</t>
        </is>
      </c>
      <c r="F494" s="68" t="inlineStr">
        <is>
          <t>;;;</t>
        </is>
      </c>
      <c r="G494" s="68" t="inlineStr">
        <is>
          <t>#FF000000;#FF00FF00;#FFFF0000;#FFA9A9A9</t>
        </is>
      </c>
      <c r="H494" s="68" t="inlineStr">
        <is>
          <t>Abnormal;Auto;Auto;Abnormal</t>
        </is>
      </c>
      <c r="I494" s="68" t="inlineStr">
        <is>
          <t>FALSE;TRUE;TRUE;FALSE</t>
        </is>
      </c>
      <c r="J494" s="68" t="inlineStr">
        <is>
          <t>Alarme de Estado em Ponto Telessinalizado SB</t>
        </is>
      </c>
      <c r="K494" s="69" t="inlineStr">
        <is>
          <t>Alarme de Estado em Ponto Telessinalizado SB</t>
        </is>
      </c>
      <c r="L494" s="69">
        <f>VLOOKUP(LinkTable6789[[#This Row],[Coluna1]],[4]AlarmCatalog!$A:$M,11,FALSE)</f>
        <v/>
      </c>
    </row>
    <row r="495" ht="16.5" customFormat="1" customHeight="1" s="67">
      <c r="A495" s="68" t="inlineStr">
        <is>
          <t>null@null___DESATIVADO@ATIVADO___Custom_S_TS_SB</t>
        </is>
      </c>
      <c r="B495" s="68" t="inlineStr"/>
      <c r="C495" s="68" t="inlineStr">
        <is>
          <t>Transit;DESATIVADO;ATIVADO;Error</t>
        </is>
      </c>
      <c r="D495" s="68" t="inlineStr">
        <is>
          <t>0;1;2;3</t>
        </is>
      </c>
      <c r="E495" s="68" t="inlineStr">
        <is>
          <t>2;0;1;3</t>
        </is>
      </c>
      <c r="F495" s="68" t="inlineStr">
        <is>
          <t>;;;</t>
        </is>
      </c>
      <c r="G495" s="68" t="inlineStr">
        <is>
          <t>#FF000000;#FF00FF00;#FFFF0000;#FFA9A9A9</t>
        </is>
      </c>
      <c r="H495" s="68" t="inlineStr">
        <is>
          <t>Abnormal;Auto;Auto;Abnormal</t>
        </is>
      </c>
      <c r="I495" s="68" t="inlineStr">
        <is>
          <t>FALSE;TRUE;TRUE;FALSE</t>
        </is>
      </c>
      <c r="J495" s="68" t="inlineStr">
        <is>
          <t>Alarme de Estado em Ponto Telessinalizado SB</t>
        </is>
      </c>
      <c r="K495" s="69" t="inlineStr">
        <is>
          <t>Alarme de Estado em Ponto Telessinalizado SB</t>
        </is>
      </c>
      <c r="L495" s="69">
        <f>VLOOKUP(LinkTable6789[[#This Row],[Coluna1]],[4]AlarmCatalog!$A:$M,11,FALSE)</f>
        <v/>
      </c>
    </row>
    <row r="496" ht="16.5" customFormat="1" customHeight="1" s="67">
      <c r="A496" s="68" t="inlineStr">
        <is>
          <t>BLOQUEAR@null___null@null___Custom_S_TC_SB</t>
        </is>
      </c>
      <c r="B496" s="68" t="inlineStr"/>
      <c r="C496" s="68" t="inlineStr">
        <is>
          <t>Transit;;;Error</t>
        </is>
      </c>
      <c r="D496" s="68" t="inlineStr">
        <is>
          <t>0;1;2;3</t>
        </is>
      </c>
      <c r="E496" s="68" t="inlineStr">
        <is>
          <t>2;0;1;3</t>
        </is>
      </c>
      <c r="F496" s="68" t="inlineStr">
        <is>
          <t>;BLOQUEAR;;</t>
        </is>
      </c>
      <c r="G496" s="68" t="inlineStr">
        <is>
          <t>#FF000000;#FF00FF00;#FFFF0000;#FFA9A9A9</t>
        </is>
      </c>
      <c r="H496" s="68" t="inlineStr">
        <is>
          <t>Abnormal;Auto;Auto;Abnormal</t>
        </is>
      </c>
      <c r="I496" s="68" t="inlineStr">
        <is>
          <t>FALSE;TRUE;TRUE;FALSE</t>
        </is>
      </c>
      <c r="J496" s="68" t="inlineStr">
        <is>
          <t>Alarme de Estado em Ponto Telecontrolado SB</t>
        </is>
      </c>
      <c r="K496" s="69" t="inlineStr">
        <is>
          <t>Alarme de Estado em Ponto Telecontrolado SB</t>
        </is>
      </c>
      <c r="L496" s="69">
        <f>VLOOKUP(LinkTable6789[[#This Row],[Coluna1]],[4]AlarmCatalog!$A:$M,11,FALSE)</f>
        <v/>
      </c>
    </row>
    <row r="497" ht="16.5" customFormat="1" customHeight="1" s="67">
      <c r="A497" s="68" t="inlineStr">
        <is>
          <t>null@null___LIGADO@DESLIGADO___Custom___INV_D_TS_SB</t>
        </is>
      </c>
      <c r="B497" s="68" t="inlineStr"/>
      <c r="C497" s="68" t="inlineStr">
        <is>
          <t>Transit;LIGADO;DESLIGADO;Error</t>
        </is>
      </c>
      <c r="D497" s="68" t="inlineStr">
        <is>
          <t>0;2;1;3</t>
        </is>
      </c>
      <c r="E497" s="68" t="inlineStr">
        <is>
          <t>0;2;1;3</t>
        </is>
      </c>
      <c r="F497" s="68" t="inlineStr">
        <is>
          <t>;;;</t>
        </is>
      </c>
      <c r="G497" s="68" t="inlineStr">
        <is>
          <t>#FF000000;#FF00FF00;#FFFF0000;#FFA9A9A9</t>
        </is>
      </c>
      <c r="H497" s="68" t="inlineStr">
        <is>
          <t>Abnormal;Normal;Normal;Normal</t>
        </is>
      </c>
      <c r="I497" s="68" t="inlineStr">
        <is>
          <t>FALSE;TRUE;TRUE;FALSE</t>
        </is>
      </c>
      <c r="J497" s="68" t="inlineStr">
        <is>
          <t>Alarme de Estado em Ponto Telessinalizado SB</t>
        </is>
      </c>
      <c r="K497" s="69" t="inlineStr">
        <is>
          <t>Alarme de Estado em Ponto Telessinalizado SB</t>
        </is>
      </c>
      <c r="L497" s="69">
        <f>VLOOKUP(LinkTable6789[[#This Row],[Coluna1]],[4]AlarmCatalog!$A:$M,11,FALSE)</f>
        <v/>
      </c>
    </row>
    <row r="498" ht="16.5" customFormat="1" customHeight="1" s="67">
      <c r="A498" s="68" t="inlineStr">
        <is>
          <t>null@null___NÃO PERMITIDO@PERMITIDO___Custom_S_TS_SB</t>
        </is>
      </c>
      <c r="B498" s="68" t="inlineStr"/>
      <c r="C498" s="68" t="inlineStr">
        <is>
          <t>Transit;NÃO PERMITIDO;PERMITIDO;Error</t>
        </is>
      </c>
      <c r="D498" s="68" t="inlineStr">
        <is>
          <t>0;1;2;3</t>
        </is>
      </c>
      <c r="E498" s="68" t="inlineStr">
        <is>
          <t>2;0;1;3</t>
        </is>
      </c>
      <c r="F498" s="68" t="inlineStr">
        <is>
          <t>;;;</t>
        </is>
      </c>
      <c r="G498" s="68" t="inlineStr">
        <is>
          <t>#FF000000;#FF00FF00;#FFFF0000;#FFA9A9A9</t>
        </is>
      </c>
      <c r="H498" s="68" t="inlineStr">
        <is>
          <t>Abnormal;Auto;Auto;Abnormal</t>
        </is>
      </c>
      <c r="I498" s="68" t="inlineStr">
        <is>
          <t>FALSE;TRUE;TRUE;FALSE</t>
        </is>
      </c>
      <c r="J498" s="68" t="inlineStr">
        <is>
          <t>Alarme de Estado em Ponto Telessinalizado SB</t>
        </is>
      </c>
      <c r="K498" s="69" t="inlineStr">
        <is>
          <t>Alarme de Estado em Ponto Telessinalizado SB</t>
        </is>
      </c>
      <c r="L498" s="69">
        <f>VLOOKUP(LinkTable6789[[#This Row],[Coluna1]],[4]AlarmCatalog!$A:$M,11,FALSE)</f>
        <v/>
      </c>
    </row>
    <row r="499" ht="16.5" customFormat="1" customHeight="1" s="67">
      <c r="A499" s="68" t="inlineStr">
        <is>
          <t>null@null___DESLIGADO@LIGADO___Custom___INV_D_TS_SB</t>
        </is>
      </c>
      <c r="B499" s="68" t="inlineStr"/>
      <c r="C499" s="68" t="inlineStr">
        <is>
          <t>Transit;DESLIGADO;LIGADO;Error</t>
        </is>
      </c>
      <c r="D499" s="68" t="inlineStr">
        <is>
          <t>0;1;2;3</t>
        </is>
      </c>
      <c r="E499" s="68" t="inlineStr">
        <is>
          <t>0;1;2;3</t>
        </is>
      </c>
      <c r="F499" s="68" t="inlineStr">
        <is>
          <t>;DESLIGAR;LIGAR;</t>
        </is>
      </c>
      <c r="G499" s="68" t="inlineStr">
        <is>
          <t>#FF000000;#FF00FF00;#FFFF0000;#FFA9A9A9</t>
        </is>
      </c>
      <c r="H499" s="68" t="inlineStr">
        <is>
          <t>Abnormal;Auto;Auto;Abnormal</t>
        </is>
      </c>
      <c r="I499" s="68" t="inlineStr">
        <is>
          <t>FALSE;TRUE;TRUE;FALSE</t>
        </is>
      </c>
      <c r="J499" s="68" t="inlineStr">
        <is>
          <t>Alarme de Estado em Ponto Telessinalizado SB</t>
        </is>
      </c>
      <c r="K499" s="69" t="inlineStr">
        <is>
          <t>Alarme de Estado em Ponto Telessinalizado SB</t>
        </is>
      </c>
      <c r="L499" s="69">
        <f>VLOOKUP(LinkTable6789[[#This Row],[Coluna1]],[4]AlarmCatalog!$A:$M,11,FALSE)</f>
        <v/>
      </c>
    </row>
    <row r="500" ht="16.5" customFormat="1" customHeight="1" s="67">
      <c r="A500" s="68" t="inlineStr">
        <is>
          <t>null@null___NORMAL@FALTA___Custom___INV_S_TS_SB</t>
        </is>
      </c>
      <c r="B500" s="68" t="inlineStr"/>
      <c r="C500" s="68" t="inlineStr">
        <is>
          <t>Transit;NORMAL;FALTA;Error</t>
        </is>
      </c>
      <c r="D500" s="68" t="inlineStr">
        <is>
          <t>0;1;2;3</t>
        </is>
      </c>
      <c r="E500" s="68" t="inlineStr">
        <is>
          <t>2;1;0;3</t>
        </is>
      </c>
      <c r="F500" s="68" t="inlineStr">
        <is>
          <t>;;;</t>
        </is>
      </c>
      <c r="G500" s="68" t="inlineStr">
        <is>
          <t>#FF000000;#FF00FF00;#FFFF0000;#FFA9A9A9</t>
        </is>
      </c>
      <c r="H500" s="68" t="inlineStr">
        <is>
          <t>Abnormal;Normal;Abnormal;Abnormal</t>
        </is>
      </c>
      <c r="I500" s="68" t="inlineStr">
        <is>
          <t>FALSE;TRUE;TRUE;FALSE</t>
        </is>
      </c>
      <c r="J500" s="68" t="inlineStr">
        <is>
          <t>Alarme de Estado em Ponto Telessinalizado SB</t>
        </is>
      </c>
      <c r="K500" s="69" t="inlineStr">
        <is>
          <t>Alarme de Estado em Ponto Telessinalizado SB</t>
        </is>
      </c>
      <c r="L500" s="69">
        <f>VLOOKUP(LinkTable6789[[#This Row],[Coluna1]],[4]AlarmCatalog!$A:$M,11,FALSE)</f>
        <v/>
      </c>
    </row>
    <row r="501" ht="16.5" customFormat="1" customHeight="1" s="67">
      <c r="A501" s="68" t="inlineStr">
        <is>
          <t>null@null___NORMAL@FALTA___Custom_S_TS_SB</t>
        </is>
      </c>
      <c r="B501" s="68" t="inlineStr"/>
      <c r="C501" s="68" t="inlineStr">
        <is>
          <t>Transit;NORMAL;FALTA;Error</t>
        </is>
      </c>
      <c r="D501" s="68" t="inlineStr">
        <is>
          <t>0;1;2;3</t>
        </is>
      </c>
      <c r="E501" s="68" t="inlineStr">
        <is>
          <t>2;0;1;3</t>
        </is>
      </c>
      <c r="F501" s="68" t="inlineStr">
        <is>
          <t>;;;</t>
        </is>
      </c>
      <c r="G501" s="68" t="inlineStr">
        <is>
          <t>#FF000000;#FF00FF00;#FFFF0000;#FFA9A9A9</t>
        </is>
      </c>
      <c r="H501" s="68" t="inlineStr">
        <is>
          <t>Abnormal;Normal;Abnormal;Abnormal</t>
        </is>
      </c>
      <c r="I501" s="68" t="inlineStr">
        <is>
          <t>FALSE;TRUE;TRUE;FALSE</t>
        </is>
      </c>
      <c r="J501" s="68" t="inlineStr">
        <is>
          <t>Alarme de Estado em Ponto Telessinalizado SB</t>
        </is>
      </c>
      <c r="K501" s="69" t="inlineStr">
        <is>
          <t>Alarme de Estado em Ponto Telessinalizado SB</t>
        </is>
      </c>
      <c r="L501" s="69">
        <f>VLOOKUP(LinkTable6789[[#This Row],[Coluna1]],[4]AlarmCatalog!$A:$M,11,FALSE)</f>
        <v/>
      </c>
    </row>
    <row r="502" ht="16.5" customFormat="1" customHeight="1" s="67">
      <c r="A502" s="68" t="inlineStr">
        <is>
          <t>null@null___NORMAL@FALHA___Custom___INV_S_TS_SB</t>
        </is>
      </c>
      <c r="B502" s="68" t="inlineStr"/>
      <c r="C502" s="68" t="inlineStr">
        <is>
          <t>Transit;NORMAL;FALHA;Error</t>
        </is>
      </c>
      <c r="D502" s="68" t="inlineStr">
        <is>
          <t>0;1;2;3</t>
        </is>
      </c>
      <c r="E502" s="68" t="inlineStr">
        <is>
          <t>2;1;0;3</t>
        </is>
      </c>
      <c r="F502" s="68" t="inlineStr">
        <is>
          <t>;;;</t>
        </is>
      </c>
      <c r="G502" s="68" t="inlineStr">
        <is>
          <t>#FF000000;#FF00FF00;#FFFF0000;#FFA9A9A9</t>
        </is>
      </c>
      <c r="H502" s="68" t="inlineStr">
        <is>
          <t>Abnormal;Normal;Abnormal;Abnormal</t>
        </is>
      </c>
      <c r="I502" s="68" t="inlineStr">
        <is>
          <t>FALSE;TRUE;TRUE;FALSE</t>
        </is>
      </c>
      <c r="J502" s="68" t="inlineStr">
        <is>
          <t>Alarme de Estado em Ponto Telessinalizado SB</t>
        </is>
      </c>
      <c r="K502" s="69" t="inlineStr">
        <is>
          <t>Alarme de Estado em Ponto Telessinalizado SB</t>
        </is>
      </c>
      <c r="L502" s="69">
        <f>VLOOKUP(LinkTable6789[[#This Row],[Coluna1]],[4]AlarmCatalog!$A:$M,11,FALSE)</f>
        <v/>
      </c>
    </row>
    <row r="503" ht="16.5" customFormat="1" customHeight="1" s="67">
      <c r="A503" s="68" t="inlineStr">
        <is>
          <t>null@null___NORMAL@ATUADO___Custom_S_TS_SB</t>
        </is>
      </c>
      <c r="B503" s="68" t="inlineStr"/>
      <c r="C503" s="68" t="inlineStr">
        <is>
          <t>Transit;NORMAL;ATUADO;Error</t>
        </is>
      </c>
      <c r="D503" s="68" t="inlineStr">
        <is>
          <t>0;1;2;3</t>
        </is>
      </c>
      <c r="E503" s="68" t="inlineStr">
        <is>
          <t>2;0;1;3</t>
        </is>
      </c>
      <c r="F503" s="68" t="inlineStr">
        <is>
          <t>;;;</t>
        </is>
      </c>
      <c r="G503" s="68" t="inlineStr">
        <is>
          <t>#FF000000;#FF00FF00;#FFFF0000;#FFA9A9A9</t>
        </is>
      </c>
      <c r="H503" s="68" t="inlineStr">
        <is>
          <t>Abnormal;Normal;Abnormal;Abnormal</t>
        </is>
      </c>
      <c r="I503" s="68" t="inlineStr">
        <is>
          <t>FALSE;TRUE;TRUE;FALSE</t>
        </is>
      </c>
      <c r="J503" s="68" t="inlineStr">
        <is>
          <t>Alarme de Estado em Ponto Telessinalizado SB Temporizado</t>
        </is>
      </c>
      <c r="K503" s="69" t="inlineStr">
        <is>
          <t>Alarme de Estado em Ponto Telessinalizado SB Temporizado</t>
        </is>
      </c>
      <c r="L503" s="69">
        <f>VLOOKUP(LinkTable6789[[#This Row],[Coluna1]],[4]AlarmCatalog!$A:$M,11,FALSE)</f>
        <v/>
      </c>
    </row>
    <row r="504" ht="16.5" customFormat="1" customHeight="1" s="67">
      <c r="A504" s="68" t="inlineStr">
        <is>
          <t>null@null___NORMAL@FALHA___Custom_S_TS_SB</t>
        </is>
      </c>
      <c r="B504" s="68" t="inlineStr"/>
      <c r="C504" s="68" t="inlineStr">
        <is>
          <t>Transit;NORMAL;FALHA;Error</t>
        </is>
      </c>
      <c r="D504" s="68" t="inlineStr">
        <is>
          <t>0;1;2;3</t>
        </is>
      </c>
      <c r="E504" s="68" t="inlineStr">
        <is>
          <t>2;0;1;3</t>
        </is>
      </c>
      <c r="F504" s="68" t="inlineStr">
        <is>
          <t>;;;</t>
        </is>
      </c>
      <c r="G504" s="68" t="inlineStr">
        <is>
          <t>#FF000000;#FF00FF00;#FFFF0000;#FFA9A9A9</t>
        </is>
      </c>
      <c r="H504" s="68" t="inlineStr">
        <is>
          <t>Abnormal;Auto;Auto;Abnormal</t>
        </is>
      </c>
      <c r="I504" s="68" t="inlineStr">
        <is>
          <t>FALSE;TRUE;TRUE;FALSE</t>
        </is>
      </c>
      <c r="J504" s="68" t="inlineStr">
        <is>
          <t>Alarme de Estado em Ponto Telessinalizado SB</t>
        </is>
      </c>
      <c r="K504" s="69" t="inlineStr">
        <is>
          <t>Alarme de Estado em Ponto Telessinalizado SB</t>
        </is>
      </c>
      <c r="L504" s="69">
        <f>VLOOKUP(LinkTable6789[[#This Row],[Coluna1]],[4]AlarmCatalog!$A:$M,11,FALSE)</f>
        <v/>
      </c>
    </row>
    <row r="505" ht="16.5" customFormat="1" customHeight="1" s="67">
      <c r="A505" s="68" t="inlineStr">
        <is>
          <t>null@null___CARREGADA@DESCARREGADA___Custom_S_TS_SB</t>
        </is>
      </c>
      <c r="B505" s="68" t="inlineStr"/>
      <c r="C505" s="68" t="inlineStr">
        <is>
          <t>Transit;CARREGADA;DESCARREGADA;Error</t>
        </is>
      </c>
      <c r="D505" s="68" t="inlineStr">
        <is>
          <t>0;1;2;3</t>
        </is>
      </c>
      <c r="E505" s="68" t="inlineStr">
        <is>
          <t>2;0;1;3</t>
        </is>
      </c>
      <c r="F505" s="68" t="inlineStr">
        <is>
          <t>;;;</t>
        </is>
      </c>
      <c r="G505" s="68" t="inlineStr">
        <is>
          <t>#FF000000;#FFFF0000;#FF00FF00;#FFA9A9A9</t>
        </is>
      </c>
      <c r="H505" s="68" t="inlineStr">
        <is>
          <t>Abnormal;Normal;Abnormal;Abnormal</t>
        </is>
      </c>
      <c r="I505" s="68" t="inlineStr">
        <is>
          <t>FALSE;TRUE;TRUE;FALSE</t>
        </is>
      </c>
      <c r="J505" s="68" t="inlineStr">
        <is>
          <t>Alarme de Estado em Ponto Telessinalizado SB</t>
        </is>
      </c>
      <c r="K505" s="69" t="inlineStr">
        <is>
          <t>Alarme de Estado em Ponto Telessinalizado SB</t>
        </is>
      </c>
      <c r="L505" s="69">
        <f>VLOOKUP(LinkTable6789[[#This Row],[Coluna1]],[4]AlarmCatalog!$A:$M,11,FALSE)</f>
        <v/>
      </c>
    </row>
    <row r="506" ht="16.5" customFormat="1" customHeight="1" s="67">
      <c r="A506" s="68" t="inlineStr">
        <is>
          <t>null@null___LIGADO@DESLIGADO___Custom_S_TS_SB</t>
        </is>
      </c>
      <c r="B506" s="68" t="inlineStr"/>
      <c r="C506" s="68" t="inlineStr">
        <is>
          <t>Transit;LIGADO;DESLIGADO;Error</t>
        </is>
      </c>
      <c r="D506" s="68" t="inlineStr">
        <is>
          <t>0;2;1;3</t>
        </is>
      </c>
      <c r="E506" s="68" t="inlineStr">
        <is>
          <t>2;0;1;3</t>
        </is>
      </c>
      <c r="F506" s="68" t="inlineStr">
        <is>
          <t>;;;</t>
        </is>
      </c>
      <c r="G506" s="68" t="inlineStr">
        <is>
          <t>#FF000000;#FFFF0000;#FF00FF00;#FFA9A9A9</t>
        </is>
      </c>
      <c r="H506" s="68" t="inlineStr">
        <is>
          <t>Abnormal;Normal;Abnormal;Abnormal</t>
        </is>
      </c>
      <c r="I506" s="68" t="inlineStr">
        <is>
          <t>FALSE;TRUE;TRUE;FALSE</t>
        </is>
      </c>
      <c r="J506" s="68" t="inlineStr">
        <is>
          <t>Alarme de Estado em Ponto Telessinalizado SB Temporizado</t>
        </is>
      </c>
      <c r="K506" s="69" t="inlineStr">
        <is>
          <t>Alarme de Estado em Ponto Telessinalizado SB Temporizado</t>
        </is>
      </c>
      <c r="L506" s="69">
        <f>VLOOKUP(LinkTable6789[[#This Row],[Coluna1]],[4]AlarmCatalog!$A:$M,11,FALSE)</f>
        <v/>
      </c>
    </row>
    <row r="507" ht="16.5" customFormat="1" customHeight="1" s="67">
      <c r="A507" s="68" t="inlineStr">
        <is>
          <t>REARMAR@BLOQUEAR___NORMAL@ATUADO___Custom_S_TS_SB</t>
        </is>
      </c>
      <c r="B507" s="68" t="inlineStr"/>
      <c r="C507" s="68" t="inlineStr">
        <is>
          <t>Transit;NORMAL;ATUADO;Error</t>
        </is>
      </c>
      <c r="D507" s="68" t="inlineStr">
        <is>
          <t>0;1;2;3</t>
        </is>
      </c>
      <c r="E507" s="68" t="inlineStr">
        <is>
          <t>2;0;1;3</t>
        </is>
      </c>
      <c r="F507" s="68" t="inlineStr">
        <is>
          <t>;;;</t>
        </is>
      </c>
      <c r="G507" s="68" t="inlineStr">
        <is>
          <t>#FF000000;#FF00FF00;#FFFF0000;#FFA9A9A9</t>
        </is>
      </c>
      <c r="H507" s="68" t="inlineStr">
        <is>
          <t>Abnormal;Auto;Auto;Abnormal</t>
        </is>
      </c>
      <c r="I507" s="68" t="inlineStr">
        <is>
          <t>FALSE;TRUE;TRUE;FALSE</t>
        </is>
      </c>
      <c r="J507" s="68" t="inlineStr">
        <is>
          <t>Alarme de Estado em Ponto Telessinalizado SB</t>
        </is>
      </c>
      <c r="K507" s="69" t="inlineStr">
        <is>
          <t>Alarme de Estado em Ponto Telessinalizado SB</t>
        </is>
      </c>
      <c r="L507" s="69">
        <f>VLOOKUP(LinkTable6789[[#This Row],[Coluna1]],[4]AlarmCatalog!$A:$M,11,FALSE)</f>
        <v/>
      </c>
    </row>
    <row r="508" ht="16.5" customFormat="1" customHeight="1" s="67">
      <c r="A508" s="68" t="inlineStr">
        <is>
          <t>null@null___NORMAL@ATUADO___Custom___INV_S_TS_SB</t>
        </is>
      </c>
      <c r="B508" s="68" t="inlineStr"/>
      <c r="C508" s="68" t="inlineStr">
        <is>
          <t>Transit;NORMAL;ATUADO;Error</t>
        </is>
      </c>
      <c r="D508" s="68" t="inlineStr">
        <is>
          <t>0;1;2;3</t>
        </is>
      </c>
      <c r="E508" s="68" t="inlineStr">
        <is>
          <t>2;1;0;3</t>
        </is>
      </c>
      <c r="F508" s="68" t="inlineStr">
        <is>
          <t>;;;</t>
        </is>
      </c>
      <c r="G508" s="68" t="inlineStr">
        <is>
          <t>#FF000000;#FF00FF00;#FFFF0000;#FFA9A9A9</t>
        </is>
      </c>
      <c r="H508" s="68" t="inlineStr">
        <is>
          <t>Abnormal;Auto;Auto;Abnormal</t>
        </is>
      </c>
      <c r="I508" s="68" t="inlineStr">
        <is>
          <t>FALSE;TRUE;TRUE;FALSE</t>
        </is>
      </c>
      <c r="J508" s="68" t="inlineStr">
        <is>
          <t>Alarme de Estado em Ponto Telessinalizado SB</t>
        </is>
      </c>
      <c r="K508" s="69" t="inlineStr">
        <is>
          <t>Alarme de Estado em Ponto Telessinalizado SB</t>
        </is>
      </c>
      <c r="L508" s="69">
        <f>VLOOKUP(LinkTable6789[[#This Row],[Coluna1]],[4]AlarmCatalog!$A:$M,11,FALSE)</f>
        <v/>
      </c>
    </row>
    <row r="509" ht="16.5" customFormat="1" customHeight="1" s="67">
      <c r="A509" s="68" t="inlineStr">
        <is>
          <t>null@null___NORMAL@DEFEITO___Custom_S_TS_SB</t>
        </is>
      </c>
      <c r="B509" s="68" t="inlineStr"/>
      <c r="C509" s="68" t="inlineStr">
        <is>
          <t>Transit;NORMAL;DEFEITO;Error</t>
        </is>
      </c>
      <c r="D509" s="68" t="inlineStr">
        <is>
          <t>0;1;2;3</t>
        </is>
      </c>
      <c r="E509" s="68" t="inlineStr">
        <is>
          <t>2;0;1;3</t>
        </is>
      </c>
      <c r="F509" s="68" t="inlineStr">
        <is>
          <t>;;;</t>
        </is>
      </c>
      <c r="G509" s="68" t="inlineStr">
        <is>
          <t>#FF000000;#FF00FF00;#FFFF0000;#FFA9A9A9</t>
        </is>
      </c>
      <c r="H509" s="68" t="inlineStr">
        <is>
          <t>Abnormal;Normal;Abnormal;Abnormal</t>
        </is>
      </c>
      <c r="I509" s="68" t="inlineStr">
        <is>
          <t>FALSE;TRUE;TRUE;FALSE</t>
        </is>
      </c>
      <c r="J509" s="68" t="inlineStr">
        <is>
          <t>Alarme de Estado em Ponto Telessinalizado SB</t>
        </is>
      </c>
      <c r="K509" s="69" t="inlineStr">
        <is>
          <t>Alarme de Estado em Ponto Telessinalizado SB</t>
        </is>
      </c>
      <c r="L509" s="69">
        <f>VLOOKUP(LinkTable6789[[#This Row],[Coluna1]],[4]AlarmCatalog!$A:$M,11,FALSE)</f>
        <v/>
      </c>
    </row>
    <row r="510" ht="16.5" customFormat="1" customHeight="1" s="67">
      <c r="A510" s="68" t="inlineStr">
        <is>
          <t>null@null___MANUAL@AUTOMATICO___Custom_S_TS_SB</t>
        </is>
      </c>
      <c r="B510" s="68" t="inlineStr"/>
      <c r="C510" s="68" t="inlineStr">
        <is>
          <t>Transit;MANUAL;AUTOMATICO;Error</t>
        </is>
      </c>
      <c r="D510" s="68" t="inlineStr">
        <is>
          <t>0;1;2;3</t>
        </is>
      </c>
      <c r="E510" s="68" t="inlineStr">
        <is>
          <t>2;0;1;3</t>
        </is>
      </c>
      <c r="F510" s="68" t="inlineStr">
        <is>
          <t>;;;</t>
        </is>
      </c>
      <c r="G510" s="68" t="inlineStr">
        <is>
          <t>#FF000000;#FF00FF00;#FFFF0000;#FFA9A9A9</t>
        </is>
      </c>
      <c r="H510" s="68" t="inlineStr">
        <is>
          <t>Abnormal;Auto;Auto;Abnormal</t>
        </is>
      </c>
      <c r="I510" s="68" t="inlineStr">
        <is>
          <t>FALSE;TRUE;TRUE;FALSE</t>
        </is>
      </c>
      <c r="J510" s="68" t="inlineStr">
        <is>
          <t>Alarme de Estado em Ponto Telessinalizado SB</t>
        </is>
      </c>
      <c r="K510" s="69" t="inlineStr">
        <is>
          <t>Alarme de Estado em Ponto Telessinalizado SB</t>
        </is>
      </c>
      <c r="L510" s="69">
        <f>VLOOKUP(LinkTable6789[[#This Row],[Coluna1]],[4]AlarmCatalog!$A:$M,11,FALSE)</f>
        <v/>
      </c>
    </row>
    <row r="511" ht="16.5" customFormat="1" customHeight="1" s="67">
      <c r="A511" s="68" t="inlineStr">
        <is>
          <t>null@REARMAR___NORMAL@ATUADO___Custom_S_TS_SB</t>
        </is>
      </c>
      <c r="B511" s="68" t="inlineStr"/>
      <c r="C511" s="68" t="inlineStr">
        <is>
          <t>Transit;NORMAL;ATUADO;Error</t>
        </is>
      </c>
      <c r="D511" s="68" t="inlineStr">
        <is>
          <t>0;1;2;3</t>
        </is>
      </c>
      <c r="E511" s="68" t="inlineStr">
        <is>
          <t>2;0;1;3</t>
        </is>
      </c>
      <c r="F511" s="68" t="inlineStr">
        <is>
          <t>;;;</t>
        </is>
      </c>
      <c r="G511" s="68" t="inlineStr">
        <is>
          <t>#FF000000;#FF00FF00;#FFFF0000;#FFA9A9A9</t>
        </is>
      </c>
      <c r="H511" s="68" t="inlineStr">
        <is>
          <t>Abnormal;Auto;Auto;Abnormal</t>
        </is>
      </c>
      <c r="I511" s="68" t="inlineStr">
        <is>
          <t>FALSE;TRUE;TRUE;FALSE</t>
        </is>
      </c>
      <c r="J511" s="68" t="inlineStr">
        <is>
          <t>Alarme de Estado em Ponto Telessinalizado SB</t>
        </is>
      </c>
      <c r="K511" s="69" t="inlineStr">
        <is>
          <t>Alarme de Estado em Ponto Telessinalizado SB</t>
        </is>
      </c>
      <c r="L511" s="69">
        <f>VLOOKUP(LinkTable6789[[#This Row],[Coluna1]],[4]AlarmCatalog!$A:$M,11,FALSE)</f>
        <v/>
      </c>
    </row>
    <row r="512" ht="16.5" customFormat="1" customHeight="1" s="67">
      <c r="A512" s="68" t="inlineStr">
        <is>
          <t>null@null___NORMAL@BLOQUEIO___Custom_S_TS_SB</t>
        </is>
      </c>
      <c r="B512" s="68" t="inlineStr"/>
      <c r="C512" s="68" t="inlineStr">
        <is>
          <t>Transit;NORMAL;BLOQUEIO;Error</t>
        </is>
      </c>
      <c r="D512" s="68" t="inlineStr">
        <is>
          <t>0;1;2;3</t>
        </is>
      </c>
      <c r="E512" s="68" t="inlineStr">
        <is>
          <t>2;0;1;3</t>
        </is>
      </c>
      <c r="F512" s="68" t="inlineStr">
        <is>
          <t>;;;</t>
        </is>
      </c>
      <c r="G512" s="68" t="inlineStr">
        <is>
          <t>#FF000000;#FF00FF00;#FFFF0000;#FFA9A9A9</t>
        </is>
      </c>
      <c r="H512" s="68" t="inlineStr">
        <is>
          <t>Abnormal;Auto;Auto;Abnormal</t>
        </is>
      </c>
      <c r="I512" s="68" t="inlineStr">
        <is>
          <t>FALSE;TRUE;TRUE;FALSE</t>
        </is>
      </c>
      <c r="J512" s="68" t="inlineStr">
        <is>
          <t>Alarme de Estado em Ponto Telessinalizado SB</t>
        </is>
      </c>
      <c r="K512" s="69" t="inlineStr">
        <is>
          <t>Alarme de Estado em Ponto Telessinalizado SB</t>
        </is>
      </c>
      <c r="L512" s="69">
        <f>VLOOKUP(LinkTable6789[[#This Row],[Coluna1]],[4]AlarmCatalog!$A:$M,11,FALSE)</f>
        <v/>
      </c>
    </row>
    <row r="513" ht="16.5" customFormat="1" customHeight="1" s="67">
      <c r="A513" s="68" t="inlineStr">
        <is>
          <t>null@null___NORMAL@OLEO FALHA___Custom_S_TS_SB</t>
        </is>
      </c>
      <c r="B513" s="68" t="inlineStr"/>
      <c r="C513" s="68" t="inlineStr">
        <is>
          <t>Transit;NORMAL;OLEO FALHA;Error</t>
        </is>
      </c>
      <c r="D513" s="68" t="inlineStr">
        <is>
          <t>0;1;2;3</t>
        </is>
      </c>
      <c r="E513" s="68" t="inlineStr">
        <is>
          <t>2;0;1;3</t>
        </is>
      </c>
      <c r="F513" s="68" t="inlineStr">
        <is>
          <t>;;;</t>
        </is>
      </c>
      <c r="G513" s="68" t="inlineStr">
        <is>
          <t>#FF000000;#FF00FF00;#FFFF0000;#FFA9A9A9</t>
        </is>
      </c>
      <c r="H513" s="68" t="inlineStr">
        <is>
          <t>Abnormal;Auto;Auto;Abnormal</t>
        </is>
      </c>
      <c r="I513" s="68" t="inlineStr">
        <is>
          <t>FALSE;TRUE;TRUE;FALSE</t>
        </is>
      </c>
      <c r="J513" s="68" t="inlineStr">
        <is>
          <t>Alarme de Estado em Ponto Telessinalizado SB</t>
        </is>
      </c>
      <c r="K513" s="69" t="inlineStr">
        <is>
          <t>Alarme de Estado em Ponto Telessinalizado SB</t>
        </is>
      </c>
      <c r="L513" s="69">
        <f>VLOOKUP(LinkTable6789[[#This Row],[Coluna1]],[4]AlarmCatalog!$A:$M,11,FALSE)</f>
        <v/>
      </c>
    </row>
    <row r="514" ht="16.5" customFormat="1" customHeight="1" s="67">
      <c r="A514" s="68" t="inlineStr">
        <is>
          <t>null@null___NORMAL@FALTA VCC VCA___Custom_S_TS_SB</t>
        </is>
      </c>
      <c r="B514" s="68" t="inlineStr"/>
      <c r="C514" s="68" t="inlineStr">
        <is>
          <t>Transit;NORMAL;FALTA VCC VCA;Error</t>
        </is>
      </c>
      <c r="D514" s="68" t="inlineStr">
        <is>
          <t>0;1;2;3</t>
        </is>
      </c>
      <c r="E514" s="68" t="inlineStr">
        <is>
          <t>2;0;1;3</t>
        </is>
      </c>
      <c r="F514" s="68" t="inlineStr">
        <is>
          <t>;;;</t>
        </is>
      </c>
      <c r="G514" s="68" t="inlineStr">
        <is>
          <t>#FF000000;#FF00FF00;#FFFF0000;#FFA9A9A9</t>
        </is>
      </c>
      <c r="H514" s="68" t="inlineStr">
        <is>
          <t>Abnormal;Normal;Abnormal;Abnormal</t>
        </is>
      </c>
      <c r="I514" s="68" t="inlineStr">
        <is>
          <t>FALSE;TRUE;TRUE;FALSE</t>
        </is>
      </c>
      <c r="J514" s="68" t="inlineStr">
        <is>
          <t>Alarme de Estado em Ponto Telessinalizado SB</t>
        </is>
      </c>
      <c r="K514" s="69" t="inlineStr">
        <is>
          <t>Alarme de Estado em Ponto Telessinalizado SB</t>
        </is>
      </c>
      <c r="L514" s="69">
        <f>VLOOKUP(LinkTable6789[[#This Row],[Coluna1]],[4]AlarmCatalog!$A:$M,11,FALSE)</f>
        <v/>
      </c>
    </row>
    <row r="515" ht="16.5" customFormat="1" customHeight="1" s="67">
      <c r="A515" s="68" t="inlineStr">
        <is>
          <t>null@null___LIGADO@DESLIGADO___Custom___INV_S_TS_SB</t>
        </is>
      </c>
      <c r="B515" s="68" t="inlineStr"/>
      <c r="C515" s="68" t="inlineStr">
        <is>
          <t>Transit;LIGADO;DESLIGADO;Error</t>
        </is>
      </c>
      <c r="D515" s="68" t="inlineStr">
        <is>
          <t>0;1;2;3</t>
        </is>
      </c>
      <c r="E515" s="68" t="inlineStr">
        <is>
          <t>2;1;0;3</t>
        </is>
      </c>
      <c r="F515" s="68" t="inlineStr">
        <is>
          <t>;;;</t>
        </is>
      </c>
      <c r="G515" s="68" t="inlineStr">
        <is>
          <t>#FF000000;#FF00FF00;#FFFF0000;#FFA9A9A9</t>
        </is>
      </c>
      <c r="H515" s="68" t="inlineStr">
        <is>
          <t>Abnormal;Auto;Auto;Abnormal</t>
        </is>
      </c>
      <c r="I515" s="68" t="inlineStr">
        <is>
          <t>FALSE;TRUE;TRUE;FALSE</t>
        </is>
      </c>
      <c r="J515" s="68" t="inlineStr">
        <is>
          <t>Alarme de Estado em Ponto Telessinalizado SB</t>
        </is>
      </c>
      <c r="K515" s="69" t="inlineStr">
        <is>
          <t>Alarme de Estado em Ponto Telessinalizado SB</t>
        </is>
      </c>
      <c r="L515" s="69">
        <f>VLOOKUP(LinkTable6789[[#This Row],[Coluna1]],[4]AlarmCatalog!$A:$M,11,FALSE)</f>
        <v/>
      </c>
    </row>
    <row r="516" ht="16.5" customFormat="1" customHeight="1" s="67">
      <c r="A516" s="68" t="inlineStr">
        <is>
          <t>null@null___CARREGADA@DESCARREGADA___Custom___INV_S_TS_SB</t>
        </is>
      </c>
      <c r="B516" s="68" t="inlineStr"/>
      <c r="C516" s="68" t="inlineStr">
        <is>
          <t>Transit;CARREGADA;DESCARREGADA;Error</t>
        </is>
      </c>
      <c r="D516" s="68" t="inlineStr">
        <is>
          <t>0;1;2;3</t>
        </is>
      </c>
      <c r="E516" s="68" t="inlineStr">
        <is>
          <t>2;1;0;3</t>
        </is>
      </c>
      <c r="F516" s="68" t="inlineStr">
        <is>
          <t>;;;</t>
        </is>
      </c>
      <c r="G516" s="68" t="inlineStr">
        <is>
          <t>#FF000000;#FF00FF00;#FFFF0000;#FFA9A9A9</t>
        </is>
      </c>
      <c r="H516" s="68" t="inlineStr">
        <is>
          <t>Abnormal;Auto;Auto;Abnormal</t>
        </is>
      </c>
      <c r="I516" s="68" t="inlineStr">
        <is>
          <t>FALSE;TRUE;TRUE;FALSE</t>
        </is>
      </c>
      <c r="J516" s="68" t="inlineStr">
        <is>
          <t>Alarme de Estado em Ponto Telessinalizado SB</t>
        </is>
      </c>
      <c r="K516" s="69" t="inlineStr">
        <is>
          <t>Alarme de Estado em Ponto Telessinalizado SB</t>
        </is>
      </c>
      <c r="L516" s="69">
        <f>VLOOKUP(LinkTable6789[[#This Row],[Coluna1]],[4]AlarmCatalog!$A:$M,11,FALSE)</f>
        <v/>
      </c>
    </row>
    <row r="517" ht="16.5" customFormat="1" customHeight="1" s="67">
      <c r="A517" s="68" t="inlineStr">
        <is>
          <t>DESLIGAR@LIGAR___DESLIGADO@LIGADO___Custom_S_TS_SB</t>
        </is>
      </c>
      <c r="B517" s="68" t="inlineStr"/>
      <c r="C517" s="68" t="inlineStr">
        <is>
          <t>Transit;DESLIGADO;LIGADO;Error</t>
        </is>
      </c>
      <c r="D517" s="68" t="inlineStr">
        <is>
          <t>0;1;2;3</t>
        </is>
      </c>
      <c r="E517" s="68" t="inlineStr">
        <is>
          <t>2;0;1;3</t>
        </is>
      </c>
      <c r="F517" s="68" t="inlineStr">
        <is>
          <t>;;;</t>
        </is>
      </c>
      <c r="G517" s="68" t="inlineStr">
        <is>
          <t>#FF000000;#FF00FF00;#FFFF0000;#FFA9A9A9</t>
        </is>
      </c>
      <c r="H517" s="68" t="inlineStr">
        <is>
          <t>Abnormal;Auto;Auto;Abnormal</t>
        </is>
      </c>
      <c r="I517" s="68" t="inlineStr">
        <is>
          <t>FALSE;TRUE;TRUE;FALSE</t>
        </is>
      </c>
      <c r="J517" s="68" t="inlineStr">
        <is>
          <t>Alarme de Estado em Ponto Telessinalizado SB</t>
        </is>
      </c>
      <c r="K517" s="69" t="inlineStr">
        <is>
          <t>Alarme de Estado em Ponto Telessinalizado SB</t>
        </is>
      </c>
      <c r="L517" s="69">
        <f>VLOOKUP(LinkTable6789[[#This Row],[Coluna1]],[4]AlarmCatalog!$A:$M,11,FALSE)</f>
        <v/>
      </c>
    </row>
    <row r="518" ht="16.5" customFormat="1" customHeight="1" s="67">
      <c r="A518" s="68" t="inlineStr">
        <is>
          <t>null@null___CARGA@DESCARGA___Custom_S_TS_SB</t>
        </is>
      </c>
      <c r="B518" s="68" t="inlineStr"/>
      <c r="C518" s="68" t="inlineStr">
        <is>
          <t>Transit;CARGA;DESCARGA;Error</t>
        </is>
      </c>
      <c r="D518" s="68" t="inlineStr">
        <is>
          <t>0;1;2;3</t>
        </is>
      </c>
      <c r="E518" s="68" t="inlineStr">
        <is>
          <t>2;0;1;3</t>
        </is>
      </c>
      <c r="F518" s="68" t="inlineStr">
        <is>
          <t>;;;</t>
        </is>
      </c>
      <c r="G518" s="68" t="inlineStr">
        <is>
          <t>#FF000000;#FF00FF00;#FFFF0000;#FFA9A9A9</t>
        </is>
      </c>
      <c r="H518" s="68" t="inlineStr">
        <is>
          <t>Abnormal;Auto;Auto;Abnormal</t>
        </is>
      </c>
      <c r="I518" s="68" t="inlineStr">
        <is>
          <t>FALSE;TRUE;TRUE;FALSE</t>
        </is>
      </c>
      <c r="J518" s="68" t="inlineStr">
        <is>
          <t>Alarme de Estado em Ponto Telessinalizado SB</t>
        </is>
      </c>
      <c r="K518" s="69" t="inlineStr">
        <is>
          <t>Alarme de Estado em Ponto Telessinalizado SB</t>
        </is>
      </c>
      <c r="L518" s="69">
        <f>VLOOKUP(LinkTable6789[[#This Row],[Coluna1]],[4]AlarmCatalog!$A:$M,11,FALSE)</f>
        <v/>
      </c>
    </row>
    <row r="519" ht="16.5" customFormat="1" customHeight="1" s="67">
      <c r="A519" s="68" t="inlineStr">
        <is>
          <t>DESLIGAR@LIGAR___DESLIGADO@LIGADO___Custom___INV_S_TS_SB</t>
        </is>
      </c>
      <c r="B519" s="68" t="inlineStr"/>
      <c r="C519" s="68" t="inlineStr">
        <is>
          <t>Transit;DESLIGADO;LIGADO;Error</t>
        </is>
      </c>
      <c r="D519" s="68" t="inlineStr">
        <is>
          <t>0;1;2;3</t>
        </is>
      </c>
      <c r="E519" s="68" t="inlineStr">
        <is>
          <t>2;1;0;3</t>
        </is>
      </c>
      <c r="F519" s="68" t="inlineStr">
        <is>
          <t>;;;</t>
        </is>
      </c>
      <c r="G519" s="68" t="inlineStr">
        <is>
          <t>#FF000000;#FF00FF00;#FFFF0000;#FFA9A9A9</t>
        </is>
      </c>
      <c r="H519" s="68" t="inlineStr">
        <is>
          <t>Abnormal;Abnormal;Normal;Abnormal</t>
        </is>
      </c>
      <c r="I519" s="68" t="inlineStr">
        <is>
          <t>FALSE;TRUE;TRUE;FALSE</t>
        </is>
      </c>
      <c r="J519" s="68" t="inlineStr">
        <is>
          <t>Alarme de Estado em Ponto Telessinalizado SB</t>
        </is>
      </c>
      <c r="K519" s="69" t="inlineStr">
        <is>
          <t>Alarme de Estado em Ponto Telessinalizado SB</t>
        </is>
      </c>
      <c r="L519" s="69">
        <f>VLOOKUP(LinkTable6789[[#This Row],[Coluna1]],[4]AlarmCatalog!$A:$M,11,FALSE)</f>
        <v/>
      </c>
    </row>
    <row r="520" ht="16.5" customFormat="1" customHeight="1" s="67">
      <c r="A520" s="68" t="inlineStr">
        <is>
          <t>null@null___DESLIGADA@LIGADA___Custom_S_TS_SB</t>
        </is>
      </c>
      <c r="B520" s="68" t="inlineStr"/>
      <c r="C520" s="68" t="inlineStr">
        <is>
          <t>Transit;DESLIGADA;LIGADA;Error</t>
        </is>
      </c>
      <c r="D520" s="68" t="inlineStr">
        <is>
          <t>0;1;2;3</t>
        </is>
      </c>
      <c r="E520" s="68" t="inlineStr">
        <is>
          <t>2;0;1;3</t>
        </is>
      </c>
      <c r="F520" s="68" t="inlineStr">
        <is>
          <t>;;;</t>
        </is>
      </c>
      <c r="G520" s="68" t="inlineStr">
        <is>
          <t>#FF000000;#FF00FF00;#FFFF0000;#FFA9A9A9</t>
        </is>
      </c>
      <c r="H520" s="68" t="inlineStr">
        <is>
          <t>Abnormal;Auto;Auto;Abnormal</t>
        </is>
      </c>
      <c r="I520" s="68" t="inlineStr">
        <is>
          <t>FALSE;TRUE;TRUE;FALSE</t>
        </is>
      </c>
      <c r="J520" s="68" t="inlineStr">
        <is>
          <t>Alarme de Estado em Ponto Telessinalizado SB</t>
        </is>
      </c>
      <c r="K520" s="69" t="inlineStr">
        <is>
          <t>Alarme de Estado em Ponto Telessinalizado SB</t>
        </is>
      </c>
      <c r="L520" s="69">
        <f>VLOOKUP(LinkTable6789[[#This Row],[Coluna1]],[4]AlarmCatalog!$A:$M,11,FALSE)</f>
        <v/>
      </c>
    </row>
    <row r="521" ht="16.5" customFormat="1" customHeight="1" s="67">
      <c r="A521" s="68" t="inlineStr">
        <is>
          <t>null@null___NORMAL@FALHA COM___Custom_S_TS_SB</t>
        </is>
      </c>
      <c r="B521" s="68" t="inlineStr"/>
      <c r="C521" s="68" t="inlineStr">
        <is>
          <t>Transit;NORMAL;FALHA COM;Error</t>
        </is>
      </c>
      <c r="D521" s="68" t="inlineStr">
        <is>
          <t>0;1;2;3</t>
        </is>
      </c>
      <c r="E521" s="68" t="inlineStr">
        <is>
          <t>2;0;1;3</t>
        </is>
      </c>
      <c r="F521" s="68" t="inlineStr">
        <is>
          <t>;;;</t>
        </is>
      </c>
      <c r="G521" s="68" t="inlineStr">
        <is>
          <t>#FF000000;#FF00FF00;#FFFF0000;#FFA9A9A9</t>
        </is>
      </c>
      <c r="H521" s="68" t="inlineStr">
        <is>
          <t>Abnormal;Auto;Auto;Abnormal</t>
        </is>
      </c>
      <c r="I521" s="68" t="inlineStr">
        <is>
          <t>FALSE;TRUE;TRUE;FALSE</t>
        </is>
      </c>
      <c r="J521" s="68" t="inlineStr">
        <is>
          <t>Alarme de Estado em Ponto Telessinalizado SB</t>
        </is>
      </c>
      <c r="K521" s="69" t="inlineStr">
        <is>
          <t>Alarme de Estado em Ponto Telessinalizado SB</t>
        </is>
      </c>
      <c r="L521" s="69">
        <f>VLOOKUP(LinkTable6789[[#This Row],[Coluna1]],[4]AlarmCatalog!$A:$M,11,FALSE)</f>
        <v/>
      </c>
    </row>
    <row r="522" ht="16.5" customFormat="1" customHeight="1" s="67">
      <c r="A522" s="68" t="inlineStr">
        <is>
          <t>@___@____S_TS_SB</t>
        </is>
      </c>
      <c r="B522" s="68" t="inlineStr"/>
      <c r="C522" s="68" t="inlineStr">
        <is>
          <t>Transit;;;Error</t>
        </is>
      </c>
      <c r="D522" s="68" t="inlineStr">
        <is>
          <t>0;1;2;3</t>
        </is>
      </c>
      <c r="E522" s="68" t="inlineStr">
        <is>
          <t>0;1;2;3</t>
        </is>
      </c>
      <c r="F522" s="68" t="inlineStr">
        <is>
          <t>;;;</t>
        </is>
      </c>
      <c r="G522" s="68" t="inlineStr">
        <is>
          <t>#FF000000;#FF00FF00;#FFFF0000;#FFA9A9A9</t>
        </is>
      </c>
      <c r="H522" s="68" t="inlineStr">
        <is>
          <t>Abnormal;Auto;Auto;Abnormal</t>
        </is>
      </c>
      <c r="I522" s="68" t="inlineStr">
        <is>
          <t>FALSE;TRUE;TRUE;FALSE</t>
        </is>
      </c>
      <c r="J522" s="68" t="inlineStr">
        <is>
          <t>Alarme de Estado em Ponto Telessinalizado SB</t>
        </is>
      </c>
      <c r="K522" s="69" t="inlineStr">
        <is>
          <t>Alarme de Estado em Ponto Telessinalizado SB</t>
        </is>
      </c>
      <c r="L522" s="69">
        <f>VLOOKUP(LinkTable6789[[#This Row],[Coluna1]],[4]AlarmCatalog!$A:$M,11,FALSE)</f>
        <v/>
      </c>
    </row>
    <row r="523" ht="16.5" customFormat="1" customHeight="1" s="67">
      <c r="A523" s="68" t="inlineStr">
        <is>
          <t>MANUAL@AUTOMATICO___MANUAL@AUTOMATICO___Custom_S_TS_SB</t>
        </is>
      </c>
      <c r="B523" s="68" t="inlineStr"/>
      <c r="C523" s="68" t="inlineStr">
        <is>
          <t>Transit;MANUAL;AUTOMATICO;Error</t>
        </is>
      </c>
      <c r="D523" s="68" t="inlineStr">
        <is>
          <t>0;1;2;3</t>
        </is>
      </c>
      <c r="E523" s="68" t="inlineStr">
        <is>
          <t>2;0;1;3</t>
        </is>
      </c>
      <c r="F523" s="68" t="inlineStr">
        <is>
          <t>;;;</t>
        </is>
      </c>
      <c r="G523" s="68" t="inlineStr">
        <is>
          <t>#FF000000;#FF00FF00;#FFFF0000;#FFA9A9A9</t>
        </is>
      </c>
      <c r="H523" s="68" t="inlineStr">
        <is>
          <t>Abnormal;Auto;Auto;Abnormal</t>
        </is>
      </c>
      <c r="I523" s="68" t="inlineStr">
        <is>
          <t>FALSE;TRUE;TRUE;FALSE</t>
        </is>
      </c>
      <c r="J523" s="68" t="inlineStr">
        <is>
          <t>Alarme de Estado em Ponto Telessinalizado SB</t>
        </is>
      </c>
      <c r="K523" s="69" t="inlineStr">
        <is>
          <t>Alarme de Estado em Ponto Telessinalizado SB</t>
        </is>
      </c>
      <c r="L523" s="69">
        <f>VLOOKUP(LinkTable6789[[#This Row],[Coluna1]],[4]AlarmCatalog!$A:$M,11,FALSE)</f>
        <v/>
      </c>
    </row>
    <row r="524" ht="16.5" customFormat="1" customHeight="1" s="67">
      <c r="A524" s="68" t="inlineStr">
        <is>
          <t>null@null___AUTOMATICO@MANUAL___Custom_S_TS_SB</t>
        </is>
      </c>
      <c r="B524" s="68" t="inlineStr"/>
      <c r="C524" s="68" t="inlineStr">
        <is>
          <t>Transit;AUTOMATICO;MANUAL;Error</t>
        </is>
      </c>
      <c r="D524" s="68" t="inlineStr">
        <is>
          <t>0;1;2;3</t>
        </is>
      </c>
      <c r="E524" s="68" t="inlineStr">
        <is>
          <t>2;0;1;3</t>
        </is>
      </c>
      <c r="F524" s="68" t="inlineStr">
        <is>
          <t>;;;</t>
        </is>
      </c>
      <c r="G524" s="68" t="inlineStr">
        <is>
          <t>#FF000000;#FF00FF00;#FFFF0000;#FFA9A9A9</t>
        </is>
      </c>
      <c r="H524" s="68" t="inlineStr">
        <is>
          <t>Abnormal;Auto;Auto;Abnormal</t>
        </is>
      </c>
      <c r="I524" s="68" t="inlineStr">
        <is>
          <t>FALSE;TRUE;TRUE;FALSE</t>
        </is>
      </c>
      <c r="J524" s="68" t="inlineStr">
        <is>
          <t>Alarme de Estado em Ponto Telessinalizado SB</t>
        </is>
      </c>
      <c r="K524" s="69" t="inlineStr">
        <is>
          <t>Alarme de Estado em Ponto Telessinalizado SB</t>
        </is>
      </c>
      <c r="L524" s="69">
        <f>VLOOKUP(LinkTable6789[[#This Row],[Coluna1]],[4]AlarmCatalog!$A:$M,11,FALSE)</f>
        <v/>
      </c>
    </row>
    <row r="525" ht="16.5" customFormat="1" customHeight="1" s="67">
      <c r="A525" s="68" t="inlineStr">
        <is>
          <t>DI_UNIDIRECIONAL@BIDIRECIONAL___UNIDIRECIONAL@INVERSO___Custom_S_TS_DB</t>
        </is>
      </c>
      <c r="B525" s="68" t="inlineStr"/>
      <c r="C525" s="68" t="inlineStr">
        <is>
          <t>Transit;UNIDIRECIONAL;INVERSO;Error</t>
        </is>
      </c>
      <c r="D525" s="68" t="inlineStr">
        <is>
          <t>0;1;2;3</t>
        </is>
      </c>
      <c r="E525" s="68" t="inlineStr">
        <is>
          <t>2;0;1;3</t>
        </is>
      </c>
      <c r="F525" s="68" t="inlineStr">
        <is>
          <t>;;;</t>
        </is>
      </c>
      <c r="G525" s="68" t="inlineStr">
        <is>
          <t>#FF000000;#FF00FF00;#FFFF0000;#FFA9A9A9</t>
        </is>
      </c>
      <c r="H525" s="68" t="inlineStr">
        <is>
          <t>Abnormal;Auto;Auto;Abnormal</t>
        </is>
      </c>
      <c r="I525" s="68" t="inlineStr">
        <is>
          <t>FALSE;TRUE;TRUE;FALSE</t>
        </is>
      </c>
      <c r="J525" s="68" t="inlineStr">
        <is>
          <t>Alarme de Estado em Ponto Telessinalizado DB</t>
        </is>
      </c>
      <c r="K525" s="69" t="inlineStr">
        <is>
          <t>Alarme de Estado em Ponto Telessinalizado DB</t>
        </is>
      </c>
      <c r="L525" s="69">
        <f>VLOOKUP(LinkTable6789[[#This Row],[Coluna1]],[4]AlarmCatalog!$A:$M,11,FALSE)</f>
        <v/>
      </c>
    </row>
    <row r="526" ht="16.5" customFormat="1" customHeight="1" s="67">
      <c r="A526" s="68" t="inlineStr">
        <is>
          <t>DI_null@null___0@EXECUTADO___Custom_S_TS_DB</t>
        </is>
      </c>
      <c r="B526" s="68" t="inlineStr"/>
      <c r="C526" s="68" t="inlineStr">
        <is>
          <t>Transit;0;EXECUTADO;Error</t>
        </is>
      </c>
      <c r="D526" s="68" t="inlineStr">
        <is>
          <t>0;1;2;3</t>
        </is>
      </c>
      <c r="E526" s="68" t="inlineStr">
        <is>
          <t>2;0;1;3</t>
        </is>
      </c>
      <c r="F526" s="68" t="inlineStr">
        <is>
          <t>;;;</t>
        </is>
      </c>
      <c r="G526" s="68" t="inlineStr">
        <is>
          <t>#FF000000;#FF00FF00;#FFFF0000;#FFA9A9A9</t>
        </is>
      </c>
      <c r="H526" s="68" t="inlineStr">
        <is>
          <t>Abnormal;Auto;Auto;Abnormal</t>
        </is>
      </c>
      <c r="I526" s="68" t="inlineStr">
        <is>
          <t>FALSE;TRUE;TRUE;FALSE</t>
        </is>
      </c>
      <c r="J526" s="68" t="inlineStr">
        <is>
          <t>Alarme de Estado em Ponto Telessinalizado DB</t>
        </is>
      </c>
      <c r="K526" s="69" t="inlineStr">
        <is>
          <t>Alarme de Estado em Ponto Telessinalizado DB</t>
        </is>
      </c>
      <c r="L526" s="69">
        <f>VLOOKUP(LinkTable6789[[#This Row],[Coluna1]],[4]AlarmCatalog!$A:$M,11,FALSE)</f>
        <v/>
      </c>
    </row>
    <row r="527" ht="16.5" customFormat="1" customHeight="1" s="67">
      <c r="A527" s="68" t="inlineStr">
        <is>
          <t>DI_null@null___NORMAL@DEFEITO___Malfunctioning___INV_S_TS_DB</t>
        </is>
      </c>
      <c r="B527" s="68" t="inlineStr"/>
      <c r="C527" s="68" t="inlineStr">
        <is>
          <t>Transit;NORMAL;DEFEITO;Error</t>
        </is>
      </c>
      <c r="D527" s="68" t="inlineStr">
        <is>
          <t>0;1;2;3</t>
        </is>
      </c>
      <c r="E527" s="68" t="inlineStr">
        <is>
          <t>2;1;0;3</t>
        </is>
      </c>
      <c r="F527" s="68" t="inlineStr">
        <is>
          <t>;;;</t>
        </is>
      </c>
      <c r="G527" s="68" t="inlineStr">
        <is>
          <t>#FF000000;#FF00FF00;#FFFF0000;#FFA9A9A9</t>
        </is>
      </c>
      <c r="H527" s="68" t="inlineStr">
        <is>
          <t>Abnormal;Auto;Auto;Abnormal</t>
        </is>
      </c>
      <c r="I527" s="68" t="inlineStr">
        <is>
          <t>FALSE;TRUE;TRUE;FALSE</t>
        </is>
      </c>
      <c r="J527" s="68" t="inlineStr">
        <is>
          <t>Alarme de Estado em Ponto Telessinalizado DB</t>
        </is>
      </c>
      <c r="K527" s="69" t="inlineStr">
        <is>
          <t>Alarme de Estado em Ponto Telessinalizado DB</t>
        </is>
      </c>
      <c r="L527" s="69">
        <f>VLOOKUP(LinkTable6789[[#This Row],[Coluna1]],[4]AlarmCatalog!$A:$M,11,FALSE)</f>
        <v/>
      </c>
    </row>
    <row r="528" ht="16.5" customFormat="1" customHeight="1" s="67">
      <c r="A528" s="68" t="inlineStr">
        <is>
          <t>DI_null@null___NORMAL@BLOQUEIO___Custom_S_TS_DB</t>
        </is>
      </c>
      <c r="B528" s="68" t="inlineStr"/>
      <c r="C528" s="68" t="inlineStr">
        <is>
          <t>Transit;NORMAL;BLOQUEIO;Error</t>
        </is>
      </c>
      <c r="D528" s="68" t="inlineStr">
        <is>
          <t>0;1;2;3</t>
        </is>
      </c>
      <c r="E528" s="68" t="inlineStr">
        <is>
          <t>2;0;1;3</t>
        </is>
      </c>
      <c r="F528" s="68" t="inlineStr">
        <is>
          <t>;;;</t>
        </is>
      </c>
      <c r="G528" s="68" t="inlineStr">
        <is>
          <t>#FF000000;#FF00FF00;#FFFF0000;#FFA9A9A9</t>
        </is>
      </c>
      <c r="H528" s="68" t="inlineStr">
        <is>
          <t>Abnormal;Auto;Auto;Abnormal</t>
        </is>
      </c>
      <c r="I528" s="68" t="inlineStr">
        <is>
          <t>FALSE;TRUE;TRUE;FALSE</t>
        </is>
      </c>
      <c r="J528" s="68" t="inlineStr">
        <is>
          <t>Alarme de Estado em Ponto Telessinalizado DB</t>
        </is>
      </c>
      <c r="K528" s="69" t="inlineStr">
        <is>
          <t>Alarme de Estado em Ponto Telessinalizado DB</t>
        </is>
      </c>
      <c r="L528" s="69">
        <f>VLOOKUP(LinkTable6789[[#This Row],[Coluna1]],[4]AlarmCatalog!$A:$M,11,FALSE)</f>
        <v/>
      </c>
    </row>
    <row r="529" ht="16.5" customFormat="1" customHeight="1" s="67">
      <c r="A529" s="68" t="inlineStr">
        <is>
          <t>DI_null@null___NORMAL@BAIXA___Custom_S_TS_DB</t>
        </is>
      </c>
      <c r="B529" s="68" t="inlineStr"/>
      <c r="C529" s="68" t="inlineStr">
        <is>
          <t>Transit;NORMAL;BAIXA;Error</t>
        </is>
      </c>
      <c r="D529" s="68" t="inlineStr">
        <is>
          <t>0;1;2;3</t>
        </is>
      </c>
      <c r="E529" s="68" t="inlineStr">
        <is>
          <t>2;0;1;3</t>
        </is>
      </c>
      <c r="F529" s="68" t="inlineStr">
        <is>
          <t>;;;</t>
        </is>
      </c>
      <c r="G529" s="68" t="inlineStr">
        <is>
          <t>#FF000000;#FF00FF00;#FFFF0000;#FFA9A9A9</t>
        </is>
      </c>
      <c r="H529" s="68" t="inlineStr">
        <is>
          <t>Abnormal;Auto;Auto;Abnormal</t>
        </is>
      </c>
      <c r="I529" s="68" t="inlineStr">
        <is>
          <t>FALSE;TRUE;TRUE;FALSE</t>
        </is>
      </c>
      <c r="J529" s="68" t="inlineStr">
        <is>
          <t>Alarme de Estado em Ponto Telessinalizado DB</t>
        </is>
      </c>
      <c r="K529" s="69" t="inlineStr">
        <is>
          <t>Alarme de Estado em Ponto Telessinalizado DB</t>
        </is>
      </c>
      <c r="L529" s="69">
        <f>VLOOKUP(LinkTable6789[[#This Row],[Coluna1]],[4]AlarmCatalog!$A:$M,11,FALSE)</f>
        <v/>
      </c>
    </row>
    <row r="530" ht="16.5" customFormat="1" customHeight="1" s="67">
      <c r="A530" s="68" t="inlineStr">
        <is>
          <t>DI_null@null___FALHA@OPERANDO___Custom_S_TS_DB</t>
        </is>
      </c>
      <c r="B530" s="68" t="inlineStr"/>
      <c r="C530" s="68" t="inlineStr">
        <is>
          <t>Transit;FALHA;OPERANDO;Error</t>
        </is>
      </c>
      <c r="D530" s="68" t="inlineStr">
        <is>
          <t>0;1;2;3</t>
        </is>
      </c>
      <c r="E530" s="68" t="inlineStr">
        <is>
          <t>2;0;1;3</t>
        </is>
      </c>
      <c r="F530" s="68" t="inlineStr">
        <is>
          <t>;;;</t>
        </is>
      </c>
      <c r="G530" s="68" t="inlineStr">
        <is>
          <t>#FF000000;#FF00FF00;#FFFF0000;#FFA9A9A9</t>
        </is>
      </c>
      <c r="H530" s="68" t="inlineStr">
        <is>
          <t>Abnormal;Auto;Auto;Abnormal</t>
        </is>
      </c>
      <c r="I530" s="68" t="inlineStr">
        <is>
          <t>FALSE;TRUE;TRUE;FALSE</t>
        </is>
      </c>
      <c r="J530" s="68" t="inlineStr">
        <is>
          <t>Alarme de Estado em Ponto Telessinalizado DB</t>
        </is>
      </c>
      <c r="K530" s="69" t="inlineStr">
        <is>
          <t>Alarme de Estado em Ponto Telessinalizado DB</t>
        </is>
      </c>
      <c r="L530" s="69">
        <f>VLOOKUP(LinkTable6789[[#This Row],[Coluna1]],[4]AlarmCatalog!$A:$M,11,FALSE)</f>
        <v/>
      </c>
    </row>
    <row r="531" ht="16.5" customFormat="1" customHeight="1" s="67">
      <c r="A531" s="68" t="inlineStr">
        <is>
          <t>DI_null@null___NORMAL@DEFEITO___Custom___INV_S_TS_DB</t>
        </is>
      </c>
      <c r="B531" s="68" t="inlineStr"/>
      <c r="C531" s="68" t="inlineStr">
        <is>
          <t>Transit;NORMAL;DEFEITO;Error</t>
        </is>
      </c>
      <c r="D531" s="68" t="inlineStr">
        <is>
          <t>0;1;2;3</t>
        </is>
      </c>
      <c r="E531" s="68" t="inlineStr">
        <is>
          <t>2;1;0;3</t>
        </is>
      </c>
      <c r="F531" s="68" t="inlineStr">
        <is>
          <t>;;;</t>
        </is>
      </c>
      <c r="G531" s="68" t="inlineStr">
        <is>
          <t>#FF000000;#FF00FF00;#FFFF0000;#FFA9A9A9</t>
        </is>
      </c>
      <c r="H531" s="68" t="inlineStr">
        <is>
          <t>Abnormal;Auto;Auto;Abnormal</t>
        </is>
      </c>
      <c r="I531" s="68" t="inlineStr">
        <is>
          <t>FALSE;TRUE;TRUE;FALSE</t>
        </is>
      </c>
      <c r="J531" s="68" t="inlineStr">
        <is>
          <t>Alarme de Estado em Ponto Telessinalizado DB</t>
        </is>
      </c>
      <c r="K531" s="69" t="inlineStr">
        <is>
          <t>Alarme de Estado em Ponto Telessinalizado DB</t>
        </is>
      </c>
      <c r="L531" s="69">
        <f>VLOOKUP(LinkTable6789[[#This Row],[Coluna1]],[4]AlarmCatalog!$A:$M,11,FALSE)</f>
        <v/>
      </c>
    </row>
    <row r="532" ht="16.5" customFormat="1" customHeight="1" s="67">
      <c r="A532" s="68" t="inlineStr">
        <is>
          <t>DI_null@null___NORMAL@ALTA___Custom_S_TS_DB</t>
        </is>
      </c>
      <c r="B532" s="68" t="inlineStr"/>
      <c r="C532" s="68" t="inlineStr">
        <is>
          <t>Transit;NORMAL;ALTA;Error</t>
        </is>
      </c>
      <c r="D532" s="68" t="inlineStr">
        <is>
          <t>0;1;2;3</t>
        </is>
      </c>
      <c r="E532" s="68" t="inlineStr">
        <is>
          <t>2;0;1;3</t>
        </is>
      </c>
      <c r="F532" s="68" t="inlineStr">
        <is>
          <t>;;;</t>
        </is>
      </c>
      <c r="G532" s="68" t="inlineStr">
        <is>
          <t>#FF000000;#FF00FF00;#FFFF0000;#FFA9A9A9</t>
        </is>
      </c>
      <c r="H532" s="68" t="inlineStr">
        <is>
          <t>Abnormal;Auto;Auto;Abnormal</t>
        </is>
      </c>
      <c r="I532" s="68" t="inlineStr">
        <is>
          <t>FALSE;TRUE;TRUE;FALSE</t>
        </is>
      </c>
      <c r="J532" s="68" t="inlineStr">
        <is>
          <t>Alarme de Estado em Ponto Telessinalizado DB</t>
        </is>
      </c>
      <c r="K532" s="69" t="inlineStr">
        <is>
          <t>Alarme de Estado em Ponto Telessinalizado DB</t>
        </is>
      </c>
      <c r="L532" s="69">
        <f>VLOOKUP(LinkTable6789[[#This Row],[Coluna1]],[4]AlarmCatalog!$A:$M,11,FALSE)</f>
        <v/>
      </c>
    </row>
    <row r="533" ht="16.5" customFormat="1" customHeight="1" s="67">
      <c r="A533" s="68" t="inlineStr">
        <is>
          <t>DI_null@null___NORMAL@DEFEITO___Custom_S_TS_DB</t>
        </is>
      </c>
      <c r="B533" s="68" t="inlineStr"/>
      <c r="C533" s="68" t="inlineStr">
        <is>
          <t>Transit;NORMAL;DEFEITO;Error</t>
        </is>
      </c>
      <c r="D533" s="68" t="inlineStr">
        <is>
          <t>0;1;2;3</t>
        </is>
      </c>
      <c r="E533" s="68" t="inlineStr">
        <is>
          <t>2;0;1;3</t>
        </is>
      </c>
      <c r="F533" s="68" t="inlineStr">
        <is>
          <t>;;;</t>
        </is>
      </c>
      <c r="G533" s="68" t="inlineStr">
        <is>
          <t>#FF000000;#FF00FF00;#FFFF0000;#FFA9A9A9</t>
        </is>
      </c>
      <c r="H533" s="68" t="inlineStr">
        <is>
          <t>Abnormal;Auto;Auto;Abnormal</t>
        </is>
      </c>
      <c r="I533" s="68" t="inlineStr">
        <is>
          <t>FALSE;TRUE;TRUE;FALSE</t>
        </is>
      </c>
      <c r="J533" s="68" t="inlineStr">
        <is>
          <t>Alarme de Estado em Ponto Telessinalizado DB</t>
        </is>
      </c>
      <c r="K533" s="69" t="inlineStr">
        <is>
          <t>Alarme de Estado em Ponto Telessinalizado DB</t>
        </is>
      </c>
      <c r="L533" s="69">
        <f>VLOOKUP(LinkTable6789[[#This Row],[Coluna1]],[4]AlarmCatalog!$A:$M,11,FALSE)</f>
        <v/>
      </c>
    </row>
    <row r="534" ht="16.5" customFormat="1" customHeight="1" s="67">
      <c r="A534" s="68" t="inlineStr">
        <is>
          <t>DI_null@null___NORMAL@ATUADO___Custom_S_TS_DB</t>
        </is>
      </c>
      <c r="B534" s="68" t="inlineStr"/>
      <c r="C534" s="68" t="inlineStr">
        <is>
          <t>Transit;NORMAL;ATUADO;Error</t>
        </is>
      </c>
      <c r="D534" s="68" t="inlineStr">
        <is>
          <t>0;1;2;3</t>
        </is>
      </c>
      <c r="E534" s="68" t="inlineStr">
        <is>
          <t>2;0;1;3</t>
        </is>
      </c>
      <c r="F534" s="68" t="inlineStr">
        <is>
          <t>;;;</t>
        </is>
      </c>
      <c r="G534" s="68" t="inlineStr">
        <is>
          <t>#FF000000;#FF00FF00;#FFFF0000;#FFA9A9A9</t>
        </is>
      </c>
      <c r="H534" s="68" t="inlineStr">
        <is>
          <t>Abnormal;Normal;Abnormal;Abnormal</t>
        </is>
      </c>
      <c r="I534" s="68" t="inlineStr">
        <is>
          <t>FALSE;TRUE;TRUE;FALSE</t>
        </is>
      </c>
      <c r="J534" s="68" t="inlineStr">
        <is>
          <t>Alarme de Estado em Ponto Telessinalizado DB</t>
        </is>
      </c>
      <c r="K534" s="69" t="inlineStr">
        <is>
          <t>Alarme de Estado em Ponto Telessinalizado DB</t>
        </is>
      </c>
      <c r="L534" s="69">
        <f>VLOOKUP(LinkTable6789[[#This Row],[Coluna1]],[4]AlarmCatalog!$A:$M,11,FALSE)</f>
        <v/>
      </c>
    </row>
    <row r="535" ht="16.5" customFormat="1" customHeight="1" s="67">
      <c r="A535" s="68" t="inlineStr">
        <is>
          <t>DI_null@null___NORMAL@ATUADO___Malfunctioning_S_TS_DB</t>
        </is>
      </c>
      <c r="B535" s="68" t="inlineStr"/>
      <c r="C535" s="68" t="inlineStr">
        <is>
          <t>Transit;NORMAL;ATUADO;Error</t>
        </is>
      </c>
      <c r="D535" s="68" t="inlineStr">
        <is>
          <t>0;1;2;3</t>
        </is>
      </c>
      <c r="E535" s="68" t="inlineStr">
        <is>
          <t>2;0;1;3</t>
        </is>
      </c>
      <c r="F535" s="68" t="inlineStr">
        <is>
          <t>;;;</t>
        </is>
      </c>
      <c r="G535" s="68" t="inlineStr">
        <is>
          <t>#FF000000;#FF00FF00;#FFFF0000;#FFA9A9A9</t>
        </is>
      </c>
      <c r="H535" s="68" t="inlineStr">
        <is>
          <t>Abnormal;Auto;Auto;Abnormal</t>
        </is>
      </c>
      <c r="I535" s="68" t="inlineStr">
        <is>
          <t>FALSE;TRUE;TRUE;FALSE</t>
        </is>
      </c>
      <c r="J535" s="68" t="inlineStr">
        <is>
          <t>Alarme de Estado em Ponto Telessinalizado DB</t>
        </is>
      </c>
      <c r="K535" s="69" t="inlineStr">
        <is>
          <t>Alarme de Estado em Ponto Telessinalizado DB</t>
        </is>
      </c>
      <c r="L535" s="69">
        <f>VLOOKUP(LinkTable6789[[#This Row],[Coluna1]],[4]AlarmCatalog!$A:$M,11,FALSE)</f>
        <v/>
      </c>
    </row>
    <row r="536" ht="16.5" customFormat="1" customHeight="1" s="67">
      <c r="A536" s="68" t="inlineStr">
        <is>
          <t>null@null___NORMAL@ERRO___Custom_S_TS_SB</t>
        </is>
      </c>
      <c r="B536" s="68" t="inlineStr"/>
      <c r="C536" s="68" t="inlineStr">
        <is>
          <t>Transit;NORMAL;ERRO;Error</t>
        </is>
      </c>
      <c r="D536" s="68" t="inlineStr">
        <is>
          <t>0;1;2;3</t>
        </is>
      </c>
      <c r="E536" s="68" t="inlineStr">
        <is>
          <t>2;0;1;3</t>
        </is>
      </c>
      <c r="F536" s="68" t="inlineStr">
        <is>
          <t>;;;</t>
        </is>
      </c>
      <c r="G536" s="68" t="inlineStr">
        <is>
          <t>#FF000000;#FF00FF00;#FFFF0000;#FFA9A9A9</t>
        </is>
      </c>
      <c r="H536" s="68" t="inlineStr">
        <is>
          <t>Abnormal;Auto;Auto;Abnormal</t>
        </is>
      </c>
      <c r="I536" s="68" t="inlineStr">
        <is>
          <t>FALSE;TRUE;TRUE;FALSE</t>
        </is>
      </c>
      <c r="J536" s="68" t="inlineStr">
        <is>
          <t>Alarme de Estado em Ponto Telessinalizado SB</t>
        </is>
      </c>
      <c r="K536" s="69" t="inlineStr">
        <is>
          <t>Alarme de Estado em Ponto Telessinalizado SB</t>
        </is>
      </c>
      <c r="L536" s="69">
        <f>VLOOKUP(LinkTable6789[[#This Row],[Coluna1]],[4]AlarmCatalog!$A:$M,11,FALSE)</f>
        <v/>
      </c>
    </row>
    <row r="537" ht="16.5" customFormat="1" customHeight="1" s="67">
      <c r="A537" s="68" t="inlineStr">
        <is>
          <t>null@null___NORMAL@FALHA___Custom___INV_D_TS_SB</t>
        </is>
      </c>
      <c r="B537" s="68" t="inlineStr"/>
      <c r="C537" s="68" t="inlineStr">
        <is>
          <t>Invalido;NORMAL;FALHA;Error</t>
        </is>
      </c>
      <c r="D537" s="68" t="inlineStr">
        <is>
          <t>0;1;2;3</t>
        </is>
      </c>
      <c r="E537" s="68" t="inlineStr">
        <is>
          <t>0;2;1;3</t>
        </is>
      </c>
      <c r="F537" s="68" t="inlineStr">
        <is>
          <t>;;;</t>
        </is>
      </c>
      <c r="G537" s="68" t="inlineStr">
        <is>
          <t>#FF000000;#FFFF0000;#FF00FF00;#FFA9A9A9</t>
        </is>
      </c>
      <c r="H537" s="68" t="inlineStr">
        <is>
          <t>Abnormal;Normal;Normal;Normal</t>
        </is>
      </c>
      <c r="I537" s="68" t="inlineStr">
        <is>
          <t>FALSE;TRUE;TRUE;FALSE</t>
        </is>
      </c>
      <c r="J537" s="68" t="inlineStr">
        <is>
          <t>Alarme de Estado em Ponto Telessinalizado SB</t>
        </is>
      </c>
      <c r="K537" s="69" t="inlineStr">
        <is>
          <t>Alarme de Estado em Ponto Telessinalizado SB</t>
        </is>
      </c>
      <c r="L537" s="69">
        <f>VLOOKUP(LinkTable6789[[#This Row],[Coluna1]],[4]AlarmCatalog!$A:$M,11,FALSE)</f>
        <v/>
      </c>
    </row>
    <row r="538" ht="16.5" customFormat="1" customHeight="1" s="67">
      <c r="A538" s="68" t="inlineStr">
        <is>
          <t>null@null___NORMAL@FALTA VCA___Custom___INV_S_TS_SB</t>
        </is>
      </c>
      <c r="B538" s="68" t="inlineStr"/>
      <c r="C538" s="68" t="inlineStr">
        <is>
          <t>Transit;NORMAL;FALTA VCA;Error</t>
        </is>
      </c>
      <c r="D538" s="68" t="inlineStr">
        <is>
          <t>0;1;2;3</t>
        </is>
      </c>
      <c r="E538" s="68" t="inlineStr">
        <is>
          <t>2;1;0;3</t>
        </is>
      </c>
      <c r="F538" s="68" t="inlineStr">
        <is>
          <t>;;;</t>
        </is>
      </c>
      <c r="G538" s="68" t="inlineStr">
        <is>
          <t>#FF000000;#FF00FF00;#FFFF0000;#FFA9A9A9</t>
        </is>
      </c>
      <c r="H538" s="68" t="inlineStr">
        <is>
          <t>Abnormal;Auto;Auto;Abnormal</t>
        </is>
      </c>
      <c r="I538" s="68" t="inlineStr">
        <is>
          <t>FALSE;TRUE;TRUE;FALSE</t>
        </is>
      </c>
      <c r="J538" s="68" t="inlineStr">
        <is>
          <t>Alarme de Estado em Ponto Telessinalizado SB</t>
        </is>
      </c>
      <c r="K538" s="69" t="inlineStr">
        <is>
          <t>Alarme de Estado em Ponto Telessinalizado SB</t>
        </is>
      </c>
      <c r="L538" s="69">
        <f>VLOOKUP(LinkTable6789[[#This Row],[Coluna1]],[4]AlarmCatalog!$A:$M,11,FALSE)</f>
        <v/>
      </c>
    </row>
    <row r="539" ht="16.5" customFormat="1" customHeight="1" s="67">
      <c r="A539" s="68" t="inlineStr">
        <is>
          <t>null@null___BLOQUEADA@LIBERADA___Custom_S_TS_SB</t>
        </is>
      </c>
      <c r="B539" s="68" t="inlineStr"/>
      <c r="C539" s="68" t="inlineStr">
        <is>
          <t>Transit;BLOQUEADA;LIBERADA;Error</t>
        </is>
      </c>
      <c r="D539" s="68" t="inlineStr">
        <is>
          <t>0;1;2;3</t>
        </is>
      </c>
      <c r="E539" s="68" t="inlineStr">
        <is>
          <t>2;0;1;3</t>
        </is>
      </c>
      <c r="F539" s="68" t="inlineStr">
        <is>
          <t>;;;</t>
        </is>
      </c>
      <c r="G539" s="68" t="inlineStr">
        <is>
          <t>#FF000000;#FF00FF00;#FFFF0000;#FFA9A9A9</t>
        </is>
      </c>
      <c r="H539" s="68" t="inlineStr">
        <is>
          <t>Abnormal;Auto;Auto;Abnormal</t>
        </is>
      </c>
      <c r="I539" s="68" t="inlineStr">
        <is>
          <t>FALSE;TRUE;TRUE;FALSE</t>
        </is>
      </c>
      <c r="J539" s="68" t="inlineStr">
        <is>
          <t>Alarme de Estado em Ponto Telessinalizado SB</t>
        </is>
      </c>
      <c r="K539" s="69" t="inlineStr">
        <is>
          <t>Alarme de Estado em Ponto Telessinalizado SB</t>
        </is>
      </c>
      <c r="L539" s="69">
        <f>VLOOKUP(LinkTable6789[[#This Row],[Coluna1]],[4]AlarmCatalog!$A:$M,11,FALSE)</f>
        <v/>
      </c>
    </row>
    <row r="540" ht="16.5" customFormat="1" customHeight="1" s="67">
      <c r="A540" s="68" t="inlineStr">
        <is>
          <t>INCLUIR@EXCLUIR___INCLUIDO@EXCLUIDO___Custom_S_TC_SA</t>
        </is>
      </c>
      <c r="B540" s="68" t="inlineStr"/>
      <c r="C540" s="68" t="inlineStr">
        <is>
          <t>Transit;INCLUIDO;EXCLUIDO;Error</t>
        </is>
      </c>
      <c r="D540" s="68" t="inlineStr">
        <is>
          <t>0;1;2;3</t>
        </is>
      </c>
      <c r="E540" s="68" t="inlineStr">
        <is>
          <t>2;0;1;3</t>
        </is>
      </c>
      <c r="F540" s="68" t="inlineStr">
        <is>
          <t>;INCLUIR;EXCLUIR;</t>
        </is>
      </c>
      <c r="G540" s="68" t="inlineStr">
        <is>
          <t>#FF000000;#FFFF0000;#FF00FF00;#FFA9A9A9</t>
        </is>
      </c>
      <c r="H540" s="68" t="inlineStr">
        <is>
          <t>Abnormal;Auto;Auto;Abnormal</t>
        </is>
      </c>
      <c r="I540" s="68" t="inlineStr">
        <is>
          <t>FALSE;TRUE;TRUE;FALSE</t>
        </is>
      </c>
      <c r="J540" s="68" t="inlineStr">
        <is>
          <t>Alarme de Estado em Ponto Telecontrolado SA</t>
        </is>
      </c>
      <c r="K540" s="69" t="inlineStr">
        <is>
          <t>Alarme de Estado em Ponto Telecontrolado SA</t>
        </is>
      </c>
      <c r="L540" s="69">
        <f>VLOOKUP(LinkTable6789[[#This Row],[Coluna1]],[4]AlarmCatalog!$A:$M,11,FALSE)</f>
        <v/>
      </c>
    </row>
    <row r="541" ht="16.5" customFormat="1" customHeight="1" s="67">
      <c r="A541" s="68" t="inlineStr">
        <is>
          <t>null@null___NORMAL@ATUADO___RelayTrip_S_TS_SB</t>
        </is>
      </c>
      <c r="B541" s="68" t="inlineStr"/>
      <c r="C541" s="68" t="inlineStr">
        <is>
          <t>Transit;NORMAL;ATUADO;Error</t>
        </is>
      </c>
      <c r="D541" s="68" t="inlineStr">
        <is>
          <t>0;1;2;3</t>
        </is>
      </c>
      <c r="E541" s="68" t="inlineStr">
        <is>
          <t>2;0;1;3</t>
        </is>
      </c>
      <c r="F541" s="68" t="inlineStr">
        <is>
          <t>;;;</t>
        </is>
      </c>
      <c r="G541" s="68" t="inlineStr">
        <is>
          <t>#FF000000;#FF00FF00;#FFFF0000;#FFA9A9A9</t>
        </is>
      </c>
      <c r="H541" s="68" t="inlineStr">
        <is>
          <t>Abnormal;Auto;Auto;Abnormal</t>
        </is>
      </c>
      <c r="I541" s="68" t="inlineStr">
        <is>
          <t>FALSE;TRUE;TRUE;FALSE</t>
        </is>
      </c>
      <c r="J541" s="68" t="inlineStr">
        <is>
          <t>Alarme de Estado em Ponto Telessinalizado SB</t>
        </is>
      </c>
      <c r="K541" s="69" t="inlineStr">
        <is>
          <t>Alarme de Estado em Ponto Telessinalizado SB</t>
        </is>
      </c>
      <c r="L541" s="69">
        <f>VLOOKUP(LinkTable6789[[#This Row],[Coluna1]],[4]AlarmCatalog!$A:$M,11,FALSE)</f>
        <v/>
      </c>
    </row>
    <row r="542" ht="16.5" customFormat="1" customHeight="1" s="67">
      <c r="A542" s="68" t="inlineStr">
        <is>
          <t>null@null___NORMAL@FALHA___RelayTrip_S_TS_SB</t>
        </is>
      </c>
      <c r="B542" s="68" t="inlineStr"/>
      <c r="C542" s="68" t="inlineStr">
        <is>
          <t>Transit;NORMAL;FALHA;Error</t>
        </is>
      </c>
      <c r="D542" s="68" t="inlineStr">
        <is>
          <t>0;1;2;3</t>
        </is>
      </c>
      <c r="E542" s="68" t="inlineStr">
        <is>
          <t>2;0;1;3</t>
        </is>
      </c>
      <c r="F542" s="68" t="inlineStr">
        <is>
          <t>;;;</t>
        </is>
      </c>
      <c r="G542" s="68" t="inlineStr">
        <is>
          <t>#FF000000;#FF00FF00;#FFFF0000;#FFA9A9A9</t>
        </is>
      </c>
      <c r="H542" s="68" t="inlineStr">
        <is>
          <t>Abnormal;Auto;Auto;Abnormal</t>
        </is>
      </c>
      <c r="I542" s="68" t="inlineStr">
        <is>
          <t>FALSE;TRUE;TRUE;FALSE</t>
        </is>
      </c>
      <c r="J542" s="68" t="inlineStr">
        <is>
          <t>Alarme de Estado em Ponto Telessinalizado SB</t>
        </is>
      </c>
      <c r="K542" s="69" t="inlineStr">
        <is>
          <t>Alarme de Estado em Ponto Telessinalizado SB</t>
        </is>
      </c>
      <c r="L542" s="69">
        <f>VLOOKUP(LinkTable6789[[#This Row],[Coluna1]],[4]AlarmCatalog!$A:$M,11,FALSE)</f>
        <v/>
      </c>
    </row>
    <row r="543" ht="16.5" customFormat="1" customHeight="1" s="67">
      <c r="A543" s="70" t="inlineStr">
        <is>
          <t>INCLUIR@EXCLUIR___INCLUIDO@EXCLUIDO___Custom_S_TC_SS</t>
        </is>
      </c>
      <c r="B543" s="68" t="inlineStr"/>
      <c r="C543" s="68" t="inlineStr">
        <is>
          <t>Transit;INCLUIDO;EXCLUIDO;Error</t>
        </is>
      </c>
      <c r="D543" s="68" t="inlineStr">
        <is>
          <t>0;1;2;3</t>
        </is>
      </c>
      <c r="E543" s="68" t="inlineStr">
        <is>
          <t>2;0;1;3</t>
        </is>
      </c>
      <c r="F543" s="68" t="inlineStr">
        <is>
          <t>;INCLUIR;EXCLUIR;</t>
        </is>
      </c>
      <c r="G543" s="68" t="inlineStr">
        <is>
          <t>#FF000000;#FFFF0000;#FF00FF00;#FFA9A9A9</t>
        </is>
      </c>
      <c r="H543" s="68" t="inlineStr">
        <is>
          <t>Abnormal;Auto;Auto;Abnormal</t>
        </is>
      </c>
      <c r="I543" s="68" t="inlineStr">
        <is>
          <t>FALSE;TRUE;TRUE;FALSE</t>
        </is>
      </c>
      <c r="J543" s="68" t="inlineStr">
        <is>
          <t>Alarme de Estado em Ponto Telecontrolado SS</t>
        </is>
      </c>
      <c r="K543" s="69" t="inlineStr">
        <is>
          <t>Alarme de Estado em Ponto Telecontrolado SS</t>
        </is>
      </c>
      <c r="L543" s="69">
        <f>VLOOKUP(LinkTable6789[[#This Row],[Coluna1]],[4]AlarmCatalog!$A:$M,11,FALSE)</f>
        <v/>
      </c>
    </row>
    <row r="544" ht="16.5" customFormat="1" customHeight="1" s="67">
      <c r="A544" s="68" t="inlineStr">
        <is>
          <t>REARMAR@BLOQUEAR___NORMAL@ATUADO___Custom___INV_S_TS_SB</t>
        </is>
      </c>
      <c r="B544" s="68" t="inlineStr"/>
      <c r="C544" s="68" t="inlineStr">
        <is>
          <t>Transit;NORMAL;ATUADO;Error</t>
        </is>
      </c>
      <c r="D544" s="68" t="inlineStr">
        <is>
          <t>0;1;2;3</t>
        </is>
      </c>
      <c r="E544" s="68" t="inlineStr">
        <is>
          <t>2;1;0;3</t>
        </is>
      </c>
      <c r="F544" s="68" t="inlineStr">
        <is>
          <t>;;;</t>
        </is>
      </c>
      <c r="G544" s="68" t="inlineStr">
        <is>
          <t>#FF000000;#FF00FF00;#FFFF0000;#FFA9A9A9</t>
        </is>
      </c>
      <c r="H544" s="68" t="inlineStr">
        <is>
          <t>Abnormal;Auto;Auto;Abnormal</t>
        </is>
      </c>
      <c r="I544" s="68" t="inlineStr">
        <is>
          <t>FALSE;TRUE;TRUE;FALSE</t>
        </is>
      </c>
      <c r="J544" s="68" t="inlineStr">
        <is>
          <t>Alarme de Estado em Ponto Telessinalizado SB</t>
        </is>
      </c>
      <c r="K544" s="69" t="inlineStr">
        <is>
          <t>Alarme de Estado em Ponto Telessinalizado SB</t>
        </is>
      </c>
      <c r="L544" s="69">
        <f>VLOOKUP(LinkTable6789[[#This Row],[Coluna1]],[4]AlarmCatalog!$A:$M,11,FALSE)</f>
        <v/>
      </c>
    </row>
    <row r="545" ht="16.5" customFormat="1" customHeight="1" s="67">
      <c r="A545" s="68" t="inlineStr">
        <is>
          <t>null@null___FALHA@OPERANDO___Custom_S_TS_DB</t>
        </is>
      </c>
      <c r="B545" s="68" t="inlineStr"/>
      <c r="C545" s="68" t="inlineStr">
        <is>
          <t>Transit;FALHA;OPERANDO;Error</t>
        </is>
      </c>
      <c r="D545" s="68" t="inlineStr">
        <is>
          <t>0;1;2;3</t>
        </is>
      </c>
      <c r="E545" s="68" t="inlineStr">
        <is>
          <t>2;0;1;3</t>
        </is>
      </c>
      <c r="F545" s="68" t="inlineStr">
        <is>
          <t>;;;</t>
        </is>
      </c>
      <c r="G545" s="68" t="inlineStr">
        <is>
          <t>#FF000000;#FF00FF00;#FFFF0000;#FFA9A9A9</t>
        </is>
      </c>
      <c r="H545" s="68" t="inlineStr">
        <is>
          <t>Abnormal;Auto;Auto;Abnormal</t>
        </is>
      </c>
      <c r="I545" s="68" t="inlineStr">
        <is>
          <t>FALSE;TRUE;TRUE;FALSE</t>
        </is>
      </c>
      <c r="J545" s="68" t="inlineStr">
        <is>
          <t>Alarme de Estado em Ponto Telessinalizado DB</t>
        </is>
      </c>
      <c r="K545" s="69" t="inlineStr">
        <is>
          <t>Alarme de Estado em Ponto Telessinalizado DB</t>
        </is>
      </c>
      <c r="L545" s="69">
        <f>VLOOKUP(LinkTable6789[[#This Row],[Coluna1]],[4]AlarmCatalog!$A:$M,11,FALSE)</f>
        <v/>
      </c>
    </row>
    <row r="546" ht="16.5" customFormat="1" customHeight="1" s="67">
      <c r="A546" s="68" t="inlineStr">
        <is>
          <t>null@null___NORMAL@ATUADO___Custom_S_TS_DB</t>
        </is>
      </c>
      <c r="B546" s="68" t="inlineStr"/>
      <c r="C546" s="68" t="inlineStr">
        <is>
          <t>Transit;NORMAL;ATUADO;Error</t>
        </is>
      </c>
      <c r="D546" s="68" t="inlineStr">
        <is>
          <t>0;1;2;3</t>
        </is>
      </c>
      <c r="E546" s="68" t="inlineStr">
        <is>
          <t>2;0;1;3</t>
        </is>
      </c>
      <c r="F546" s="68" t="inlineStr">
        <is>
          <t>;;;</t>
        </is>
      </c>
      <c r="G546" s="68" t="inlineStr">
        <is>
          <t>#FF000000;#FF00FF00;#FFFF0000;#FFA9A9A9</t>
        </is>
      </c>
      <c r="H546" s="68" t="inlineStr">
        <is>
          <t>Abnormal;Auto;Auto;Abnormal</t>
        </is>
      </c>
      <c r="I546" s="68" t="inlineStr">
        <is>
          <t>FALSE;TRUE;TRUE;FALSE</t>
        </is>
      </c>
      <c r="J546" s="68" t="inlineStr">
        <is>
          <t>Alarme de Estado em Ponto Telessinalizado DB</t>
        </is>
      </c>
      <c r="K546" s="69" t="inlineStr">
        <is>
          <t>Alarme de Estado em Ponto Telessinalizado DB</t>
        </is>
      </c>
      <c r="L546" s="69">
        <f>VLOOKUP(LinkTable6789[[#This Row],[Coluna1]],[4]AlarmCatalog!$A:$M,11,FALSE)</f>
        <v/>
      </c>
    </row>
    <row r="547" ht="16.5" customFormat="1" customHeight="1" s="67">
      <c r="A547" s="68" t="inlineStr">
        <is>
          <t>null@null___NORMAL@NORMAL___Custom_S_TS_SB</t>
        </is>
      </c>
      <c r="B547" s="68" t="inlineStr"/>
      <c r="C547" s="68" t="inlineStr">
        <is>
          <t>Transit;NORMAL;NORMAL;Error</t>
        </is>
      </c>
      <c r="D547" s="68" t="inlineStr">
        <is>
          <t>0;1;2;3</t>
        </is>
      </c>
      <c r="E547" s="68" t="inlineStr">
        <is>
          <t>2;0;1;3</t>
        </is>
      </c>
      <c r="F547" s="68" t="inlineStr">
        <is>
          <t>;;;</t>
        </is>
      </c>
      <c r="G547" s="68" t="inlineStr">
        <is>
          <t>#FF000000;#FF00FF00;#FFFF0000;#FFA9A9A9</t>
        </is>
      </c>
      <c r="H547" s="68" t="inlineStr">
        <is>
          <t>Abnormal;Auto;Auto;Abnormal</t>
        </is>
      </c>
      <c r="I547" s="68" t="inlineStr">
        <is>
          <t>FALSE;TRUE;TRUE;FALSE</t>
        </is>
      </c>
      <c r="J547" s="68" t="inlineStr">
        <is>
          <t>Alarme de Estado em Ponto Telessinalizado SB</t>
        </is>
      </c>
      <c r="K547" s="69" t="inlineStr">
        <is>
          <t>Alarme de Estado em Ponto Telessinalizado SB</t>
        </is>
      </c>
      <c r="L547" s="69">
        <f>VLOOKUP(LinkTable6789[[#This Row],[Coluna1]],[4]AlarmCatalog!$A:$M,11,FALSE)</f>
        <v/>
      </c>
    </row>
    <row r="548" ht="16.5" customFormat="1" customHeight="1" s="67">
      <c r="A548" s="68" t="inlineStr">
        <is>
          <t>null@null___NORMAL@DEFEITO___Custom___INV_S_TS_SB</t>
        </is>
      </c>
      <c r="B548" s="68" t="inlineStr"/>
      <c r="C548" s="68" t="inlineStr">
        <is>
          <t>Transit;NORMAL;DEFEITO;Error</t>
        </is>
      </c>
      <c r="D548" s="68" t="inlineStr">
        <is>
          <t>0;1;2;3</t>
        </is>
      </c>
      <c r="E548" s="68" t="inlineStr">
        <is>
          <t>2;1;0;3</t>
        </is>
      </c>
      <c r="F548" s="68" t="inlineStr">
        <is>
          <t>;;;</t>
        </is>
      </c>
      <c r="G548" s="68" t="inlineStr">
        <is>
          <t>#FF000000;#FF00FF00;#FFFF0000;#FFA9A9A9</t>
        </is>
      </c>
      <c r="H548" s="68" t="inlineStr">
        <is>
          <t>Abnormal;Auto;Auto;Abnormal</t>
        </is>
      </c>
      <c r="I548" s="68" t="inlineStr">
        <is>
          <t>FALSE;TRUE;TRUE;FALSE</t>
        </is>
      </c>
      <c r="J548" s="68" t="inlineStr">
        <is>
          <t>Alarme de Estado em Ponto Telessinalizado SB</t>
        </is>
      </c>
      <c r="K548" s="69" t="inlineStr">
        <is>
          <t>Alarme de Estado em Ponto Telessinalizado SB</t>
        </is>
      </c>
      <c r="L548" s="69">
        <f>VLOOKUP(LinkTable6789[[#This Row],[Coluna1]],[4]AlarmCatalog!$A:$M,11,FALSE)</f>
        <v/>
      </c>
    </row>
    <row r="549" ht="16.5" customFormat="1" customHeight="1" s="67">
      <c r="A549" s="68" t="inlineStr">
        <is>
          <t>null@null___NORMAL@BAIXA___Custom_S_TS_SB</t>
        </is>
      </c>
      <c r="B549" s="68" t="inlineStr"/>
      <c r="C549" s="68" t="inlineStr">
        <is>
          <t>Transit;NORMAL;BAIXA;Error</t>
        </is>
      </c>
      <c r="D549" s="68" t="inlineStr">
        <is>
          <t>0;1;2;3</t>
        </is>
      </c>
      <c r="E549" s="68" t="inlineStr">
        <is>
          <t>2;0;1;3</t>
        </is>
      </c>
      <c r="F549" s="68" t="inlineStr">
        <is>
          <t>;;;</t>
        </is>
      </c>
      <c r="G549" s="68" t="inlineStr">
        <is>
          <t>#FF000000;#FF00FF00;#FFFF0000;#FFA9A9A9</t>
        </is>
      </c>
      <c r="H549" s="68" t="inlineStr">
        <is>
          <t>Abnormal;Auto;Auto;Abnormal</t>
        </is>
      </c>
      <c r="I549" s="68" t="inlineStr">
        <is>
          <t>FALSE;TRUE;TRUE;FALSE</t>
        </is>
      </c>
      <c r="J549" s="68" t="inlineStr">
        <is>
          <t>Alarme de Estado em Ponto Telessinalizado SB</t>
        </is>
      </c>
      <c r="K549" s="69" t="inlineStr">
        <is>
          <t>Alarme de Estado em Ponto Telessinalizado SB</t>
        </is>
      </c>
      <c r="L549" s="69">
        <f>VLOOKUP(LinkTable6789[[#This Row],[Coluna1]],[4]AlarmCatalog!$A:$M,11,FALSE)</f>
        <v/>
      </c>
    </row>
    <row r="550" ht="16.5" customFormat="1" customHeight="1" s="67">
      <c r="A550" s="68" t="inlineStr">
        <is>
          <t>REARMAR@BLOQUEAR___NORMAL@ATUADO___Custom_S_TC_SB</t>
        </is>
      </c>
      <c r="B550" s="68" t="inlineStr"/>
      <c r="C550" s="68" t="inlineStr">
        <is>
          <t>Transit;NORMAL;ATUADO;Error</t>
        </is>
      </c>
      <c r="D550" s="68" t="inlineStr">
        <is>
          <t>0;1;2;3</t>
        </is>
      </c>
      <c r="E550" s="68" t="inlineStr">
        <is>
          <t>2;0;1;3</t>
        </is>
      </c>
      <c r="F550" s="68" t="inlineStr">
        <is>
          <t>;REARMAR;BLOQUEAR;</t>
        </is>
      </c>
      <c r="G550" s="68" t="inlineStr">
        <is>
          <t>#FF000000;#FF00FF00;#FFFF0000;#FFA9A9A9</t>
        </is>
      </c>
      <c r="H550" s="68" t="inlineStr">
        <is>
          <t>Abnormal;Auto;Auto;Abnormal</t>
        </is>
      </c>
      <c r="I550" s="68" t="inlineStr">
        <is>
          <t>FALSE;TRUE;TRUE;FALSE</t>
        </is>
      </c>
      <c r="J550" s="68" t="inlineStr">
        <is>
          <t>Alarme de Estado em Ponto Telecontrolado SB</t>
        </is>
      </c>
      <c r="K550" s="69" t="inlineStr">
        <is>
          <t>Alarme de Estado em Ponto Telecontrolado SB</t>
        </is>
      </c>
      <c r="L550" s="69">
        <f>VLOOKUP(LinkTable6789[[#This Row],[Coluna1]],[4]AlarmCatalog!$A:$M,11,FALSE)</f>
        <v/>
      </c>
    </row>
    <row r="551" ht="16.5" customFormat="1" customHeight="1" s="67">
      <c r="A551" s="68" t="inlineStr">
        <is>
          <t>DESLIGAR@LIGAR___DESLIGADO@LIGADO___Custom_D_TC_SB</t>
        </is>
      </c>
      <c r="B551" s="68" t="inlineStr"/>
      <c r="C551" s="68" t="inlineStr">
        <is>
          <t>Transit;DESLIGADO;LIGADO;Error</t>
        </is>
      </c>
      <c r="D551" s="68" t="inlineStr">
        <is>
          <t>0;1;2;3</t>
        </is>
      </c>
      <c r="E551" s="68" t="inlineStr">
        <is>
          <t>0;1;2;3</t>
        </is>
      </c>
      <c r="F551" s="68" t="inlineStr">
        <is>
          <t>;DESLIGAR;LIGAR;</t>
        </is>
      </c>
      <c r="G551" s="68" t="inlineStr">
        <is>
          <t>#FF000000;#FF00FF00;#FFFF0000;#FFA9A9A9</t>
        </is>
      </c>
      <c r="H551" s="68" t="inlineStr">
        <is>
          <t>Abnormal;Auto;Auto;Auto</t>
        </is>
      </c>
      <c r="I551" s="68" t="inlineStr">
        <is>
          <t>FALSE;TRUE;TRUE;FALSE</t>
        </is>
      </c>
      <c r="J551" s="68" t="inlineStr">
        <is>
          <t>Alarme de Estado em Ponto Telecontrolado SB</t>
        </is>
      </c>
      <c r="K551" s="69" t="inlineStr">
        <is>
          <t>Alarme de Estado em Ponto Telecontrolado SB</t>
        </is>
      </c>
      <c r="L551" s="69">
        <f>VLOOKUP(LinkTable6789[[#This Row],[Coluna1]],[4]AlarmCatalog!$A:$M,11,FALSE)</f>
        <v/>
      </c>
    </row>
    <row r="552" ht="16.5" customFormat="1" customHeight="1" s="67">
      <c r="A552" s="68" t="inlineStr">
        <is>
          <t>null@null___DEFEITO@NORMAL___Custom_S_TS_SB</t>
        </is>
      </c>
      <c r="B552" s="68" t="inlineStr"/>
      <c r="C552" s="68" t="inlineStr">
        <is>
          <t>Transit;DEFEITO;NORMAL;Error</t>
        </is>
      </c>
      <c r="D552" s="68" t="inlineStr">
        <is>
          <t>0;1;2;3</t>
        </is>
      </c>
      <c r="E552" s="68" t="inlineStr">
        <is>
          <t>2;0;1;3</t>
        </is>
      </c>
      <c r="F552" s="68" t="inlineStr">
        <is>
          <t>;;;</t>
        </is>
      </c>
      <c r="G552" s="68" t="inlineStr">
        <is>
          <t>#FF000000;#FF00FF00;#FFFF0000;#FFA9A9A9</t>
        </is>
      </c>
      <c r="H552" s="68" t="inlineStr">
        <is>
          <t>Abnormal;Auto;Auto;Abnormal</t>
        </is>
      </c>
      <c r="I552" s="68" t="inlineStr">
        <is>
          <t>FALSE;TRUE;TRUE;FALSE</t>
        </is>
      </c>
      <c r="J552" s="68" t="inlineStr">
        <is>
          <t>Alarme de Estado em Ponto Telessinalizado SB</t>
        </is>
      </c>
      <c r="K552" s="69" t="inlineStr">
        <is>
          <t>Alarme de Estado em Ponto Telessinalizado SB</t>
        </is>
      </c>
      <c r="L552" s="69">
        <f>VLOOKUP(LinkTable6789[[#This Row],[Coluna1]],[4]AlarmCatalog!$A:$M,11,FALSE)</f>
        <v/>
      </c>
    </row>
    <row r="553" ht="16.5" customFormat="1" customHeight="1" s="67">
      <c r="A553" s="68" t="inlineStr">
        <is>
          <t>INCLUIR@EXCLUIR___INCLUIDO@EXCLUIDO___Custom_S_TS_SS</t>
        </is>
      </c>
      <c r="B553" s="68" t="inlineStr"/>
      <c r="C553" s="68" t="inlineStr">
        <is>
          <t>Transit;INCLUIDO;EXCLUIDO;Error</t>
        </is>
      </c>
      <c r="D553" s="68" t="inlineStr">
        <is>
          <t>0;1;2;3</t>
        </is>
      </c>
      <c r="E553" s="68" t="inlineStr">
        <is>
          <t>2;0;1;3</t>
        </is>
      </c>
      <c r="F553" s="68" t="inlineStr">
        <is>
          <t>;;;</t>
        </is>
      </c>
      <c r="G553" s="68" t="inlineStr">
        <is>
          <t>#FF000000;#FFFF0000;#FF00FF00;#FFA9A9A9</t>
        </is>
      </c>
      <c r="H553" s="68" t="inlineStr">
        <is>
          <t>Abnormal;Auto;Auto;Abnormal</t>
        </is>
      </c>
      <c r="I553" s="68" t="inlineStr">
        <is>
          <t>FALSE;TRUE;TRUE;FALSE</t>
        </is>
      </c>
      <c r="J553" s="68" t="inlineStr">
        <is>
          <t>Alarme de Estado em Ponto Telessinalizado SS</t>
        </is>
      </c>
      <c r="K553" s="69" t="inlineStr">
        <is>
          <t>Alarme de Estado em Ponto Telessinalizado SS</t>
        </is>
      </c>
      <c r="L553" s="69">
        <f>VLOOKUP(LinkTable6789[[#This Row],[Coluna1]],[4]AlarmCatalog!$A:$M,11,FALSE)</f>
        <v/>
      </c>
    </row>
    <row r="554" ht="16.5" customFormat="1" customHeight="1" s="67">
      <c r="A554" s="71" t="inlineStr">
        <is>
          <t>INCLUIR@EXCLUIR___INCLUIDO@EXCLUIDO___Enabled___admsINV_S_TC_SA</t>
        </is>
      </c>
      <c r="B554" s="71" t="inlineStr"/>
      <c r="C554" s="71" t="inlineStr">
        <is>
          <t>Transit;INCLUIDO;EXCLUIDO;Error</t>
        </is>
      </c>
      <c r="D554" s="71" t="inlineStr">
        <is>
          <t>0;2;1;3</t>
        </is>
      </c>
      <c r="E554" s="71" t="inlineStr">
        <is>
          <t>2;0;1;3</t>
        </is>
      </c>
      <c r="F554" s="68" t="inlineStr">
        <is>
          <t>;INCLUIR;EXCLUIR;</t>
        </is>
      </c>
      <c r="G554" s="68" t="inlineStr">
        <is>
          <t>#FF000000;#FFFF0000;#FF00FF00;#FFA9A9A9</t>
        </is>
      </c>
      <c r="H554" s="68" t="inlineStr">
        <is>
          <t>Abnormal;Auto;Auto;Abnormal</t>
        </is>
      </c>
      <c r="I554" s="68" t="inlineStr">
        <is>
          <t>FALSE;TRUE;TRUE;FALSE</t>
        </is>
      </c>
      <c r="J554" s="68" t="inlineStr">
        <is>
          <t>Alarme de Estado em Ponto Telecontrolado SA</t>
        </is>
      </c>
      <c r="K554" s="69" t="inlineStr">
        <is>
          <t>Alarme de Estado em Ponto Telecontrolado SA</t>
        </is>
      </c>
      <c r="L554" s="69">
        <f>VLOOKUP(LinkTable6789[[#This Row],[Coluna1]],[4]AlarmCatalog!$A:$M,11,FALSE)</f>
        <v/>
      </c>
    </row>
    <row r="555" ht="16.5" customFormat="1" customHeight="1" s="67">
      <c r="A555" s="68" t="inlineStr">
        <is>
          <t>null@null___LIGADO@DESLIGADO___Custom_D_TS_SB</t>
        </is>
      </c>
      <c r="B555" s="68" t="inlineStr"/>
      <c r="C555" s="68" t="inlineStr">
        <is>
          <t>Transit;LIGADO;DESLIGADO;Error</t>
        </is>
      </c>
      <c r="D555" s="68" t="inlineStr">
        <is>
          <t>0;2;1;3</t>
        </is>
      </c>
      <c r="E555" s="68" t="inlineStr">
        <is>
          <t>0;1;2;3</t>
        </is>
      </c>
      <c r="F555" s="68" t="inlineStr">
        <is>
          <t>;;;</t>
        </is>
      </c>
      <c r="G555" s="68" t="inlineStr">
        <is>
          <t>#FF000000;#FF00FF00;#FFFF0000;#FFA9A9A9</t>
        </is>
      </c>
      <c r="H555" s="68" t="inlineStr">
        <is>
          <t>Abnormal;Normal;Normal;Normal</t>
        </is>
      </c>
      <c r="I555" s="68" t="inlineStr">
        <is>
          <t>FALSE;TRUE;TRUE;FALSE</t>
        </is>
      </c>
      <c r="J555" s="68" t="inlineStr">
        <is>
          <t>Alarme de Estado em Ponto Telessinalizado SB</t>
        </is>
      </c>
      <c r="K555" s="69" t="inlineStr">
        <is>
          <t>Alarme de Estado em Ponto Telessinalizado SB</t>
        </is>
      </c>
      <c r="L555" s="69">
        <f>VLOOKUP(LinkTable6789[[#This Row],[Coluna1]],[4]AlarmCatalog!$A:$M,11,FALSE)</f>
        <v/>
      </c>
    </row>
    <row r="556" ht="16.5" customFormat="1" customHeight="1" s="67">
      <c r="A556" s="68" t="inlineStr">
        <is>
          <t>null@null___NORMAL@BLOQUEIO___Custom___INV_S_TS_SB</t>
        </is>
      </c>
      <c r="B556" s="68" t="inlineStr"/>
      <c r="C556" s="68" t="inlineStr">
        <is>
          <t>Transit;NORMAL;BLOQUEIO;Error</t>
        </is>
      </c>
      <c r="D556" s="68" t="inlineStr">
        <is>
          <t>0;1;2;3</t>
        </is>
      </c>
      <c r="E556" s="68" t="inlineStr">
        <is>
          <t>2;1;0;3</t>
        </is>
      </c>
      <c r="F556" s="68" t="inlineStr">
        <is>
          <t>;;;</t>
        </is>
      </c>
      <c r="G556" s="68" t="inlineStr">
        <is>
          <t>#FF000000;#FF00FF00;#FFFF0000;#FFA9A9A9</t>
        </is>
      </c>
      <c r="H556" s="68" t="inlineStr">
        <is>
          <t>Abnormal;Auto;Auto;Abnormal</t>
        </is>
      </c>
      <c r="I556" s="68" t="inlineStr">
        <is>
          <t>FALSE;TRUE;TRUE;FALSE</t>
        </is>
      </c>
      <c r="J556" s="68" t="inlineStr">
        <is>
          <t>Alarme de Estado em Ponto Telessinalizado SB</t>
        </is>
      </c>
      <c r="K556" s="69" t="inlineStr">
        <is>
          <t>Alarme de Estado em Ponto Telessinalizado SB</t>
        </is>
      </c>
      <c r="L556" s="69">
        <f>VLOOKUP(LinkTable6789[[#This Row],[Coluna1]],[4]AlarmCatalog!$A:$M,11,FALSE)</f>
        <v/>
      </c>
    </row>
    <row r="557" ht="16.5" customFormat="1" customHeight="1" s="67">
      <c r="A557" s="68" t="inlineStr">
        <is>
          <t>null@REARMAR___NORMAL@ATUADO___Custom___INV_S_TS_SB</t>
        </is>
      </c>
      <c r="B557" s="68" t="inlineStr"/>
      <c r="C557" s="68" t="inlineStr">
        <is>
          <t>Transit;NORMAL;ATUADO;Error</t>
        </is>
      </c>
      <c r="D557" s="68" t="inlineStr">
        <is>
          <t>0;1;2;3</t>
        </is>
      </c>
      <c r="E557" s="68" t="inlineStr">
        <is>
          <t>2;1;0;3</t>
        </is>
      </c>
      <c r="F557" s="68" t="inlineStr">
        <is>
          <t>;;;</t>
        </is>
      </c>
      <c r="G557" s="68" t="inlineStr">
        <is>
          <t>#FF000000;#FF00FF00;#FFFF0000;#FFA9A9A9</t>
        </is>
      </c>
      <c r="H557" s="68" t="inlineStr">
        <is>
          <t>Abnormal;Auto;Auto;Abnormal</t>
        </is>
      </c>
      <c r="I557" s="68" t="inlineStr">
        <is>
          <t>FALSE;TRUE;TRUE;FALSE</t>
        </is>
      </c>
      <c r="J557" s="68" t="inlineStr">
        <is>
          <t>Alarme de Estado em Ponto Telessinalizado SB</t>
        </is>
      </c>
      <c r="K557" s="69" t="inlineStr">
        <is>
          <t>Alarme de Estado em Ponto Telessinalizado SB</t>
        </is>
      </c>
      <c r="L557" s="69">
        <f>VLOOKUP(LinkTable6789[[#This Row],[Coluna1]],[4]AlarmCatalog!$A:$M,11,FALSE)</f>
        <v/>
      </c>
    </row>
    <row r="558" ht="16.5" customFormat="1" customHeight="1" s="67">
      <c r="A558" s="68" t="inlineStr">
        <is>
          <t>null@null___NORMAL@DISCREPANCIA___Custom_S_TS_SB</t>
        </is>
      </c>
      <c r="B558" s="68" t="inlineStr"/>
      <c r="C558" s="68" t="inlineStr">
        <is>
          <t>Transit;NORMAL;DISCREPANCIA;Error</t>
        </is>
      </c>
      <c r="D558" s="68" t="inlineStr">
        <is>
          <t>0;1;2;3</t>
        </is>
      </c>
      <c r="E558" s="68" t="inlineStr">
        <is>
          <t>2;0;1;3</t>
        </is>
      </c>
      <c r="F558" s="68" t="inlineStr">
        <is>
          <t>;;;</t>
        </is>
      </c>
      <c r="G558" s="68" t="inlineStr">
        <is>
          <t>#FF000000;#FF00FF00;#FFFF0000;#FFA9A9A9</t>
        </is>
      </c>
      <c r="H558" s="68" t="inlineStr">
        <is>
          <t>Abnormal;Auto;Auto;Abnormal</t>
        </is>
      </c>
      <c r="I558" s="68" t="inlineStr">
        <is>
          <t>FALSE;TRUE;TRUE;FALSE</t>
        </is>
      </c>
      <c r="J558" s="68" t="inlineStr">
        <is>
          <t>Alarme de Estado em Ponto Telessinalizado SB</t>
        </is>
      </c>
      <c r="K558" s="69" t="inlineStr">
        <is>
          <t>Alarme de Estado em Ponto Telessinalizado SB</t>
        </is>
      </c>
      <c r="L558" s="69">
        <f>VLOOKUP(LinkTable6789[[#This Row],[Coluna1]],[4]AlarmCatalog!$A:$M,11,FALSE)</f>
        <v/>
      </c>
    </row>
    <row r="559" ht="16.5" customFormat="1" customHeight="1" s="67">
      <c r="A559" s="68" t="inlineStr">
        <is>
          <t>null@null___ABERTO@FECHADO___Custom___INV_S_TS_SB</t>
        </is>
      </c>
      <c r="B559" s="68" t="inlineStr"/>
      <c r="C559" s="68" t="inlineStr">
        <is>
          <t>Transit;ABERTO;FECHADO;Error</t>
        </is>
      </c>
      <c r="D559" s="68" t="inlineStr">
        <is>
          <t>0;1;2;3</t>
        </is>
      </c>
      <c r="E559" s="68" t="inlineStr">
        <is>
          <t>2;1;0;3</t>
        </is>
      </c>
      <c r="F559" s="68" t="inlineStr">
        <is>
          <t>;;;</t>
        </is>
      </c>
      <c r="G559" s="68" t="inlineStr">
        <is>
          <t>#FF000000;#FF00FF00;#FFFF0000;#FFA9A9A9</t>
        </is>
      </c>
      <c r="H559" s="68" t="inlineStr">
        <is>
          <t>Abnormal;Auto;Auto;Abnormal</t>
        </is>
      </c>
      <c r="I559" s="68" t="inlineStr">
        <is>
          <t>FALSE;TRUE;TRUE;FALSE</t>
        </is>
      </c>
      <c r="J559" s="68" t="inlineStr">
        <is>
          <t>Alarme de Estado em Ponto Telessinalizado SB</t>
        </is>
      </c>
      <c r="K559" s="69" t="inlineStr">
        <is>
          <t>Alarme de Estado em Ponto Telessinalizado SB</t>
        </is>
      </c>
      <c r="L559" s="69">
        <f>VLOOKUP(LinkTable6789[[#This Row],[Coluna1]],[4]AlarmCatalog!$A:$M,11,FALSE)</f>
        <v/>
      </c>
    </row>
    <row r="560" ht="16.5" customFormat="1" customHeight="1" s="67">
      <c r="A560" s="68" t="inlineStr">
        <is>
          <t>null@null___DESLIGADO@LIGADO___Custom_S_TS_SB</t>
        </is>
      </c>
      <c r="B560" s="68" t="inlineStr"/>
      <c r="C560" s="68" t="inlineStr">
        <is>
          <t>Transit;DESLIGADO;LIGADO;Error</t>
        </is>
      </c>
      <c r="D560" s="68" t="inlineStr">
        <is>
          <t>0;1;2;3</t>
        </is>
      </c>
      <c r="E560" s="68" t="inlineStr">
        <is>
          <t>2;0;1;3</t>
        </is>
      </c>
      <c r="F560" s="68" t="inlineStr">
        <is>
          <t>;DESLIGAR;DESLIGAR;</t>
        </is>
      </c>
      <c r="G560" s="68" t="inlineStr">
        <is>
          <t>#FF000000;#FF00FF00;#FFFF0000;#FFA9A9A9</t>
        </is>
      </c>
      <c r="H560" s="68" t="inlineStr">
        <is>
          <t>Abnormal;Auto;Auto;Abnormal</t>
        </is>
      </c>
      <c r="I560" s="68" t="inlineStr">
        <is>
          <t>FALSE;TRUE;TRUE;FALSE</t>
        </is>
      </c>
      <c r="J560" s="68" t="inlineStr">
        <is>
          <t>Alarme de Estado em Ponto Telessinalizado SB</t>
        </is>
      </c>
      <c r="K560" s="69" t="inlineStr">
        <is>
          <t>Alarme de Estado em Ponto Telessinalizado SB</t>
        </is>
      </c>
      <c r="L560" s="69">
        <f>VLOOKUP(LinkTable6789[[#This Row],[Coluna1]],[4]AlarmCatalog!$A:$M,11,FALSE)</f>
        <v/>
      </c>
    </row>
    <row r="561" ht="16.5" customFormat="1" customHeight="1" s="67">
      <c r="A561" s="68" t="inlineStr">
        <is>
          <t>null@null___DESLIGADO@LIGADO___Custom_S_TS_SB1</t>
        </is>
      </c>
      <c r="B561" s="68" t="inlineStr"/>
      <c r="C561" s="68" t="inlineStr">
        <is>
          <t>Transit;DESLIGADO;LIGADO;Error</t>
        </is>
      </c>
      <c r="D561" s="68" t="inlineStr">
        <is>
          <t>0;1;2;3</t>
        </is>
      </c>
      <c r="E561" s="68" t="inlineStr">
        <is>
          <t>2;0;1;3</t>
        </is>
      </c>
      <c r="F561" s="68" t="inlineStr">
        <is>
          <t>;DESLIGAR;LIGAR;</t>
        </is>
      </c>
      <c r="G561" s="68" t="inlineStr">
        <is>
          <t>#FF000000;#FF00FF00;#FFFF0000;#FFA9A9A9</t>
        </is>
      </c>
      <c r="H561" s="68" t="inlineStr">
        <is>
          <t>Abnormal;Auto;Auto;Abnormal</t>
        </is>
      </c>
      <c r="I561" s="68" t="inlineStr">
        <is>
          <t>FALSE;TRUE;TRUE;FALSE</t>
        </is>
      </c>
      <c r="J561" s="68" t="inlineStr">
        <is>
          <t>Alarme de Estado em Ponto Telessinalizado SB</t>
        </is>
      </c>
      <c r="K561" s="69" t="inlineStr">
        <is>
          <t>Alarme de Estado em Ponto Telessinalizado SB</t>
        </is>
      </c>
      <c r="L561" s="69">
        <f>VLOOKUP(LinkTable6789[[#This Row],[Coluna1]],[4]AlarmCatalog!$A:$M,11,FALSE)</f>
        <v/>
      </c>
    </row>
    <row r="562" ht="16.5" customFormat="1" customHeight="1" s="67">
      <c r="A562" s="68" t="inlineStr">
        <is>
          <t>null@null___FALHA@OPERANDO___Custom_S_TS_SB</t>
        </is>
      </c>
      <c r="B562" s="68" t="inlineStr"/>
      <c r="C562" s="68" t="inlineStr">
        <is>
          <t>Transit;FALHA;OPERANDO;Error</t>
        </is>
      </c>
      <c r="D562" s="68" t="inlineStr">
        <is>
          <t>0;1;2;3</t>
        </is>
      </c>
      <c r="E562" s="68" t="inlineStr">
        <is>
          <t>2;0;1;3</t>
        </is>
      </c>
      <c r="F562" s="68" t="inlineStr">
        <is>
          <t>;;;</t>
        </is>
      </c>
      <c r="G562" s="68" t="inlineStr">
        <is>
          <t>#FF000000;#FF00FF00;#FFFF0000;#FFA9A9A9</t>
        </is>
      </c>
      <c r="H562" s="68" t="inlineStr">
        <is>
          <t>Abnormal;Auto;Auto;Abnormal</t>
        </is>
      </c>
      <c r="I562" s="68" t="inlineStr">
        <is>
          <t>FALSE;TRUE;TRUE;FALSE</t>
        </is>
      </c>
      <c r="J562" s="68" t="inlineStr">
        <is>
          <t>Alarme de Estado em Ponto Telessinalizado SB</t>
        </is>
      </c>
      <c r="K562" s="69" t="inlineStr">
        <is>
          <t>Alarme de Estado em Ponto Telessinalizado SB</t>
        </is>
      </c>
      <c r="L562" s="69">
        <f>VLOOKUP(LinkTable6789[[#This Row],[Coluna1]],[4]AlarmCatalog!$A:$M,11,FALSE)</f>
        <v/>
      </c>
    </row>
    <row r="563" ht="16.5" customFormat="1" customHeight="1" s="67">
      <c r="A563" s="68" t="inlineStr">
        <is>
          <t>null@null___NORMAL@FALTA VCA___Custom_S_TS_SB</t>
        </is>
      </c>
      <c r="B563" s="68" t="inlineStr"/>
      <c r="C563" s="68" t="inlineStr">
        <is>
          <t>Transit;NORMAL;FALTA VCA;Error</t>
        </is>
      </c>
      <c r="D563" s="68" t="inlineStr">
        <is>
          <t>0;1;2;3</t>
        </is>
      </c>
      <c r="E563" s="68" t="inlineStr">
        <is>
          <t>2;0;1;3</t>
        </is>
      </c>
      <c r="F563" s="68" t="inlineStr">
        <is>
          <t>;;;</t>
        </is>
      </c>
      <c r="G563" s="68" t="inlineStr">
        <is>
          <t>#FF000000;#FF00FF00;#FFFF0000;#FFA9A9A9</t>
        </is>
      </c>
      <c r="H563" s="68" t="inlineStr">
        <is>
          <t>Abnormal;Auto;Auto;Abnormal</t>
        </is>
      </c>
      <c r="I563" s="68" t="inlineStr">
        <is>
          <t>FALSE;TRUE;TRUE;FALSE</t>
        </is>
      </c>
      <c r="J563" s="68" t="inlineStr">
        <is>
          <t>Alarme de Estado em Ponto Telessinalizado SB</t>
        </is>
      </c>
      <c r="K563" s="69" t="inlineStr">
        <is>
          <t>Alarme de Estado em Ponto Telessinalizado SB</t>
        </is>
      </c>
      <c r="L563" s="69">
        <f>VLOOKUP(LinkTable6789[[#This Row],[Coluna1]],[4]AlarmCatalog!$A:$M,11,FALSE)</f>
        <v/>
      </c>
    </row>
    <row r="564" ht="16.5" customFormat="1" customHeight="1" s="67">
      <c r="A564" s="68" t="inlineStr">
        <is>
          <t>null@null___DESLIGADA@LIGADA___Custom___INV_S_TS_SB</t>
        </is>
      </c>
      <c r="B564" s="68" t="inlineStr"/>
      <c r="C564" s="68" t="inlineStr">
        <is>
          <t>Transit;DESLIGADA;LIGADA;Error</t>
        </is>
      </c>
      <c r="D564" s="68" t="inlineStr">
        <is>
          <t>0;1;2;3</t>
        </is>
      </c>
      <c r="E564" s="68" t="inlineStr">
        <is>
          <t>2;1;0;3</t>
        </is>
      </c>
      <c r="F564" s="68" t="inlineStr">
        <is>
          <t>;;;</t>
        </is>
      </c>
      <c r="G564" s="68" t="inlineStr">
        <is>
          <t>#FF000000;#FF00FF00;#FFFF0000;#FFA9A9A9</t>
        </is>
      </c>
      <c r="H564" s="68" t="inlineStr">
        <is>
          <t>Abnormal;Auto;Auto;Abnormal</t>
        </is>
      </c>
      <c r="I564" s="68" t="inlineStr">
        <is>
          <t>FALSE;TRUE;TRUE;FALSE</t>
        </is>
      </c>
      <c r="J564" s="68" t="inlineStr">
        <is>
          <t>Alarme de Estado em Ponto Telessinalizado SB</t>
        </is>
      </c>
      <c r="K564" s="69" t="inlineStr">
        <is>
          <t>Alarme de Estado em Ponto Telessinalizado SB</t>
        </is>
      </c>
      <c r="L564" s="69">
        <f>VLOOKUP(LinkTable6789[[#This Row],[Coluna1]],[4]AlarmCatalog!$A:$M,11,FALSE)</f>
        <v/>
      </c>
    </row>
    <row r="565" ht="16.5" customFormat="1" customHeight="1" s="67">
      <c r="A565" s="68" t="inlineStr">
        <is>
          <t>null@null___ATIVOU@INIBIU___Custom_S_TS_SB</t>
        </is>
      </c>
      <c r="B565" s="68" t="inlineStr"/>
      <c r="C565" s="68" t="inlineStr">
        <is>
          <t>Transit;ATIVOU;INIBIU;Error</t>
        </is>
      </c>
      <c r="D565" s="68" t="inlineStr">
        <is>
          <t>0;1;2;3</t>
        </is>
      </c>
      <c r="E565" s="68" t="inlineStr">
        <is>
          <t>2;0;1;3</t>
        </is>
      </c>
      <c r="F565" s="68" t="inlineStr">
        <is>
          <t>;;;</t>
        </is>
      </c>
      <c r="G565" s="68" t="inlineStr">
        <is>
          <t>#FF000000;#FF00FF00;#FFFF0000;#FFA9A9A9</t>
        </is>
      </c>
      <c r="H565" s="68" t="inlineStr">
        <is>
          <t>Abnormal;Auto;Auto;Abnormal</t>
        </is>
      </c>
      <c r="I565" s="68" t="inlineStr">
        <is>
          <t>FALSE;TRUE;TRUE;FALSE</t>
        </is>
      </c>
      <c r="J565" s="68" t="inlineStr">
        <is>
          <t>Alarme de Estado em Ponto Telessinalizado SB</t>
        </is>
      </c>
      <c r="K565" s="69" t="inlineStr">
        <is>
          <t>Alarme de Estado em Ponto Telessinalizado SB</t>
        </is>
      </c>
      <c r="L565" s="69">
        <f>VLOOKUP(LinkTable6789[[#This Row],[Coluna1]],[4]AlarmCatalog!$A:$M,11,FALSE)</f>
        <v/>
      </c>
    </row>
    <row r="566" ht="16.5" customFormat="1" customHeight="1" s="67">
      <c r="A566" s="68" t="inlineStr">
        <is>
          <t>null@null___NORMAL@FALHA___Custom_D_TS_SB</t>
        </is>
      </c>
      <c r="B566" s="68" t="inlineStr"/>
      <c r="C566" s="68" t="inlineStr">
        <is>
          <t>Invalido;NORMAL;FALHA;Error</t>
        </is>
      </c>
      <c r="D566" s="68" t="inlineStr">
        <is>
          <t>0;1;2;3</t>
        </is>
      </c>
      <c r="E566" s="68" t="inlineStr">
        <is>
          <t>0;1;2;3</t>
        </is>
      </c>
      <c r="F566" s="68" t="inlineStr">
        <is>
          <t>;;;</t>
        </is>
      </c>
      <c r="G566" s="68" t="inlineStr">
        <is>
          <t>#FF000000;#FF00FF00;#FFFF0000;#FFA9A9A9</t>
        </is>
      </c>
      <c r="H566" s="68" t="inlineStr">
        <is>
          <t>Abnormal;Auto;Auto;Abnormal</t>
        </is>
      </c>
      <c r="I566" s="68" t="inlineStr">
        <is>
          <t>FALSE;TRUE;TRUE;FALSE</t>
        </is>
      </c>
      <c r="J566" s="68" t="inlineStr">
        <is>
          <t>Alarme de Estado em Ponto Telessinalizado SB</t>
        </is>
      </c>
      <c r="K566" s="69" t="inlineStr">
        <is>
          <t>Alarme de Estado em Ponto Telessinalizado SB</t>
        </is>
      </c>
      <c r="L566" s="69">
        <f>VLOOKUP(LinkTable6789[[#This Row],[Coluna1]],[4]AlarmCatalog!$A:$M,11,FALSE)</f>
        <v/>
      </c>
    </row>
    <row r="567" ht="16.5" customFormat="1" customHeight="1" s="67">
      <c r="A567" s="70" t="inlineStr">
        <is>
          <t>null@null___EXTRAIDO@INSERIDO___Custom_S_TS_SI</t>
        </is>
      </c>
      <c r="B567" s="68" t="inlineStr"/>
      <c r="C567" s="68" t="inlineStr">
        <is>
          <t>Transit;EXTRAIDO;INSERIDO;Error</t>
        </is>
      </c>
      <c r="D567" s="68" t="inlineStr">
        <is>
          <t>0;1;2;3</t>
        </is>
      </c>
      <c r="E567" s="68" t="inlineStr">
        <is>
          <t>2;0;1;3</t>
        </is>
      </c>
      <c r="F567" s="68" t="inlineStr">
        <is>
          <t>;;;</t>
        </is>
      </c>
      <c r="G567" s="68" t="inlineStr">
        <is>
          <t>#FF000000;#FF00FF00;#FFFF0000;#FFA9A9A9</t>
        </is>
      </c>
      <c r="H567" s="68" t="inlineStr">
        <is>
          <t>Abnormal;Auto;Auto;Abnormal</t>
        </is>
      </c>
      <c r="I567" s="68" t="inlineStr">
        <is>
          <t>FALSE;TRUE;TRUE;FALSE</t>
        </is>
      </c>
      <c r="J567" s="68" t="inlineStr">
        <is>
          <t>Alarme de Estado em Ponto Telessinalizado SB</t>
        </is>
      </c>
      <c r="K567" s="69" t="inlineStr">
        <is>
          <t>Alarme de Estado em Ponto Telessinalizado SI</t>
        </is>
      </c>
      <c r="L567" s="69">
        <f>VLOOKUP(LinkTable6789[[#This Row],[Coluna1]],[4]AlarmCatalog!$A:$M,11,FALSE)</f>
        <v/>
      </c>
    </row>
    <row r="568" ht="16.5" customFormat="1" customHeight="1" s="67">
      <c r="A568" s="68" t="inlineStr">
        <is>
          <t>DESLIGAR@LIGAR___DESLIGADO@LIGADO___Custom_D_TS_SB</t>
        </is>
      </c>
      <c r="B568" s="68" t="inlineStr"/>
      <c r="C568" s="68" t="inlineStr">
        <is>
          <t>Transit;DESLIGADO;LIGADO;Error</t>
        </is>
      </c>
      <c r="D568" s="68" t="inlineStr">
        <is>
          <t>0;1;2;3</t>
        </is>
      </c>
      <c r="E568" s="68" t="inlineStr">
        <is>
          <t>0;1;2;3</t>
        </is>
      </c>
      <c r="F568" s="68" t="inlineStr">
        <is>
          <t>;;;</t>
        </is>
      </c>
      <c r="G568" s="68" t="inlineStr">
        <is>
          <t>#FF000000;#FF00FF00;#FFFF0000;#FFA9A9A9</t>
        </is>
      </c>
      <c r="H568" s="68" t="inlineStr">
        <is>
          <t>Abnormal;Abnormal;Normal;Abnormal</t>
        </is>
      </c>
      <c r="I568" s="68" t="inlineStr">
        <is>
          <t>FALSE;TRUE;TRUE;FALSE</t>
        </is>
      </c>
      <c r="J568" s="68" t="inlineStr">
        <is>
          <t>Alarme de Estado em Ponto Telessinalizado SB</t>
        </is>
      </c>
      <c r="K568" s="69" t="inlineStr">
        <is>
          <t>Alarme de Estado em Ponto Telessinalizado SB</t>
        </is>
      </c>
      <c r="L568" s="69">
        <f>VLOOKUP(LinkTable6789[[#This Row],[Coluna1]],[4]AlarmCatalog!$A:$M,11,FALSE)</f>
        <v/>
      </c>
    </row>
    <row r="569" ht="16.5" customFormat="1" customHeight="1" s="67">
      <c r="A569" s="68" t="inlineStr">
        <is>
          <t>null@null___EXTRAIDA@INSERIDA___Custom_S_TS_SB</t>
        </is>
      </c>
      <c r="B569" s="68" t="inlineStr"/>
      <c r="C569" s="68" t="inlineStr">
        <is>
          <t>Transit;EXTRAIDA;INSERIDA;Error</t>
        </is>
      </c>
      <c r="D569" s="68" t="inlineStr">
        <is>
          <t>0;1;2;3</t>
        </is>
      </c>
      <c r="E569" s="68" t="inlineStr">
        <is>
          <t>2;0;1;3</t>
        </is>
      </c>
      <c r="F569" s="68" t="inlineStr">
        <is>
          <t>;;;</t>
        </is>
      </c>
      <c r="G569" s="68" t="inlineStr">
        <is>
          <t>#FF000000;#FF00FF00;#FFFF0000;#FFA9A9A9</t>
        </is>
      </c>
      <c r="H569" s="68" t="inlineStr">
        <is>
          <t>Abnormal;Auto;Auto;Abnormal</t>
        </is>
      </c>
      <c r="I569" s="68" t="inlineStr">
        <is>
          <t>FALSE;TRUE;TRUE;FALSE</t>
        </is>
      </c>
      <c r="J569" s="68" t="inlineStr">
        <is>
          <t>Alarme de Estado em Ponto Telessinalizado SB</t>
        </is>
      </c>
      <c r="K569" s="69" t="inlineStr">
        <is>
          <t>Alarme de Estado em Ponto Telessinalizado SB</t>
        </is>
      </c>
      <c r="L569" s="69">
        <f>VLOOKUP(LinkTable6789[[#This Row],[Coluna1]],[4]AlarmCatalog!$A:$M,11,FALSE)</f>
        <v/>
      </c>
    </row>
    <row r="570" ht="16.5" customFormat="1" customHeight="1" s="67">
      <c r="A570" s="68" t="inlineStr">
        <is>
          <t>null@null___DESLIGADO@LIGADO___Custom___INV_S_TS_SB</t>
        </is>
      </c>
      <c r="B570" s="68" t="inlineStr"/>
      <c r="C570" s="68" t="inlineStr">
        <is>
          <t>Transit;DESLIGADO;LIGADO;Error</t>
        </is>
      </c>
      <c r="D570" s="68" t="inlineStr">
        <is>
          <t>0;1;2;3</t>
        </is>
      </c>
      <c r="E570" s="68" t="inlineStr">
        <is>
          <t>2;1;0;3</t>
        </is>
      </c>
      <c r="F570" s="68" t="inlineStr">
        <is>
          <t>;DESLIGAR;LIGAR;</t>
        </is>
      </c>
      <c r="G570" s="68" t="inlineStr">
        <is>
          <t>#FF000000;#FF00FF00;#FFFF0000;#FFA9A9A9</t>
        </is>
      </c>
      <c r="H570" s="68" t="inlineStr">
        <is>
          <t>Abnormal;Auto;Auto;Abnormal</t>
        </is>
      </c>
      <c r="I570" s="68" t="inlineStr">
        <is>
          <t>FALSE;TRUE;TRUE;FALSE</t>
        </is>
      </c>
      <c r="J570" s="68" t="inlineStr">
        <is>
          <t>Alarme de Estado em Ponto Telessinalizado SB</t>
        </is>
      </c>
      <c r="K570" s="69" t="inlineStr">
        <is>
          <t>Alarme de Estado em Ponto Telessinalizado SB</t>
        </is>
      </c>
      <c r="L570" s="69">
        <f>VLOOKUP(LinkTable6789[[#This Row],[Coluna1]],[4]AlarmCatalog!$A:$M,11,FALSE)</f>
        <v/>
      </c>
    </row>
    <row r="571" ht="16.5" customFormat="1" customHeight="1" s="67">
      <c r="A571" s="68" t="inlineStr">
        <is>
          <t>null@null___FALHA@OPERANDO___Custom___INV_S_TS_DB</t>
        </is>
      </c>
      <c r="B571" s="68" t="inlineStr"/>
      <c r="C571" s="68" t="inlineStr">
        <is>
          <t>Transit;FALHA;OPERANDO;Error</t>
        </is>
      </c>
      <c r="D571" s="68" t="inlineStr">
        <is>
          <t>0;1;2;3</t>
        </is>
      </c>
      <c r="E571" s="68" t="inlineStr">
        <is>
          <t>2;1;0;3</t>
        </is>
      </c>
      <c r="F571" s="68" t="inlineStr">
        <is>
          <t>;;;</t>
        </is>
      </c>
      <c r="G571" s="68" t="inlineStr">
        <is>
          <t>#FF000000;#FF00FF00;#FFFF0000;#FFA9A9A9</t>
        </is>
      </c>
      <c r="H571" s="68" t="inlineStr">
        <is>
          <t>Abnormal;Auto;Auto;Abnormal</t>
        </is>
      </c>
      <c r="I571" s="68" t="inlineStr">
        <is>
          <t>FALSE;TRUE;TRUE;FALSE</t>
        </is>
      </c>
      <c r="J571" s="68" t="inlineStr">
        <is>
          <t>Alarme de Estado em Ponto Telessinalizado DB</t>
        </is>
      </c>
      <c r="K571" s="69" t="inlineStr">
        <is>
          <t>Alarme de Estado em Ponto Telessinalizado DB</t>
        </is>
      </c>
      <c r="L571" s="69">
        <f>VLOOKUP(LinkTable6789[[#This Row],[Coluna1]],[4]AlarmCatalog!$A:$M,11,FALSE)</f>
        <v/>
      </c>
    </row>
    <row r="572" ht="16.5" customFormat="1" customHeight="1" s="67">
      <c r="A572" s="68" t="inlineStr">
        <is>
          <t>null@null___LIBERADO@BLOQUEADO___Custom___INV_S_TS_SB</t>
        </is>
      </c>
      <c r="B572" s="68" t="inlineStr"/>
      <c r="C572" s="68" t="inlineStr">
        <is>
          <t>Transit;LIBERADO;BLOQUEADO;Error</t>
        </is>
      </c>
      <c r="D572" s="68" t="inlineStr">
        <is>
          <t>0;1;2;3</t>
        </is>
      </c>
      <c r="E572" s="68" t="inlineStr">
        <is>
          <t>2;1;0;3</t>
        </is>
      </c>
      <c r="F572" s="68" t="inlineStr">
        <is>
          <t>;;;</t>
        </is>
      </c>
      <c r="G572" s="68" t="inlineStr">
        <is>
          <t>#FF000000;#FF00FF00;#FFFF0000;#FFA9A9A9</t>
        </is>
      </c>
      <c r="H572" s="68" t="inlineStr">
        <is>
          <t>Abnormal;Auto;Auto;Abnormal</t>
        </is>
      </c>
      <c r="I572" s="68" t="inlineStr">
        <is>
          <t>FALSE;TRUE;TRUE;FALSE</t>
        </is>
      </c>
      <c r="J572" s="68" t="inlineStr">
        <is>
          <t>Alarme de Estado em Ponto Telessinalizado SB</t>
        </is>
      </c>
      <c r="K572" s="69" t="inlineStr">
        <is>
          <t>Alarme de Estado em Ponto Telessinalizado SB</t>
        </is>
      </c>
      <c r="L572" s="69">
        <f>VLOOKUP(LinkTable6789[[#This Row],[Coluna1]],[4]AlarmCatalog!$A:$M,11,FALSE)</f>
        <v/>
      </c>
    </row>
    <row r="573" ht="16.5" customFormat="1" customHeight="1" s="67">
      <c r="A573" s="68" t="inlineStr">
        <is>
          <t>EXTRAIR@INSERIR___EXTRAIDO@INSERIDO___Custom___INV_S_TC_SB</t>
        </is>
      </c>
      <c r="B573" s="68" t="inlineStr"/>
      <c r="C573" s="68" t="inlineStr">
        <is>
          <t>Transit;EXTRAIDO;INSERIDO;Error</t>
        </is>
      </c>
      <c r="D573" s="68" t="inlineStr">
        <is>
          <t>0;1;2;3</t>
        </is>
      </c>
      <c r="E573" s="68" t="inlineStr">
        <is>
          <t>2;1;0;3</t>
        </is>
      </c>
      <c r="F573" s="68" t="inlineStr">
        <is>
          <t>;EXTRAIR;INSERIR;</t>
        </is>
      </c>
      <c r="G573" s="68" t="inlineStr">
        <is>
          <t>#FF000000;#FF00FF00;#FFFF0000;#FFA9A9A9</t>
        </is>
      </c>
      <c r="H573" s="68" t="inlineStr">
        <is>
          <t>Abnormal;Auto;Auto;Abnormal</t>
        </is>
      </c>
      <c r="I573" s="68" t="inlineStr">
        <is>
          <t>FALSE;TRUE;TRUE;FALSE</t>
        </is>
      </c>
      <c r="J573" s="68" t="inlineStr">
        <is>
          <t>Alarme de Estado em Ponto Telecontrolado SB</t>
        </is>
      </c>
      <c r="K573" s="69" t="inlineStr">
        <is>
          <t>Alarme de Estado em Ponto Telecontrolado SB</t>
        </is>
      </c>
      <c r="L573" s="69">
        <f>VLOOKUP(LinkTable6789[[#This Row],[Coluna1]],[4]AlarmCatalog!$A:$M,11,FALSE)</f>
        <v/>
      </c>
    </row>
    <row r="574" ht="16.5" customFormat="1" customHeight="1" s="67">
      <c r="A574" s="68" t="inlineStr">
        <is>
          <t>null@null___NORMAL@ATUADO___Custom_D_TS_SB</t>
        </is>
      </c>
      <c r="B574" s="68" t="inlineStr"/>
      <c r="C574" s="68" t="inlineStr">
        <is>
          <t>Transit;NORMAL;ATUADO;Error</t>
        </is>
      </c>
      <c r="D574" s="68" t="inlineStr">
        <is>
          <t>0;1;2;3</t>
        </is>
      </c>
      <c r="E574" s="68" t="inlineStr">
        <is>
          <t>0;1;2;3</t>
        </is>
      </c>
      <c r="F574" s="68" t="inlineStr">
        <is>
          <t>;;;</t>
        </is>
      </c>
      <c r="G574" s="68" t="inlineStr">
        <is>
          <t>#FF000000;#FF00FF00;#FFFF0000;#FFA9A9A9</t>
        </is>
      </c>
      <c r="H574" s="68" t="inlineStr">
        <is>
          <t>Abnormal;Auto;Auto;Abnormal</t>
        </is>
      </c>
      <c r="I574" s="68" t="inlineStr">
        <is>
          <t>FALSE;TRUE;TRUE;FALSE</t>
        </is>
      </c>
      <c r="J574" s="68" t="inlineStr">
        <is>
          <t>Alarme de Estado em Ponto Telessinalizado SB</t>
        </is>
      </c>
      <c r="K574" s="69" t="inlineStr">
        <is>
          <t>Alarme de Estado em Ponto Telessinalizado SB</t>
        </is>
      </c>
      <c r="L574" s="69">
        <f>VLOOKUP(LinkTable6789[[#This Row],[Coluna1]],[4]AlarmCatalog!$A:$M,11,FALSE)</f>
        <v/>
      </c>
    </row>
    <row r="575" ht="16.5" customFormat="1" customHeight="1" s="67">
      <c r="A575" s="68" t="inlineStr">
        <is>
          <t>null@null___EXTRAIDO@INSERIDO___Custom___INV_S_TC_SB</t>
        </is>
      </c>
      <c r="B575" s="68" t="inlineStr"/>
      <c r="C575" s="68" t="inlineStr">
        <is>
          <t>Transit;EXTRAIDO;INSERIDO;Error</t>
        </is>
      </c>
      <c r="D575" s="68" t="inlineStr">
        <is>
          <t>0;1;2;3</t>
        </is>
      </c>
      <c r="E575" s="68" t="inlineStr">
        <is>
          <t>2;1;0;3</t>
        </is>
      </c>
      <c r="F575" s="68" t="inlineStr">
        <is>
          <t>;;;</t>
        </is>
      </c>
      <c r="G575" s="68" t="inlineStr">
        <is>
          <t>#FF000000;#FF00FF00;#FFFF0000;#FFA9A9A9</t>
        </is>
      </c>
      <c r="H575" s="68" t="inlineStr">
        <is>
          <t>Abnormal;Auto;Auto;Abnormal</t>
        </is>
      </c>
      <c r="I575" s="68" t="inlineStr">
        <is>
          <t>FALSE;TRUE;TRUE;FALSE</t>
        </is>
      </c>
      <c r="J575" s="68" t="inlineStr">
        <is>
          <t>Alarme de Estado em Ponto Telecontrolado SB</t>
        </is>
      </c>
      <c r="K575" s="69" t="inlineStr">
        <is>
          <t>Alarme de Estado em Ponto Telecontrolado SB</t>
        </is>
      </c>
      <c r="L575" s="69">
        <f>VLOOKUP(LinkTable6789[[#This Row],[Coluna1]],[4]AlarmCatalog!$A:$M,11,FALSE)</f>
        <v/>
      </c>
    </row>
    <row r="576" ht="16.5" customFormat="1" customHeight="1" s="67">
      <c r="A576" s="68" t="inlineStr">
        <is>
          <t>DI_UNIDIRECIONAL@BIDIRECIONAL___UNIDIRECIONAL@INVERSO___Custom_S_TS_DBx</t>
        </is>
      </c>
      <c r="B576" s="68" t="inlineStr"/>
      <c r="C576" s="68" t="inlineStr">
        <is>
          <t>Transit;FLUXO NORMAL;FLUXO INVERSO;Error</t>
        </is>
      </c>
      <c r="D576" s="68" t="inlineStr">
        <is>
          <t>0;1;2;3</t>
        </is>
      </c>
      <c r="E576" s="68" t="inlineStr">
        <is>
          <t>2;0;1;3</t>
        </is>
      </c>
      <c r="F576" s="68" t="inlineStr">
        <is>
          <t>;;;</t>
        </is>
      </c>
      <c r="G576" s="68" t="inlineStr">
        <is>
          <t>#FF000000;#FF00FF00;#FFFF0000;#FFA9A9A9</t>
        </is>
      </c>
      <c r="H576" s="68" t="inlineStr">
        <is>
          <t>Abnormal;Auto;Auto;Abnormal</t>
        </is>
      </c>
      <c r="I576" s="68" t="inlineStr">
        <is>
          <t>FALSE;TRUE;TRUE;FALSE</t>
        </is>
      </c>
      <c r="J576" s="68" t="inlineStr">
        <is>
          <t>Alarme de Estado em Ponto Telessinalizado DBx</t>
        </is>
      </c>
      <c r="K576" s="69" t="inlineStr">
        <is>
          <t>Alarme de Estado em Ponto Telessinalizado DBx</t>
        </is>
      </c>
      <c r="L576" s="69">
        <f>VLOOKUP(LinkTable6789[[#This Row],[Coluna1]],[4]AlarmCatalog!$A:$M,11,FALSE)</f>
        <v/>
      </c>
    </row>
    <row r="577" ht="16.5" customFormat="1" customHeight="1" s="67">
      <c r="A577" s="68" t="inlineStr">
        <is>
          <t>DI_null@null___NORMAL@DEFEITO___Custom_S_TS_DBx</t>
        </is>
      </c>
      <c r="B577" s="68" t="inlineStr"/>
      <c r="C577" s="68" t="inlineStr">
        <is>
          <t>Transit;NORMAL;DEFEITO;Error</t>
        </is>
      </c>
      <c r="D577" s="68" t="inlineStr">
        <is>
          <t>0;1;2;3</t>
        </is>
      </c>
      <c r="E577" s="68" t="inlineStr">
        <is>
          <t>2;0;1;3</t>
        </is>
      </c>
      <c r="F577" s="68" t="inlineStr">
        <is>
          <t>;;;</t>
        </is>
      </c>
      <c r="G577" s="68" t="inlineStr">
        <is>
          <t>#FF000000;#FF00FF00;#FFFF0000;#FFA9A9A9</t>
        </is>
      </c>
      <c r="H577" s="68" t="inlineStr">
        <is>
          <t>Abnormal;Auto;Auto;Abnormal</t>
        </is>
      </c>
      <c r="I577" s="68" t="inlineStr">
        <is>
          <t>FALSE;TRUE;TRUE;FALSE</t>
        </is>
      </c>
      <c r="J577" s="68" t="inlineStr">
        <is>
          <t>Alarme de Estado em Ponto Telessinalizado DBx</t>
        </is>
      </c>
      <c r="K577" s="69" t="inlineStr">
        <is>
          <t>Alarme de Estado em Ponto Telessinalizado DBx</t>
        </is>
      </c>
      <c r="L577" s="69">
        <f>VLOOKUP(LinkTable6789[[#This Row],[Coluna1]],[4]AlarmCatalog!$A:$M,11,FALSE)</f>
        <v/>
      </c>
    </row>
    <row r="578" ht="16.5" customFormat="1" customHeight="1" s="67">
      <c r="A578" s="68" t="inlineStr">
        <is>
          <t>DI_null@null___NORMAL@BLOQUEIO___Custom_S_TS_DBx</t>
        </is>
      </c>
      <c r="B578" s="68" t="inlineStr"/>
      <c r="C578" s="68" t="inlineStr">
        <is>
          <t>Transit;NORMAL;BLOQUEIO;Error</t>
        </is>
      </c>
      <c r="D578" s="68" t="inlineStr">
        <is>
          <t>0;1;2;3</t>
        </is>
      </c>
      <c r="E578" s="68" t="inlineStr">
        <is>
          <t>2;0;1;3</t>
        </is>
      </c>
      <c r="F578" s="68" t="inlineStr">
        <is>
          <t>;;;</t>
        </is>
      </c>
      <c r="G578" s="68" t="inlineStr">
        <is>
          <t>#FF000000;#FF00FF00;#FFFF0000;#FFA9A9A9</t>
        </is>
      </c>
      <c r="H578" s="68" t="inlineStr">
        <is>
          <t>Abnormal;Auto;Auto;Abnormal</t>
        </is>
      </c>
      <c r="I578" s="68" t="inlineStr">
        <is>
          <t>FALSE;TRUE;TRUE;FALSE</t>
        </is>
      </c>
      <c r="J578" s="68" t="inlineStr">
        <is>
          <t>Alarme de Estado em Ponto Telessinalizado DBx</t>
        </is>
      </c>
      <c r="K578" s="69" t="inlineStr">
        <is>
          <t>Alarme de Estado em Ponto Telessinalizado DBx</t>
        </is>
      </c>
      <c r="L578" s="69">
        <f>VLOOKUP(LinkTable6789[[#This Row],[Coluna1]],[4]AlarmCatalog!$A:$M,11,FALSE)</f>
        <v/>
      </c>
    </row>
    <row r="579" ht="16.5" customFormat="1" customHeight="1" s="67">
      <c r="A579" s="68" t="inlineStr">
        <is>
          <t>null@null___NORMAL@FALHA___Custom___INV_S_TS_SBx</t>
        </is>
      </c>
      <c r="B579" s="68" t="inlineStr"/>
      <c r="C579" s="68" t="inlineStr">
        <is>
          <t>Transit;NORMAL;FALHA;Error</t>
        </is>
      </c>
      <c r="D579" s="68" t="inlineStr">
        <is>
          <t>0;1;2;3</t>
        </is>
      </c>
      <c r="E579" s="68" t="inlineStr">
        <is>
          <t>2;1;0;3</t>
        </is>
      </c>
      <c r="F579" s="68" t="inlineStr">
        <is>
          <t>;;;</t>
        </is>
      </c>
      <c r="G579" s="68" t="inlineStr">
        <is>
          <t>#FF000000;#FF00FF00;#FFFF0000;#FFA9A9A9</t>
        </is>
      </c>
      <c r="H579" s="68" t="inlineStr">
        <is>
          <t>Abnormal;Auto;Auto;Abnormal</t>
        </is>
      </c>
      <c r="I579" s="68" t="inlineStr">
        <is>
          <t>FALSE;TRUE;TRUE;FALSE</t>
        </is>
      </c>
      <c r="J579" s="68" t="inlineStr">
        <is>
          <t>Alarme de Estado em Ponto Telessinalizado SBx</t>
        </is>
      </c>
      <c r="K579" s="69" t="inlineStr">
        <is>
          <t>Alarme de Estado em Ponto Telessinalizado SBx</t>
        </is>
      </c>
      <c r="L579" s="69">
        <f>VLOOKUP(LinkTable6789[[#This Row],[Coluna1]],[4]AlarmCatalog!$A:$M,11,FALSE)</f>
        <v/>
      </c>
    </row>
    <row r="580" ht="16.5" customFormat="1" customHeight="1" s="67">
      <c r="A580" s="68" t="inlineStr">
        <is>
          <t>DI_null@null___NORMAL@BAIXA___Custom_S_TS_DBx</t>
        </is>
      </c>
      <c r="B580" s="68" t="inlineStr"/>
      <c r="C580" s="68" t="inlineStr">
        <is>
          <t>Transit;NORMAL;BAIXA;Error</t>
        </is>
      </c>
      <c r="D580" s="68" t="inlineStr">
        <is>
          <t>0;1;2;3</t>
        </is>
      </c>
      <c r="E580" s="68" t="inlineStr">
        <is>
          <t>2;0;1;3</t>
        </is>
      </c>
      <c r="F580" s="68" t="inlineStr">
        <is>
          <t>;;;</t>
        </is>
      </c>
      <c r="G580" s="68" t="inlineStr">
        <is>
          <t>#FF000000;#FF00FF00;#FFFF0000;#FFA9A9A9</t>
        </is>
      </c>
      <c r="H580" s="68" t="inlineStr">
        <is>
          <t>Abnormal;Auto;Auto;Abnormal</t>
        </is>
      </c>
      <c r="I580" s="68" t="inlineStr">
        <is>
          <t>FALSE;TRUE;TRUE;FALSE</t>
        </is>
      </c>
      <c r="J580" s="68" t="inlineStr">
        <is>
          <t>Alarme de Estado em Ponto Telessinalizado DBx</t>
        </is>
      </c>
      <c r="K580" s="69" t="inlineStr">
        <is>
          <t>Alarme de Estado em Ponto Telessinalizado DBx</t>
        </is>
      </c>
      <c r="L580" s="69">
        <f>VLOOKUP(LinkTable6789[[#This Row],[Coluna1]],[4]AlarmCatalog!$A:$M,11,FALSE)</f>
        <v/>
      </c>
    </row>
    <row r="581" ht="16.5" customFormat="1" customHeight="1" s="67">
      <c r="A581" s="68" t="inlineStr">
        <is>
          <t>DI_null@null___NORMAL@ATUADO___Malfunctioning_S_TS_DBx</t>
        </is>
      </c>
      <c r="B581" s="68" t="inlineStr"/>
      <c r="C581" s="68" t="inlineStr">
        <is>
          <t>Transit;NORMAL;ATUADO;Error</t>
        </is>
      </c>
      <c r="D581" s="68" t="inlineStr">
        <is>
          <t>0;1;2;3</t>
        </is>
      </c>
      <c r="E581" s="68" t="inlineStr">
        <is>
          <t>2;0;1;3</t>
        </is>
      </c>
      <c r="F581" s="68" t="inlineStr">
        <is>
          <t>;;;</t>
        </is>
      </c>
      <c r="G581" s="68" t="inlineStr">
        <is>
          <t>#FF000000;#FF00FF00;#FFFF0000;#FFA9A9A9</t>
        </is>
      </c>
      <c r="H581" s="68" t="inlineStr">
        <is>
          <t>Abnormal;Auto;Auto;Abnormal</t>
        </is>
      </c>
      <c r="I581" s="68" t="inlineStr">
        <is>
          <t>FALSE;TRUE;TRUE;FALSE</t>
        </is>
      </c>
      <c r="J581" s="68" t="inlineStr">
        <is>
          <t>Alarme de Estado em Ponto Telessinalizado DBx</t>
        </is>
      </c>
      <c r="K581" s="69" t="inlineStr">
        <is>
          <t>Alarme de Estado em Ponto Telessinalizado DBx</t>
        </is>
      </c>
      <c r="L581" s="69">
        <f>VLOOKUP(LinkTable6789[[#This Row],[Coluna1]],[4]AlarmCatalog!$A:$M,11,FALSE)</f>
        <v/>
      </c>
    </row>
    <row r="582" ht="16.5" customFormat="1" customHeight="1" s="67">
      <c r="A582" s="68" t="inlineStr">
        <is>
          <t>DI_null@null___NORMAL@ATUADO___Custom_S_TS_DBx</t>
        </is>
      </c>
      <c r="B582" s="68" t="inlineStr"/>
      <c r="C582" s="68" t="inlineStr">
        <is>
          <t>Transit;NORMAL;ATUADO;Error</t>
        </is>
      </c>
      <c r="D582" s="68" t="inlineStr">
        <is>
          <t>0;1;2;3</t>
        </is>
      </c>
      <c r="E582" s="68" t="inlineStr">
        <is>
          <t>2;0;1;3</t>
        </is>
      </c>
      <c r="F582" s="68" t="inlineStr">
        <is>
          <t>;;;</t>
        </is>
      </c>
      <c r="G582" s="68" t="inlineStr">
        <is>
          <t>#FF000000;#FF00FF00;#FFFF0000;#FFA9A9A9</t>
        </is>
      </c>
      <c r="H582" s="68" t="inlineStr">
        <is>
          <t>Abnormal;Auto;Auto;Abnormal</t>
        </is>
      </c>
      <c r="I582" s="68" t="inlineStr">
        <is>
          <t>FALSE;TRUE;TRUE;FALSE</t>
        </is>
      </c>
      <c r="J582" s="68" t="inlineStr">
        <is>
          <t>Alarme de Estado em Ponto Telessinalizado DBx</t>
        </is>
      </c>
      <c r="K582" s="69" t="inlineStr">
        <is>
          <t>Alarme de Estado em Ponto Telessinalizado DBx</t>
        </is>
      </c>
      <c r="L582" s="69">
        <f>VLOOKUP(LinkTable6789[[#This Row],[Coluna1]],[4]AlarmCatalog!$A:$M,11,FALSE)</f>
        <v/>
      </c>
    </row>
    <row r="583" ht="16.5" customFormat="1" customHeight="1" s="67">
      <c r="A583" s="68" t="inlineStr">
        <is>
          <t>null@null___NORMAL@NORMAL___Custom_S_TS_SBx</t>
        </is>
      </c>
      <c r="B583" s="68" t="inlineStr"/>
      <c r="C583" s="68" t="inlineStr">
        <is>
          <t>Transit;NORMAL;NORMAL;Error</t>
        </is>
      </c>
      <c r="D583" s="68" t="inlineStr">
        <is>
          <t>0;1;2;3</t>
        </is>
      </c>
      <c r="E583" s="68" t="inlineStr">
        <is>
          <t>2;0;1;3</t>
        </is>
      </c>
      <c r="F583" s="68" t="inlineStr">
        <is>
          <t>;;;</t>
        </is>
      </c>
      <c r="G583" s="68" t="inlineStr">
        <is>
          <t>#FF000000;#FF00FF00;#FFFF0000;#FFA9A9A9</t>
        </is>
      </c>
      <c r="H583" s="68" t="inlineStr">
        <is>
          <t>Abnormal;Auto;Auto;Abnormal</t>
        </is>
      </c>
      <c r="I583" s="68" t="inlineStr">
        <is>
          <t>FALSE;TRUE;TRUE;FALSE</t>
        </is>
      </c>
      <c r="J583" s="68" t="inlineStr">
        <is>
          <t>Alarme de Estado em Ponto Telessinalizado SBx</t>
        </is>
      </c>
      <c r="K583" s="69" t="inlineStr">
        <is>
          <t>Alarme de Estado em Ponto Telessinalizado SBx</t>
        </is>
      </c>
      <c r="L583" s="69">
        <f>VLOOKUP(LinkTable6789[[#This Row],[Coluna1]],[4]AlarmCatalog!$A:$M,11,FALSE)</f>
        <v/>
      </c>
    </row>
    <row r="584" ht="16.5" customFormat="1" customHeight="1" s="67">
      <c r="A584" s="68" t="inlineStr">
        <is>
          <t>null@null___NORMAL@FALHA___Custom_S_TS_SBx</t>
        </is>
      </c>
      <c r="B584" s="68" t="inlineStr"/>
      <c r="C584" s="68" t="inlineStr">
        <is>
          <t>Transit;NORMAL;FALHA;Error</t>
        </is>
      </c>
      <c r="D584" s="68" t="inlineStr">
        <is>
          <t>0;1;2;3</t>
        </is>
      </c>
      <c r="E584" s="68" t="inlineStr">
        <is>
          <t>2;0;1;3</t>
        </is>
      </c>
      <c r="F584" s="68" t="inlineStr">
        <is>
          <t>;;;</t>
        </is>
      </c>
      <c r="G584" s="68" t="inlineStr">
        <is>
          <t>#FF000000;#FF00FF00;#FFFF0000;#FFA9A9A9</t>
        </is>
      </c>
      <c r="H584" s="68" t="inlineStr">
        <is>
          <t>Abnormal;Auto;Auto;Abnormal</t>
        </is>
      </c>
      <c r="I584" s="68" t="inlineStr">
        <is>
          <t>FALSE;TRUE;TRUE;FALSE</t>
        </is>
      </c>
      <c r="J584" s="68" t="inlineStr">
        <is>
          <t>Alarme de Estado em Ponto Telessinalizado SBx</t>
        </is>
      </c>
      <c r="K584" s="69" t="inlineStr">
        <is>
          <t>Alarme de Estado em Ponto Telessinalizado SBx</t>
        </is>
      </c>
      <c r="L584" s="69">
        <f>VLOOKUP(LinkTable6789[[#This Row],[Coluna1]],[4]AlarmCatalog!$A:$M,11,FALSE)</f>
        <v/>
      </c>
    </row>
    <row r="585" ht="16.5" customFormat="1" customHeight="1" s="67">
      <c r="A585" s="68" t="inlineStr">
        <is>
          <t>DI_null@null___NORMAL@ALTA___Custom_S_TS_DBx</t>
        </is>
      </c>
      <c r="B585" s="68" t="inlineStr"/>
      <c r="C585" s="68" t="inlineStr">
        <is>
          <t>Transit;NORMAL;ALTA;Error</t>
        </is>
      </c>
      <c r="D585" s="68" t="inlineStr">
        <is>
          <t>0;1;2;3</t>
        </is>
      </c>
      <c r="E585" s="68" t="inlineStr">
        <is>
          <t>2;0;1;3</t>
        </is>
      </c>
      <c r="F585" s="68" t="inlineStr">
        <is>
          <t>;;;</t>
        </is>
      </c>
      <c r="G585" s="68" t="inlineStr">
        <is>
          <t>#FF000000;#FF00FF00;#FFFF0000;#FFA9A9A9</t>
        </is>
      </c>
      <c r="H585" s="68" t="inlineStr">
        <is>
          <t>Abnormal;Auto;Auto;Abnormal</t>
        </is>
      </c>
      <c r="I585" s="68" t="inlineStr">
        <is>
          <t>FALSE;TRUE;TRUE;FALSE</t>
        </is>
      </c>
      <c r="J585" s="68" t="inlineStr">
        <is>
          <t>Alarme de Estado em Ponto Telessinalizado DBx</t>
        </is>
      </c>
      <c r="K585" s="69" t="inlineStr">
        <is>
          <t>Alarme de Estado em Ponto Telessinalizado DBx</t>
        </is>
      </c>
      <c r="L585" s="69">
        <f>VLOOKUP(LinkTable6789[[#This Row],[Coluna1]],[4]AlarmCatalog!$A:$M,11,FALSE)</f>
        <v/>
      </c>
    </row>
    <row r="586" ht="16.5" customFormat="1" customHeight="1" s="67">
      <c r="A586" s="68" t="inlineStr">
        <is>
          <t>DI_null@null___FALHA@OPERANDO___Custom_S_TS_DBx</t>
        </is>
      </c>
      <c r="B586" s="68" t="inlineStr"/>
      <c r="C586" s="68" t="inlineStr">
        <is>
          <t>Transit;FALHA;OPERANDO;Error</t>
        </is>
      </c>
      <c r="D586" s="68" t="inlineStr">
        <is>
          <t>0;1;2;3</t>
        </is>
      </c>
      <c r="E586" s="68" t="inlineStr">
        <is>
          <t>2;0;1;3</t>
        </is>
      </c>
      <c r="F586" s="68" t="inlineStr">
        <is>
          <t>;;;</t>
        </is>
      </c>
      <c r="G586" s="68" t="inlineStr">
        <is>
          <t>#FF000000;#FF00FF00;#FFFF0000;#FFA9A9A9</t>
        </is>
      </c>
      <c r="H586" s="68" t="inlineStr">
        <is>
          <t>Abnormal;Auto;Auto;Abnormal</t>
        </is>
      </c>
      <c r="I586" s="68" t="inlineStr">
        <is>
          <t>FALSE;TRUE;TRUE;FALSE</t>
        </is>
      </c>
      <c r="J586" s="68" t="inlineStr">
        <is>
          <t>Alarme de Estado em Ponto Telessinalizado DBx</t>
        </is>
      </c>
      <c r="K586" s="69" t="inlineStr">
        <is>
          <t>Alarme de Estado em Ponto Telessinalizado DBx</t>
        </is>
      </c>
      <c r="L586" s="69">
        <f>VLOOKUP(LinkTable6789[[#This Row],[Coluna1]],[4]AlarmCatalog!$A:$M,11,FALSE)</f>
        <v/>
      </c>
    </row>
    <row r="587" ht="16.5" customFormat="1" customHeight="1" s="67">
      <c r="A587" s="68" t="inlineStr">
        <is>
          <t>DI_null@null___0@EXECUTADO___Custom_S_TS_DBx</t>
        </is>
      </c>
      <c r="B587" s="68" t="inlineStr"/>
      <c r="C587" s="68" t="inlineStr">
        <is>
          <t>Transit;0;EXECUTADO;Error</t>
        </is>
      </c>
      <c r="D587" s="68" t="inlineStr">
        <is>
          <t>0;1;2;3</t>
        </is>
      </c>
      <c r="E587" s="68" t="inlineStr">
        <is>
          <t>2;0;1;3</t>
        </is>
      </c>
      <c r="F587" s="68" t="inlineStr">
        <is>
          <t>;;;</t>
        </is>
      </c>
      <c r="G587" s="68" t="inlineStr">
        <is>
          <t>#FF000000;#FF00FF00;#FFFF0000;#FFA9A9A9</t>
        </is>
      </c>
      <c r="H587" s="68" t="inlineStr">
        <is>
          <t>Abnormal;Auto;Auto;Abnormal</t>
        </is>
      </c>
      <c r="I587" s="68" t="inlineStr">
        <is>
          <t>FALSE;TRUE;TRUE;FALSE</t>
        </is>
      </c>
      <c r="J587" s="68" t="inlineStr">
        <is>
          <t>Alarme de Estado em Ponto Telessinalizado DBx</t>
        </is>
      </c>
      <c r="K587" s="69" t="inlineStr">
        <is>
          <t>Alarme de Estado em Ponto Telessinalizado DBx</t>
        </is>
      </c>
      <c r="L587" s="69">
        <f>VLOOKUP(LinkTable6789[[#This Row],[Coluna1]],[4]AlarmCatalog!$A:$M,11,FALSE)</f>
        <v/>
      </c>
    </row>
    <row r="588" ht="16.5" customFormat="1" customHeight="1" s="67">
      <c r="A588" s="68" t="inlineStr">
        <is>
          <t>null@null___CARREGADA@DESCARREGADA___Custom__S_TS_SB</t>
        </is>
      </c>
      <c r="B588" s="68" t="inlineStr"/>
      <c r="C588" s="68" t="inlineStr">
        <is>
          <t>Transit;CARREGADA;DESCARREGADA;Error</t>
        </is>
      </c>
      <c r="D588" s="68" t="inlineStr">
        <is>
          <t>0;1;2;3</t>
        </is>
      </c>
      <c r="E588" s="68" t="inlineStr">
        <is>
          <t>2;0;1;3</t>
        </is>
      </c>
      <c r="F588" s="68" t="inlineStr">
        <is>
          <t>;;;</t>
        </is>
      </c>
      <c r="G588" s="68" t="inlineStr">
        <is>
          <t>#FF000000;#FFFF0000;#FF00FF00;#FFA9A9A9</t>
        </is>
      </c>
      <c r="H588" s="68" t="inlineStr">
        <is>
          <t>Abnormal;Auto;Auto;Abnormal</t>
        </is>
      </c>
      <c r="I588" s="68" t="inlineStr">
        <is>
          <t>FALSE;TRUE;TRUE;FALSE</t>
        </is>
      </c>
      <c r="J588" s="68" t="inlineStr">
        <is>
          <t>Alarme de Estado em Ponto Telessinalizado SB</t>
        </is>
      </c>
      <c r="K588" s="69" t="inlineStr">
        <is>
          <t>Alarme de Estado em Ponto Telessinalizado SB</t>
        </is>
      </c>
      <c r="L588" s="69">
        <f>VLOOKUP(LinkTable6789[[#This Row],[Coluna1]],[4]AlarmCatalog!$A:$M,11,FALSE)</f>
        <v/>
      </c>
    </row>
    <row r="589" ht="16.5" customFormat="1" customHeight="1" s="67">
      <c r="A589" s="68" t="inlineStr">
        <is>
          <t>DI_null@null___FALHA@OK___Custom_S_TS_DBx</t>
        </is>
      </c>
      <c r="B589" s="68" t="inlineStr"/>
      <c r="C589" s="68" t="inlineStr">
        <is>
          <t>;FALHA;OK;</t>
        </is>
      </c>
      <c r="D589" s="68" t="inlineStr">
        <is>
          <t>0;2;1;3</t>
        </is>
      </c>
      <c r="E589" s="68" t="inlineStr">
        <is>
          <t>2;0;1;3</t>
        </is>
      </c>
      <c r="F589" s="68" t="inlineStr">
        <is>
          <t>;;;</t>
        </is>
      </c>
      <c r="G589" s="68" t="inlineStr">
        <is>
          <t>#FF000000;#FFFF0000;#FF00FF00;#FFA9A9A9</t>
        </is>
      </c>
      <c r="H589" s="68" t="inlineStr">
        <is>
          <t>Abnormal;Abnormal;Normal;Abnormal</t>
        </is>
      </c>
      <c r="I589" s="68" t="inlineStr">
        <is>
          <t>FALSE;TRUE;TRUE;FALSE</t>
        </is>
      </c>
      <c r="J589" s="68" t="inlineStr">
        <is>
          <t>Alarme de Estado em Ponto Telessinalizado DBx</t>
        </is>
      </c>
      <c r="K589" s="69" t="inlineStr">
        <is>
          <t>Alarme de Estado em Ponto Telessinalizado DBx</t>
        </is>
      </c>
      <c r="L589" s="69">
        <f>VLOOKUP(LinkTable6789[[#This Row],[Coluna1]],[4]AlarmCatalog!$A:$M,11,FALSE)</f>
        <v/>
      </c>
    </row>
    <row r="590" ht="16.5" customFormat="1" customHeight="1" s="67">
      <c r="A590" s="68" t="inlineStr">
        <is>
          <t>ATIVAR@DESATIVAR___null@null___Custom_S_TC_SS</t>
        </is>
      </c>
      <c r="B590" s="68" t="inlineStr"/>
      <c r="C590" s="68" t="inlineStr">
        <is>
          <t>Transit;;;Error</t>
        </is>
      </c>
      <c r="D590" s="68" t="inlineStr">
        <is>
          <t>0;1;2;3</t>
        </is>
      </c>
      <c r="E590" s="68" t="inlineStr">
        <is>
          <t>0;1;2;3</t>
        </is>
      </c>
      <c r="F590" s="68" t="inlineStr">
        <is>
          <t>;ATIVAR;DESATIVAR;</t>
        </is>
      </c>
      <c r="G590" s="68" t="inlineStr">
        <is>
          <t>#FF000000;#FF00FF00;#FFFF0000;#FFA9A9A9</t>
        </is>
      </c>
      <c r="H590" s="68" t="inlineStr">
        <is>
          <t>Abnormal;Auto;Auto;Abnormal</t>
        </is>
      </c>
      <c r="I590" s="68" t="inlineStr">
        <is>
          <t>FALSE;TRUE;TRUE;FALSE</t>
        </is>
      </c>
      <c r="J590" s="68" t="inlineStr">
        <is>
          <t>Alarme de Estado em Ponto Telecontrolado SS</t>
        </is>
      </c>
      <c r="K590" s="69" t="inlineStr">
        <is>
          <t>Alarme de Estado em Ponto Telecontrolado SS</t>
        </is>
      </c>
      <c r="L590" s="69">
        <f>VLOOKUP(LinkTable6789[[#This Row],[Coluna1]],[4]AlarmCatalog!$A:$M,11,FALSE)</f>
        <v/>
      </c>
    </row>
    <row r="591" ht="16.5" customFormat="1" customHeight="1" s="67">
      <c r="A591" s="68" t="inlineStr">
        <is>
          <t>ATIVAR@null___null@null___Custom_S_TC_SS</t>
        </is>
      </c>
      <c r="B591" s="68" t="inlineStr"/>
      <c r="C591" s="68" t="inlineStr">
        <is>
          <t>Transit;;;Error</t>
        </is>
      </c>
      <c r="D591" s="68" t="inlineStr">
        <is>
          <t>0;1;2;3</t>
        </is>
      </c>
      <c r="E591" s="68" t="inlineStr">
        <is>
          <t>2;0;1;3</t>
        </is>
      </c>
      <c r="F591" s="68" t="inlineStr">
        <is>
          <t>;ATIVAR;;</t>
        </is>
      </c>
      <c r="G591" s="68" t="inlineStr">
        <is>
          <t>#FF000000;#FF00FF00;#FFFF0000;#FFA9A9A9</t>
        </is>
      </c>
      <c r="H591" s="68" t="inlineStr">
        <is>
          <t>Normal;Normal;Normal;Normal</t>
        </is>
      </c>
      <c r="I591" s="68" t="inlineStr">
        <is>
          <t>FALSE;TRUE;TRUE;FALSE</t>
        </is>
      </c>
      <c r="J591" s="68" t="inlineStr">
        <is>
          <t>Alarme de Estado em Ponto Telecontrolado SS</t>
        </is>
      </c>
      <c r="K591" s="69" t="inlineStr">
        <is>
          <t>Alarme de Estado em Ponto Telecontrolado SS</t>
        </is>
      </c>
      <c r="L591" s="69">
        <f>VLOOKUP(LinkTable6789[[#This Row],[Coluna1]],[4]AlarmCatalog!$A:$M,11,FALSE)</f>
        <v/>
      </c>
    </row>
    <row r="592" ht="16.5" customFormat="1" customHeight="1" s="67">
      <c r="A592" s="68" t="inlineStr">
        <is>
          <t>AUMENTAR@DIMINUIR___null@null___admsInv__TapIncrement_S_TC_SS</t>
        </is>
      </c>
      <c r="B592" s="68" t="inlineStr"/>
      <c r="C592" s="68" t="inlineStr">
        <is>
          <t>Transit;;;Error</t>
        </is>
      </c>
      <c r="D592" s="68" t="inlineStr">
        <is>
          <t>0;2;1;3</t>
        </is>
      </c>
      <c r="E592" s="68" t="inlineStr">
        <is>
          <t>2;1;0;3</t>
        </is>
      </c>
      <c r="F592" s="68" t="inlineStr">
        <is>
          <t>;AUMENTAR;DIMINUIR;</t>
        </is>
      </c>
      <c r="G592" s="68" t="inlineStr">
        <is>
          <t>#FF000000;#FFFF0000;#FFFF0000;#FFA9A9A9</t>
        </is>
      </c>
      <c r="H592" s="68" t="inlineStr">
        <is>
          <t>Abnormal;Auto;Auto;Abnormal</t>
        </is>
      </c>
      <c r="I592" s="68" t="inlineStr">
        <is>
          <t>FALSE;TRUE;TRUE;FALSE</t>
        </is>
      </c>
      <c r="J592" s="68" t="inlineStr">
        <is>
          <t>Alarme de Estado em Ponto Telecontrolado SS</t>
        </is>
      </c>
      <c r="K592" s="69" t="inlineStr">
        <is>
          <t>Alarme de Estado em Ponto Telecontrolado SS</t>
        </is>
      </c>
      <c r="L592" s="69">
        <f>VLOOKUP(LinkTable6789[[#This Row],[Coluna1]],[4]AlarmCatalog!$A:$M,11,FALSE)</f>
        <v/>
      </c>
    </row>
    <row r="593" ht="16.5" customFormat="1" customHeight="1" s="67">
      <c r="A593" s="68" t="inlineStr">
        <is>
          <t>null@null___DESABILITADO@HABILITADO___HotLineTag_S_TS</t>
        </is>
      </c>
      <c r="B593" s="68" t="inlineStr"/>
      <c r="C593" s="68" t="inlineStr">
        <is>
          <t>Error;DESABILITADO;HABILITADO;Transit</t>
        </is>
      </c>
      <c r="D593" s="68" t="inlineStr">
        <is>
          <t>0;1;2;3</t>
        </is>
      </c>
      <c r="E593" s="68" t="inlineStr">
        <is>
          <t>2;0;1;3</t>
        </is>
      </c>
      <c r="F593" s="68" t="inlineStr">
        <is>
          <t>;;;</t>
        </is>
      </c>
      <c r="G593" s="68" t="inlineStr">
        <is>
          <t>#FF000000;#FF00FF00;#FFFF0000;#FFA9A9A9</t>
        </is>
      </c>
      <c r="H593" s="68" t="inlineStr">
        <is>
          <t>Abnormal;Auto;Auto;Abnormal</t>
        </is>
      </c>
      <c r="I593" s="68" t="inlineStr">
        <is>
          <t>FALSE;TRUE;TRUE;FALSE</t>
        </is>
      </c>
      <c r="J593" s="68" t="inlineStr">
        <is>
          <t>Alarme de Estado em Ponto Telessinalizado</t>
        </is>
      </c>
      <c r="K593" s="69" t="inlineStr">
        <is>
          <t>Alarme de Estado em Ponto Telessinalizado</t>
        </is>
      </c>
      <c r="L593" s="69">
        <f>VLOOKUP(LinkTable6789[[#This Row],[Coluna1]],[4]AlarmCatalog!$A:$M,11,FALSE)</f>
        <v/>
      </c>
    </row>
    <row r="594" ht="16.5" customFormat="1" customHeight="1" s="67">
      <c r="A594" s="68" t="inlineStr">
        <is>
          <t>AUMENTAR@DIMINUIR___null@null___INV_TapIncrement_S_TC_SS</t>
        </is>
      </c>
      <c r="B594" s="68" t="inlineStr"/>
      <c r="C594" s="68" t="inlineStr">
        <is>
          <t>Transit;;;Error</t>
        </is>
      </c>
      <c r="D594" s="68" t="inlineStr">
        <is>
          <t>0;2;1;3</t>
        </is>
      </c>
      <c r="E594" s="68" t="inlineStr">
        <is>
          <t>0;1;2;3</t>
        </is>
      </c>
      <c r="F594" s="68" t="inlineStr">
        <is>
          <t>;AUMENTAR;DIMINUIR;</t>
        </is>
      </c>
      <c r="G594" s="68" t="inlineStr">
        <is>
          <t>#FF000000;#FF00FF00;#FFFF0000;#FFA9A9A9</t>
        </is>
      </c>
      <c r="H594" s="68" t="inlineStr">
        <is>
          <t>Normal;Normal;Normal;Normal</t>
        </is>
      </c>
      <c r="I594" s="68" t="inlineStr">
        <is>
          <t>FALSE;TRUE;TRUE;FALSE</t>
        </is>
      </c>
      <c r="J594" s="68" t="inlineStr">
        <is>
          <t>Alarme de Estado em Ponto Telecontrolado SS</t>
        </is>
      </c>
      <c r="K594" s="69" t="inlineStr">
        <is>
          <t>Alarme de Estado em Ponto Telecontrolado SS</t>
        </is>
      </c>
      <c r="L594" s="69">
        <f>VLOOKUP(LinkTable6789[[#This Row],[Coluna1]],[4]AlarmCatalog!$A:$M,11,FALSE)</f>
        <v/>
      </c>
    </row>
    <row r="595" ht="16.5" customFormat="1" customHeight="1" s="67">
      <c r="A595" s="68" t="inlineStr">
        <is>
          <t>AUMENTAR@DIMINUIR___null@null___INV_TapIncrement_S_TC_SS_VF</t>
        </is>
      </c>
      <c r="B595" s="68" t="inlineStr"/>
      <c r="C595" s="68" t="inlineStr">
        <is>
          <t>Transit;;;Error</t>
        </is>
      </c>
      <c r="D595" s="68" t="inlineStr">
        <is>
          <t>0;1;2;3</t>
        </is>
      </c>
      <c r="E595" s="68" t="inlineStr">
        <is>
          <t>0;1;2;3</t>
        </is>
      </c>
      <c r="F595" s="68" t="inlineStr">
        <is>
          <t>;AUMENTAR;DIMINUIR;</t>
        </is>
      </c>
      <c r="G595" s="68" t="inlineStr">
        <is>
          <t>#FF000000;#FF00FF00;#FFFF0000;#FFA9A9A9</t>
        </is>
      </c>
      <c r="H595" s="68" t="inlineStr">
        <is>
          <t>Normal;Normal;Normal;Normal</t>
        </is>
      </c>
      <c r="I595" s="68" t="inlineStr">
        <is>
          <t>FALSE;TRUE;TRUE;FALSE</t>
        </is>
      </c>
      <c r="J595" s="68" t="inlineStr">
        <is>
          <t>Alarme de Estado em Ponto Telecontrolado SS</t>
        </is>
      </c>
      <c r="K595" s="69" t="inlineStr">
        <is>
          <t>Alarme de Estado em Ponto Telecontrolado SS</t>
        </is>
      </c>
      <c r="L595" s="69">
        <f>VLOOKUP(LinkTable6789[[#This Row],[Coluna1]],[4]AlarmCatalog!$A:$M,11,FALSE)</f>
        <v/>
      </c>
    </row>
    <row r="596" ht="16.5" customFormat="1" customHeight="1" s="67">
      <c r="A596" s="68" t="inlineStr">
        <is>
          <t>INCLUIR@EXCLUIR___INCLUIDO@EXCLUIDO___Enabled___admsINV_S_TC_SS</t>
        </is>
      </c>
      <c r="B596" s="68" t="inlineStr"/>
      <c r="C596" s="68" t="inlineStr">
        <is>
          <t>Transit;INCLUIDO;EXCLUIDO;Error</t>
        </is>
      </c>
      <c r="D596" s="68" t="inlineStr">
        <is>
          <t>0;2;1;3</t>
        </is>
      </c>
      <c r="E596" s="68" t="inlineStr">
        <is>
          <t>2;0;1;3</t>
        </is>
      </c>
      <c r="F596" s="68" t="inlineStr">
        <is>
          <t>;INCLUIR;EXCLUIR;</t>
        </is>
      </c>
      <c r="G596" s="68" t="inlineStr">
        <is>
          <t>#FF000000;#FFFF0000;#FF00FF00;#FFA9A9A9</t>
        </is>
      </c>
      <c r="H596" s="68" t="inlineStr">
        <is>
          <t>Abnormal;Auto;Auto;Abnormal</t>
        </is>
      </c>
      <c r="I596" s="68" t="inlineStr">
        <is>
          <t>FALSE;TRUE;TRUE;FALSE</t>
        </is>
      </c>
      <c r="J596" s="68" t="inlineStr">
        <is>
          <t>Alarme de Estado em Ponto Telecontrolado SS</t>
        </is>
      </c>
      <c r="K596" s="69" t="inlineStr">
        <is>
          <t>Alarme de Estado em Ponto Telecontrolado SS</t>
        </is>
      </c>
      <c r="L596" s="69">
        <f>VLOOKUP(LinkTable6789[[#This Row],[Coluna1]],[4]AlarmCatalog!$A:$M,11,FALSE)</f>
        <v/>
      </c>
    </row>
    <row r="597" ht="16.5" customFormat="1" customHeight="1" s="67">
      <c r="A597" s="68" t="inlineStr">
        <is>
          <t>AUMENTAR@DIMINUIR___null@null___TapIncrement_S_TC_SS</t>
        </is>
      </c>
      <c r="B597" s="68" t="inlineStr"/>
      <c r="C597" s="68" t="inlineStr">
        <is>
          <t>Transit;;;Error</t>
        </is>
      </c>
      <c r="D597" s="68" t="inlineStr">
        <is>
          <t>0;2;1;3</t>
        </is>
      </c>
      <c r="E597" s="68" t="inlineStr">
        <is>
          <t>2;0;1;3</t>
        </is>
      </c>
      <c r="F597" s="68" t="inlineStr">
        <is>
          <t>;AUMENTAR;DIMINUIR;</t>
        </is>
      </c>
      <c r="G597" s="68" t="inlineStr">
        <is>
          <t>#FF000000;#FFFF0000;#FFFF0000;#FFA9A9A9</t>
        </is>
      </c>
      <c r="H597" s="68" t="inlineStr">
        <is>
          <t>Abnormal;Auto;Auto;Abnormal</t>
        </is>
      </c>
      <c r="I597" s="68" t="inlineStr">
        <is>
          <t>FALSE;TRUE;TRUE;FALSE</t>
        </is>
      </c>
      <c r="J597" s="68" t="inlineStr">
        <is>
          <t>Alarme de Estado em Ponto Telecontrolado SS</t>
        </is>
      </c>
      <c r="K597" s="69" t="inlineStr">
        <is>
          <t>Alarme de Estado em Ponto Telecontrolado SS</t>
        </is>
      </c>
      <c r="L597" s="69">
        <f>VLOOKUP(LinkTable6789[[#This Row],[Coluna1]],[4]AlarmCatalog!$A:$M,11,FALSE)</f>
        <v/>
      </c>
    </row>
    <row r="598" ht="16.5" customFormat="1" customHeight="1" s="67">
      <c r="A598" s="68" t="inlineStr">
        <is>
          <t>INCLUIR@EXCLUIR___INCLUIDO@EXCLUIDO___Enabled___admsINV_S_TS_SA</t>
        </is>
      </c>
      <c r="B598" s="68" t="inlineStr"/>
      <c r="C598" s="68" t="inlineStr">
        <is>
          <t>Transit;INCLUIDO;EXCLUIDO;Error</t>
        </is>
      </c>
      <c r="D598" s="68" t="inlineStr">
        <is>
          <t>0;2;1;3</t>
        </is>
      </c>
      <c r="E598" s="68" t="inlineStr">
        <is>
          <t>2;0;1;3</t>
        </is>
      </c>
      <c r="F598" s="68" t="inlineStr">
        <is>
          <t>;;;</t>
        </is>
      </c>
      <c r="G598" s="68" t="inlineStr">
        <is>
          <t>#FF000000;#FFFF0000;#FF00FF00;#FFA9A9A9</t>
        </is>
      </c>
      <c r="H598" s="68" t="inlineStr">
        <is>
          <t>Abnormal;Auto;Auto;Abnormal</t>
        </is>
      </c>
      <c r="I598" s="68" t="inlineStr">
        <is>
          <t>FALSE;TRUE;TRUE;FALSE</t>
        </is>
      </c>
      <c r="J598" s="68" t="inlineStr">
        <is>
          <t>Alarme de Estado em Ponto Telessinalizado SA</t>
        </is>
      </c>
      <c r="K598" s="69" t="inlineStr">
        <is>
          <t>Alarme de Estado em Ponto Telessinalizado SA</t>
        </is>
      </c>
      <c r="L598" s="69">
        <f>VLOOKUP(LinkTable6789[[#This Row],[Coluna1]],[4]AlarmCatalog!$A:$M,11,FALSE)</f>
        <v/>
      </c>
    </row>
    <row r="599" ht="16.5" customFormat="1" customHeight="1" s="67">
      <c r="A599" s="68" t="inlineStr">
        <is>
          <t>INCLUIR@EXCLUIR___INCLUIDO@EXCLUIDO___Enabled___admsINV_S_TS_SB</t>
        </is>
      </c>
      <c r="B599" s="68" t="inlineStr"/>
      <c r="C599" s="68" t="inlineStr">
        <is>
          <t>Transit;INCLUIDO;EXCLUIDO;Error</t>
        </is>
      </c>
      <c r="D599" s="68" t="inlineStr">
        <is>
          <t>0;2;1;3</t>
        </is>
      </c>
      <c r="E599" s="68" t="inlineStr">
        <is>
          <t>2;0;1;3</t>
        </is>
      </c>
      <c r="F599" s="68" t="inlineStr">
        <is>
          <t>;;;</t>
        </is>
      </c>
      <c r="G599" s="68" t="inlineStr">
        <is>
          <t>#FF000000;#FFFF0000;#FF00FF00;#FFA9A9A9</t>
        </is>
      </c>
      <c r="H599" s="68" t="inlineStr">
        <is>
          <t>Abnormal;Auto;Auto;Abnormal</t>
        </is>
      </c>
      <c r="I599" s="68" t="inlineStr">
        <is>
          <t>FALSE;TRUE;TRUE;FALSE</t>
        </is>
      </c>
      <c r="J599" s="68" t="inlineStr">
        <is>
          <t>Alarme de Estado em Ponto Telessinalizado SB</t>
        </is>
      </c>
      <c r="K599" s="69" t="inlineStr">
        <is>
          <t>Alarme de Estado em Ponto Telessinalizado SB</t>
        </is>
      </c>
      <c r="L599" s="69">
        <f>VLOOKUP(LinkTable6789[[#This Row],[Coluna1]],[4]AlarmCatalog!$A:$M,11,FALSE)</f>
        <v/>
      </c>
    </row>
    <row r="600" ht="16.5" customFormat="1" customHeight="1" s="67">
      <c r="A600" s="68" t="inlineStr">
        <is>
          <t>INCLUIR@EXCLUIR___INCLUIDO@EXCLUIDO___Enabled___admsINV_S_TS_SS</t>
        </is>
      </c>
      <c r="B600" s="68" t="inlineStr"/>
      <c r="C600" s="68" t="inlineStr">
        <is>
          <t>Transit;INCLUIDO;EXCLUIDO;Error</t>
        </is>
      </c>
      <c r="D600" s="68" t="inlineStr">
        <is>
          <t>0;2;1;3</t>
        </is>
      </c>
      <c r="E600" s="68" t="inlineStr">
        <is>
          <t>2;0;1;3</t>
        </is>
      </c>
      <c r="F600" s="68" t="inlineStr">
        <is>
          <t>;;;</t>
        </is>
      </c>
      <c r="G600" s="68" t="inlineStr">
        <is>
          <t>#FF000000;#FFFF0000;#FF00FF00;#FFA9A9A9</t>
        </is>
      </c>
      <c r="H600" s="68" t="inlineStr">
        <is>
          <t>Abnormal;Auto;Auto;Abnormal</t>
        </is>
      </c>
      <c r="I600" s="68" t="inlineStr">
        <is>
          <t>FALSE;TRUE;TRUE;FALSE</t>
        </is>
      </c>
      <c r="J600" s="68" t="inlineStr">
        <is>
          <t>Alarme de Estado em Ponto Telessinalizado SS</t>
        </is>
      </c>
      <c r="K600" s="69" t="inlineStr">
        <is>
          <t>Alarme de Estado em Ponto Telessinalizado SS</t>
        </is>
      </c>
      <c r="L600" s="69">
        <f>VLOOKUP(LinkTable6789[[#This Row],[Coluna1]],[4]AlarmCatalog!$A:$M,11,FALSE)</f>
        <v/>
      </c>
    </row>
    <row r="601" ht="16.5" customFormat="1" customHeight="1" s="67">
      <c r="A601" s="68" t="inlineStr">
        <is>
          <t>INCLUIR@EXCLUIR___INCLUIDO@EXCLUIDO___Enabled___INV___admsINV_D_TC_SS</t>
        </is>
      </c>
      <c r="B601" s="68" t="inlineStr"/>
      <c r="C601" s="68" t="inlineStr">
        <is>
          <t>Invalido;INCLUIDO;EXCLUIDO;Error</t>
        </is>
      </c>
      <c r="D601" s="68" t="inlineStr">
        <is>
          <t>0;2;1;3</t>
        </is>
      </c>
      <c r="E601" s="68" t="inlineStr">
        <is>
          <t>0;2;1;3</t>
        </is>
      </c>
      <c r="F601" s="68" t="inlineStr">
        <is>
          <t>;INCLUIR;EXCLUIR;</t>
        </is>
      </c>
      <c r="G601" s="68" t="inlineStr">
        <is>
          <t>#FF000000;#FFFF0000;#FF00FF00;#FFA9A9A9</t>
        </is>
      </c>
      <c r="H601" s="68" t="inlineStr">
        <is>
          <t>Abnormal;Auto;Auto;Abnormal</t>
        </is>
      </c>
      <c r="I601" s="68" t="inlineStr">
        <is>
          <t>FALSE;TRUE;TRUE;FALSE</t>
        </is>
      </c>
      <c r="J601" s="68" t="inlineStr">
        <is>
          <t>Alarme de Estado em Ponto Telecontrolado SS</t>
        </is>
      </c>
      <c r="K601" s="69" t="inlineStr">
        <is>
          <t>Alarme de Estado em Ponto Telecontrolado SS</t>
        </is>
      </c>
      <c r="L601" s="69">
        <f>VLOOKUP(LinkTable6789[[#This Row],[Coluna1]],[4]AlarmCatalog!$A:$M,11,FALSE)</f>
        <v/>
      </c>
    </row>
    <row r="602" ht="16.5" customFormat="1" customHeight="1" s="67">
      <c r="A602" s="71" t="inlineStr">
        <is>
          <t>INCLUIR@EXCLUIR___INCLUIDO@EXCLUIDO___Enabled___INV___admsINV_S_TC_SS</t>
        </is>
      </c>
      <c r="B602" s="71" t="inlineStr"/>
      <c r="C602" s="71" t="inlineStr">
        <is>
          <t>Transit;INCLUIDO;EXCLUIDO;Error</t>
        </is>
      </c>
      <c r="D602" s="71" t="inlineStr">
        <is>
          <t>0;2;1;3</t>
        </is>
      </c>
      <c r="E602" s="71" t="inlineStr">
        <is>
          <t>2;1;0;3</t>
        </is>
      </c>
      <c r="F602" s="68" t="inlineStr">
        <is>
          <t>;INCLUIR;EXCLUIR;</t>
        </is>
      </c>
      <c r="G602" s="68" t="inlineStr">
        <is>
          <t>#FF000000;#FFFF0000;#FF00FF00;#FFA9A9A9</t>
        </is>
      </c>
      <c r="H602" s="68" t="inlineStr">
        <is>
          <t>Abnormal;Auto;Auto;Abnormal</t>
        </is>
      </c>
      <c r="I602" s="68" t="inlineStr">
        <is>
          <t>FALSE;TRUE;TRUE;FALSE</t>
        </is>
      </c>
      <c r="J602" s="68" t="inlineStr">
        <is>
          <t>Alarme de Estado em Ponto Telecontrolado SS</t>
        </is>
      </c>
      <c r="K602" s="69" t="inlineStr">
        <is>
          <t>Alarme de Estado em Ponto Telecontrolado SS</t>
        </is>
      </c>
      <c r="L602" s="69">
        <f>VLOOKUP(LinkTable6789[[#This Row],[Coluna1]],[4]AlarmCatalog!$A:$M,11,FALSE)</f>
        <v/>
      </c>
    </row>
    <row r="603" ht="16.5" customFormat="1" customHeight="1" s="67">
      <c r="A603" s="68" t="inlineStr">
        <is>
          <t>null@null___LOCAL@REMOTO___Custom___INV_S_TS</t>
        </is>
      </c>
      <c r="B603" s="68" t="inlineStr"/>
      <c r="C603" s="68" t="inlineStr">
        <is>
          <t>Transit;LOCAL;REMOTO;Error</t>
        </is>
      </c>
      <c r="D603" s="68" t="inlineStr">
        <is>
          <t>0;1;2;3</t>
        </is>
      </c>
      <c r="E603" s="68" t="inlineStr">
        <is>
          <t>2;1;0;3</t>
        </is>
      </c>
      <c r="F603" s="68" t="inlineStr">
        <is>
          <t>;;;</t>
        </is>
      </c>
      <c r="G603" s="68" t="inlineStr">
        <is>
          <t>#FF000000;#FF00FF00;#FFFF0000;#FFA9A9A9</t>
        </is>
      </c>
      <c r="H603" s="68" t="inlineStr">
        <is>
          <t>Abnormal;Auto;Auto;Abnormal</t>
        </is>
      </c>
      <c r="I603" s="68" t="inlineStr">
        <is>
          <t>FALSE;TRUE;TRUE;FALSE</t>
        </is>
      </c>
      <c r="J603" s="68" t="inlineStr">
        <is>
          <t>Alarme de Estado em Ponto Telessinalizado</t>
        </is>
      </c>
      <c r="K603" s="69" t="inlineStr">
        <is>
          <t>Alarme de Estado em Ponto Telessinalizado</t>
        </is>
      </c>
      <c r="L603" s="69">
        <f>VLOOKUP(LinkTable6789[[#This Row],[Coluna1]],[4]AlarmCatalog!$A:$M,11,FALSE)</f>
        <v/>
      </c>
    </row>
    <row r="604" ht="16.5" customFormat="1" customHeight="1" s="67">
      <c r="A604" s="68" t="inlineStr">
        <is>
          <t>DESATIVAR@ATIVAR___DESATIVADO@ATIVADO___Custom___INV_S_TC_SS</t>
        </is>
      </c>
      <c r="B604" s="68" t="inlineStr"/>
      <c r="C604" s="68" t="inlineStr">
        <is>
          <t>Transit;DESATIVADO;ATIVADO;Error</t>
        </is>
      </c>
      <c r="D604" s="68" t="inlineStr">
        <is>
          <t>0;1;2;3</t>
        </is>
      </c>
      <c r="E604" s="68" t="inlineStr">
        <is>
          <t>2;1;0;3</t>
        </is>
      </c>
      <c r="F604" s="68" t="inlineStr">
        <is>
          <t>;DESATIVAR;ATIVAR;</t>
        </is>
      </c>
      <c r="G604" s="68" t="inlineStr">
        <is>
          <t>#FF000000;#FF00FF00;#FFFF0000;#FFA9A9A9</t>
        </is>
      </c>
      <c r="H604" s="68" t="inlineStr">
        <is>
          <t>Abnormal;Auto;Auto;Abnormal</t>
        </is>
      </c>
      <c r="I604" s="68" t="inlineStr">
        <is>
          <t>FALSE;TRUE;TRUE;FALSE</t>
        </is>
      </c>
      <c r="J604" s="68" t="inlineStr">
        <is>
          <t>Alarme de Estado em Ponto Telecontrolado SS</t>
        </is>
      </c>
      <c r="K604" s="69" t="inlineStr">
        <is>
          <t>Alarme de Estado em Ponto Telecontrolado SS</t>
        </is>
      </c>
      <c r="L604" s="69">
        <f>VLOOKUP(LinkTable6789[[#This Row],[Coluna1]],[4]AlarmCatalog!$A:$M,11,FALSE)</f>
        <v/>
      </c>
    </row>
    <row r="605" ht="16.5" customFormat="1" customHeight="1" s="67">
      <c r="A605" s="68" t="inlineStr">
        <is>
          <t>null@null___LOCAL@REMOTO___Custom___INV_S_TS_SS</t>
        </is>
      </c>
      <c r="B605" s="68" t="inlineStr"/>
      <c r="C605" s="68" t="inlineStr">
        <is>
          <t>Transit;LOCAL;REMOTO;Error</t>
        </is>
      </c>
      <c r="D605" s="68" t="inlineStr">
        <is>
          <t>0;1;2;3</t>
        </is>
      </c>
      <c r="E605" s="68" t="inlineStr">
        <is>
          <t>2;1;0;3</t>
        </is>
      </c>
      <c r="F605" s="68" t="inlineStr">
        <is>
          <t>;;;</t>
        </is>
      </c>
      <c r="G605" s="68" t="inlineStr">
        <is>
          <t>#FF000000;#FF00FF00;#FFFF0000;#FFA9A9A9</t>
        </is>
      </c>
      <c r="H605" s="68" t="inlineStr">
        <is>
          <t>Abnormal;Auto;Auto;Abnormal</t>
        </is>
      </c>
      <c r="I605" s="68" t="inlineStr">
        <is>
          <t>FALSE;TRUE;TRUE;FALSE</t>
        </is>
      </c>
      <c r="J605" s="68" t="inlineStr">
        <is>
          <t>Alarme de Estado em Ponto Telessinalizado SS</t>
        </is>
      </c>
      <c r="K605" s="69" t="inlineStr">
        <is>
          <t>Alarme de Estado em Ponto Telessinalizado SS</t>
        </is>
      </c>
      <c r="L605" s="69">
        <f>VLOOKUP(LinkTable6789[[#This Row],[Coluna1]],[4]AlarmCatalog!$A:$M,11,FALSE)</f>
        <v/>
      </c>
    </row>
    <row r="606" ht="16.5" customFormat="1" customHeight="1" s="67">
      <c r="A606" s="68" t="inlineStr">
        <is>
          <t>DESATIVAR@ATIVAR___DESATIVADO@ATIVADO___Custom_S_TC_SS</t>
        </is>
      </c>
      <c r="B606" s="68" t="inlineStr"/>
      <c r="C606" s="68" t="inlineStr">
        <is>
          <t>Transit;DESATIVADO;ATIVADO;Error</t>
        </is>
      </c>
      <c r="D606" s="68" t="inlineStr">
        <is>
          <t>0;1;2;3</t>
        </is>
      </c>
      <c r="E606" s="68" t="inlineStr">
        <is>
          <t>2;0;1;3</t>
        </is>
      </c>
      <c r="F606" s="68" t="inlineStr">
        <is>
          <t>;DESATIVAR;ATIVAR;</t>
        </is>
      </c>
      <c r="G606" s="68" t="inlineStr">
        <is>
          <t>#FF000000;#FF00FF00;#FFFF0000;#FFA9A9A9</t>
        </is>
      </c>
      <c r="H606" s="68" t="inlineStr">
        <is>
          <t>Abnormal;Auto;Auto;Abnormal</t>
        </is>
      </c>
      <c r="I606" s="68" t="inlineStr">
        <is>
          <t>FALSE;TRUE;TRUE;FALSE</t>
        </is>
      </c>
      <c r="J606" s="68" t="inlineStr">
        <is>
          <t>Alarme de Estado em Ponto Telecontrolado SS</t>
        </is>
      </c>
      <c r="K606" s="69" t="inlineStr">
        <is>
          <t>Alarme de Estado em Ponto Telecontrolado SS</t>
        </is>
      </c>
      <c r="L606" s="69">
        <f>VLOOKUP(LinkTable6789[[#This Row],[Coluna1]],[4]AlarmCatalog!$A:$M,11,FALSE)</f>
        <v/>
      </c>
    </row>
    <row r="607" ht="16.5" customFormat="1" customHeight="1" s="67">
      <c r="A607" s="68" t="inlineStr">
        <is>
          <t>DESATIVAR@ATIVAR___NORMAL DESATIVADO@NORMAL ATIVADO___Custom___admsINV_S_TC_SS</t>
        </is>
      </c>
      <c r="B607" s="68" t="inlineStr"/>
      <c r="C607" s="68" t="inlineStr">
        <is>
          <t>Transit;NORMAL DESATIVADO;NORMAL ATIVADO;Error</t>
        </is>
      </c>
      <c r="D607" s="68" t="inlineStr">
        <is>
          <t>0;2;1;3</t>
        </is>
      </c>
      <c r="E607" s="68" t="inlineStr">
        <is>
          <t>2;0;1;3</t>
        </is>
      </c>
      <c r="F607" s="68" t="inlineStr">
        <is>
          <t>;DESATIVAR;ATIVAR;</t>
        </is>
      </c>
      <c r="G607" s="68" t="inlineStr">
        <is>
          <t>#FF000000;#FF00FF00;#FFFF0000;#FFA9A9A9</t>
        </is>
      </c>
      <c r="H607" s="68" t="inlineStr">
        <is>
          <t>Abnormal;Auto;Auto;Abnormal</t>
        </is>
      </c>
      <c r="I607" s="68" t="inlineStr">
        <is>
          <t>FALSE;TRUE;TRUE;FALSE</t>
        </is>
      </c>
      <c r="J607" s="68" t="inlineStr">
        <is>
          <t>Alarme de Estado em Ponto Telecontrolado SS</t>
        </is>
      </c>
      <c r="K607" s="69" t="inlineStr">
        <is>
          <t>Alarme de Estado em Ponto Telecontrolado SS</t>
        </is>
      </c>
      <c r="L607" s="69">
        <f>VLOOKUP(LinkTable6789[[#This Row],[Coluna1]],[4]AlarmCatalog!$A:$M,11,FALSE)</f>
        <v/>
      </c>
    </row>
    <row r="608" ht="16.5" customFormat="1" customHeight="1" s="67">
      <c r="A608" s="68" t="inlineStr">
        <is>
          <t>DESATIVAR@ATIVAR___NORMAL DESATIVADO@NORMAL ATIVADO___Custom___INV___admsINV_S_TC_SS</t>
        </is>
      </c>
      <c r="B608" s="68" t="inlineStr"/>
      <c r="C608" s="68" t="inlineStr">
        <is>
          <t>Transit;NORMAL DESATIVADO;NORMAL ATIVADO;Error</t>
        </is>
      </c>
      <c r="D608" s="68" t="inlineStr">
        <is>
          <t>0;2;1;3</t>
        </is>
      </c>
      <c r="E608" s="68" t="inlineStr">
        <is>
          <t>2;1;0;3</t>
        </is>
      </c>
      <c r="F608" s="68" t="inlineStr">
        <is>
          <t>;DESATIVAR;ATIVAR;</t>
        </is>
      </c>
      <c r="G608" s="68" t="inlineStr">
        <is>
          <t>#FF000000;#FF00FF00;#FFFF0000;#FFA9A9A9</t>
        </is>
      </c>
      <c r="H608" s="68" t="inlineStr">
        <is>
          <t>Abnormal;Auto;Auto;Abnormal</t>
        </is>
      </c>
      <c r="I608" s="68" t="inlineStr">
        <is>
          <t>FALSE;TRUE;TRUE;FALSE</t>
        </is>
      </c>
      <c r="J608" s="68" t="inlineStr">
        <is>
          <t>Alarme de Estado em Ponto Telecontrolado SS</t>
        </is>
      </c>
      <c r="K608" s="69" t="inlineStr">
        <is>
          <t>Alarme de Estado em Ponto Telecontrolado SS</t>
        </is>
      </c>
      <c r="L608" s="69">
        <f>VLOOKUP(LinkTable6789[[#This Row],[Coluna1]],[4]AlarmCatalog!$A:$M,11,FALSE)</f>
        <v/>
      </c>
    </row>
    <row r="609" ht="16.5" customFormat="1" customHeight="1" s="67">
      <c r="A609" s="68" t="inlineStr">
        <is>
          <t>INCLUIR@EXCLUIR___INCLUIDO@EXCLUIDO___Enabled___INV___admsINV_S_TS_SS</t>
        </is>
      </c>
      <c r="B609" s="68" t="inlineStr"/>
      <c r="C609" s="68" t="inlineStr">
        <is>
          <t>Transit;INCLUIDO;EXCLUIDO;Error</t>
        </is>
      </c>
      <c r="D609" s="68" t="inlineStr">
        <is>
          <t>0;2;1;3</t>
        </is>
      </c>
      <c r="E609" s="68" t="inlineStr">
        <is>
          <t>2;1;0;3</t>
        </is>
      </c>
      <c r="F609" s="68" t="inlineStr">
        <is>
          <t>;;;</t>
        </is>
      </c>
      <c r="G609" s="68" t="inlineStr">
        <is>
          <t>#FF000000;#FFFF0000;#FF00FF00;#FFA9A9A9</t>
        </is>
      </c>
      <c r="H609" s="68" t="inlineStr">
        <is>
          <t>Abnormal;Auto;Auto;Abnormal</t>
        </is>
      </c>
      <c r="I609" s="68" t="inlineStr">
        <is>
          <t>FALSE;TRUE;TRUE;FALSE</t>
        </is>
      </c>
      <c r="J609" s="68" t="inlineStr">
        <is>
          <t>Alarme de Estado em Ponto Telessinalizado SS</t>
        </is>
      </c>
      <c r="K609" s="69" t="inlineStr">
        <is>
          <t>Alarme de Estado em Ponto Telessinalizado SS</t>
        </is>
      </c>
      <c r="L609" s="69">
        <f>VLOOKUP(LinkTable6789[[#This Row],[Coluna1]],[4]AlarmCatalog!$A:$M,11,FALSE)</f>
        <v/>
      </c>
    </row>
    <row r="610" ht="16.5" customFormat="1" customHeight="1" s="67">
      <c r="A610" s="68" t="inlineStr">
        <is>
          <t>DESATIVAR@ATIVAR___NORMAL DESATIVADO@NORMAL ATIVADO___Custom___INV_S_TC_SS</t>
        </is>
      </c>
      <c r="B610" s="68" t="inlineStr"/>
      <c r="C610" s="68" t="inlineStr">
        <is>
          <t>Transit;NORMAL DESATIVADO;NORMAL ATIVADO;Error</t>
        </is>
      </c>
      <c r="D610" s="68" t="inlineStr">
        <is>
          <t>0;1;2;3</t>
        </is>
      </c>
      <c r="E610" s="68" t="inlineStr">
        <is>
          <t>2;1;0;3</t>
        </is>
      </c>
      <c r="F610" s="68" t="inlineStr">
        <is>
          <t>;DESATIVAR;ATIVAR;</t>
        </is>
      </c>
      <c r="G610" s="68" t="inlineStr">
        <is>
          <t>#FF000000;#FF00FF00;#FFFF0000;#FFA9A9A9</t>
        </is>
      </c>
      <c r="H610" s="68" t="inlineStr">
        <is>
          <t>Abnormal;Auto;Auto;Abnormal</t>
        </is>
      </c>
      <c r="I610" s="68" t="inlineStr">
        <is>
          <t>FALSE;TRUE;TRUE;FALSE</t>
        </is>
      </c>
      <c r="J610" s="68" t="inlineStr">
        <is>
          <t>Alarme de Estado em Ponto Telecontrolado SS</t>
        </is>
      </c>
      <c r="K610" s="69" t="inlineStr">
        <is>
          <t>Alarme de Estado em Ponto Telecontrolado SS</t>
        </is>
      </c>
      <c r="L610" s="69">
        <f>VLOOKUP(LinkTable6789[[#This Row],[Coluna1]],[4]AlarmCatalog!$A:$M,11,FALSE)</f>
        <v/>
      </c>
    </row>
    <row r="611" ht="16.5" customFormat="1" customHeight="1" s="67">
      <c r="A611" s="68" t="inlineStr">
        <is>
          <t>null@null___DESABILITADO@HABILITADO___HotLineTag_S_TS_DS</t>
        </is>
      </c>
      <c r="B611" s="68" t="inlineStr"/>
      <c r="C611" s="68" t="inlineStr">
        <is>
          <t>Transit;DESABILITADO;HABILITADO;Error</t>
        </is>
      </c>
      <c r="D611" s="68" t="inlineStr">
        <is>
          <t>0;1;2;3</t>
        </is>
      </c>
      <c r="E611" s="68" t="inlineStr">
        <is>
          <t>2;0;1;3</t>
        </is>
      </c>
      <c r="F611" s="68" t="inlineStr">
        <is>
          <t>;;;</t>
        </is>
      </c>
      <c r="G611" s="68" t="inlineStr">
        <is>
          <t>#FF000000;#FF00FF00;#FFFF0000;#FFA9A9A9</t>
        </is>
      </c>
      <c r="H611" s="68" t="inlineStr">
        <is>
          <t>Abnormal;Auto;Auto;Abnormal</t>
        </is>
      </c>
      <c r="I611" s="68" t="inlineStr">
        <is>
          <t>FALSE;TRUE;TRUE;FALSE</t>
        </is>
      </c>
      <c r="J611" s="68" t="inlineStr">
        <is>
          <t>Alarme de Estado em Ponto Telessinalizado DS</t>
        </is>
      </c>
      <c r="K611" s="69" t="inlineStr">
        <is>
          <t>Alarme de Estado em Ponto Telessinalizado DS</t>
        </is>
      </c>
      <c r="L611" s="69">
        <f>VLOOKUP(LinkTable6789[[#This Row],[Coluna1]],[4]AlarmCatalog!$A:$M,11,FALSE)</f>
        <v/>
      </c>
    </row>
    <row r="612" ht="16.5" customFormat="1" customHeight="1" s="67">
      <c r="A612" s="68" t="inlineStr">
        <is>
          <t>INCLUIR@EXCLUIR___INCLUIDO@EXCLUIDO___Enabled___INV_S_TC</t>
        </is>
      </c>
      <c r="B612" s="68" t="inlineStr"/>
      <c r="C612" s="68" t="inlineStr">
        <is>
          <t>Transit;INCLUIDO;EXCLUIDO;Error</t>
        </is>
      </c>
      <c r="D612" s="68" t="inlineStr">
        <is>
          <t>0;1;2;3</t>
        </is>
      </c>
      <c r="E612" s="68" t="inlineStr">
        <is>
          <t>2;1;0;3</t>
        </is>
      </c>
      <c r="F612" s="68" t="inlineStr">
        <is>
          <t>;INCLUIR;EXCLUIR;</t>
        </is>
      </c>
      <c r="G612" s="68" t="inlineStr">
        <is>
          <t>#FF000000;#FFFF0000;#FF00FF00;#FFA9A9A9</t>
        </is>
      </c>
      <c r="H612" s="68" t="inlineStr">
        <is>
          <t>Abnormal;Auto;Auto;Abnormal</t>
        </is>
      </c>
      <c r="I612" s="68" t="inlineStr">
        <is>
          <t>FALSE;TRUE;TRUE;FALSE</t>
        </is>
      </c>
      <c r="J612" s="68" t="inlineStr">
        <is>
          <t>Alarme de Estado em Ponto Telecontrolado</t>
        </is>
      </c>
      <c r="K612" s="69" t="inlineStr">
        <is>
          <t>Alarme de Estado em Ponto Telecontrolado</t>
        </is>
      </c>
      <c r="L612" s="69">
        <f>VLOOKUP(LinkTable6789[[#This Row],[Coluna1]],[4]AlarmCatalog!$A:$M,11,FALSE)</f>
        <v/>
      </c>
    </row>
    <row r="613" ht="16.5" customFormat="1" customHeight="1" s="67">
      <c r="A613" s="68" t="inlineStr">
        <is>
          <t>DESATIVAR@ATIVAR___NORMAL DESATIVADO@NORMAL ATIVADO___Custom_S_TC_SS</t>
        </is>
      </c>
      <c r="B613" s="68" t="inlineStr"/>
      <c r="C613" s="68" t="inlineStr">
        <is>
          <t>Transit;NORMAL DESATIVADO;NORMAL ATIVADO;Error</t>
        </is>
      </c>
      <c r="D613" s="68" t="inlineStr">
        <is>
          <t>0;1;2;3</t>
        </is>
      </c>
      <c r="E613" s="68" t="inlineStr">
        <is>
          <t>2;0;1;3</t>
        </is>
      </c>
      <c r="F613" s="68" t="inlineStr">
        <is>
          <t>;DESATIVAR;ATIVAR;</t>
        </is>
      </c>
      <c r="G613" s="68" t="inlineStr">
        <is>
          <t>#FF000000;#FF00FF00;#FFFF0000;#FFA9A9A9</t>
        </is>
      </c>
      <c r="H613" s="68" t="inlineStr">
        <is>
          <t>Abnormal;Auto;Auto;Abnormal</t>
        </is>
      </c>
      <c r="I613" s="68" t="inlineStr">
        <is>
          <t>FALSE;TRUE;TRUE;FALSE</t>
        </is>
      </c>
      <c r="J613" s="68" t="inlineStr">
        <is>
          <t>Alarme de Estado em Ponto Telecontrolado SS</t>
        </is>
      </c>
      <c r="K613" s="69" t="inlineStr">
        <is>
          <t>Alarme de Estado em Ponto Telecontrolado SS</t>
        </is>
      </c>
      <c r="L613" s="69">
        <f>VLOOKUP(LinkTable6789[[#This Row],[Coluna1]],[4]AlarmCatalog!$A:$M,11,FALSE)</f>
        <v/>
      </c>
    </row>
    <row r="614" ht="16.5" customFormat="1" customHeight="1" s="67">
      <c r="A614" s="68" t="inlineStr">
        <is>
          <t>DIMINUIR@AUMENTAR___null@null___Custom_S_TC_SS</t>
        </is>
      </c>
      <c r="B614" s="68" t="inlineStr"/>
      <c r="C614" s="68" t="inlineStr">
        <is>
          <t>Transit;;;Error</t>
        </is>
      </c>
      <c r="D614" s="68" t="inlineStr">
        <is>
          <t>0;1;2;3</t>
        </is>
      </c>
      <c r="E614" s="68" t="inlineStr">
        <is>
          <t>2;0;1;3</t>
        </is>
      </c>
      <c r="F614" s="68" t="inlineStr">
        <is>
          <t>;DIMINUIR;AUMENTAR;</t>
        </is>
      </c>
      <c r="G614" s="68" t="inlineStr">
        <is>
          <t>#FF000000;#FF00FF00;#FFFF0000;#FFA9A9A9</t>
        </is>
      </c>
      <c r="H614" s="68" t="inlineStr">
        <is>
          <t>Normal;Normal;Normal;Normal</t>
        </is>
      </c>
      <c r="I614" s="68" t="inlineStr">
        <is>
          <t>FALSE;TRUE;TRUE;FALSE</t>
        </is>
      </c>
      <c r="J614" s="68" t="inlineStr">
        <is>
          <t>Alarme de Estado em Ponto Telecontrolado SS</t>
        </is>
      </c>
      <c r="K614" s="69" t="inlineStr">
        <is>
          <t>Alarme de Estado em Ponto Telecontrolado SS</t>
        </is>
      </c>
      <c r="L614" s="69">
        <f>VLOOKUP(LinkTable6789[[#This Row],[Coluna1]],[4]AlarmCatalog!$A:$M,11,FALSE)</f>
        <v/>
      </c>
    </row>
    <row r="615" ht="16.5" customFormat="1" customHeight="1" s="67">
      <c r="A615" s="68" t="inlineStr">
        <is>
          <t>null@null___DESABILITADO@HABILITADO___HotLineTag_S_TS_SA</t>
        </is>
      </c>
      <c r="B615" s="68" t="inlineStr"/>
      <c r="C615" s="68" t="inlineStr">
        <is>
          <t>Transit;DESABILITADO;HABILITADO;Error</t>
        </is>
      </c>
      <c r="D615" s="68" t="inlineStr">
        <is>
          <t>0;1;2;3</t>
        </is>
      </c>
      <c r="E615" s="68" t="inlineStr">
        <is>
          <t>2;0;1;3</t>
        </is>
      </c>
      <c r="F615" s="68" t="inlineStr">
        <is>
          <t>;;;</t>
        </is>
      </c>
      <c r="G615" s="68" t="inlineStr">
        <is>
          <t>#FF000000;#FF00FF00;#FFFF0000;#FFA9A9A9</t>
        </is>
      </c>
      <c r="H615" s="68" t="inlineStr">
        <is>
          <t>Abnormal;Auto;Auto;Abnormal</t>
        </is>
      </c>
      <c r="I615" s="68" t="inlineStr">
        <is>
          <t>FALSE;TRUE;TRUE;FALSE</t>
        </is>
      </c>
      <c r="J615" s="68" t="inlineStr">
        <is>
          <t>Alarme de Estado em Ponto Telessinalizado SA</t>
        </is>
      </c>
      <c r="K615" s="69" t="inlineStr">
        <is>
          <t>Alarme de Estado em Ponto Telessinalizado SA</t>
        </is>
      </c>
      <c r="L615" s="69">
        <f>VLOOKUP(LinkTable6789[[#This Row],[Coluna1]],[4]AlarmCatalog!$A:$M,11,FALSE)</f>
        <v/>
      </c>
    </row>
    <row r="616" ht="16.5" customFormat="1" customHeight="1" s="67">
      <c r="A616" s="68" t="inlineStr">
        <is>
          <t>null@null___LOCAL@REMOTO___Custom_S_TS</t>
        </is>
      </c>
      <c r="B616" s="68" t="inlineStr"/>
      <c r="C616" s="68" t="inlineStr">
        <is>
          <t>Transit;LOCAL;REMOTO;Error</t>
        </is>
      </c>
      <c r="D616" s="68" t="inlineStr">
        <is>
          <t>0;1;2;3</t>
        </is>
      </c>
      <c r="E616" s="68" t="inlineStr">
        <is>
          <t>2;0;1;3</t>
        </is>
      </c>
      <c r="F616" s="68" t="inlineStr">
        <is>
          <t>;;;</t>
        </is>
      </c>
      <c r="G616" s="68" t="inlineStr">
        <is>
          <t>#FF000000;#FF00FF00;#FFFF0000;#FFA9A9A9</t>
        </is>
      </c>
      <c r="H616" s="68" t="inlineStr">
        <is>
          <t>Abnormal;Auto;Auto;Abnormal</t>
        </is>
      </c>
      <c r="I616" s="68" t="inlineStr">
        <is>
          <t>FALSE;TRUE;TRUE;FALSE</t>
        </is>
      </c>
      <c r="J616" s="68" t="inlineStr">
        <is>
          <t>Alarme de Estado em Ponto Telessinalizado</t>
        </is>
      </c>
      <c r="K616" s="69" t="inlineStr">
        <is>
          <t>Alarme de Estado em Ponto Telessinalizado</t>
        </is>
      </c>
      <c r="L616" s="69">
        <f>VLOOKUP(LinkTable6789[[#This Row],[Coluna1]],[4]AlarmCatalog!$A:$M,11,FALSE)</f>
        <v/>
      </c>
    </row>
    <row r="617" ht="16.5" customFormat="1" customHeight="1" s="67">
      <c r="A617" s="68" t="inlineStr">
        <is>
          <t>INCLUIR@EXCLUIR___INCLUIDO@EXCLUIDO___Enabled___INV_S_TC_SS</t>
        </is>
      </c>
      <c r="B617" s="68" t="inlineStr"/>
      <c r="C617" s="68" t="inlineStr">
        <is>
          <t>Transit;INCLUIDO;EXCLUIDO;Error</t>
        </is>
      </c>
      <c r="D617" s="68" t="inlineStr">
        <is>
          <t>0;1;2;3</t>
        </is>
      </c>
      <c r="E617" s="68" t="inlineStr">
        <is>
          <t>2;1;0;3</t>
        </is>
      </c>
      <c r="F617" s="68" t="inlineStr">
        <is>
          <t>;INCLUIR;EXCLUIR;</t>
        </is>
      </c>
      <c r="G617" s="68" t="inlineStr">
        <is>
          <t>#FF000000;#FFFF0000;#FF00FF00;#FFA9A9A9</t>
        </is>
      </c>
      <c r="H617" s="68" t="inlineStr">
        <is>
          <t>Abnormal;Auto;Auto;Abnormal</t>
        </is>
      </c>
      <c r="I617" s="68" t="inlineStr">
        <is>
          <t>FALSE;TRUE;TRUE;FALSE</t>
        </is>
      </c>
      <c r="J617" s="68" t="inlineStr">
        <is>
          <t>Alarme de Estado em Ponto Telecontrolado SS</t>
        </is>
      </c>
      <c r="K617" s="69" t="inlineStr">
        <is>
          <t>Alarme de Estado em Ponto Telecontrolado SS</t>
        </is>
      </c>
      <c r="L617" s="69">
        <f>VLOOKUP(LinkTable6789[[#This Row],[Coluna1]],[4]AlarmCatalog!$A:$M,11,FALSE)</f>
        <v/>
      </c>
    </row>
    <row r="618" ht="16.5" customFormat="1" customHeight="1" s="67">
      <c r="A618" s="68" t="inlineStr">
        <is>
          <t>INCLUIR@EXCLUIR___INCLUIDO@EXCLUIDO___Enabled___INV_S_TS_SS</t>
        </is>
      </c>
      <c r="B618" s="68" t="inlineStr"/>
      <c r="C618" s="68" t="inlineStr">
        <is>
          <t>Transit;INCLUIDO;EXCLUIDO;Error</t>
        </is>
      </c>
      <c r="D618" s="68" t="inlineStr">
        <is>
          <t>0;1;2;3</t>
        </is>
      </c>
      <c r="E618" s="68" t="inlineStr">
        <is>
          <t>2;1;0;3</t>
        </is>
      </c>
      <c r="F618" s="68" t="inlineStr">
        <is>
          <t>;;;</t>
        </is>
      </c>
      <c r="G618" s="68" t="inlineStr">
        <is>
          <t>#FF000000;#FFFF0000;#FF00FF00;#FFA9A9A9</t>
        </is>
      </c>
      <c r="H618" s="68" t="inlineStr">
        <is>
          <t>Abnormal;Auto;Auto;Abnormal</t>
        </is>
      </c>
      <c r="I618" s="68" t="inlineStr">
        <is>
          <t>FALSE;TRUE;TRUE;FALSE</t>
        </is>
      </c>
      <c r="J618" s="68" t="inlineStr">
        <is>
          <t>Alarme de Estado em Ponto Telessinalizado SS</t>
        </is>
      </c>
      <c r="K618" s="69" t="inlineStr">
        <is>
          <t>Alarme de Estado em Ponto Telessinalizado SS</t>
        </is>
      </c>
      <c r="L618" s="69">
        <f>VLOOKUP(LinkTable6789[[#This Row],[Coluna1]],[4]AlarmCatalog!$A:$M,11,FALSE)</f>
        <v/>
      </c>
    </row>
    <row r="619" ht="16.5" customFormat="1" customHeight="1" s="67">
      <c r="A619" s="68" t="inlineStr">
        <is>
          <t>null@null___NÃO PERMITIDO@PERMITIDO___Custom_S_TS_SS</t>
        </is>
      </c>
      <c r="B619" s="68" t="inlineStr"/>
      <c r="C619" s="68" t="inlineStr">
        <is>
          <t>Transit;NÃO PERMITIDO;PERMITIDO;Error</t>
        </is>
      </c>
      <c r="D619" s="68" t="inlineStr">
        <is>
          <t>0;1;2;3</t>
        </is>
      </c>
      <c r="E619" s="68" t="inlineStr">
        <is>
          <t>2;0;1;3</t>
        </is>
      </c>
      <c r="F619" s="68" t="inlineStr">
        <is>
          <t>;;;</t>
        </is>
      </c>
      <c r="G619" s="68" t="inlineStr">
        <is>
          <t>#FF000000;#FF00FF00;#FFFF0000;#FFA9A9A9</t>
        </is>
      </c>
      <c r="H619" s="68" t="inlineStr">
        <is>
          <t>Abnormal;Auto;Auto;Abnormal</t>
        </is>
      </c>
      <c r="I619" s="68" t="inlineStr">
        <is>
          <t>FALSE;TRUE;TRUE;FALSE</t>
        </is>
      </c>
      <c r="J619" s="68" t="inlineStr">
        <is>
          <t>Alarme de Estado em Ponto Telessinalizado SS</t>
        </is>
      </c>
      <c r="K619" s="69" t="inlineStr">
        <is>
          <t>Alarme de Estado em Ponto Telessinalizado SS</t>
        </is>
      </c>
      <c r="L619" s="69">
        <f>VLOOKUP(LinkTable6789[[#This Row],[Coluna1]],[4]AlarmCatalog!$A:$M,11,FALSE)</f>
        <v/>
      </c>
    </row>
    <row r="620" ht="16.5" customFormat="1" customHeight="1" s="67">
      <c r="A620" s="68" t="inlineStr">
        <is>
          <t>INCLUIR@EXCLUIR___INCLUIDO@EXCLUIDO___Enabled_D_TC</t>
        </is>
      </c>
      <c r="B620" s="68" t="inlineStr"/>
      <c r="C620" s="68" t="inlineStr">
        <is>
          <t>Transit;INCLUIDO;EXCLUIDO;Error</t>
        </is>
      </c>
      <c r="D620" s="68" t="inlineStr">
        <is>
          <t>0;1;2;3</t>
        </is>
      </c>
      <c r="E620" s="68" t="inlineStr">
        <is>
          <t>2;0;1;3</t>
        </is>
      </c>
      <c r="F620" s="68" t="inlineStr">
        <is>
          <t>;INCLUIR;EXCLUIR;</t>
        </is>
      </c>
      <c r="G620" s="68" t="inlineStr">
        <is>
          <t>#FF000000;#FFFF0000;#FF00FF00;#FFA9A9A9</t>
        </is>
      </c>
      <c r="H620" s="68" t="inlineStr">
        <is>
          <t>Abnormal;Normal;Normal;Normal</t>
        </is>
      </c>
      <c r="I620" s="68" t="inlineStr">
        <is>
          <t>FALSE;TRUE;TRUE;FALSE</t>
        </is>
      </c>
      <c r="J620" s="68" t="inlineStr">
        <is>
          <t>Alarme de Estado em Ponto Telecontrolado</t>
        </is>
      </c>
      <c r="K620" s="69" t="inlineStr">
        <is>
          <t>Alarme de Estado em Ponto Telecontrolado</t>
        </is>
      </c>
      <c r="L620" s="69">
        <f>VLOOKUP(LinkTable6789[[#This Row],[Coluna1]],[4]AlarmCatalog!$A:$M,11,FALSE)</f>
        <v/>
      </c>
    </row>
    <row r="621" ht="16.5" customFormat="1" customHeight="1" s="67">
      <c r="A621" s="68" t="inlineStr">
        <is>
          <t>null@null___DESATIVADO@ATIVADO___Custom_S_TS_SS</t>
        </is>
      </c>
      <c r="B621" s="68" t="inlineStr"/>
      <c r="C621" s="68" t="inlineStr">
        <is>
          <t>Transit;DESATIVADO;ATIVADO;Error</t>
        </is>
      </c>
      <c r="D621" s="68" t="inlineStr">
        <is>
          <t>0;1;2;3</t>
        </is>
      </c>
      <c r="E621" s="68" t="inlineStr">
        <is>
          <t>2;0;1;3</t>
        </is>
      </c>
      <c r="F621" s="68" t="inlineStr">
        <is>
          <t>;;;</t>
        </is>
      </c>
      <c r="G621" s="68" t="inlineStr">
        <is>
          <t>#FF000000;#FF00FF00;#FFFF0000;#FFA9A9A9</t>
        </is>
      </c>
      <c r="H621" s="68" t="inlineStr">
        <is>
          <t>Abnormal;Auto;Auto;Abnormal</t>
        </is>
      </c>
      <c r="I621" s="68" t="inlineStr">
        <is>
          <t>FALSE;TRUE;TRUE;FALSE</t>
        </is>
      </c>
      <c r="J621" s="68" t="inlineStr">
        <is>
          <t>Alarme de Estado em Ponto Telessinalizado SS</t>
        </is>
      </c>
      <c r="K621" s="69" t="inlineStr">
        <is>
          <t>Alarme de Estado em Ponto Telessinalizado SS</t>
        </is>
      </c>
      <c r="L621" s="69">
        <f>VLOOKUP(LinkTable6789[[#This Row],[Coluna1]],[4]AlarmCatalog!$A:$M,11,FALSE)</f>
        <v/>
      </c>
    </row>
    <row r="622" ht="16.5" customFormat="1" customHeight="1" s="67">
      <c r="A622" s="68" t="inlineStr">
        <is>
          <t>null@null___AUTOM DESATIVADO@AUTOM ATIVADO___Custom_S_TS_SS</t>
        </is>
      </c>
      <c r="B622" s="68" t="inlineStr"/>
      <c r="C622" s="68" t="inlineStr">
        <is>
          <t>Transit;AUTOM DESATIVADO;AUTOM ATIVADO;Error</t>
        </is>
      </c>
      <c r="D622" s="68" t="inlineStr">
        <is>
          <t>0;1;2;3</t>
        </is>
      </c>
      <c r="E622" s="68" t="inlineStr">
        <is>
          <t>2;0;1;3</t>
        </is>
      </c>
      <c r="F622" s="68" t="inlineStr">
        <is>
          <t>;;;</t>
        </is>
      </c>
      <c r="G622" s="68" t="inlineStr">
        <is>
          <t>#FF000000;#FF00FF00;#FFFF0000;#FFA9A9A9</t>
        </is>
      </c>
      <c r="H622" s="68" t="inlineStr">
        <is>
          <t>Abnormal;Auto;Auto;Abnormal</t>
        </is>
      </c>
      <c r="I622" s="68" t="inlineStr">
        <is>
          <t>FALSE;TRUE;TRUE;FALSE</t>
        </is>
      </c>
      <c r="J622" s="68" t="inlineStr">
        <is>
          <t>Alarme de Estado em Ponto Telessinalizado SS</t>
        </is>
      </c>
      <c r="K622" s="69" t="inlineStr">
        <is>
          <t>Alarme de Estado em Ponto Telessinalizado SS</t>
        </is>
      </c>
      <c r="L622" s="69">
        <f>VLOOKUP(LinkTable6789[[#This Row],[Coluna1]],[4]AlarmCatalog!$A:$M,11,FALSE)</f>
        <v/>
      </c>
    </row>
    <row r="623" ht="16.5" customFormat="1" customHeight="1" s="67">
      <c r="A623" s="68" t="inlineStr">
        <is>
          <t>INCLUIR@EXCLUIR___INCLUIDO@EXCLUIDO___Enabled_S_TC</t>
        </is>
      </c>
      <c r="B623" s="68" t="inlineStr"/>
      <c r="C623" s="68" t="inlineStr">
        <is>
          <t>Error;INCLUIDO;EXCLUIDO;Transit</t>
        </is>
      </c>
      <c r="D623" s="68" t="inlineStr">
        <is>
          <t>0;2;1;3</t>
        </is>
      </c>
      <c r="E623" s="68" t="inlineStr">
        <is>
          <t>2;0;1;3</t>
        </is>
      </c>
      <c r="F623" s="68" t="inlineStr">
        <is>
          <t>;INCLUIR;EXCLUIR;</t>
        </is>
      </c>
      <c r="G623" s="68" t="inlineStr">
        <is>
          <t>#FF000000;#FFFF0000;#FF00FF00;#FFA9A9A9</t>
        </is>
      </c>
      <c r="H623" s="68" t="inlineStr">
        <is>
          <t>Abnormal;Auto;Auto;Abnormal</t>
        </is>
      </c>
      <c r="I623" s="68" t="inlineStr">
        <is>
          <t>FALSE;TRUE;TRUE;FALSE</t>
        </is>
      </c>
      <c r="J623" s="68" t="inlineStr">
        <is>
          <t>Alarme de Estado em Ponto Telecontrolado SS</t>
        </is>
      </c>
      <c r="K623" s="69" t="inlineStr">
        <is>
          <t>Alarme de Estado em Ponto Telecontrolado</t>
        </is>
      </c>
      <c r="L623" s="69">
        <f>VLOOKUP(LinkTable6789[[#This Row],[Coluna1]],[4]AlarmCatalog!$A:$M,11,FALSE)</f>
        <v/>
      </c>
    </row>
    <row r="624" ht="16.5" customFormat="1" customHeight="1" s="67">
      <c r="A624" s="68" t="inlineStr">
        <is>
          <t>null@null___MANUAL DESATIVOU@MANUAL ATIVOU___Custom_S_TS_SS</t>
        </is>
      </c>
      <c r="B624" s="68" t="inlineStr"/>
      <c r="C624" s="68" t="inlineStr">
        <is>
          <t>Transit;MANUAL DESATIVOU;MANUAL ATIVOU;Error</t>
        </is>
      </c>
      <c r="D624" s="68" t="inlineStr">
        <is>
          <t>0;1;2;3</t>
        </is>
      </c>
      <c r="E624" s="68" t="inlineStr">
        <is>
          <t>2;0;1;3</t>
        </is>
      </c>
      <c r="F624" s="68" t="inlineStr">
        <is>
          <t>;;;</t>
        </is>
      </c>
      <c r="G624" s="68" t="inlineStr">
        <is>
          <t>#FF000000;#FF00FF00;#FFFF0000;#FFA9A9A9</t>
        </is>
      </c>
      <c r="H624" s="68" t="inlineStr">
        <is>
          <t>Abnormal;Auto;Auto;Abnormal</t>
        </is>
      </c>
      <c r="I624" s="68" t="inlineStr">
        <is>
          <t>FALSE;TRUE;TRUE;FALSE</t>
        </is>
      </c>
      <c r="J624" s="68" t="inlineStr">
        <is>
          <t>Alarme de Estado em Ponto Telessinalizado SS</t>
        </is>
      </c>
      <c r="K624" s="69" t="inlineStr">
        <is>
          <t>Alarme de Estado em Ponto Telessinalizado SS</t>
        </is>
      </c>
      <c r="L624" s="69">
        <f>VLOOKUP(LinkTable6789[[#This Row],[Coluna1]],[4]AlarmCatalog!$A:$M,11,FALSE)</f>
        <v/>
      </c>
    </row>
    <row r="625" ht="16.5" customFormat="1" customHeight="1" s="67">
      <c r="A625" s="68" t="inlineStr">
        <is>
          <t>null@null___AUTOM DESATIVOU@AUTOM ATIVOU___Custom_S_TS_SS</t>
        </is>
      </c>
      <c r="B625" s="68" t="inlineStr"/>
      <c r="C625" s="68" t="inlineStr">
        <is>
          <t>Transit;AUTOM DESATIVOU;AUTOM ATIVOU;Error</t>
        </is>
      </c>
      <c r="D625" s="68" t="inlineStr">
        <is>
          <t>0;1;2;3</t>
        </is>
      </c>
      <c r="E625" s="68" t="inlineStr">
        <is>
          <t>2;0;1;3</t>
        </is>
      </c>
      <c r="F625" s="68" t="inlineStr">
        <is>
          <t>;;;</t>
        </is>
      </c>
      <c r="G625" s="68" t="inlineStr">
        <is>
          <t>#FF000000;#FF00FF00;#FFFF0000;#FFA9A9A9</t>
        </is>
      </c>
      <c r="H625" s="68" t="inlineStr">
        <is>
          <t>Abnormal;Auto;Auto;Abnormal</t>
        </is>
      </c>
      <c r="I625" s="68" t="inlineStr">
        <is>
          <t>FALSE;TRUE;TRUE;FALSE</t>
        </is>
      </c>
      <c r="J625" s="68" t="inlineStr">
        <is>
          <t>Alarme de Estado em Ponto Telessinalizado SS</t>
        </is>
      </c>
      <c r="K625" s="69" t="inlineStr">
        <is>
          <t>Alarme de Estado em Ponto Telessinalizado SS</t>
        </is>
      </c>
      <c r="L625" s="69">
        <f>VLOOKUP(LinkTable6789[[#This Row],[Coluna1]],[4]AlarmCatalog!$A:$M,11,FALSE)</f>
        <v/>
      </c>
    </row>
    <row r="626" ht="16.5" customFormat="1" customHeight="1" s="67">
      <c r="A626" s="68" t="inlineStr">
        <is>
          <t>null@null___BLOQUEADA@LIBERADA___Custom_S_TS_SS</t>
        </is>
      </c>
      <c r="B626" s="68" t="inlineStr"/>
      <c r="C626" s="68" t="inlineStr">
        <is>
          <t>Transit;BLOQUEADA;LIBERADA;Error</t>
        </is>
      </c>
      <c r="D626" s="68" t="inlineStr">
        <is>
          <t>0;1;2;3</t>
        </is>
      </c>
      <c r="E626" s="68" t="inlineStr">
        <is>
          <t>2;0;1;3</t>
        </is>
      </c>
      <c r="F626" s="68" t="inlineStr">
        <is>
          <t>;;;</t>
        </is>
      </c>
      <c r="G626" s="68" t="inlineStr">
        <is>
          <t>#FF000000;#FF00FF00;#FFFF0000;#FFA9A9A9</t>
        </is>
      </c>
      <c r="H626" s="68" t="inlineStr">
        <is>
          <t>Abnormal;Auto;Auto;Abnormal</t>
        </is>
      </c>
      <c r="I626" s="68" t="inlineStr">
        <is>
          <t>FALSE;TRUE;TRUE;FALSE</t>
        </is>
      </c>
      <c r="J626" s="68" t="inlineStr">
        <is>
          <t>Alarme de Estado em Ponto Telessinalizado SS</t>
        </is>
      </c>
      <c r="K626" s="69" t="inlineStr">
        <is>
          <t>Alarme de Estado em Ponto Telessinalizado SS</t>
        </is>
      </c>
      <c r="L626" s="69">
        <f>VLOOKUP(LinkTable6789[[#This Row],[Coluna1]],[4]AlarmCatalog!$A:$M,11,FALSE)</f>
        <v/>
      </c>
    </row>
    <row r="627" ht="16.5" customFormat="1" customHeight="1" s="67">
      <c r="A627" s="68" t="inlineStr">
        <is>
          <t>null@null___LOCAL@REMOTO___Custom_S_TS_SS</t>
        </is>
      </c>
      <c r="B627" s="68" t="inlineStr"/>
      <c r="C627" s="68" t="inlineStr">
        <is>
          <t>Transit;LOCAL;REMOTO;Error</t>
        </is>
      </c>
      <c r="D627" s="68" t="inlineStr">
        <is>
          <t>0;1;2;3</t>
        </is>
      </c>
      <c r="E627" s="68" t="inlineStr">
        <is>
          <t>2;0;1;3</t>
        </is>
      </c>
      <c r="F627" s="68" t="inlineStr">
        <is>
          <t>;;;</t>
        </is>
      </c>
      <c r="G627" s="68" t="inlineStr">
        <is>
          <t>#FF000000;#FF00FF00;#FFFF0000;#FFA9A9A9</t>
        </is>
      </c>
      <c r="H627" s="68" t="inlineStr">
        <is>
          <t>Abnormal;Auto;Auto;Abnormal</t>
        </is>
      </c>
      <c r="I627" s="68" t="inlineStr">
        <is>
          <t>FALSE;TRUE;TRUE;FALSE</t>
        </is>
      </c>
      <c r="J627" s="68" t="inlineStr">
        <is>
          <t>Alarme de Estado em Ponto Telessinalizado SS</t>
        </is>
      </c>
      <c r="K627" s="69" t="inlineStr">
        <is>
          <t>Alarme de Estado em Ponto Telessinalizado SS</t>
        </is>
      </c>
      <c r="L627" s="69">
        <f>VLOOKUP(LinkTable6789[[#This Row],[Coluna1]],[4]AlarmCatalog!$A:$M,11,FALSE)</f>
        <v/>
      </c>
    </row>
    <row r="628" ht="16.5" customFormat="1" customHeight="1" s="67">
      <c r="A628" s="68" t="inlineStr">
        <is>
          <t>INCLUIR@EXCLUIR___INCLUIDO@EXCLUIDO___Enabled_S_TC_DS</t>
        </is>
      </c>
      <c r="B628" s="68" t="inlineStr"/>
      <c r="C628" s="68" t="inlineStr">
        <is>
          <t>Transit;INCLUIDO;EXCLUIDO;Error</t>
        </is>
      </c>
      <c r="D628" s="68" t="inlineStr">
        <is>
          <t>0;1;2;3</t>
        </is>
      </c>
      <c r="E628" s="68" t="inlineStr">
        <is>
          <t>2;0;1;3</t>
        </is>
      </c>
      <c r="F628" s="68" t="inlineStr">
        <is>
          <t>;INCLUIR;EXCLUIR;</t>
        </is>
      </c>
      <c r="G628" s="68" t="inlineStr">
        <is>
          <t>#FF000000;#FFFF0000;#FF00FF00;#FFA9A9A9</t>
        </is>
      </c>
      <c r="H628" s="68" t="inlineStr">
        <is>
          <t>Abnormal;Auto;Auto;Abnormal</t>
        </is>
      </c>
      <c r="I628" s="68" t="inlineStr">
        <is>
          <t>FALSE;TRUE;TRUE;FALSE</t>
        </is>
      </c>
      <c r="J628" s="68" t="inlineStr">
        <is>
          <t>Alarme de Estado em Ponto Telecontrolado DS</t>
        </is>
      </c>
      <c r="K628" s="69" t="inlineStr">
        <is>
          <t>Alarme de Estado em Ponto Telecontrolado DS</t>
        </is>
      </c>
      <c r="L628" s="69">
        <f>VLOOKUP(LinkTable6789[[#This Row],[Coluna1]],[4]AlarmCatalog!$A:$M,11,FALSE)</f>
        <v/>
      </c>
    </row>
    <row r="629" ht="16.5" customFormat="1" customHeight="1" s="67">
      <c r="A629" s="68" t="inlineStr">
        <is>
          <t>INCLUIR@EXCLUIR___INCLUIDO@EXCLUIDO___Enabled_S_TC_SA</t>
        </is>
      </c>
      <c r="B629" s="68" t="inlineStr"/>
      <c r="C629" s="68" t="inlineStr">
        <is>
          <t>Transit;INCLUIDO;EXCLUIDO;Error</t>
        </is>
      </c>
      <c r="D629" s="68" t="inlineStr">
        <is>
          <t>0;1;2;3</t>
        </is>
      </c>
      <c r="E629" s="68" t="inlineStr">
        <is>
          <t>2;0;1;3</t>
        </is>
      </c>
      <c r="F629" s="68" t="inlineStr">
        <is>
          <t>;INCLUIR;EXCLUIR;</t>
        </is>
      </c>
      <c r="G629" s="68" t="inlineStr">
        <is>
          <t>#FF000000;#FFFF0000;#FF00FF00;#FFA9A9A9</t>
        </is>
      </c>
      <c r="H629" s="68" t="inlineStr">
        <is>
          <t>Abnormal;Auto;Auto;Abnormal</t>
        </is>
      </c>
      <c r="I629" s="68" t="inlineStr">
        <is>
          <t>FALSE;TRUE;TRUE;FALSE</t>
        </is>
      </c>
      <c r="J629" s="68" t="inlineStr">
        <is>
          <t>Alarme de Estado em Ponto Telecontrolado SA</t>
        </is>
      </c>
      <c r="K629" s="69" t="inlineStr">
        <is>
          <t>Alarme de Estado em Ponto Telecontrolado SA</t>
        </is>
      </c>
      <c r="L629" s="69">
        <f>VLOOKUP(LinkTable6789[[#This Row],[Coluna1]],[4]AlarmCatalog!$A:$M,11,FALSE)</f>
        <v/>
      </c>
    </row>
    <row r="630" ht="16.5" customFormat="1" customHeight="1" s="67">
      <c r="A630" s="71" t="inlineStr">
        <is>
          <t>INCLUIR@EXCLUIR___INCLUIDO@EXCLUIDO___Enabled_S_TC_SS</t>
        </is>
      </c>
      <c r="B630" s="71" t="inlineStr"/>
      <c r="C630" s="71" t="inlineStr">
        <is>
          <t>Transit;INCLUIDO;EXCLUIDO;Error</t>
        </is>
      </c>
      <c r="D630" s="71" t="inlineStr">
        <is>
          <t>0;1;2;3</t>
        </is>
      </c>
      <c r="E630" s="71" t="inlineStr">
        <is>
          <t>2;0;1;3</t>
        </is>
      </c>
      <c r="F630" s="68" t="inlineStr">
        <is>
          <t>;INCLUIR;EXCLUIR;</t>
        </is>
      </c>
      <c r="G630" s="68" t="inlineStr">
        <is>
          <t>#FF000000;#FFFF0000;#FF00FF00;#FFA9A9A9</t>
        </is>
      </c>
      <c r="H630" s="68" t="inlineStr">
        <is>
          <t>Abnormal;Auto;Auto;Abnormal</t>
        </is>
      </c>
      <c r="I630" s="68" t="inlineStr">
        <is>
          <t>FALSE;TRUE;TRUE;FALSE</t>
        </is>
      </c>
      <c r="J630" s="68" t="inlineStr">
        <is>
          <t>Alarme de Estado em Ponto Telecontrolado SS</t>
        </is>
      </c>
      <c r="K630" s="69" t="inlineStr">
        <is>
          <t>Alarme de Estado em Ponto Telecontrolado SS</t>
        </is>
      </c>
      <c r="L630" s="69">
        <f>VLOOKUP(LinkTable6789[[#This Row],[Coluna1]],[4]AlarmCatalog!$A:$M,11,FALSE)</f>
        <v/>
      </c>
    </row>
    <row r="631" ht="16.5" customFormat="1" customHeight="1" s="67">
      <c r="A631" s="68" t="inlineStr">
        <is>
          <t>INCLUIR@EXCLUIR___INCLUIDO@EXCLUIDO___Enabled_S_TS_SA</t>
        </is>
      </c>
      <c r="B631" s="68" t="inlineStr"/>
      <c r="C631" s="68" t="inlineStr">
        <is>
          <t>Transit;INCLUIDO;EXCLUIDO;Error</t>
        </is>
      </c>
      <c r="D631" s="68" t="inlineStr">
        <is>
          <t>0;1;2;3</t>
        </is>
      </c>
      <c r="E631" s="68" t="inlineStr">
        <is>
          <t>2;0;1;3</t>
        </is>
      </c>
      <c r="F631" s="68" t="inlineStr">
        <is>
          <t>;;;</t>
        </is>
      </c>
      <c r="G631" s="68" t="inlineStr">
        <is>
          <t>#FF000000;#FFFF0000;#FF00FF00;#FFA9A9A9</t>
        </is>
      </c>
      <c r="H631" s="68" t="inlineStr">
        <is>
          <t>Abnormal;Auto;Auto;Abnormal</t>
        </is>
      </c>
      <c r="I631" s="68" t="inlineStr">
        <is>
          <t>FALSE;TRUE;TRUE;FALSE</t>
        </is>
      </c>
      <c r="J631" s="68" t="inlineStr">
        <is>
          <t>Alarme de Estado em Ponto Telessinalizado SA</t>
        </is>
      </c>
      <c r="K631" s="69" t="inlineStr">
        <is>
          <t>Alarme de Estado em Ponto Telessinalizado SA</t>
        </is>
      </c>
      <c r="L631" s="69">
        <f>VLOOKUP(LinkTable6789[[#This Row],[Coluna1]],[4]AlarmCatalog!$A:$M,11,FALSE)</f>
        <v/>
      </c>
    </row>
    <row r="632" ht="16.5" customFormat="1" customHeight="1" s="67">
      <c r="A632" s="68" t="inlineStr">
        <is>
          <t>INCLUIR@EXCLUIR___INCLUIDO@EXCLUIDO___Enabled_S_TS_SB</t>
        </is>
      </c>
      <c r="B632" s="68" t="inlineStr"/>
      <c r="C632" s="68" t="inlineStr">
        <is>
          <t>Transit;INCLUIDO;EXCLUIDO;Error</t>
        </is>
      </c>
      <c r="D632" s="68" t="inlineStr">
        <is>
          <t>0;1;2;3</t>
        </is>
      </c>
      <c r="E632" s="68" t="inlineStr">
        <is>
          <t>2;0;1;3</t>
        </is>
      </c>
      <c r="F632" s="68" t="inlineStr">
        <is>
          <t>;;;</t>
        </is>
      </c>
      <c r="G632" s="68" t="inlineStr">
        <is>
          <t>#FF000000;#FFFF0000;#FF00FF00;#FFA9A9A9</t>
        </is>
      </c>
      <c r="H632" s="68" t="inlineStr">
        <is>
          <t>Abnormal;Auto;Auto;Abnormal</t>
        </is>
      </c>
      <c r="I632" s="68" t="inlineStr">
        <is>
          <t>FALSE;TRUE;TRUE;FALSE</t>
        </is>
      </c>
      <c r="J632" s="68" t="inlineStr">
        <is>
          <t>Alarme de Estado em Ponto Telessinalizado SB</t>
        </is>
      </c>
      <c r="K632" s="69" t="inlineStr">
        <is>
          <t>Alarme de Estado em Ponto Telessinalizado SB</t>
        </is>
      </c>
      <c r="L632" s="69">
        <f>VLOOKUP(LinkTable6789[[#This Row],[Coluna1]],[4]AlarmCatalog!$A:$M,11,FALSE)</f>
        <v/>
      </c>
    </row>
    <row r="633" ht="16.5" customFormat="1" customHeight="1" s="67">
      <c r="A633" s="68" t="inlineStr">
        <is>
          <t>null@null___NORMAL@DISPARADO___Custom_S_TS</t>
        </is>
      </c>
      <c r="B633" s="68" t="inlineStr"/>
      <c r="C633" s="68" t="inlineStr">
        <is>
          <t>Transit;NORMAL;DISPARADO;Error</t>
        </is>
      </c>
      <c r="D633" s="68" t="inlineStr">
        <is>
          <t>0;1;2;3</t>
        </is>
      </c>
      <c r="E633" s="68" t="inlineStr">
        <is>
          <t>2;0;1;3</t>
        </is>
      </c>
      <c r="F633" s="68" t="inlineStr">
        <is>
          <t>;;;</t>
        </is>
      </c>
      <c r="G633" s="68" t="inlineStr">
        <is>
          <t>#FF000000;#FF00FF00;#FFFF0000;#FFA9A9A9</t>
        </is>
      </c>
      <c r="H633" s="68" t="inlineStr">
        <is>
          <t>Abnormal;Auto;Auto;Abnormal</t>
        </is>
      </c>
      <c r="I633" s="68" t="inlineStr">
        <is>
          <t>FALSE;TRUE;TRUE;FALSE</t>
        </is>
      </c>
      <c r="J633" s="68" t="inlineStr">
        <is>
          <t>Alarme de Estado em Ponto Telessinalizado</t>
        </is>
      </c>
      <c r="K633" s="69" t="inlineStr">
        <is>
          <t>Alarme de Estado em Ponto Telessinalizado</t>
        </is>
      </c>
      <c r="L633" s="69">
        <f>VLOOKUP(LinkTable6789[[#This Row],[Coluna1]],[4]AlarmCatalog!$A:$M,11,FALSE)</f>
        <v/>
      </c>
    </row>
    <row r="634" ht="16.5" customFormat="1" customHeight="1" s="67">
      <c r="A634" s="68" t="inlineStr">
        <is>
          <t>MESTRE@INDIVIDUAL___MESTRE@INDIVIDUAL___Custom_S_TS_SS_SCD</t>
        </is>
      </c>
      <c r="B634" s="68" t="inlineStr"/>
      <c r="C634" s="68" t="inlineStr">
        <is>
          <t>;DESATIVADO;ATIVADO;</t>
        </is>
      </c>
      <c r="D634" s="68" t="inlineStr">
        <is>
          <t>0;1;2;3</t>
        </is>
      </c>
      <c r="E634" s="68" t="inlineStr">
        <is>
          <t>2;0;1;3</t>
        </is>
      </c>
      <c r="F634" s="68" t="inlineStr">
        <is>
          <t>;MESTRE;INDIVIDUAL;</t>
        </is>
      </c>
      <c r="G634" s="68" t="inlineStr">
        <is>
          <t>#FF00FF00;#FF00FF00;#00FF0000;#00000000</t>
        </is>
      </c>
      <c r="H634" s="68" t="inlineStr">
        <is>
          <t>Normal;Abnormal;Normal;Normal</t>
        </is>
      </c>
      <c r="I634" s="68" t="inlineStr">
        <is>
          <t>TRUE;TRUE;TRUE;TRUE</t>
        </is>
      </c>
      <c r="J634" s="68" t="inlineStr">
        <is>
          <t>Alarme de Estado em Ponto Telessinalizado SS</t>
        </is>
      </c>
      <c r="K634" s="69" t="inlineStr">
        <is>
          <t>Alarme de Estado em Ponto Telessinalizado SS</t>
        </is>
      </c>
      <c r="L634" s="69">
        <f>VLOOKUP(LinkTable6789[[#This Row],[Coluna1]],[4]AlarmCatalog!$A:$M,11,FALSE)</f>
        <v/>
      </c>
    </row>
    <row r="635" ht="16.5" customFormat="1" customHeight="1" s="67">
      <c r="A635" s="68" t="inlineStr">
        <is>
          <t>null@null___AUTOMATICO@MANUAL___Custom_S_TS_SS</t>
        </is>
      </c>
      <c r="B635" s="68" t="inlineStr"/>
      <c r="C635" s="68" t="inlineStr">
        <is>
          <t>Transit;AUTOMATICO;MANUAL;Error</t>
        </is>
      </c>
      <c r="D635" s="68" t="inlineStr">
        <is>
          <t>0;1;2;3</t>
        </is>
      </c>
      <c r="E635" s="68" t="inlineStr">
        <is>
          <t>2;0;1;3</t>
        </is>
      </c>
      <c r="F635" s="68" t="inlineStr">
        <is>
          <t>;;;</t>
        </is>
      </c>
      <c r="G635" s="68" t="inlineStr">
        <is>
          <t>#FF000000;#FF00FF00;#FFFF0000;#FFA9A9A9</t>
        </is>
      </c>
      <c r="H635" s="68" t="inlineStr">
        <is>
          <t>Abnormal;Auto;Auto;Abnormal</t>
        </is>
      </c>
      <c r="I635" s="68" t="inlineStr">
        <is>
          <t>FALSE;TRUE;TRUE;FALSE</t>
        </is>
      </c>
      <c r="J635" s="68" t="inlineStr">
        <is>
          <t>Alarme de Estado em Ponto Telessinalizado SS</t>
        </is>
      </c>
      <c r="K635" s="69" t="inlineStr">
        <is>
          <t>Alarme de Estado em Ponto Telessinalizado SS</t>
        </is>
      </c>
      <c r="L635" s="69">
        <f>VLOOKUP(LinkTable6789[[#This Row],[Coluna1]],[4]AlarmCatalog!$A:$M,11,FALSE)</f>
        <v/>
      </c>
    </row>
    <row r="636" ht="16.5" customFormat="1" customHeight="1" s="67">
      <c r="A636" s="68" t="inlineStr">
        <is>
          <t>null@null___MANUAL DESATIVOU@MANUAL ATIVOU___Custom___INV_S_TS_SS</t>
        </is>
      </c>
      <c r="B636" s="68" t="inlineStr"/>
      <c r="C636" s="68" t="inlineStr">
        <is>
          <t>Transit;MANUAL DESATIVOU;MANUAL ATIVOU;Error</t>
        </is>
      </c>
      <c r="D636" s="68" t="inlineStr">
        <is>
          <t>0;1;2;3</t>
        </is>
      </c>
      <c r="E636" s="68" t="inlineStr">
        <is>
          <t>2;1;0;3</t>
        </is>
      </c>
      <c r="F636" s="68" t="inlineStr">
        <is>
          <t>;;;</t>
        </is>
      </c>
      <c r="G636" s="68" t="inlineStr">
        <is>
          <t>#FF000000;#FF00FF00;#FFFF0000;#FFA9A9A9</t>
        </is>
      </c>
      <c r="H636" s="68" t="inlineStr">
        <is>
          <t>Abnormal;Auto;Auto;Abnormal</t>
        </is>
      </c>
      <c r="I636" s="68" t="inlineStr">
        <is>
          <t>FALSE;TRUE;TRUE;FALSE</t>
        </is>
      </c>
      <c r="J636" s="68" t="inlineStr">
        <is>
          <t>Alarme de Estado em Ponto Telessinalizado SS</t>
        </is>
      </c>
      <c r="K636" s="69" t="inlineStr">
        <is>
          <t>Alarme de Estado em Ponto Telessinalizado SS</t>
        </is>
      </c>
      <c r="L636" s="69">
        <f>VLOOKUP(LinkTable6789[[#This Row],[Coluna1]],[4]AlarmCatalog!$A:$M,11,FALSE)</f>
        <v/>
      </c>
    </row>
    <row r="637" ht="16.5" customFormat="1" customHeight="1" s="67">
      <c r="A637" s="68" t="inlineStr">
        <is>
          <t>MANUAL@AUTOMATICO___MANUAL@AUTOMATICO___Custom___INV_D_TC_SS</t>
        </is>
      </c>
      <c r="B637" s="68" t="inlineStr"/>
      <c r="C637" s="68" t="inlineStr">
        <is>
          <t>Transit;MANUAL;AUTOMATICO;Error</t>
        </is>
      </c>
      <c r="D637" s="68" t="inlineStr">
        <is>
          <t>0;1;2;3</t>
        </is>
      </c>
      <c r="E637" s="68" t="inlineStr">
        <is>
          <t>0;2;1;3</t>
        </is>
      </c>
      <c r="F637" s="68" t="inlineStr">
        <is>
          <t>;MANUAL;AUTOMATICO;</t>
        </is>
      </c>
      <c r="G637" s="68" t="inlineStr">
        <is>
          <t>#FF000000;#FF00FF00;#FFFF0000;#FFA9A9A9</t>
        </is>
      </c>
      <c r="H637" s="68" t="inlineStr">
        <is>
          <t>Normal;Normal;Normal;Normal</t>
        </is>
      </c>
      <c r="I637" s="68" t="inlineStr">
        <is>
          <t>FALSE;TRUE;TRUE;FALSE</t>
        </is>
      </c>
      <c r="J637" s="68" t="inlineStr">
        <is>
          <t>Alarme de Estado em Ponto Telecontrolado SS</t>
        </is>
      </c>
      <c r="K637" s="69" t="inlineStr">
        <is>
          <t>Alarme de Estado em Ponto Telecontrolado SS</t>
        </is>
      </c>
      <c r="L637" s="69">
        <f>VLOOKUP(LinkTable6789[[#This Row],[Coluna1]],[4]AlarmCatalog!$A:$M,11,FALSE)</f>
        <v/>
      </c>
    </row>
    <row r="638" ht="16.5" customFormat="1" customHeight="1" s="67">
      <c r="A638" s="68" t="inlineStr">
        <is>
          <t>INCLUIR@EXCLUIR___INCLUIDO@EXCLUIDO___Enabled_S_TS_SS</t>
        </is>
      </c>
      <c r="B638" s="68" t="inlineStr"/>
      <c r="C638" s="68" t="inlineStr">
        <is>
          <t>Transit;INCLUIDO;EXCLUIDO;Error</t>
        </is>
      </c>
      <c r="D638" s="68" t="inlineStr">
        <is>
          <t>0;1;2;3</t>
        </is>
      </c>
      <c r="E638" s="68" t="inlineStr">
        <is>
          <t>2;0;1;3</t>
        </is>
      </c>
      <c r="F638" s="68" t="inlineStr">
        <is>
          <t>;;;</t>
        </is>
      </c>
      <c r="G638" s="68" t="inlineStr">
        <is>
          <t>#FF000000;#FFFF0000;#FF00FF00;#FFA9A9A9</t>
        </is>
      </c>
      <c r="H638" s="68" t="inlineStr">
        <is>
          <t>Abnormal;Auto;Auto;Abnormal</t>
        </is>
      </c>
      <c r="I638" s="68" t="inlineStr">
        <is>
          <t>FALSE;TRUE;TRUE;FALSE</t>
        </is>
      </c>
      <c r="J638" s="68" t="inlineStr">
        <is>
          <t>Alarme de Estado em Ponto Telessinalizado SS</t>
        </is>
      </c>
      <c r="K638" s="69" t="inlineStr">
        <is>
          <t>Alarme de Estado em Ponto Telessinalizado SS</t>
        </is>
      </c>
      <c r="L638" s="69">
        <f>VLOOKUP(LinkTable6789[[#This Row],[Coluna1]],[4]AlarmCatalog!$A:$M,11,FALSE)</f>
        <v/>
      </c>
    </row>
    <row r="639" ht="16.5" customFormat="1" customHeight="1" s="67">
      <c r="A639" s="68" t="inlineStr">
        <is>
          <t>null@MESTRE___DESATIVADO@ATIVADO___Custom_S_TS_SS</t>
        </is>
      </c>
      <c r="B639" s="68" t="inlineStr"/>
      <c r="C639" s="68" t="inlineStr">
        <is>
          <t>Transit;DESATIVADO;ATIVADO;Error</t>
        </is>
      </c>
      <c r="D639" s="68" t="inlineStr">
        <is>
          <t>0;1;2;3</t>
        </is>
      </c>
      <c r="E639" s="68" t="inlineStr">
        <is>
          <t>2;0;1;3</t>
        </is>
      </c>
      <c r="F639" s="68" t="inlineStr">
        <is>
          <t>;MESTRE;;</t>
        </is>
      </c>
      <c r="G639" s="68" t="inlineStr">
        <is>
          <t>#FF000000;#FF00FF00;#FFFF0000;#FFA9A9A9</t>
        </is>
      </c>
      <c r="H639" s="68" t="inlineStr">
        <is>
          <t>Abnormal;Auto;Auto;Abnormal</t>
        </is>
      </c>
      <c r="I639" s="68" t="inlineStr">
        <is>
          <t>FALSE;TRUE;TRUE;FALSE</t>
        </is>
      </c>
      <c r="J639" s="68" t="inlineStr">
        <is>
          <t>Alarme de Estado em Ponto Telessinalizado SS</t>
        </is>
      </c>
      <c r="K639" s="69" t="inlineStr">
        <is>
          <t>Alarme de Estado em Ponto Telessinalizado SS</t>
        </is>
      </c>
      <c r="L639" s="69">
        <f>VLOOKUP(LinkTable6789[[#This Row],[Coluna1]],[4]AlarmCatalog!$A:$M,11,FALSE)</f>
        <v/>
      </c>
    </row>
    <row r="640" ht="16.5" customFormat="1" customHeight="1" s="67">
      <c r="A640" s="68" t="inlineStr">
        <is>
          <t>INCLUIR@EXCLUIR___INCLUIDO@EXCLUIDO___HotLineTag_S_TC_SS</t>
        </is>
      </c>
      <c r="B640" s="68" t="inlineStr"/>
      <c r="C640" s="68" t="inlineStr">
        <is>
          <t>Transit;EXCLUIDO;INCLUIDO;Error</t>
        </is>
      </c>
      <c r="D640" s="68" t="inlineStr">
        <is>
          <t>0;1;2;3</t>
        </is>
      </c>
      <c r="E640" s="68" t="inlineStr">
        <is>
          <t>2;0;1;3</t>
        </is>
      </c>
      <c r="F640" s="68" t="inlineStr">
        <is>
          <t>;EXCLUIR;INCLUIR;</t>
        </is>
      </c>
      <c r="G640" s="68" t="inlineStr">
        <is>
          <t>#FF000000;#FF00FF00;#FFFF0000;#FFA9A9A9</t>
        </is>
      </c>
      <c r="H640" s="68" t="inlineStr">
        <is>
          <t>Abnormal;Auto;Auto;Abnormal</t>
        </is>
      </c>
      <c r="I640" s="68" t="inlineStr">
        <is>
          <t>FALSE;TRUE;TRUE;FALSE</t>
        </is>
      </c>
      <c r="J640" s="68" t="inlineStr">
        <is>
          <t>Alarme de Estado em Ponto Telecontrolado SS</t>
        </is>
      </c>
      <c r="K640" s="69" t="inlineStr">
        <is>
          <t>Alarme de Estado em Ponto Telecontrolado SS</t>
        </is>
      </c>
      <c r="L640" s="69">
        <f>VLOOKUP(LinkTable6789[[#This Row],[Coluna1]],[4]AlarmCatalog!$A:$M,11,FALSE)</f>
        <v/>
      </c>
    </row>
    <row r="641" ht="16.5" customFormat="1" customHeight="1" s="67">
      <c r="A641" s="68" t="inlineStr">
        <is>
          <t>INCLUIR@EXCLUIR___INCLUIDO@EXCLUIDO___ReclosingEnabled___admsINV_S_TC_SS</t>
        </is>
      </c>
      <c r="B641" s="68" t="inlineStr"/>
      <c r="C641" s="68" t="inlineStr">
        <is>
          <t>Transit;INCLUIDO;EXCLUIDO;Error</t>
        </is>
      </c>
      <c r="D641" s="68" t="inlineStr">
        <is>
          <t>0;2;1;3</t>
        </is>
      </c>
      <c r="E641" s="68" t="inlineStr">
        <is>
          <t>2;0;1;3</t>
        </is>
      </c>
      <c r="F641" s="68" t="inlineStr">
        <is>
          <t>;INCLUIR;EXCLUIR;</t>
        </is>
      </c>
      <c r="G641" s="68" t="inlineStr">
        <is>
          <t>#FF000000;#FFFF0000;#FF00FF00;#FFA9A9A9</t>
        </is>
      </c>
      <c r="H641" s="68" t="inlineStr">
        <is>
          <t>Abnormal;Normal;Abnormal;Abnormal</t>
        </is>
      </c>
      <c r="I641" s="68" t="inlineStr">
        <is>
          <t>FALSE;TRUE;TRUE;FALSE</t>
        </is>
      </c>
      <c r="J641" s="68" t="inlineStr">
        <is>
          <t>Alarme de Estado em Ponto Telecontrolado SS</t>
        </is>
      </c>
      <c r="K641" s="69" t="inlineStr">
        <is>
          <t>Alarme de Estado em Ponto Telecontrolado SS</t>
        </is>
      </c>
      <c r="L641" s="69">
        <f>VLOOKUP(LinkTable6789[[#This Row],[Coluna1]],[4]AlarmCatalog!$A:$M,11,FALSE)</f>
        <v/>
      </c>
    </row>
    <row r="642" ht="16.5" customFormat="1" customHeight="1" s="67">
      <c r="A642" s="68" t="inlineStr">
        <is>
          <t>DI_BLOQUEAR@MANUAL@AUTOMATICO___BLOQUEADO@MANUAL@AUTOMATICO___Custom_D_TC_DS</t>
        </is>
      </c>
      <c r="B642" s="68" t="inlineStr"/>
      <c r="C642" s="68" t="inlineStr">
        <is>
          <t>BLOQUEADO;MANUAL;AUTOMATICO;Erro</t>
        </is>
      </c>
      <c r="D642" s="68" t="inlineStr">
        <is>
          <t>2;0;1;3</t>
        </is>
      </c>
      <c r="E642" s="68" t="inlineStr">
        <is>
          <t>0;2;1;3</t>
        </is>
      </c>
      <c r="F642" s="68" t="inlineStr">
        <is>
          <t>BLOQUEADO;MANUAL;AUTOMATICO;Erro</t>
        </is>
      </c>
      <c r="G642" s="68" t="inlineStr">
        <is>
          <t>#FFFF0000;#FF00FF00;#FF00FF00;#FF000000</t>
        </is>
      </c>
      <c r="H642" s="68" t="inlineStr">
        <is>
          <t>Normal;Normal;Normal;Abnormal</t>
        </is>
      </c>
      <c r="I642" s="68" t="inlineStr">
        <is>
          <t>TRUE;TRUE;TRUE;FALSE</t>
        </is>
      </c>
      <c r="J642" s="68" t="inlineStr">
        <is>
          <t>Alarme de Estado em Ponto Telecontrolado DS</t>
        </is>
      </c>
      <c r="K642" s="69" t="inlineStr">
        <is>
          <t>Alarme de Estado em Ponto Telecontrolado DS</t>
        </is>
      </c>
      <c r="L642" s="69">
        <f>VLOOKUP(LinkTable6789[[#This Row],[Coluna1]],[4]AlarmCatalog!$A:$M,11,FALSE)</f>
        <v/>
      </c>
    </row>
    <row r="643" ht="16.5" customFormat="1" customHeight="1" s="67">
      <c r="A643" s="68" t="inlineStr">
        <is>
          <t>DI_DIMINUIR@AUMENTAR___null@null___Custom_S_TC_DS</t>
        </is>
      </c>
      <c r="B643" s="68" t="inlineStr"/>
      <c r="C643" s="68" t="inlineStr">
        <is>
          <t>Transit;;;Error</t>
        </is>
      </c>
      <c r="D643" s="68" t="inlineStr">
        <is>
          <t>0;1;2;3</t>
        </is>
      </c>
      <c r="E643" s="68" t="inlineStr">
        <is>
          <t>2;0;1;3</t>
        </is>
      </c>
      <c r="F643" s="68" t="inlineStr">
        <is>
          <t>;DIMINUIR;AUMENTAR;</t>
        </is>
      </c>
      <c r="G643" s="68" t="inlineStr">
        <is>
          <t>#FF000000;#FF00FF00;#FFFF0000;#FFA9A9A9</t>
        </is>
      </c>
      <c r="H643" s="68" t="inlineStr">
        <is>
          <t>Normal;Normal;Normal;Normal</t>
        </is>
      </c>
      <c r="I643" s="68" t="inlineStr">
        <is>
          <t>FALSE;TRUE;TRUE;FALSE</t>
        </is>
      </c>
      <c r="J643" s="68" t="inlineStr">
        <is>
          <t>Alarme de Estado em Ponto Telecontrolado DS</t>
        </is>
      </c>
      <c r="K643" s="69" t="inlineStr">
        <is>
          <t>Alarme de Estado em Ponto Telecontrolado DS</t>
        </is>
      </c>
      <c r="L643" s="69">
        <f>VLOOKUP(LinkTable6789[[#This Row],[Coluna1]],[4]AlarmCatalog!$A:$M,11,FALSE)</f>
        <v/>
      </c>
    </row>
    <row r="644" ht="16.5" customFormat="1" customHeight="1" s="67">
      <c r="A644" s="68" t="inlineStr">
        <is>
          <t>DI_null@ZERAR___NORMAL@ZERADO___Custom_admsINV_S_TC</t>
        </is>
      </c>
      <c r="B644" s="68" t="inlineStr"/>
      <c r="C644" s="68" t="inlineStr">
        <is>
          <t>Transit;NORMAL;ZERADO;Error</t>
        </is>
      </c>
      <c r="D644" s="68" t="inlineStr">
        <is>
          <t>0;2;1;3</t>
        </is>
      </c>
      <c r="E644" s="68" t="inlineStr">
        <is>
          <t>2;0;1;3</t>
        </is>
      </c>
      <c r="F644" s="68" t="inlineStr">
        <is>
          <t>;;ZERAR;</t>
        </is>
      </c>
      <c r="G644" s="68" t="inlineStr">
        <is>
          <t>#FF000000;#FF00FF00;#FFFF0000;#FFA9A9A9</t>
        </is>
      </c>
      <c r="H644" s="68" t="inlineStr">
        <is>
          <t>Normal;Normal;Normal;Normal</t>
        </is>
      </c>
      <c r="I644" s="68" t="inlineStr">
        <is>
          <t>FALSE;TRUE;TRUE;FALSE</t>
        </is>
      </c>
      <c r="J644" s="68" t="inlineStr">
        <is>
          <t>Alarme de Estado em Ponto Telecontrolado DS</t>
        </is>
      </c>
      <c r="K644" s="69" t="inlineStr">
        <is>
          <t>Alarme de Estado em Ponto Telecontrolado DS</t>
        </is>
      </c>
      <c r="L644" s="69">
        <f>VLOOKUP(LinkTable6789[[#This Row],[Coluna1]],[4]AlarmCatalog!$A:$M,11,FALSE)</f>
        <v/>
      </c>
    </row>
    <row r="645" ht="16.5" customFormat="1" customHeight="1" s="67">
      <c r="A645" s="68" t="inlineStr">
        <is>
          <t>DI_null@null___NORMAL@null___Custom_S_TC_DS</t>
        </is>
      </c>
      <c r="B645" s="68" t="inlineStr"/>
      <c r="C645" s="68" t="inlineStr">
        <is>
          <t>Transit;;;Error</t>
        </is>
      </c>
      <c r="D645" s="68" t="inlineStr">
        <is>
          <t>0;1;2;3</t>
        </is>
      </c>
      <c r="E645" s="68" t="inlineStr">
        <is>
          <t>2;0;1;3</t>
        </is>
      </c>
      <c r="F645" s="68" t="inlineStr">
        <is>
          <t>;RESET ICC;;</t>
        </is>
      </c>
      <c r="G645" s="68" t="inlineStr">
        <is>
          <t>#FF000000;#FF00FF00;#FFFF0000;#FFA9A9A9</t>
        </is>
      </c>
      <c r="H645" s="68" t="inlineStr">
        <is>
          <t>Normal;Normal;Normal;Normal</t>
        </is>
      </c>
      <c r="I645" s="68" t="inlineStr">
        <is>
          <t>FALSE;TRUE;TRUE;FALSE</t>
        </is>
      </c>
      <c r="J645" s="68" t="inlineStr">
        <is>
          <t>Alarme de Estado em Ponto Telecontrolado DS</t>
        </is>
      </c>
      <c r="K645" s="69" t="inlineStr">
        <is>
          <t>Alarme de Estado em Ponto Telecontrolado DS</t>
        </is>
      </c>
      <c r="L645" s="69">
        <f>VLOOKUP(LinkTable6789[[#This Row],[Coluna1]],[4]AlarmCatalog!$A:$M,11,FALSE)</f>
        <v/>
      </c>
    </row>
    <row r="646" ht="16.5" customFormat="1" customHeight="1" s="67">
      <c r="A646" s="68" t="inlineStr">
        <is>
          <t>DI_null@null___NORMAL@FALTA___Custom_S_TS_DS</t>
        </is>
      </c>
      <c r="B646" s="68" t="inlineStr"/>
      <c r="C646" s="68" t="inlineStr">
        <is>
          <t>Transit;NORMAL;FALTA;Error</t>
        </is>
      </c>
      <c r="D646" s="68" t="inlineStr">
        <is>
          <t>0;1;2;3</t>
        </is>
      </c>
      <c r="E646" s="68" t="inlineStr">
        <is>
          <t>2;0;1;3</t>
        </is>
      </c>
      <c r="F646" s="68" t="inlineStr">
        <is>
          <t>;;;</t>
        </is>
      </c>
      <c r="G646" s="68" t="inlineStr">
        <is>
          <t>#FF000000;#FF00FF00;#FFFF0000;#FFA9A9A9</t>
        </is>
      </c>
      <c r="H646" s="68" t="inlineStr">
        <is>
          <t>Abnormal;Auto;Auto;Abnormal</t>
        </is>
      </c>
      <c r="I646" s="68" t="inlineStr">
        <is>
          <t>FALSE;TRUE;TRUE;FALSE</t>
        </is>
      </c>
      <c r="J646" s="68" t="inlineStr">
        <is>
          <t>Alarme de Estado em Ponto Telessinalizado DS</t>
        </is>
      </c>
      <c r="K646" s="69" t="inlineStr">
        <is>
          <t>Alarme de Estado em Ponto Telessinalizado DS</t>
        </is>
      </c>
      <c r="L646" s="69">
        <f>VLOOKUP(LinkTable6789[[#This Row],[Coluna1]],[4]AlarmCatalog!$A:$M,11,FALSE)</f>
        <v/>
      </c>
    </row>
    <row r="647" ht="16.5" customFormat="1" customHeight="1" s="67">
      <c r="A647" s="68" t="inlineStr">
        <is>
          <t>DI_null@null___ABERTO@FECHADO___Custom_S_TS_DS</t>
        </is>
      </c>
      <c r="B647" s="68" t="inlineStr"/>
      <c r="C647" s="68" t="inlineStr">
        <is>
          <t>Transit;ABERTO;FECHADO;Error</t>
        </is>
      </c>
      <c r="D647" s="68" t="inlineStr">
        <is>
          <t>0;2;1;3</t>
        </is>
      </c>
      <c r="E647" s="68" t="inlineStr">
        <is>
          <t>2;1;0;3</t>
        </is>
      </c>
      <c r="F647" s="68" t="inlineStr">
        <is>
          <t>;;;</t>
        </is>
      </c>
      <c r="G647" s="68" t="inlineStr">
        <is>
          <t>#FF000000;#FF00FF00;#FFFF0000;#FFA9A9A9</t>
        </is>
      </c>
      <c r="H647" s="68" t="inlineStr">
        <is>
          <t>Abnormal;Auto;Auto;Abnormal</t>
        </is>
      </c>
      <c r="I647" s="68" t="inlineStr">
        <is>
          <t>FALSE;TRUE;TRUE;FALSE</t>
        </is>
      </c>
      <c r="J647" s="68" t="inlineStr">
        <is>
          <t>Alarme de Estado em Ponto Telessinalizado DS</t>
        </is>
      </c>
      <c r="K647" s="69" t="inlineStr">
        <is>
          <t>Alarme de Estado em Ponto Telessinalizado DS</t>
        </is>
      </c>
      <c r="L647" s="69">
        <f>VLOOKUP(LinkTable6789[[#This Row],[Coluna1]],[4]AlarmCatalog!$A:$M,11,FALSE)</f>
        <v/>
      </c>
    </row>
    <row r="648" ht="16.5" customFormat="1" customHeight="1" s="67">
      <c r="A648" s="68" t="inlineStr">
        <is>
          <t>DI_UNIDIRECIONAL@BIDIRECIONAL___UNIDIRECIONAL@BIDIRECIONAL___Custom_S_TC_DS</t>
        </is>
      </c>
      <c r="B648" s="68" t="inlineStr"/>
      <c r="C648" s="68" t="inlineStr">
        <is>
          <t>Transit;UNIDIRECIONAL;BIDIRECIONAL;Error</t>
        </is>
      </c>
      <c r="D648" s="68" t="inlineStr">
        <is>
          <t>0;1;2;3</t>
        </is>
      </c>
      <c r="E648" s="68" t="inlineStr">
        <is>
          <t>2;0;1;3</t>
        </is>
      </c>
      <c r="F648" s="68" t="inlineStr">
        <is>
          <t>;UNIDIRECIONAL;BIDIRECIONAL;</t>
        </is>
      </c>
      <c r="G648" s="68" t="inlineStr">
        <is>
          <t>#FF000000;#FF00FF00;#FFFF0000;#FFA9A9A9</t>
        </is>
      </c>
      <c r="H648" s="68" t="inlineStr">
        <is>
          <t>Abnormal;Auto;Auto;Abnormal</t>
        </is>
      </c>
      <c r="I648" s="68" t="inlineStr">
        <is>
          <t>FALSE;TRUE;TRUE;FALSE</t>
        </is>
      </c>
      <c r="J648" s="68" t="inlineStr">
        <is>
          <t>Alarme de Estado em Ponto Telecontrolado DS</t>
        </is>
      </c>
      <c r="K648" s="69" t="inlineStr">
        <is>
          <t>Alarme de Estado em Ponto Telecontrolado DS</t>
        </is>
      </c>
      <c r="L648" s="69">
        <f>VLOOKUP(LinkTable6789[[#This Row],[Coluna1]],[4]AlarmCatalog!$A:$M,11,FALSE)</f>
        <v/>
      </c>
    </row>
    <row r="649" ht="16.5" customFormat="1" customHeight="1" s="67">
      <c r="A649" s="68" t="inlineStr">
        <is>
          <t>DI_null@RESET___NORMAL@ATUADO___Custom_S_TC_DS</t>
        </is>
      </c>
      <c r="B649" s="68" t="inlineStr"/>
      <c r="C649" s="68" t="inlineStr">
        <is>
          <t>Transit;NORMAL;ATUADO;Error</t>
        </is>
      </c>
      <c r="D649" s="68" t="inlineStr">
        <is>
          <t>0;1;2;3</t>
        </is>
      </c>
      <c r="E649" s="68" t="inlineStr">
        <is>
          <t>2;0;1;3</t>
        </is>
      </c>
      <c r="F649" s="68" t="inlineStr">
        <is>
          <t>;;RESET;</t>
        </is>
      </c>
      <c r="G649" s="68" t="inlineStr">
        <is>
          <t>#FF000000;#FF00FF00;#FFFF0000;#FFA9A9A9</t>
        </is>
      </c>
      <c r="H649" s="68" t="inlineStr">
        <is>
          <t>Abnormal;Auto;Auto;Abnormal</t>
        </is>
      </c>
      <c r="I649" s="68" t="inlineStr">
        <is>
          <t>FALSE;TRUE;TRUE;FALSE</t>
        </is>
      </c>
      <c r="J649" s="68" t="inlineStr">
        <is>
          <t>Alarme de Estado em Ponto Telecontrolado DS</t>
        </is>
      </c>
      <c r="K649" s="69" t="inlineStr">
        <is>
          <t>Alarme de Estado em Ponto Telecontrolado DS</t>
        </is>
      </c>
      <c r="L649" s="69">
        <f>VLOOKUP(LinkTable6789[[#This Row],[Coluna1]],[4]AlarmCatalog!$A:$M,11,FALSE)</f>
        <v/>
      </c>
    </row>
    <row r="650" ht="16.5" customFormat="1" customHeight="1" s="67">
      <c r="A650" s="68" t="inlineStr">
        <is>
          <t>DI_DESATIVAR@ATIVAR___DESATIVADO@ATIVADO___Custom_S_TC_DS</t>
        </is>
      </c>
      <c r="B650" s="68" t="inlineStr"/>
      <c r="C650" s="68" t="inlineStr">
        <is>
          <t>Transit;DESATIVADO;ATIVADO;Error</t>
        </is>
      </c>
      <c r="D650" s="68" t="inlineStr">
        <is>
          <t>0;1;2;3</t>
        </is>
      </c>
      <c r="E650" s="68" t="inlineStr">
        <is>
          <t>2;0;1;3</t>
        </is>
      </c>
      <c r="F650" s="68" t="inlineStr">
        <is>
          <t>;DESATIVAR;ATIVAR;</t>
        </is>
      </c>
      <c r="G650" s="68" t="inlineStr">
        <is>
          <t>#FF000000;#FF00FF00;#FFFF0000;#FFA9A9A9</t>
        </is>
      </c>
      <c r="H650" s="68" t="inlineStr">
        <is>
          <t>Abnormal;Auto;Auto;Abnormal</t>
        </is>
      </c>
      <c r="I650" s="68" t="inlineStr">
        <is>
          <t>FALSE;TRUE;TRUE;FALSE</t>
        </is>
      </c>
      <c r="J650" s="68" t="inlineStr">
        <is>
          <t>Alarme de Estado em Ponto Telecontrolado DS</t>
        </is>
      </c>
      <c r="K650" s="69" t="inlineStr">
        <is>
          <t>Alarme de Estado em Ponto Telecontrolado DS</t>
        </is>
      </c>
      <c r="L650" s="69">
        <f>VLOOKUP(LinkTable6789[[#This Row],[Coluna1]],[4]AlarmCatalog!$A:$M,11,FALSE)</f>
        <v/>
      </c>
    </row>
    <row r="651" ht="16.5" customFormat="1" customHeight="1" s="67">
      <c r="A651" s="68" t="inlineStr">
        <is>
          <t>INCLUIR@EXCLUIR___INCLUIDO@EXCLUIDO___ReclosingEnabled___admsINV_S_TS_SS</t>
        </is>
      </c>
      <c r="B651" s="68" t="inlineStr"/>
      <c r="C651" s="68" t="inlineStr">
        <is>
          <t>Transit;INCLUIDO;EXCLUIDO;Error</t>
        </is>
      </c>
      <c r="D651" s="68" t="inlineStr">
        <is>
          <t>0;2;1;3</t>
        </is>
      </c>
      <c r="E651" s="68" t="inlineStr">
        <is>
          <t>2;0;1;3</t>
        </is>
      </c>
      <c r="F651" s="68" t="inlineStr">
        <is>
          <t>;;;</t>
        </is>
      </c>
      <c r="G651" s="68" t="inlineStr">
        <is>
          <t>#FF000000;#FFFF0000;#FF00FF00;#FFA9A9A9</t>
        </is>
      </c>
      <c r="H651" s="68" t="inlineStr">
        <is>
          <t>Abnormal;Auto;Auto;Abnormal</t>
        </is>
      </c>
      <c r="I651" s="68" t="inlineStr">
        <is>
          <t>FALSE;TRUE;TRUE;FALSE</t>
        </is>
      </c>
      <c r="J651" s="68" t="inlineStr">
        <is>
          <t>Alarme de Estado em Ponto Telessinalizado SS</t>
        </is>
      </c>
      <c r="K651" s="69" t="inlineStr">
        <is>
          <t>Alarme de Estado em Ponto Telessinalizado SS</t>
        </is>
      </c>
      <c r="L651" s="69">
        <f>VLOOKUP(LinkTable6789[[#This Row],[Coluna1]],[4]AlarmCatalog!$A:$M,11,FALSE)</f>
        <v/>
      </c>
    </row>
    <row r="652" ht="16.5" customFormat="1" customHeight="1" s="67">
      <c r="A652" s="68" t="inlineStr">
        <is>
          <t>INCLUIR@EXCLUIR___INCLUIDO@EXCLUIDO___ReclosingEnabled___INV___admsINV_S_TC_SS</t>
        </is>
      </c>
      <c r="B652" s="68" t="inlineStr"/>
      <c r="C652" s="68" t="inlineStr">
        <is>
          <t>Transit;INCLUIDO;EXCLUIDO;Error</t>
        </is>
      </c>
      <c r="D652" s="68" t="inlineStr">
        <is>
          <t>0;2;1;3</t>
        </is>
      </c>
      <c r="E652" s="68" t="inlineStr">
        <is>
          <t>2;1;0;3</t>
        </is>
      </c>
      <c r="F652" s="68" t="inlineStr">
        <is>
          <t>;INCLUIR;EXCLUIR;</t>
        </is>
      </c>
      <c r="G652" s="68" t="inlineStr">
        <is>
          <t>#FF000000;#FFFF0000;#FF00FF00;#FFA9A9A9</t>
        </is>
      </c>
      <c r="H652" s="68" t="inlineStr">
        <is>
          <t>Abnormal;Auto;Auto;Abnormal</t>
        </is>
      </c>
      <c r="I652" s="68" t="inlineStr">
        <is>
          <t>FALSE;TRUE;TRUE;FALSE</t>
        </is>
      </c>
      <c r="J652" s="68" t="inlineStr">
        <is>
          <t>Alarme de Estado em Ponto Telecontrolado SS</t>
        </is>
      </c>
      <c r="K652" s="69" t="inlineStr">
        <is>
          <t>Alarme de Estado em Ponto Telecontrolado SS</t>
        </is>
      </c>
      <c r="L652" s="69">
        <f>VLOOKUP(LinkTable6789[[#This Row],[Coluna1]],[4]AlarmCatalog!$A:$M,11,FALSE)</f>
        <v/>
      </c>
    </row>
    <row r="653" ht="16.5" customFormat="1" customHeight="1" s="67">
      <c r="A653" s="68" t="inlineStr">
        <is>
          <t>INCLUIR@EXCLUIR___INCLUIDO@EXCLUIDO___ReclosingEnabled___INV___admsINV_S_TS_SS</t>
        </is>
      </c>
      <c r="B653" s="68" t="inlineStr"/>
      <c r="C653" s="68" t="inlineStr">
        <is>
          <t>Transit;INCLUIDO;EXCLUIDO;Error</t>
        </is>
      </c>
      <c r="D653" s="68" t="inlineStr">
        <is>
          <t>0;2;1;3</t>
        </is>
      </c>
      <c r="E653" s="68" t="inlineStr">
        <is>
          <t>2;1;0;3</t>
        </is>
      </c>
      <c r="F653" s="68" t="inlineStr">
        <is>
          <t>;;;</t>
        </is>
      </c>
      <c r="G653" s="68" t="inlineStr">
        <is>
          <t>#FF000000;#FFFF0000;#FF00FF00;#FFA9A9A9</t>
        </is>
      </c>
      <c r="H653" s="68" t="inlineStr">
        <is>
          <t>Abnormal;Auto;Auto;Abnormal</t>
        </is>
      </c>
      <c r="I653" s="68" t="inlineStr">
        <is>
          <t>FALSE;TRUE;TRUE;FALSE</t>
        </is>
      </c>
      <c r="J653" s="68" t="inlineStr">
        <is>
          <t>Alarme de Estado em Ponto Telessinalizado SS</t>
        </is>
      </c>
      <c r="K653" s="69" t="inlineStr">
        <is>
          <t>Alarme de Estado em Ponto Telessinalizado SS</t>
        </is>
      </c>
      <c r="L653" s="69">
        <f>VLOOKUP(LinkTable6789[[#This Row],[Coluna1]],[4]AlarmCatalog!$A:$M,11,FALSE)</f>
        <v/>
      </c>
    </row>
    <row r="654" ht="16.5" customFormat="1" customHeight="1" s="67">
      <c r="A654" s="68" t="inlineStr">
        <is>
          <t>null@null___REMOTO@LOCAL___Custom___INV_D_TS_SS</t>
        </is>
      </c>
      <c r="B654" s="68" t="inlineStr"/>
      <c r="C654" s="68" t="inlineStr">
        <is>
          <t>Transit;REMOTO;LOCAL;Error</t>
        </is>
      </c>
      <c r="D654" s="68" t="inlineStr">
        <is>
          <t>0;1;2;3</t>
        </is>
      </c>
      <c r="E654" s="68" t="inlineStr">
        <is>
          <t>2;1;0;3</t>
        </is>
      </c>
      <c r="F654" s="68" t="inlineStr">
        <is>
          <t>;;;</t>
        </is>
      </c>
      <c r="G654" s="68" t="inlineStr">
        <is>
          <t>#FF000000;#FF00FF00;#FFFF0000;#FFA9A9A9</t>
        </is>
      </c>
      <c r="H654" s="68" t="inlineStr">
        <is>
          <t>Abnormal;Normal;Normal;Normal</t>
        </is>
      </c>
      <c r="I654" s="68" t="inlineStr">
        <is>
          <t>FALSE;TRUE;TRUE;FALSE</t>
        </is>
      </c>
      <c r="J654" s="68" t="inlineStr">
        <is>
          <t>Alarme de Estado em Ponto Telessinalizado SS</t>
        </is>
      </c>
      <c r="K654" s="69" t="inlineStr">
        <is>
          <t>Alarme de Estado em Ponto Telessinalizado SS</t>
        </is>
      </c>
      <c r="L654" s="69">
        <f>VLOOKUP(LinkTable6789[[#This Row],[Coluna1]],[4]AlarmCatalog!$A:$M,11,FALSE)</f>
        <v/>
      </c>
    </row>
    <row r="655" ht="16.5" customFormat="1" customHeight="1" s="67">
      <c r="A655" s="68" t="inlineStr">
        <is>
          <t>INCLUIR@EXCLUIR___INCLUIDO@EXCLUIDO___ReclosingEnabled___INV_S_TC</t>
        </is>
      </c>
      <c r="B655" s="68" t="inlineStr"/>
      <c r="C655" s="68" t="inlineStr">
        <is>
          <t>Transit;INCLUIDO;EXCLUIDO;Error</t>
        </is>
      </c>
      <c r="D655" s="68" t="inlineStr">
        <is>
          <t>0;1;2;3</t>
        </is>
      </c>
      <c r="E655" s="68" t="inlineStr">
        <is>
          <t>2;1;0;3</t>
        </is>
      </c>
      <c r="F655" s="68" t="inlineStr">
        <is>
          <t>;INCLUIR;EXCLUIR;</t>
        </is>
      </c>
      <c r="G655" s="68" t="inlineStr">
        <is>
          <t>#FF000000;#FFFF0000;#FF00FF00;#FFA9A9A9</t>
        </is>
      </c>
      <c r="H655" s="68" t="inlineStr">
        <is>
          <t>Abnormal;Auto;Auto;Abnormal</t>
        </is>
      </c>
      <c r="I655" s="68" t="inlineStr">
        <is>
          <t>FALSE;TRUE;TRUE;FALSE</t>
        </is>
      </c>
      <c r="J655" s="68" t="inlineStr">
        <is>
          <t>Alarme de Estado em Ponto Telecontrolado</t>
        </is>
      </c>
      <c r="K655" s="69" t="inlineStr">
        <is>
          <t>Alarme de Estado em Ponto Telecontrolado</t>
        </is>
      </c>
      <c r="L655" s="69">
        <f>VLOOKUP(LinkTable6789[[#This Row],[Coluna1]],[4]AlarmCatalog!$A:$M,11,FALSE)</f>
        <v/>
      </c>
    </row>
    <row r="656" ht="16.5" customFormat="1" customHeight="1" s="67">
      <c r="A656" s="68" t="inlineStr">
        <is>
          <t>null@null___DESABILITADO@HABILITADO___HotLineTag_S_TS_SS</t>
        </is>
      </c>
      <c r="B656" s="68" t="inlineStr"/>
      <c r="C656" s="68" t="inlineStr">
        <is>
          <t>Transit;DESABILITADO;HABILITADO;Error</t>
        </is>
      </c>
      <c r="D656" s="68" t="inlineStr">
        <is>
          <t>0;1;2;3</t>
        </is>
      </c>
      <c r="E656" s="68" t="inlineStr">
        <is>
          <t>2;0;1;3</t>
        </is>
      </c>
      <c r="F656" s="68" t="inlineStr">
        <is>
          <t>;;;</t>
        </is>
      </c>
      <c r="G656" s="68" t="inlineStr">
        <is>
          <t>#FF000000;#FF00FF00;#FFFF0000;#FFA9A9A9</t>
        </is>
      </c>
      <c r="H656" s="68" t="inlineStr">
        <is>
          <t>Abnormal;Auto;Auto;Abnormal</t>
        </is>
      </c>
      <c r="I656" s="68" t="inlineStr">
        <is>
          <t>FALSE;TRUE;TRUE;FALSE</t>
        </is>
      </c>
      <c r="J656" s="68" t="inlineStr">
        <is>
          <t>Alarme de Estado em Ponto Telessinalizado SS</t>
        </is>
      </c>
      <c r="K656" s="69" t="inlineStr">
        <is>
          <t>Alarme de Estado em Ponto Telessinalizado SS</t>
        </is>
      </c>
      <c r="L656" s="69">
        <f>VLOOKUP(LinkTable6789[[#This Row],[Coluna1]],[4]AlarmCatalog!$A:$M,11,FALSE)</f>
        <v/>
      </c>
    </row>
    <row r="657" ht="16.5" customFormat="1" customHeight="1" s="67">
      <c r="A657" s="68" t="inlineStr">
        <is>
          <t>DI_null@null___NORMAL@FALHA___Custom_S_TS_DS</t>
        </is>
      </c>
      <c r="B657" s="68" t="inlineStr"/>
      <c r="C657" s="68" t="inlineStr">
        <is>
          <t>Transit;NORMAL;FALHA;Error</t>
        </is>
      </c>
      <c r="D657" s="68" t="inlineStr">
        <is>
          <t>0;1;2;3</t>
        </is>
      </c>
      <c r="E657" s="68" t="inlineStr">
        <is>
          <t>2;0;1;3</t>
        </is>
      </c>
      <c r="F657" s="68" t="inlineStr">
        <is>
          <t>;;;</t>
        </is>
      </c>
      <c r="G657" s="68" t="inlineStr">
        <is>
          <t>#FF000000;#FF00FF00;#FFFF0000;#FFA9A9A9</t>
        </is>
      </c>
      <c r="H657" s="68" t="inlineStr">
        <is>
          <t>Abnormal;Auto;Auto;Abnormal</t>
        </is>
      </c>
      <c r="I657" s="68" t="inlineStr">
        <is>
          <t>FALSE;TRUE;TRUE;FALSE</t>
        </is>
      </c>
      <c r="J657" s="68" t="inlineStr">
        <is>
          <t>Alarme de Estado em Ponto Telessinalizado DS</t>
        </is>
      </c>
      <c r="K657" s="69" t="inlineStr">
        <is>
          <t>Alarme de Estado em Ponto Telessinalizado DS</t>
        </is>
      </c>
      <c r="L657" s="69">
        <f>VLOOKUP(LinkTable6789[[#This Row],[Coluna1]],[4]AlarmCatalog!$A:$M,11,FALSE)</f>
        <v/>
      </c>
    </row>
    <row r="658" ht="16.5" customFormat="1" customHeight="1" s="67">
      <c r="A658" s="68" t="inlineStr">
        <is>
          <t>DI_null@null___NORMAL@ATUADO___Custom_S_TS_DS</t>
        </is>
      </c>
      <c r="B658" s="68" t="inlineStr"/>
      <c r="C658" s="68" t="inlineStr">
        <is>
          <t>Transit;NORMAL;ATUADO;Error</t>
        </is>
      </c>
      <c r="D658" s="68" t="inlineStr">
        <is>
          <t>0;1;2;3</t>
        </is>
      </c>
      <c r="E658" s="68" t="inlineStr">
        <is>
          <t>2;0;1;3</t>
        </is>
      </c>
      <c r="F658" s="68" t="inlineStr">
        <is>
          <t>;;;</t>
        </is>
      </c>
      <c r="G658" s="68" t="inlineStr">
        <is>
          <t>#FF000000;#FF00FF00;#FFFF0000;#FFA9A9A9</t>
        </is>
      </c>
      <c r="H658" s="68" t="inlineStr">
        <is>
          <t>Abnormal;Normal;Abnormal;Abnormal</t>
        </is>
      </c>
      <c r="I658" s="68" t="inlineStr">
        <is>
          <t>FALSE;TRUE;TRUE;FALSE</t>
        </is>
      </c>
      <c r="J658" s="68" t="inlineStr">
        <is>
          <t>Alarme de Estado em Ponto Telessinalizado DS</t>
        </is>
      </c>
      <c r="K658" s="69" t="inlineStr">
        <is>
          <t>Alarme de Estado em Ponto Telessinalizado DS</t>
        </is>
      </c>
      <c r="L658" s="69">
        <f>VLOOKUP(LinkTable6789[[#This Row],[Coluna1]],[4]AlarmCatalog!$A:$M,11,FALSE)</f>
        <v/>
      </c>
    </row>
    <row r="659" ht="16.5" customFormat="1" customHeight="1" s="67">
      <c r="A659" s="68" t="inlineStr">
        <is>
          <t>INCLUIR@EXCLUIR___INCLUIDO@EXCLUIDO___ReclosingEnabled___INV_S_TC_SS</t>
        </is>
      </c>
      <c r="B659" s="68" t="inlineStr"/>
      <c r="C659" s="68" t="inlineStr">
        <is>
          <t>Transit;INCLUIDO;EXCLUIDO;Error</t>
        </is>
      </c>
      <c r="D659" s="68" t="inlineStr">
        <is>
          <t>0;1;2;3</t>
        </is>
      </c>
      <c r="E659" s="68" t="inlineStr">
        <is>
          <t>2;1;0;3</t>
        </is>
      </c>
      <c r="F659" s="68" t="inlineStr">
        <is>
          <t>;INCLUIR;EXCLUIR;</t>
        </is>
      </c>
      <c r="G659" s="68" t="inlineStr">
        <is>
          <t>#FF000000;#FFFF0000;#FF00FF00;#FFA9A9A9</t>
        </is>
      </c>
      <c r="H659" s="68" t="inlineStr">
        <is>
          <t>Abnormal;Auto;Auto;Abnormal</t>
        </is>
      </c>
      <c r="I659" s="68" t="inlineStr">
        <is>
          <t>FALSE;TRUE;TRUE;FALSE</t>
        </is>
      </c>
      <c r="J659" s="68" t="inlineStr">
        <is>
          <t>Alarme de Estado em Ponto Telecontrolado SS</t>
        </is>
      </c>
      <c r="K659" s="69" t="inlineStr">
        <is>
          <t>Alarme de Estado em Ponto Telecontrolado SS</t>
        </is>
      </c>
      <c r="L659" s="69">
        <f>VLOOKUP(LinkTable6789[[#This Row],[Coluna1]],[4]AlarmCatalog!$A:$M,11,FALSE)</f>
        <v/>
      </c>
    </row>
    <row r="660" ht="16.5" customFormat="1" customHeight="1" s="67">
      <c r="A660" s="68" t="inlineStr">
        <is>
          <t>INCLUIR@EXCLUIR___INCLUIDO@EXCLUIDO___ReclosingEnabled_S_TC</t>
        </is>
      </c>
      <c r="B660" s="68" t="inlineStr"/>
      <c r="C660" s="68" t="inlineStr">
        <is>
          <t>Error;INCLUIDO;EXCLUIDO;Transit</t>
        </is>
      </c>
      <c r="D660" s="68" t="inlineStr">
        <is>
          <t>0;2;1;3</t>
        </is>
      </c>
      <c r="E660" s="68" t="inlineStr">
        <is>
          <t>2;0;1;3</t>
        </is>
      </c>
      <c r="F660" s="68" t="inlineStr">
        <is>
          <t>;INCLUIR;EXCLUIR;</t>
        </is>
      </c>
      <c r="G660" s="68" t="inlineStr">
        <is>
          <t>#FF000000;#FFFF0000;#FF00FF00;#FFA9A9A9</t>
        </is>
      </c>
      <c r="H660" s="68" t="inlineStr">
        <is>
          <t>Abnormal;Normal;Abnormal;Abnormal</t>
        </is>
      </c>
      <c r="I660" s="68" t="inlineStr">
        <is>
          <t>FALSE;TRUE;TRUE;FALSE</t>
        </is>
      </c>
      <c r="J660" s="68" t="inlineStr">
        <is>
          <t>Alarme de Estado em Ponto Telecontrolado</t>
        </is>
      </c>
      <c r="K660" s="69" t="inlineStr">
        <is>
          <t>Alarme de Estado em Ponto Telecontrolado</t>
        </is>
      </c>
      <c r="L660" s="69">
        <f>VLOOKUP(LinkTable6789[[#This Row],[Coluna1]],[4]AlarmCatalog!$A:$M,11,FALSE)</f>
        <v/>
      </c>
    </row>
    <row r="661" ht="16.5" customFormat="1" customHeight="1" s="67">
      <c r="A661" s="68" t="inlineStr">
        <is>
          <t>null@null___REMOTO@LOCAL___Custom___INV_S_TC</t>
        </is>
      </c>
      <c r="B661" s="68" t="inlineStr"/>
      <c r="C661" s="68" t="inlineStr">
        <is>
          <t>Error;REMOTO;LOCAL;Transit</t>
        </is>
      </c>
      <c r="D661" s="68" t="inlineStr">
        <is>
          <t>0;1;2;3</t>
        </is>
      </c>
      <c r="E661" s="68" t="inlineStr">
        <is>
          <t>2;1;0;3</t>
        </is>
      </c>
      <c r="F661" s="68" t="inlineStr">
        <is>
          <t>;;;</t>
        </is>
      </c>
      <c r="G661" s="68" t="inlineStr">
        <is>
          <t>#FF000000;#FF00FF00;#FFFF0000;#FFA9A9A9</t>
        </is>
      </c>
      <c r="H661" s="68" t="inlineStr">
        <is>
          <t>Abnormal;Auto;Auto;Abnormal</t>
        </is>
      </c>
      <c r="I661" s="68" t="inlineStr">
        <is>
          <t>FALSE;TRUE;TRUE;FALSE</t>
        </is>
      </c>
      <c r="J661" s="68" t="inlineStr">
        <is>
          <t>Alarme de Estado em Ponto Telecontrolado</t>
        </is>
      </c>
      <c r="K661" s="69" t="inlineStr">
        <is>
          <t>Alarme de Estado em Ponto Telecontrolado</t>
        </is>
      </c>
      <c r="L661" s="69">
        <f>VLOOKUP(LinkTable6789[[#This Row],[Coluna1]],[4]AlarmCatalog!$A:$M,11,FALSE)</f>
        <v/>
      </c>
    </row>
    <row r="662" ht="16.5" customFormat="1" customHeight="1" s="67">
      <c r="A662" s="68" t="inlineStr">
        <is>
          <t>INCLUIR@EXCLUIR___INCLUIDO@EXCLUIDO___ReclosingEnabled_S_TC_DS</t>
        </is>
      </c>
      <c r="B662" s="68" t="inlineStr"/>
      <c r="C662" s="68" t="inlineStr">
        <is>
          <t>Transit;INCLUIDO;EXCLUIDO;Error</t>
        </is>
      </c>
      <c r="D662" s="68" t="inlineStr">
        <is>
          <t>0;1;2;3</t>
        </is>
      </c>
      <c r="E662" s="68" t="inlineStr">
        <is>
          <t>2;0;1;3</t>
        </is>
      </c>
      <c r="F662" s="68" t="inlineStr">
        <is>
          <t>;INCLUIR;EXCLUIR;</t>
        </is>
      </c>
      <c r="G662" s="68" t="inlineStr">
        <is>
          <t>#FF000000;#FFFF0000;#FF00FF00;#FFA9A9A9</t>
        </is>
      </c>
      <c r="H662" s="68" t="inlineStr">
        <is>
          <t>Abnormal;Auto;Auto;Abnormal</t>
        </is>
      </c>
      <c r="I662" s="68" t="inlineStr">
        <is>
          <t>FALSE;TRUE;TRUE;FALSE</t>
        </is>
      </c>
      <c r="J662" s="68" t="inlineStr">
        <is>
          <t>Alarme de Estado em Ponto Telecontrolado DS</t>
        </is>
      </c>
      <c r="K662" s="69" t="inlineStr">
        <is>
          <t>Alarme de Estado em Ponto Telecontrolado DS</t>
        </is>
      </c>
      <c r="L662" s="69">
        <f>VLOOKUP(LinkTable6789[[#This Row],[Coluna1]],[4]AlarmCatalog!$A:$M,11,FALSE)</f>
        <v/>
      </c>
    </row>
    <row r="663" ht="16.5" customFormat="1" customHeight="1" s="67">
      <c r="A663" s="68" t="inlineStr">
        <is>
          <t>null@null___REMOTO@LOCAL___Custom___INV_S_TS</t>
        </is>
      </c>
      <c r="B663" s="68" t="inlineStr"/>
      <c r="C663" s="68" t="inlineStr">
        <is>
          <t>Transit;REMOTO;LOCAL;Error</t>
        </is>
      </c>
      <c r="D663" s="68" t="inlineStr">
        <is>
          <t>0;1;2;3</t>
        </is>
      </c>
      <c r="E663" s="68" t="inlineStr">
        <is>
          <t>2;1;0;3</t>
        </is>
      </c>
      <c r="F663" s="68" t="inlineStr">
        <is>
          <t>;;;</t>
        </is>
      </c>
      <c r="G663" s="68" t="inlineStr">
        <is>
          <t>#FF000000;#FF00FF00;#FFFF0000;#FFA9A9A9</t>
        </is>
      </c>
      <c r="H663" s="68" t="inlineStr">
        <is>
          <t>Abnormal;Auto;Auto;Abnormal</t>
        </is>
      </c>
      <c r="I663" s="68" t="inlineStr">
        <is>
          <t>FALSE;TRUE;TRUE;FALSE</t>
        </is>
      </c>
      <c r="J663" s="68" t="inlineStr">
        <is>
          <t>Alarme de Estado em Ponto Telessinalizado</t>
        </is>
      </c>
      <c r="K663" s="69" t="inlineStr">
        <is>
          <t>Alarme de Estado em Ponto Telessinalizado</t>
        </is>
      </c>
      <c r="L663" s="69">
        <f>VLOOKUP(LinkTable6789[[#This Row],[Coluna1]],[4]AlarmCatalog!$A:$M,11,FALSE)</f>
        <v/>
      </c>
    </row>
    <row r="664" ht="16.5" customFormat="1" customHeight="1" s="67">
      <c r="A664" s="68" t="inlineStr">
        <is>
          <t>null@null___NÃO PERMITIDO@PERMITIDO___Custom___INV_S_TS_SS</t>
        </is>
      </c>
      <c r="B664" s="68" t="inlineStr"/>
      <c r="C664" s="68" t="inlineStr">
        <is>
          <t>Transit;NÃO PERMITIDO;PERMITIDO;Error</t>
        </is>
      </c>
      <c r="D664" s="68" t="inlineStr">
        <is>
          <t>0;1;2;3</t>
        </is>
      </c>
      <c r="E664" s="68" t="inlineStr">
        <is>
          <t>2;1;0;3</t>
        </is>
      </c>
      <c r="F664" s="68" t="inlineStr">
        <is>
          <t>;;;</t>
        </is>
      </c>
      <c r="G664" s="68" t="inlineStr">
        <is>
          <t>#FF000000;#FF00FF00;#FFFF0000;#FFA9A9A9</t>
        </is>
      </c>
      <c r="H664" s="68" t="inlineStr">
        <is>
          <t>Abnormal;Auto;Auto;Abnormal</t>
        </is>
      </c>
      <c r="I664" s="68" t="inlineStr">
        <is>
          <t>FALSE;TRUE;TRUE;FALSE</t>
        </is>
      </c>
      <c r="J664" s="68" t="inlineStr">
        <is>
          <t>Alarme de Estado em Ponto Telessinalizado SS</t>
        </is>
      </c>
      <c r="K664" s="69" t="inlineStr">
        <is>
          <t>Alarme de Estado em Ponto Telessinalizado SS</t>
        </is>
      </c>
      <c r="L664" s="69">
        <f>VLOOKUP(LinkTable6789[[#This Row],[Coluna1]],[4]AlarmCatalog!$A:$M,11,FALSE)</f>
        <v/>
      </c>
    </row>
    <row r="665" ht="16.5" customFormat="1" customHeight="1" s="67">
      <c r="A665" s="68" t="inlineStr">
        <is>
          <t>null@null___NORMAL@ATUADO___Custom_S_TS_SS</t>
        </is>
      </c>
      <c r="B665" s="68" t="inlineStr"/>
      <c r="C665" s="68" t="inlineStr">
        <is>
          <t>Transit;NORMAL;ATUADO;Error</t>
        </is>
      </c>
      <c r="D665" s="68" t="inlineStr">
        <is>
          <t>0;1;2;3</t>
        </is>
      </c>
      <c r="E665" s="68" t="inlineStr">
        <is>
          <t>2;0;1;3</t>
        </is>
      </c>
      <c r="F665" s="68" t="inlineStr">
        <is>
          <t>;;;</t>
        </is>
      </c>
      <c r="G665" s="68" t="inlineStr">
        <is>
          <t>#FF000000;#FF00FF00;#FFFF0000;#FFA9A9A9</t>
        </is>
      </c>
      <c r="H665" s="68" t="inlineStr">
        <is>
          <t>Abnormal;Auto;Auto;Abnormal</t>
        </is>
      </c>
      <c r="I665" s="68" t="inlineStr">
        <is>
          <t>FALSE;TRUE;TRUE;FALSE</t>
        </is>
      </c>
      <c r="J665" s="68" t="inlineStr">
        <is>
          <t>Alarme de Estado em Ponto Telessinalizado SS</t>
        </is>
      </c>
      <c r="K665" s="69" t="inlineStr">
        <is>
          <t>Alarme de Estado em Ponto Telessinalizado SS</t>
        </is>
      </c>
      <c r="L665" s="69">
        <f>VLOOKUP(LinkTable6789[[#This Row],[Coluna1]],[4]AlarmCatalog!$A:$M,11,FALSE)</f>
        <v/>
      </c>
    </row>
    <row r="666" ht="16.5" customFormat="1" customHeight="1" s="67">
      <c r="A666" s="68" t="inlineStr">
        <is>
          <t>null@null___NORMAL@ATUADO___RelayTrip_S_TS_SS</t>
        </is>
      </c>
      <c r="B666" s="68" t="inlineStr"/>
      <c r="C666" s="68" t="inlineStr">
        <is>
          <t>Transit;NORMAL;ATUADO;Error</t>
        </is>
      </c>
      <c r="D666" s="68" t="inlineStr">
        <is>
          <t>0;1;2;3</t>
        </is>
      </c>
      <c r="E666" s="68" t="inlineStr">
        <is>
          <t>2;0;1;3</t>
        </is>
      </c>
      <c r="F666" s="68" t="inlineStr">
        <is>
          <t>;;;</t>
        </is>
      </c>
      <c r="G666" s="68" t="inlineStr">
        <is>
          <t>#FF000000;#FF00FF00;#FFFF0000;#FFA9A9A9</t>
        </is>
      </c>
      <c r="H666" s="68" t="inlineStr">
        <is>
          <t>Abnormal;Auto;Auto;Abnormal</t>
        </is>
      </c>
      <c r="I666" s="68" t="inlineStr">
        <is>
          <t>FALSE;TRUE;TRUE;FALSE</t>
        </is>
      </c>
      <c r="J666" s="68" t="inlineStr">
        <is>
          <t>Alarme de Estado em Ponto Telessinalizado SS</t>
        </is>
      </c>
      <c r="K666" s="69" t="inlineStr">
        <is>
          <t>Alarme de Estado em Ponto Telessinalizado SS</t>
        </is>
      </c>
      <c r="L666" s="69">
        <f>VLOOKUP(LinkTable6789[[#This Row],[Coluna1]],[4]AlarmCatalog!$A:$M,11,FALSE)</f>
        <v/>
      </c>
    </row>
    <row r="667" ht="16.5" customFormat="1" customHeight="1" s="67">
      <c r="A667" s="68" t="inlineStr">
        <is>
          <t>null@null___REMOTO@LOCAL___Custom___INV_S_TS_SS</t>
        </is>
      </c>
      <c r="B667" s="68" t="inlineStr"/>
      <c r="C667" s="68" t="inlineStr">
        <is>
          <t>Transit;REMOTO;LOCAL;Error</t>
        </is>
      </c>
      <c r="D667" s="68" t="inlineStr">
        <is>
          <t>0;1;2;3</t>
        </is>
      </c>
      <c r="E667" s="68" t="inlineStr">
        <is>
          <t>2;1;0;3</t>
        </is>
      </c>
      <c r="F667" s="68" t="inlineStr">
        <is>
          <t>;;;</t>
        </is>
      </c>
      <c r="G667" s="68" t="inlineStr">
        <is>
          <t>#FF000000;#FF00FF00;#FFFF0000;#FFA9A9A9</t>
        </is>
      </c>
      <c r="H667" s="68" t="inlineStr">
        <is>
          <t>Abnormal;Auto;Auto;Abnormal</t>
        </is>
      </c>
      <c r="I667" s="68" t="inlineStr">
        <is>
          <t>FALSE;TRUE;TRUE;FALSE</t>
        </is>
      </c>
      <c r="J667" s="68" t="inlineStr">
        <is>
          <t>Alarme de Estado em Ponto Telessinalizado SS</t>
        </is>
      </c>
      <c r="K667" s="69" t="inlineStr">
        <is>
          <t>Alarme de Estado em Ponto Telessinalizado SS</t>
        </is>
      </c>
      <c r="L667" s="69">
        <f>VLOOKUP(LinkTable6789[[#This Row],[Coluna1]],[4]AlarmCatalog!$A:$M,11,FALSE)</f>
        <v/>
      </c>
    </row>
    <row r="668" ht="16.5" customFormat="1" customHeight="1" s="67">
      <c r="A668" s="68" t="inlineStr">
        <is>
          <t>null@null___BLOQUEADA@LIBERADA___Custom___INV_S_TS_SS</t>
        </is>
      </c>
      <c r="B668" s="68" t="inlineStr"/>
      <c r="C668" s="68" t="inlineStr">
        <is>
          <t>Transit;BLOQUEADA;LIBERADA;Error</t>
        </is>
      </c>
      <c r="D668" s="68" t="inlineStr">
        <is>
          <t>0;1;2;3</t>
        </is>
      </c>
      <c r="E668" s="68" t="inlineStr">
        <is>
          <t>2;1;0;3</t>
        </is>
      </c>
      <c r="F668" s="68" t="inlineStr">
        <is>
          <t>;;;</t>
        </is>
      </c>
      <c r="G668" s="68" t="inlineStr">
        <is>
          <t>#FF000000;#FF00FF00;#FFFF0000;#FFA9A9A9</t>
        </is>
      </c>
      <c r="H668" s="68" t="inlineStr">
        <is>
          <t>Abnormal;Auto;Auto;Abnormal</t>
        </is>
      </c>
      <c r="I668" s="68" t="inlineStr">
        <is>
          <t>FALSE;TRUE;TRUE;FALSE</t>
        </is>
      </c>
      <c r="J668" s="68" t="inlineStr">
        <is>
          <t>Alarme de Estado em Ponto Telessinalizado SS</t>
        </is>
      </c>
      <c r="K668" s="69" t="inlineStr">
        <is>
          <t>Alarme de Estado em Ponto Telessinalizado SS</t>
        </is>
      </c>
      <c r="L668" s="69">
        <f>VLOOKUP(LinkTable6789[[#This Row],[Coluna1]],[4]AlarmCatalog!$A:$M,11,FALSE)</f>
        <v/>
      </c>
    </row>
    <row r="669" ht="16.5" customFormat="1" customHeight="1" s="67">
      <c r="A669" s="68" t="inlineStr">
        <is>
          <t>null@null___REMOTO@LOCAL___Custom_D_TS</t>
        </is>
      </c>
      <c r="B669" s="68" t="inlineStr"/>
      <c r="C669" s="68" t="inlineStr">
        <is>
          <t>Error;REMOTO;LOCAL;Transit</t>
        </is>
      </c>
      <c r="D669" s="68" t="inlineStr">
        <is>
          <t>0;1;2;3</t>
        </is>
      </c>
      <c r="E669" s="68" t="inlineStr">
        <is>
          <t>2;0;1;3</t>
        </is>
      </c>
      <c r="F669" s="68" t="inlineStr">
        <is>
          <t>;;;</t>
        </is>
      </c>
      <c r="G669" s="68" t="inlineStr">
        <is>
          <t>#FF000000;#FF00FF00;#FFFF0000;#FFA9A9A9</t>
        </is>
      </c>
      <c r="H669" s="68" t="inlineStr">
        <is>
          <t>Abnormal;Normal;Normal;Normal</t>
        </is>
      </c>
      <c r="I669" s="68" t="inlineStr">
        <is>
          <t>FALSE;TRUE;TRUE;FALSE</t>
        </is>
      </c>
      <c r="J669" s="68" t="inlineStr">
        <is>
          <t>Alarme de Estado em Ponto Telessinalizado</t>
        </is>
      </c>
      <c r="K669" s="69" t="inlineStr">
        <is>
          <t>Alarme de Estado em Ponto Telessinalizado</t>
        </is>
      </c>
      <c r="L669" s="69">
        <f>VLOOKUP(LinkTable6789[[#This Row],[Coluna1]],[4]AlarmCatalog!$A:$M,11,FALSE)</f>
        <v/>
      </c>
    </row>
    <row r="670" ht="16.5" customFormat="1" customHeight="1" s="67">
      <c r="A670" s="68" t="inlineStr">
        <is>
          <t>null@null___NORMAL@BLOQUEIO___Custom_S_TS_SS</t>
        </is>
      </c>
      <c r="B670" s="68" t="inlineStr"/>
      <c r="C670" s="68" t="inlineStr">
        <is>
          <t>Transit;NORMAL;BLOQUEIO;Error</t>
        </is>
      </c>
      <c r="D670" s="68" t="inlineStr">
        <is>
          <t>0;1;2;3</t>
        </is>
      </c>
      <c r="E670" s="68" t="inlineStr">
        <is>
          <t>2;0;1;3</t>
        </is>
      </c>
      <c r="F670" s="68" t="inlineStr">
        <is>
          <t>;;;</t>
        </is>
      </c>
      <c r="G670" s="68" t="inlineStr">
        <is>
          <t>#FF000000;#FF00FF00;#FFFF0000;#FFA9A9A9</t>
        </is>
      </c>
      <c r="H670" s="68" t="inlineStr">
        <is>
          <t>Abnormal;Auto;Auto;Abnormal</t>
        </is>
      </c>
      <c r="I670" s="68" t="inlineStr">
        <is>
          <t>FALSE;TRUE;TRUE;FALSE</t>
        </is>
      </c>
      <c r="J670" s="68" t="inlineStr">
        <is>
          <t>Alarme de Estado em Ponto Telessinalizado SS</t>
        </is>
      </c>
      <c r="K670" s="69" t="inlineStr">
        <is>
          <t>Alarme de Estado em Ponto Telessinalizado SS</t>
        </is>
      </c>
      <c r="L670" s="69">
        <f>VLOOKUP(LinkTable6789[[#This Row],[Coluna1]],[4]AlarmCatalog!$A:$M,11,FALSE)</f>
        <v/>
      </c>
    </row>
    <row r="671" ht="16.5" customFormat="1" customHeight="1" s="67">
      <c r="A671" s="68" t="inlineStr">
        <is>
          <t>MANUAL@AUTOMATICO___MANUAL@AUTOMATICO___Custom___INV_S_TS_SS</t>
        </is>
      </c>
      <c r="B671" s="68" t="inlineStr"/>
      <c r="C671" s="68" t="inlineStr">
        <is>
          <t>Transit;MANUAL;AUTOMATICO;Error</t>
        </is>
      </c>
      <c r="D671" s="68" t="inlineStr">
        <is>
          <t>0;1;2;3</t>
        </is>
      </c>
      <c r="E671" s="68" t="inlineStr">
        <is>
          <t>2;1;0;3</t>
        </is>
      </c>
      <c r="F671" s="68" t="inlineStr">
        <is>
          <t>;;;</t>
        </is>
      </c>
      <c r="G671" s="68" t="inlineStr">
        <is>
          <t>#FF000000;#FF00FF00;#FFFF0000;#FFA9A9A9</t>
        </is>
      </c>
      <c r="H671" s="68" t="inlineStr">
        <is>
          <t>Normal;Normal;Normal;Normal</t>
        </is>
      </c>
      <c r="I671" s="68" t="inlineStr">
        <is>
          <t>FALSE;TRUE;TRUE;FALSE</t>
        </is>
      </c>
      <c r="J671" s="68" t="inlineStr">
        <is>
          <t>Alarme de Estado em Ponto Telessinalizado SS</t>
        </is>
      </c>
      <c r="K671" s="69" t="inlineStr">
        <is>
          <t>Alarme de Estado em Ponto Telessinalizado SS</t>
        </is>
      </c>
      <c r="L671" s="69">
        <f>VLOOKUP(LinkTable6789[[#This Row],[Coluna1]],[4]AlarmCatalog!$A:$M,11,FALSE)</f>
        <v/>
      </c>
    </row>
    <row r="672" ht="16.5" customFormat="1" customHeight="1" s="67">
      <c r="A672" s="68" t="inlineStr">
        <is>
          <t>DI_BLOQUEAR@MANUAL@AUTOMATICO___BLOQUEADO@MANUAL@AUTOMATICO___Custom___admsINV_D_TC_DS</t>
        </is>
      </c>
      <c r="B672" s="68" t="inlineStr"/>
      <c r="C672" s="68" t="inlineStr">
        <is>
          <t>BLOQUEADO;MANUAL;AUTOMATICO;Erro</t>
        </is>
      </c>
      <c r="D672" s="68" t="inlineStr">
        <is>
          <t>2;0;1;3</t>
        </is>
      </c>
      <c r="E672" s="68" t="inlineStr">
        <is>
          <t>0;2;1;3</t>
        </is>
      </c>
      <c r="F672" s="68" t="inlineStr">
        <is>
          <t>BLOQUEADO;MANUAL;AUTOMATICO;</t>
        </is>
      </c>
      <c r="G672" s="68" t="inlineStr">
        <is>
          <t>#FFFF0000;#FF00FF00;#FF00FF00;#FF000000</t>
        </is>
      </c>
      <c r="H672" s="68" t="inlineStr">
        <is>
          <t>Normal;Normal;Normal;Abnormal</t>
        </is>
      </c>
      <c r="I672" s="68" t="inlineStr">
        <is>
          <t>TRUE;TRUE;TRUE;FALSE</t>
        </is>
      </c>
      <c r="J672" s="68" t="inlineStr">
        <is>
          <t>Alarme de Estado em Ponto Telecontrolado DS</t>
        </is>
      </c>
      <c r="K672" s="69" t="inlineStr">
        <is>
          <t>Alarme de Estado em Ponto Telecontrolado DS</t>
        </is>
      </c>
      <c r="L672" s="69">
        <f>VLOOKUP(LinkTable6789[[#This Row],[Coluna1]],[4]AlarmCatalog!$A:$M,11,FALSE)</f>
        <v/>
      </c>
    </row>
    <row r="673" ht="16.5" customFormat="1" customHeight="1" s="67">
      <c r="A673" s="68" t="inlineStr">
        <is>
          <t>null@null___DESABILITOU@HABILITOU___Custom_S_TS</t>
        </is>
      </c>
      <c r="B673" s="68" t="inlineStr"/>
      <c r="C673" s="68" t="inlineStr">
        <is>
          <t>Transit;DESABILITOU;HABILITOU;Error</t>
        </is>
      </c>
      <c r="D673" s="68" t="inlineStr">
        <is>
          <t>0;1;2;3</t>
        </is>
      </c>
      <c r="E673" s="68" t="inlineStr">
        <is>
          <t>2;0;1;3</t>
        </is>
      </c>
      <c r="F673" s="68" t="inlineStr">
        <is>
          <t>;;;</t>
        </is>
      </c>
      <c r="G673" s="68" t="inlineStr">
        <is>
          <t>#FF000000;#FF00FF00;#FFFF0000;#FFA9A9A9</t>
        </is>
      </c>
      <c r="H673" s="68" t="inlineStr">
        <is>
          <t>Abnormal;Auto;Auto;Abnormal</t>
        </is>
      </c>
      <c r="I673" s="68" t="inlineStr">
        <is>
          <t>FALSE;TRUE;TRUE;FALSE</t>
        </is>
      </c>
      <c r="J673" s="68" t="inlineStr">
        <is>
          <t>Alarme de Estado em Ponto Telessinalizado</t>
        </is>
      </c>
      <c r="K673" s="69" t="inlineStr">
        <is>
          <t>Alarme de Estado em Ponto Telessinalizado</t>
        </is>
      </c>
      <c r="L673" s="69">
        <f>VLOOKUP(LinkTable6789[[#This Row],[Coluna1]],[4]AlarmCatalog!$A:$M,11,FALSE)</f>
        <v/>
      </c>
    </row>
    <row r="674" ht="16.5" customFormat="1" customHeight="1" s="67">
      <c r="A674" s="68" t="inlineStr">
        <is>
          <t>INCLUIR@EXCLUIR___INCLUIDO@EXCLUIDO___ReclosingEnabled_S_TC_SS</t>
        </is>
      </c>
      <c r="B674" s="68" t="inlineStr"/>
      <c r="C674" s="68" t="inlineStr">
        <is>
          <t>Transit;INCLUIDO;EXCLUIDO;Error</t>
        </is>
      </c>
      <c r="D674" s="68" t="inlineStr">
        <is>
          <t>0;2;1;3</t>
        </is>
      </c>
      <c r="E674" s="68" t="inlineStr">
        <is>
          <t>2;0;1;3</t>
        </is>
      </c>
      <c r="F674" s="68" t="inlineStr">
        <is>
          <t>;INCLUIR;EXCLUIR;</t>
        </is>
      </c>
      <c r="G674" s="68" t="inlineStr">
        <is>
          <t>#FF000000;#FFFF0000;#FF00FF00;#FFA9A9A9</t>
        </is>
      </c>
      <c r="H674" s="68" t="inlineStr">
        <is>
          <t>Abnormal;Normal;Abnormal;Abnormal</t>
        </is>
      </c>
      <c r="I674" s="68" t="inlineStr">
        <is>
          <t>FALSE;TRUE;TRUE;FALSE</t>
        </is>
      </c>
      <c r="J674" s="68" t="inlineStr">
        <is>
          <t>Alarme de Estado em Ponto Telecontrolado SS</t>
        </is>
      </c>
      <c r="K674" s="69" t="inlineStr">
        <is>
          <t>Alarme de Estado em Ponto Telecontrolado SS</t>
        </is>
      </c>
      <c r="L674" s="69">
        <f>VLOOKUP(LinkTable6789[[#This Row],[Coluna1]],[4]AlarmCatalog!$A:$M,11,FALSE)</f>
        <v/>
      </c>
    </row>
    <row r="675" ht="16.5" customFormat="1" customHeight="1" s="67">
      <c r="A675" s="68" t="inlineStr">
        <is>
          <t>null@null___REMOTO@LOCAL___Custom_S_TC</t>
        </is>
      </c>
      <c r="B675" s="68" t="inlineStr"/>
      <c r="C675" s="68" t="inlineStr">
        <is>
          <t>Error;REMOTO;LOCAL;Transit</t>
        </is>
      </c>
      <c r="D675" s="68" t="inlineStr">
        <is>
          <t>0;1;2;3</t>
        </is>
      </c>
      <c r="E675" s="68" t="inlineStr">
        <is>
          <t>2;0;1;3</t>
        </is>
      </c>
      <c r="F675" s="68" t="inlineStr">
        <is>
          <t>;;;</t>
        </is>
      </c>
      <c r="G675" s="68" t="inlineStr">
        <is>
          <t>#FF000000;#FF00FF00;#FFFF0000;#FFA9A9A9</t>
        </is>
      </c>
      <c r="H675" s="68" t="inlineStr">
        <is>
          <t>Abnormal;Auto;Auto;Abnormal</t>
        </is>
      </c>
      <c r="I675" s="68" t="inlineStr">
        <is>
          <t>FALSE;TRUE;TRUE;FALSE</t>
        </is>
      </c>
      <c r="J675" s="68" t="inlineStr">
        <is>
          <t>Alarme de Estado em Ponto Telecontrolado</t>
        </is>
      </c>
      <c r="K675" s="69" t="inlineStr">
        <is>
          <t>Alarme de Estado em Ponto Telecontrolado</t>
        </is>
      </c>
      <c r="L675" s="69">
        <f>VLOOKUP(LinkTable6789[[#This Row],[Coluna1]],[4]AlarmCatalog!$A:$M,11,FALSE)</f>
        <v/>
      </c>
    </row>
    <row r="676" ht="16.5" customFormat="1" customHeight="1" s="67">
      <c r="A676" s="68" t="inlineStr">
        <is>
          <t>INCLUIR@EXCLUIR___INCLUIDO@EXCLUIDO___ReclosingEnabled_S_TS_SS</t>
        </is>
      </c>
      <c r="B676" s="68" t="inlineStr"/>
      <c r="C676" s="68" t="inlineStr">
        <is>
          <t>Transit;INCLUIDO;EXCLUIDO;Error</t>
        </is>
      </c>
      <c r="D676" s="68" t="inlineStr">
        <is>
          <t>0;1;2;3</t>
        </is>
      </c>
      <c r="E676" s="68" t="inlineStr">
        <is>
          <t>2;0;1;3</t>
        </is>
      </c>
      <c r="F676" s="68" t="inlineStr">
        <is>
          <t>;;;</t>
        </is>
      </c>
      <c r="G676" s="68" t="inlineStr">
        <is>
          <t>#FF000000;#FFFF0000;#FF00FF00;#FFA9A9A9</t>
        </is>
      </c>
      <c r="H676" s="68" t="inlineStr">
        <is>
          <t>Abnormal;Auto;Auto;Abnormal</t>
        </is>
      </c>
      <c r="I676" s="68" t="inlineStr">
        <is>
          <t>FALSE;TRUE;TRUE;FALSE</t>
        </is>
      </c>
      <c r="J676" s="68" t="inlineStr">
        <is>
          <t>Alarme de Estado em Ponto Telessinalizado SS</t>
        </is>
      </c>
      <c r="K676" s="69" t="inlineStr">
        <is>
          <t>Alarme de Estado em Ponto Telessinalizado SS</t>
        </is>
      </c>
      <c r="L676" s="69">
        <f>VLOOKUP(LinkTable6789[[#This Row],[Coluna1]],[4]AlarmCatalog!$A:$M,11,FALSE)</f>
        <v/>
      </c>
    </row>
    <row r="677" ht="16.5" customFormat="1" customHeight="1" s="67">
      <c r="A677" s="68" t="inlineStr">
        <is>
          <t>INCLUIR@null___INCLUIDO@EXCLUIDO___Custom_S_TC</t>
        </is>
      </c>
      <c r="B677" s="68" t="inlineStr"/>
      <c r="C677" s="68" t="inlineStr">
        <is>
          <t>Error;INCLUIDO;EXCLUIDO;Transit</t>
        </is>
      </c>
      <c r="D677" s="68" t="inlineStr">
        <is>
          <t>0;1;2;3</t>
        </is>
      </c>
      <c r="E677" s="68" t="inlineStr">
        <is>
          <t>1;0;2;3</t>
        </is>
      </c>
      <c r="F677" s="68" t="inlineStr">
        <is>
          <t>;INCLUIR;null;</t>
        </is>
      </c>
      <c r="G677" s="68" t="inlineStr">
        <is>
          <t>#FF000000;#FF00FF00;#FFFF0000;#FFA9A9A9</t>
        </is>
      </c>
      <c r="H677" s="68" t="inlineStr">
        <is>
          <t>Abnormal;Auto;Auto;Abnormal</t>
        </is>
      </c>
      <c r="I677" s="68" t="inlineStr">
        <is>
          <t>FALSE;TRUE;TRUE;FALSE</t>
        </is>
      </c>
      <c r="J677" s="68" t="inlineStr">
        <is>
          <t>Alarme de Estado em Ponto Telecontrolado</t>
        </is>
      </c>
      <c r="K677" s="69" t="inlineStr">
        <is>
          <t>Alarme de Estado em Ponto Telecontrolado</t>
        </is>
      </c>
      <c r="L677" s="69">
        <f>VLOOKUP(LinkTable6789[[#This Row],[Coluna1]],[4]AlarmCatalog!$A:$M,11,FALSE)</f>
        <v/>
      </c>
    </row>
    <row r="678" ht="16.5" customFormat="1" customHeight="1" s="67">
      <c r="A678" s="68" t="inlineStr">
        <is>
          <t>INCLUIR@null___INCLUIDO@EXCLUIDO___Enabled___INV_S_TC</t>
        </is>
      </c>
      <c r="B678" s="68" t="inlineStr"/>
      <c r="C678" s="68" t="inlineStr">
        <is>
          <t>Error;INCLUIDO;EXCLUIDO;Transit</t>
        </is>
      </c>
      <c r="D678" s="68" t="inlineStr">
        <is>
          <t>0;1;2;3</t>
        </is>
      </c>
      <c r="E678" s="68" t="inlineStr">
        <is>
          <t>1;2;0;3</t>
        </is>
      </c>
      <c r="F678" s="68" t="inlineStr">
        <is>
          <t>;INCLUIR;null;</t>
        </is>
      </c>
      <c r="G678" s="68" t="inlineStr">
        <is>
          <t>#FF000000;#FF00FF00;#FFFF0000;#FFA9A9A9</t>
        </is>
      </c>
      <c r="H678" s="68" t="inlineStr">
        <is>
          <t>Abnormal;Auto;Auto;Abnormal</t>
        </is>
      </c>
      <c r="I678" s="68" t="inlineStr">
        <is>
          <t>FALSE;TRUE;TRUE;FALSE</t>
        </is>
      </c>
      <c r="J678" s="68" t="inlineStr">
        <is>
          <t>Alarme de Estado em Ponto Telecontrolado</t>
        </is>
      </c>
      <c r="K678" s="69" t="inlineStr">
        <is>
          <t>Alarme de Estado em Ponto Telecontrolado</t>
        </is>
      </c>
      <c r="L678" s="69">
        <f>VLOOKUP(LinkTable6789[[#This Row],[Coluna1]],[4]AlarmCatalog!$A:$M,11,FALSE)</f>
        <v/>
      </c>
    </row>
    <row r="679" ht="16.5" customFormat="1" customHeight="1" s="67">
      <c r="A679" s="68" t="inlineStr">
        <is>
          <t>INCLUIR@null___INCLUIDO@EXCLUIDO___Enabled_S_TC</t>
        </is>
      </c>
      <c r="B679" s="68" t="inlineStr"/>
      <c r="C679" s="68" t="inlineStr">
        <is>
          <t>Error;INCLUIDO;EXCLUIDO;Transit</t>
        </is>
      </c>
      <c r="D679" s="68" t="inlineStr">
        <is>
          <t>0;1;2;3</t>
        </is>
      </c>
      <c r="E679" s="68" t="inlineStr">
        <is>
          <t>1;0;2;3</t>
        </is>
      </c>
      <c r="F679" s="68" t="inlineStr">
        <is>
          <t>;INCLUIR;null;</t>
        </is>
      </c>
      <c r="G679" s="68" t="inlineStr">
        <is>
          <t>#FF000000;#FF00FF00;#FFFF0000;#FFA9A9A9</t>
        </is>
      </c>
      <c r="H679" s="68" t="inlineStr">
        <is>
          <t>Abnormal;Auto;Auto;Abnormal</t>
        </is>
      </c>
      <c r="I679" s="68" t="inlineStr">
        <is>
          <t>FALSE;TRUE;TRUE;FALSE</t>
        </is>
      </c>
      <c r="J679" s="68" t="inlineStr">
        <is>
          <t>Alarme de Estado em Ponto Telecontrolado</t>
        </is>
      </c>
      <c r="K679" s="69" t="inlineStr">
        <is>
          <t>Alarme de Estado em Ponto Telecontrolado</t>
        </is>
      </c>
      <c r="L679" s="69">
        <f>VLOOKUP(LinkTable6789[[#This Row],[Coluna1]],[4]AlarmCatalog!$A:$M,11,FALSE)</f>
        <v/>
      </c>
    </row>
    <row r="680" ht="16.5" customFormat="1" customHeight="1" s="67">
      <c r="A680" s="68" t="inlineStr">
        <is>
          <t>INCLUIR@null___null@null___ReclosingEnabled___admsINV_D_TC_SS</t>
        </is>
      </c>
      <c r="B680" s="68" t="inlineStr"/>
      <c r="C680" s="68" t="inlineStr">
        <is>
          <t>Transit;;;Error</t>
        </is>
      </c>
      <c r="D680" s="68" t="inlineStr">
        <is>
          <t>0;2;1;3</t>
        </is>
      </c>
      <c r="E680" s="68" t="inlineStr">
        <is>
          <t>2;0;1;3</t>
        </is>
      </c>
      <c r="F680" s="68" t="inlineStr">
        <is>
          <t>;INCLUIR;;</t>
        </is>
      </c>
      <c r="G680" s="68" t="inlineStr">
        <is>
          <t>#FF000000;#FFA9A9A9;#FFA9A9A9;#FFA9A9A9</t>
        </is>
      </c>
      <c r="H680" s="68" t="inlineStr">
        <is>
          <t>Abnormal;Auto;Auto;Abnormal</t>
        </is>
      </c>
      <c r="I680" s="68" t="inlineStr">
        <is>
          <t>FALSE;TRUE;TRUE;FALSE</t>
        </is>
      </c>
      <c r="J680" s="68" t="inlineStr">
        <is>
          <t>Alarme de Estado em Ponto Telecontrolado SS</t>
        </is>
      </c>
      <c r="K680" s="69" t="inlineStr">
        <is>
          <t>Alarme de Estado em Ponto Telecontrolado SS</t>
        </is>
      </c>
      <c r="L680" s="69">
        <f>VLOOKUP(LinkTable6789[[#This Row],[Coluna1]],[4]AlarmCatalog!$A:$M,11,FALSE)</f>
        <v/>
      </c>
    </row>
    <row r="681" ht="16.5" customFormat="1" customHeight="1" s="67">
      <c r="A681" s="68" t="inlineStr">
        <is>
          <t>null@EXCLUIR___null@null___ReclosingEnabled___admsINV_D_TC_SS</t>
        </is>
      </c>
      <c r="B681" s="68" t="inlineStr"/>
      <c r="C681" s="68" t="inlineStr">
        <is>
          <t>Transit;;;Error</t>
        </is>
      </c>
      <c r="D681" s="68" t="inlineStr">
        <is>
          <t>0;2;1;3</t>
        </is>
      </c>
      <c r="E681" s="68" t="inlineStr">
        <is>
          <t>2;0;1;3</t>
        </is>
      </c>
      <c r="F681" s="68" t="inlineStr">
        <is>
          <t>;;EXCLUIR;</t>
        </is>
      </c>
      <c r="G681" s="68" t="inlineStr">
        <is>
          <t>#FF000000;#FFA9A9A9;#FFA9A9A9;#FFA9A9A9</t>
        </is>
      </c>
      <c r="H681" s="68" t="inlineStr">
        <is>
          <t>Abnormal;Auto;Auto;Abnormal</t>
        </is>
      </c>
      <c r="I681" s="68" t="inlineStr">
        <is>
          <t>FALSE;TRUE;TRUE;FALSE</t>
        </is>
      </c>
      <c r="J681" s="68" t="inlineStr">
        <is>
          <t>Alarme de Estado em Ponto Telecontrolado SS</t>
        </is>
      </c>
      <c r="K681" s="69" t="inlineStr">
        <is>
          <t>Alarme de Estado em Ponto Telecontrolado SS</t>
        </is>
      </c>
      <c r="L681" s="69">
        <f>VLOOKUP(LinkTable6789[[#This Row],[Coluna1]],[4]AlarmCatalog!$A:$M,11,FALSE)</f>
        <v/>
      </c>
    </row>
    <row r="682" ht="16.5" customFormat="1" customHeight="1" s="67">
      <c r="A682" s="68" t="inlineStr">
        <is>
          <t>null@null___DESABILITOU@HABILITOU___Custom_S_TS_SS</t>
        </is>
      </c>
      <c r="B682" s="68" t="inlineStr"/>
      <c r="C682" s="68" t="inlineStr">
        <is>
          <t>Transit;DESABILITOU;HABILITOU;Error</t>
        </is>
      </c>
      <c r="D682" s="68" t="inlineStr">
        <is>
          <t>0;1;2;3</t>
        </is>
      </c>
      <c r="E682" s="68" t="inlineStr">
        <is>
          <t>2;0;1;3</t>
        </is>
      </c>
      <c r="F682" s="68" t="inlineStr">
        <is>
          <t>;;;</t>
        </is>
      </c>
      <c r="G682" s="68" t="inlineStr">
        <is>
          <t>#FF000000;#FF00FF00;#FFFF0000;#FFA9A9A9</t>
        </is>
      </c>
      <c r="H682" s="68" t="inlineStr">
        <is>
          <t>Abnormal;Auto;Auto;Abnormal</t>
        </is>
      </c>
      <c r="I682" s="68" t="inlineStr">
        <is>
          <t>FALSE;TRUE;TRUE;FALSE</t>
        </is>
      </c>
      <c r="J682" s="68" t="inlineStr">
        <is>
          <t>Alarme de Estado em Ponto Telessinalizado SS</t>
        </is>
      </c>
      <c r="K682" s="69" t="inlineStr">
        <is>
          <t>Alarme de Estado em Ponto Telessinalizado SS</t>
        </is>
      </c>
      <c r="L682" s="69">
        <f>VLOOKUP(LinkTable6789[[#This Row],[Coluna1]],[4]AlarmCatalog!$A:$M,11,FALSE)</f>
        <v/>
      </c>
    </row>
    <row r="683" ht="16.5" customFormat="1" customHeight="1" s="67">
      <c r="A683" s="68" t="inlineStr">
        <is>
          <t>null@null___INCLUIDO@EXCLUIDO___Custom___INV_S_TC</t>
        </is>
      </c>
      <c r="B683" s="68" t="inlineStr"/>
      <c r="C683" s="68" t="inlineStr">
        <is>
          <t>Transit;INCLUIDO;EXCLUIDO;Error</t>
        </is>
      </c>
      <c r="D683" s="68" t="inlineStr">
        <is>
          <t>0;1;2;3</t>
        </is>
      </c>
      <c r="E683" s="68" t="inlineStr">
        <is>
          <t>2;1;0;3</t>
        </is>
      </c>
      <c r="F683" s="68" t="inlineStr">
        <is>
          <t>;;;</t>
        </is>
      </c>
      <c r="G683" s="68" t="inlineStr">
        <is>
          <t>#FF000000;#FFFF0000;#FF00FF00;#FFA9A9A9</t>
        </is>
      </c>
      <c r="H683" s="68" t="inlineStr">
        <is>
          <t>Abnormal;Auto;Auto;Abnormal</t>
        </is>
      </c>
      <c r="I683" s="68" t="inlineStr">
        <is>
          <t>FALSE;TRUE;TRUE;FALSE</t>
        </is>
      </c>
      <c r="J683" s="68" t="inlineStr">
        <is>
          <t>Alarme de Estado em Ponto Telecontrolado</t>
        </is>
      </c>
      <c r="K683" s="69" t="inlineStr">
        <is>
          <t>Alarme de Estado em Ponto Telecontrolado</t>
        </is>
      </c>
      <c r="L683" s="69">
        <f>VLOOKUP(LinkTable6789[[#This Row],[Coluna1]],[4]AlarmCatalog!$A:$M,11,FALSE)</f>
        <v/>
      </c>
    </row>
    <row r="684" ht="16.5" customFormat="1" customHeight="1" s="67">
      <c r="A684" s="68" t="inlineStr">
        <is>
          <t>null@null___INCLUIDO@EXCLUIDO___Custom___INV_S_TC_SS</t>
        </is>
      </c>
      <c r="B684" s="68" t="inlineStr"/>
      <c r="C684" s="68" t="inlineStr">
        <is>
          <t>Transit;INCLUIDO;EXCLUIDO;Error</t>
        </is>
      </c>
      <c r="D684" s="68" t="inlineStr">
        <is>
          <t>0;1;2;3</t>
        </is>
      </c>
      <c r="E684" s="68" t="inlineStr">
        <is>
          <t>2;1;0;3</t>
        </is>
      </c>
      <c r="F684" s="68" t="inlineStr">
        <is>
          <t>;;;</t>
        </is>
      </c>
      <c r="G684" s="68" t="inlineStr">
        <is>
          <t>#FF000000;#FFFF0000;#FF00FF00;#FFA9A9A9</t>
        </is>
      </c>
      <c r="H684" s="68" t="inlineStr">
        <is>
          <t>Abnormal;Auto;Auto;Abnormal</t>
        </is>
      </c>
      <c r="I684" s="68" t="inlineStr">
        <is>
          <t>FALSE;TRUE;TRUE;FALSE</t>
        </is>
      </c>
      <c r="J684" s="68" t="inlineStr">
        <is>
          <t>Alarme de Estado em Ponto Telecontrolado SS</t>
        </is>
      </c>
      <c r="K684" s="69" t="inlineStr">
        <is>
          <t>Alarme de Estado em Ponto Telecontrolado SS</t>
        </is>
      </c>
      <c r="L684" s="69">
        <f>VLOOKUP(LinkTable6789[[#This Row],[Coluna1]],[4]AlarmCatalog!$A:$M,11,FALSE)</f>
        <v/>
      </c>
    </row>
    <row r="685" ht="16.5" customFormat="1" customHeight="1" s="67">
      <c r="A685" s="68" t="inlineStr">
        <is>
          <t>null@null___LIGADO@DESLIGADO___Custom_S_TS_SS</t>
        </is>
      </c>
      <c r="B685" s="68" t="inlineStr"/>
      <c r="C685" s="68" t="inlineStr">
        <is>
          <t>Transit;LIGADO;DESLIGADO;Error</t>
        </is>
      </c>
      <c r="D685" s="68" t="inlineStr">
        <is>
          <t>0;1;2;3</t>
        </is>
      </c>
      <c r="E685" s="68" t="inlineStr">
        <is>
          <t>2;0;1;3</t>
        </is>
      </c>
      <c r="F685" s="68" t="inlineStr">
        <is>
          <t>;;;</t>
        </is>
      </c>
      <c r="G685" s="68" t="inlineStr">
        <is>
          <t>#FF000000;#FF00FF00;#FFFF0000;#FFA9A9A9</t>
        </is>
      </c>
      <c r="H685" s="68" t="inlineStr">
        <is>
          <t>Abnormal;Auto;Auto;Abnormal</t>
        </is>
      </c>
      <c r="I685" s="68" t="inlineStr">
        <is>
          <t>FALSE;TRUE;TRUE;FALSE</t>
        </is>
      </c>
      <c r="J685" s="68" t="inlineStr">
        <is>
          <t>Alarme de Estado em Ponto Telessinalizado SS</t>
        </is>
      </c>
      <c r="K685" s="69" t="inlineStr">
        <is>
          <t>Alarme de Estado em Ponto Telessinalizado SS</t>
        </is>
      </c>
      <c r="L685" s="69">
        <f>VLOOKUP(LinkTable6789[[#This Row],[Coluna1]],[4]AlarmCatalog!$A:$M,11,FALSE)</f>
        <v/>
      </c>
    </row>
    <row r="686" ht="16.5" customFormat="1" customHeight="1" s="67">
      <c r="A686" s="68" t="inlineStr">
        <is>
          <t>null@null___INCLUIDO@EXCLUIDO___Custom___INV_S_TS</t>
        </is>
      </c>
      <c r="B686" s="68" t="inlineStr"/>
      <c r="C686" s="68" t="inlineStr">
        <is>
          <t>Transit;INCLUIDO;EXCLUIDO;Error</t>
        </is>
      </c>
      <c r="D686" s="68" t="inlineStr">
        <is>
          <t>0;1;2;3</t>
        </is>
      </c>
      <c r="E686" s="68" t="inlineStr">
        <is>
          <t>2;1;0;3</t>
        </is>
      </c>
      <c r="F686" s="68" t="inlineStr">
        <is>
          <t>;;;</t>
        </is>
      </c>
      <c r="G686" s="68" t="inlineStr">
        <is>
          <t>#FF000000;#FFFF0000;#FF00FF00;#FFA9A9A9</t>
        </is>
      </c>
      <c r="H686" s="68" t="inlineStr">
        <is>
          <t>Abnormal;Auto;Auto;Abnormal</t>
        </is>
      </c>
      <c r="I686" s="68" t="inlineStr">
        <is>
          <t>FALSE;TRUE;TRUE;FALSE</t>
        </is>
      </c>
      <c r="J686" s="68" t="inlineStr">
        <is>
          <t>Alarme de Estado em Ponto Telessinalizado</t>
        </is>
      </c>
      <c r="K686" s="69" t="inlineStr">
        <is>
          <t>Alarme de Estado em Ponto Telessinalizado</t>
        </is>
      </c>
      <c r="L686" s="69">
        <f>VLOOKUP(LinkTable6789[[#This Row],[Coluna1]],[4]AlarmCatalog!$A:$M,11,FALSE)</f>
        <v/>
      </c>
    </row>
    <row r="687" ht="16.5" customFormat="1" customHeight="1" s="67">
      <c r="A687" s="68" t="inlineStr">
        <is>
          <t>null@null___INCLUIDO@EXCLUIDO___Custom___INV_S_TS_SS</t>
        </is>
      </c>
      <c r="B687" s="68" t="inlineStr"/>
      <c r="C687" s="68" t="inlineStr">
        <is>
          <t>Transit;INCLUIDO;EXCLUIDO;Error</t>
        </is>
      </c>
      <c r="D687" s="68" t="inlineStr">
        <is>
          <t>0;1;2;3</t>
        </is>
      </c>
      <c r="E687" s="68" t="inlineStr">
        <is>
          <t>2;1;0;3</t>
        </is>
      </c>
      <c r="F687" s="68" t="inlineStr">
        <is>
          <t>;;;</t>
        </is>
      </c>
      <c r="G687" s="68" t="inlineStr">
        <is>
          <t>#FF000000;#FFFF0000;#FF00FF00;#FFA9A9A9</t>
        </is>
      </c>
      <c r="H687" s="68" t="inlineStr">
        <is>
          <t>Abnormal;Auto;Auto;Abnormal</t>
        </is>
      </c>
      <c r="I687" s="68" t="inlineStr">
        <is>
          <t>FALSE;TRUE;TRUE;FALSE</t>
        </is>
      </c>
      <c r="J687" s="68" t="inlineStr">
        <is>
          <t>Alarme de Estado em Ponto Telessinalizado SS</t>
        </is>
      </c>
      <c r="K687" s="69" t="inlineStr">
        <is>
          <t>Alarme de Estado em Ponto Telessinalizado SS</t>
        </is>
      </c>
      <c r="L687" s="69">
        <f>VLOOKUP(LinkTable6789[[#This Row],[Coluna1]],[4]AlarmCatalog!$A:$M,11,FALSE)</f>
        <v/>
      </c>
    </row>
    <row r="688" ht="16.5" customFormat="1" customHeight="1" s="67">
      <c r="A688" s="68" t="inlineStr">
        <is>
          <t>null@null___INCLUIDO@EXCLUIDO___Custom_S_TC</t>
        </is>
      </c>
      <c r="B688" s="68" t="inlineStr"/>
      <c r="C688" s="68" t="inlineStr">
        <is>
          <t>Transit;INCLUIDO;EXCLUIDO;Error</t>
        </is>
      </c>
      <c r="D688" s="68" t="inlineStr">
        <is>
          <t>0;1;2;3</t>
        </is>
      </c>
      <c r="E688" s="68" t="inlineStr">
        <is>
          <t>2;0;1;3</t>
        </is>
      </c>
      <c r="F688" s="68" t="inlineStr">
        <is>
          <t>;;;</t>
        </is>
      </c>
      <c r="G688" s="68" t="inlineStr">
        <is>
          <t>#FF000000;#FFFF0000;#FF00FF00;#FFA9A9A9</t>
        </is>
      </c>
      <c r="H688" s="68" t="inlineStr">
        <is>
          <t>Abnormal;Auto;Auto;Abnormal</t>
        </is>
      </c>
      <c r="I688" s="68" t="inlineStr">
        <is>
          <t>FALSE;TRUE;TRUE;FALSE</t>
        </is>
      </c>
      <c r="J688" s="68" t="inlineStr">
        <is>
          <t>Alarme de Estado em Ponto Telecontrolado</t>
        </is>
      </c>
      <c r="K688" s="69" t="inlineStr">
        <is>
          <t>Alarme de Estado em Ponto Telecontrolado</t>
        </is>
      </c>
      <c r="L688" s="69">
        <f>VLOOKUP(LinkTable6789[[#This Row],[Coluna1]],[4]AlarmCatalog!$A:$M,11,FALSE)</f>
        <v/>
      </c>
    </row>
    <row r="689" ht="16.5" customFormat="1" customHeight="1" s="67">
      <c r="A689" s="68" t="inlineStr">
        <is>
          <t>null@null___NORMAL@DISPARADO___Custom_S_TS_SA</t>
        </is>
      </c>
      <c r="B689" s="68" t="inlineStr"/>
      <c r="C689" s="68" t="inlineStr">
        <is>
          <t>Transit;NORMAL;DISPARADO;Error</t>
        </is>
      </c>
      <c r="D689" s="68" t="inlineStr">
        <is>
          <t>0;1;2;3</t>
        </is>
      </c>
      <c r="E689" s="68" t="inlineStr">
        <is>
          <t>2;0;1;3</t>
        </is>
      </c>
      <c r="F689" s="68" t="inlineStr">
        <is>
          <t>;;;</t>
        </is>
      </c>
      <c r="G689" s="68" t="inlineStr">
        <is>
          <t>#FF000000;#FF00FF00;#FFFF0000;#FFA9A9A9</t>
        </is>
      </c>
      <c r="H689" s="68" t="inlineStr">
        <is>
          <t>Abnormal;Auto;Auto;Abnormal</t>
        </is>
      </c>
      <c r="I689" s="68" t="inlineStr">
        <is>
          <t>FALSE;TRUE;TRUE;FALSE</t>
        </is>
      </c>
      <c r="J689" s="68" t="inlineStr">
        <is>
          <t>Alarme de Estado em Ponto Telessinalizado SA</t>
        </is>
      </c>
      <c r="K689" s="69" t="inlineStr">
        <is>
          <t>Alarme de Estado em Ponto Telessinalizado SA</t>
        </is>
      </c>
      <c r="L689" s="69">
        <f>VLOOKUP(LinkTable6789[[#This Row],[Coluna1]],[4]AlarmCatalog!$A:$M,11,FALSE)</f>
        <v/>
      </c>
    </row>
    <row r="690" ht="16.5" customFormat="1" customHeight="1" s="67">
      <c r="A690" s="68" t="inlineStr">
        <is>
          <t>null@null___INCLUIDO@EXCLUIDO___Custom_S_TC_SS</t>
        </is>
      </c>
      <c r="B690" s="68" t="inlineStr"/>
      <c r="C690" s="68" t="inlineStr">
        <is>
          <t>Transit;INCLUIDO;EXCLUIDO;Error</t>
        </is>
      </c>
      <c r="D690" s="68" t="inlineStr">
        <is>
          <t>0;1;2;3</t>
        </is>
      </c>
      <c r="E690" s="68" t="inlineStr">
        <is>
          <t>2;0;1;3</t>
        </is>
      </c>
      <c r="F690" s="68" t="inlineStr">
        <is>
          <t>;;;</t>
        </is>
      </c>
      <c r="G690" s="68" t="inlineStr">
        <is>
          <t>#FF000000;#FFFF0000;#FF00FF00;#FFA9A9A9</t>
        </is>
      </c>
      <c r="H690" s="68" t="inlineStr">
        <is>
          <t>Abnormal;Auto;Auto;Abnormal</t>
        </is>
      </c>
      <c r="I690" s="68" t="inlineStr">
        <is>
          <t>FALSE;TRUE;TRUE;FALSE</t>
        </is>
      </c>
      <c r="J690" s="68" t="inlineStr">
        <is>
          <t>Alarme de Estado em Ponto Telecontrolado SS</t>
        </is>
      </c>
      <c r="K690" s="69" t="inlineStr">
        <is>
          <t>Alarme de Estado em Ponto Telecontrolado SS</t>
        </is>
      </c>
      <c r="L690" s="69">
        <f>VLOOKUP(LinkTable6789[[#This Row],[Coluna1]],[4]AlarmCatalog!$A:$M,11,FALSE)</f>
        <v/>
      </c>
    </row>
    <row r="691" ht="16.5" customFormat="1" customHeight="1" s="67">
      <c r="A691" s="68" t="inlineStr">
        <is>
          <t>null@null___NORMAL@FALTA___Custom_S_TS_SS</t>
        </is>
      </c>
      <c r="B691" s="68" t="inlineStr"/>
      <c r="C691" s="68" t="inlineStr">
        <is>
          <t>Transit;NORMAL;FALTA;Error</t>
        </is>
      </c>
      <c r="D691" s="68" t="inlineStr">
        <is>
          <t>0;1;2;3</t>
        </is>
      </c>
      <c r="E691" s="68" t="inlineStr">
        <is>
          <t>2;0;1;3</t>
        </is>
      </c>
      <c r="F691" s="68" t="inlineStr">
        <is>
          <t>;;;</t>
        </is>
      </c>
      <c r="G691" s="68" t="inlineStr">
        <is>
          <t>#FF000000;#FF00FF00;#FFFF0000;#FFA9A9A9</t>
        </is>
      </c>
      <c r="H691" s="68" t="inlineStr">
        <is>
          <t>Abnormal;Auto;Auto;Abnormal</t>
        </is>
      </c>
      <c r="I691" s="68" t="inlineStr">
        <is>
          <t>FALSE;TRUE;TRUE;FALSE</t>
        </is>
      </c>
      <c r="J691" s="68" t="inlineStr">
        <is>
          <t>Alarme de Estado em Ponto Telessinalizado SS</t>
        </is>
      </c>
      <c r="K691" s="69" t="inlineStr">
        <is>
          <t>Alarme de Estado em Ponto Telessinalizado SS</t>
        </is>
      </c>
      <c r="L691" s="69">
        <f>VLOOKUP(LinkTable6789[[#This Row],[Coluna1]],[4]AlarmCatalog!$A:$M,11,FALSE)</f>
        <v/>
      </c>
    </row>
    <row r="692" ht="16.5" customFormat="1" customHeight="1" s="67">
      <c r="A692" s="68" t="inlineStr">
        <is>
          <t>null@INDIVIDUAL___DESATIVADO@ATIVADO___Custom_S_TS_SS</t>
        </is>
      </c>
      <c r="B692" s="68" t="inlineStr"/>
      <c r="C692" s="68" t="inlineStr">
        <is>
          <t>Transit;DESATIVADO;ATIVADO;Error</t>
        </is>
      </c>
      <c r="D692" s="68" t="inlineStr">
        <is>
          <t>0;1;2;3</t>
        </is>
      </c>
      <c r="E692" s="68" t="inlineStr">
        <is>
          <t>2;0;1;3</t>
        </is>
      </c>
      <c r="F692" s="68" t="inlineStr">
        <is>
          <t>;;;</t>
        </is>
      </c>
      <c r="G692" s="68" t="inlineStr">
        <is>
          <t>#FF000000;#FF00FF00;#FFFF0000;#FFA9A9A9</t>
        </is>
      </c>
      <c r="H692" s="68" t="inlineStr">
        <is>
          <t>Abnormal;Auto;Auto;Abnormal</t>
        </is>
      </c>
      <c r="I692" s="68" t="inlineStr">
        <is>
          <t>FALSE;TRUE;TRUE;FALSE</t>
        </is>
      </c>
      <c r="J692" s="68" t="inlineStr">
        <is>
          <t>Alarme de Estado em Ponto Telessinalizado SS</t>
        </is>
      </c>
      <c r="K692" s="69" t="inlineStr">
        <is>
          <t>Alarme de Estado em Ponto Telessinalizado SS</t>
        </is>
      </c>
      <c r="L692" s="69">
        <f>VLOOKUP(LinkTable6789[[#This Row],[Coluna1]],[4]AlarmCatalog!$A:$M,11,FALSE)</f>
        <v/>
      </c>
    </row>
    <row r="693" ht="16.5" customFormat="1" customHeight="1" s="67">
      <c r="A693" s="68" t="inlineStr">
        <is>
          <t>MESTRE@INDIVIDUAL@COMANDO___MESTRE@INDIVIDUAL@COMANDO___Custom___admsINV_D_TS_SS</t>
        </is>
      </c>
      <c r="B693" s="68" t="inlineStr"/>
      <c r="C693" s="68" t="inlineStr">
        <is>
          <t>MESTRE;INDIVIDUAL;COMANDADO;ERROR</t>
        </is>
      </c>
      <c r="D693" s="68" t="inlineStr">
        <is>
          <t>2;0;1;3</t>
        </is>
      </c>
      <c r="E693" s="68" t="inlineStr">
        <is>
          <t>0;2;1;3</t>
        </is>
      </c>
      <c r="F693" s="68" t="inlineStr">
        <is>
          <t>MESTRE;INDIVIDUAL;COMANDO;</t>
        </is>
      </c>
      <c r="G693" s="68" t="inlineStr">
        <is>
          <t>#FFFF0000;#FF00FF00;#FF00FF00;#FF000000</t>
        </is>
      </c>
      <c r="H693" s="68" t="inlineStr">
        <is>
          <t>Normal;Abnormal;Abnormal;Abnormal</t>
        </is>
      </c>
      <c r="I693" s="68" t="inlineStr">
        <is>
          <t>TRUE;TRUE;TRUE;FALSE</t>
        </is>
      </c>
      <c r="J693" s="68" t="inlineStr">
        <is>
          <t>Alarme de Estado em Ponto Telessinalizado SS</t>
        </is>
      </c>
      <c r="K693" s="69" t="inlineStr">
        <is>
          <t>Alarme de Estado em Ponto Telessinalizado SS</t>
        </is>
      </c>
      <c r="L693" s="69">
        <f>VLOOKUP(LinkTable6789[[#This Row],[Coluna1]],[4]AlarmCatalog!$A:$M,11,FALSE)</f>
        <v/>
      </c>
    </row>
    <row r="694" ht="16.5" customFormat="1" customHeight="1" s="67">
      <c r="A694" s="68" t="inlineStr">
        <is>
          <t>null@null___INCLUIDO@EXCLUIDO___Custom_S_TS</t>
        </is>
      </c>
      <c r="B694" s="68" t="inlineStr"/>
      <c r="C694" s="68" t="inlineStr">
        <is>
          <t>Transit;INCLUIDO;EXCLUIDO;Error</t>
        </is>
      </c>
      <c r="D694" s="68" t="inlineStr">
        <is>
          <t>0;1;2;3</t>
        </is>
      </c>
      <c r="E694" s="68" t="inlineStr">
        <is>
          <t>2;0;1;3</t>
        </is>
      </c>
      <c r="F694" s="68" t="inlineStr">
        <is>
          <t>;;;</t>
        </is>
      </c>
      <c r="G694" s="68" t="inlineStr">
        <is>
          <t>#FF000000;#FFFF0000;#FF00FF00;#FFA9A9A9</t>
        </is>
      </c>
      <c r="H694" s="68" t="inlineStr">
        <is>
          <t>Abnormal;Auto;Auto;Abnormal</t>
        </is>
      </c>
      <c r="I694" s="68" t="inlineStr">
        <is>
          <t>FALSE;TRUE;TRUE;FALSE</t>
        </is>
      </c>
      <c r="J694" s="68" t="inlineStr">
        <is>
          <t>Alarme de Estado em Ponto Telessinalizado</t>
        </is>
      </c>
      <c r="K694" s="69" t="inlineStr">
        <is>
          <t>Alarme de Estado em Ponto Telessinalizado</t>
        </is>
      </c>
      <c r="L694" s="69">
        <f>VLOOKUP(LinkTable6789[[#This Row],[Coluna1]],[4]AlarmCatalog!$A:$M,11,FALSE)</f>
        <v/>
      </c>
    </row>
    <row r="695" ht="16.5" customFormat="1" customHeight="1" s="67">
      <c r="A695" s="68" t="inlineStr">
        <is>
          <t>null@null___NORMAL@DISPARADO___Custom_S_TS_SP</t>
        </is>
      </c>
      <c r="B695" s="68" t="inlineStr"/>
      <c r="C695" s="68" t="inlineStr">
        <is>
          <t>Transit;NORMAL;DISPARADO;Error</t>
        </is>
      </c>
      <c r="D695" s="68" t="inlineStr">
        <is>
          <t>0;1;2;3</t>
        </is>
      </c>
      <c r="E695" s="68" t="inlineStr">
        <is>
          <t>2;0;1;3</t>
        </is>
      </c>
      <c r="F695" s="68" t="inlineStr">
        <is>
          <t>;;;</t>
        </is>
      </c>
      <c r="G695" s="68" t="inlineStr">
        <is>
          <t>#FF000000;#FF00FF00;#FFFF0000;#FFA9A9A9</t>
        </is>
      </c>
      <c r="H695" s="68" t="inlineStr">
        <is>
          <t>Abnormal;Auto;Auto;Abnormal</t>
        </is>
      </c>
      <c r="I695" s="68" t="inlineStr">
        <is>
          <t>FALSE;TRUE;TRUE;FALSE</t>
        </is>
      </c>
      <c r="J695" s="68" t="inlineStr">
        <is>
          <t>Alarme de Estado em Ponto Telessinalizado SP</t>
        </is>
      </c>
      <c r="K695" s="69" t="inlineStr">
        <is>
          <t>Alarme de Estado em Ponto Telessinalizado SP</t>
        </is>
      </c>
      <c r="L695" s="69">
        <f>VLOOKUP(LinkTable6789[[#This Row],[Coluna1]],[4]AlarmCatalog!$A:$M,11,FALSE)</f>
        <v/>
      </c>
    </row>
    <row r="696" ht="16.5" customFormat="1" customHeight="1" s="67">
      <c r="A696" s="68" t="inlineStr">
        <is>
          <t>MESTRE@INDIVIDUAL@COMANDO___MESTRE@INDIVIDUAL@COMANDO___Custom___admsINV_D_TC_SS</t>
        </is>
      </c>
      <c r="B696" s="68" t="inlineStr"/>
      <c r="C696" s="68" t="inlineStr">
        <is>
          <t>MESTRE;INDIVIDUAL;COMANDADO;Error</t>
        </is>
      </c>
      <c r="D696" s="68" t="inlineStr">
        <is>
          <t>0;1;2;3</t>
        </is>
      </c>
      <c r="E696" s="68" t="inlineStr">
        <is>
          <t>1;2;4;8</t>
        </is>
      </c>
      <c r="F696" s="68" t="inlineStr">
        <is>
          <t>MESTRE;INDIVIDUAL;COMANDADO;</t>
        </is>
      </c>
      <c r="G696" s="68" t="inlineStr">
        <is>
          <t>#FFFF0000;#FF00FF00;#FF00FF00;#FF000000</t>
        </is>
      </c>
      <c r="H696" s="68" t="inlineStr">
        <is>
          <t>Normal;Abnormal;Abnormal;Abnormal</t>
        </is>
      </c>
      <c r="I696" s="68" t="inlineStr">
        <is>
          <t>TRUE;TRUE;TRUE;FALSE</t>
        </is>
      </c>
      <c r="J696" s="68" t="inlineStr">
        <is>
          <t>Alarme de Estado em Ponto Telecontrolado SS</t>
        </is>
      </c>
      <c r="K696" s="69" t="inlineStr">
        <is>
          <t>Alarme de Estado em Ponto Telecontrolado SS</t>
        </is>
      </c>
      <c r="L696" s="69">
        <f>VLOOKUP(LinkTable6789[[#This Row],[Coluna1]],[4]AlarmCatalog!$A:$M,11,FALSE)</f>
        <v/>
      </c>
    </row>
    <row r="697" ht="16.5" customFormat="1" customHeight="1" s="67">
      <c r="A697" s="68" t="inlineStr">
        <is>
          <t>AUMENTAR@DIMINUIR___null@null___TapIncrement_S_TS_SS</t>
        </is>
      </c>
      <c r="B697" s="68" t="inlineStr"/>
      <c r="C697" s="68" t="inlineStr">
        <is>
          <t>Transit;;;Error</t>
        </is>
      </c>
      <c r="D697" s="68" t="inlineStr">
        <is>
          <t>0;1;2;3</t>
        </is>
      </c>
      <c r="E697" s="68" t="inlineStr">
        <is>
          <t>2;0;1;3</t>
        </is>
      </c>
      <c r="F697" s="68" t="inlineStr">
        <is>
          <t>;;;</t>
        </is>
      </c>
      <c r="G697" s="68" t="inlineStr">
        <is>
          <t>#FF000000;#FF00FF00;#FFFF0000;#FFA9A9A9</t>
        </is>
      </c>
      <c r="H697" s="68" t="inlineStr">
        <is>
          <t>Normal;Normal;Normal;Normal</t>
        </is>
      </c>
      <c r="I697" s="68" t="inlineStr">
        <is>
          <t>FALSE;TRUE;TRUE;FALSE</t>
        </is>
      </c>
      <c r="J697" s="68" t="inlineStr">
        <is>
          <t>Alarme de Estado em Ponto Telessinalizado SS</t>
        </is>
      </c>
      <c r="K697" s="69" t="inlineStr">
        <is>
          <t>Alarme de Estado em Ponto Telessinalizado SS</t>
        </is>
      </c>
      <c r="L697" s="69">
        <f>VLOOKUP(LinkTable6789[[#This Row],[Coluna1]],[4]AlarmCatalog!$A:$M,11,FALSE)</f>
        <v/>
      </c>
    </row>
    <row r="698" ht="16.5" customFormat="1" customHeight="1" s="67">
      <c r="A698" s="68" t="inlineStr">
        <is>
          <t>null@null___REMOTO@LOCAL___Custom_S_TS</t>
        </is>
      </c>
      <c r="B698" s="68" t="inlineStr"/>
      <c r="C698" s="68" t="inlineStr">
        <is>
          <t>Error;REMOTO;LOCAL;Transit</t>
        </is>
      </c>
      <c r="D698" s="68" t="inlineStr">
        <is>
          <t>0;1;2;3</t>
        </is>
      </c>
      <c r="E698" s="68" t="inlineStr">
        <is>
          <t>2;0;1;3</t>
        </is>
      </c>
      <c r="F698" s="68" t="inlineStr">
        <is>
          <t>;;;</t>
        </is>
      </c>
      <c r="G698" s="68" t="inlineStr">
        <is>
          <t>#FF000000;#FF00FF00;#FFFF0000;#FFA9A9A9</t>
        </is>
      </c>
      <c r="H698" s="68" t="inlineStr">
        <is>
          <t>Abnormal;Auto;Auto;Abnormal</t>
        </is>
      </c>
      <c r="I698" s="68" t="inlineStr">
        <is>
          <t>FALSE;TRUE;TRUE;FALSE</t>
        </is>
      </c>
      <c r="J698" s="68" t="inlineStr">
        <is>
          <t>Alarme de Estado em Ponto Telessinalizado</t>
        </is>
      </c>
      <c r="K698" s="69" t="inlineStr">
        <is>
          <t>Alarme de Estado em Ponto Telessinalizado</t>
        </is>
      </c>
      <c r="L698" s="69">
        <f>VLOOKUP(LinkTable6789[[#This Row],[Coluna1]],[4]AlarmCatalog!$A:$M,11,FALSE)</f>
        <v/>
      </c>
    </row>
    <row r="699" ht="16.5" customFormat="1" customHeight="1" s="67">
      <c r="A699" s="68" t="inlineStr">
        <is>
          <t>null@null___INCLUIDO@EXCLUIDO___Custom_S_TS_SS</t>
        </is>
      </c>
      <c r="B699" s="68" t="inlineStr"/>
      <c r="C699" s="68" t="inlineStr">
        <is>
          <t>Transit;INCLUIDO;EXCLUIDO;Error</t>
        </is>
      </c>
      <c r="D699" s="68" t="inlineStr">
        <is>
          <t>0;1;2;3</t>
        </is>
      </c>
      <c r="E699" s="68" t="inlineStr">
        <is>
          <t>2;0;1;3</t>
        </is>
      </c>
      <c r="F699" s="68" t="inlineStr">
        <is>
          <t>;;;</t>
        </is>
      </c>
      <c r="G699" s="68" t="inlineStr">
        <is>
          <t>#FF000000;#FFFF0000;#FF00FF00;#FFA9A9A9</t>
        </is>
      </c>
      <c r="H699" s="68" t="inlineStr">
        <is>
          <t>Abnormal;Auto;Auto;Abnormal</t>
        </is>
      </c>
      <c r="I699" s="68" t="inlineStr">
        <is>
          <t>FALSE;TRUE;TRUE;FALSE</t>
        </is>
      </c>
      <c r="J699" s="68" t="inlineStr">
        <is>
          <t>Alarme de Estado em Ponto Telessinalizado SS</t>
        </is>
      </c>
      <c r="K699" s="69" t="inlineStr">
        <is>
          <t>Alarme de Estado em Ponto Telessinalizado SS</t>
        </is>
      </c>
      <c r="L699" s="69">
        <f>VLOOKUP(LinkTable6789[[#This Row],[Coluna1]],[4]AlarmCatalog!$A:$M,11,FALSE)</f>
        <v/>
      </c>
    </row>
    <row r="700" ht="16.5" customFormat="1" customHeight="1" s="67">
      <c r="A700" s="68" t="inlineStr">
        <is>
          <t>null@null___INCLUIDO@EXCLUIDO___Enabled___admsINV_S_TS_SB</t>
        </is>
      </c>
      <c r="B700" s="68" t="inlineStr"/>
      <c r="C700" s="68" t="inlineStr">
        <is>
          <t>Transit;INCLUIDO;EXCLUIDO;Error</t>
        </is>
      </c>
      <c r="D700" s="68" t="inlineStr">
        <is>
          <t>0;2;1;3</t>
        </is>
      </c>
      <c r="E700" s="68" t="inlineStr">
        <is>
          <t>2;0;1;3</t>
        </is>
      </c>
      <c r="F700" s="68" t="inlineStr">
        <is>
          <t>;;;</t>
        </is>
      </c>
      <c r="G700" s="68" t="inlineStr">
        <is>
          <t>#FF000000;#FFFF0000;#FF00FF00;#FFA9A9A9</t>
        </is>
      </c>
      <c r="H700" s="68" t="inlineStr">
        <is>
          <t>Abnormal;Auto;Auto;Abnormal</t>
        </is>
      </c>
      <c r="I700" s="68" t="inlineStr">
        <is>
          <t>FALSE;TRUE;TRUE;FALSE</t>
        </is>
      </c>
      <c r="J700" s="68" t="inlineStr">
        <is>
          <t>Alarme de Estado em Ponto Telessinalizado SB</t>
        </is>
      </c>
      <c r="K700" s="69" t="inlineStr">
        <is>
          <t>Alarme de Estado em Ponto Telessinalizado SB</t>
        </is>
      </c>
      <c r="L700" s="69">
        <f>VLOOKUP(LinkTable6789[[#This Row],[Coluna1]],[4]AlarmCatalog!$A:$M,11,FALSE)</f>
        <v/>
      </c>
    </row>
    <row r="701" ht="16.5" customFormat="1" customHeight="1" s="67">
      <c r="A701" s="68" t="inlineStr">
        <is>
          <t>null@null___INCLUIDO@EXCLUIDO___Enabled___admsINV_S_TS_SS</t>
        </is>
      </c>
      <c r="B701" s="68" t="inlineStr"/>
      <c r="C701" s="68" t="inlineStr">
        <is>
          <t>Transit;INCLUIDO;EXCLUIDO;Error</t>
        </is>
      </c>
      <c r="D701" s="68" t="inlineStr">
        <is>
          <t>0;2;1;3</t>
        </is>
      </c>
      <c r="E701" s="68" t="inlineStr">
        <is>
          <t>2;0;1;3</t>
        </is>
      </c>
      <c r="F701" s="68" t="inlineStr">
        <is>
          <t>;;;</t>
        </is>
      </c>
      <c r="G701" s="68" t="inlineStr">
        <is>
          <t>#FF000000;#FFFF0000;#FF00FF00;#FFA9A9A9</t>
        </is>
      </c>
      <c r="H701" s="68" t="inlineStr">
        <is>
          <t>Abnormal;Auto;Auto;Abnormal</t>
        </is>
      </c>
      <c r="I701" s="68" t="inlineStr">
        <is>
          <t>FALSE;TRUE;TRUE;FALSE</t>
        </is>
      </c>
      <c r="J701" s="68" t="inlineStr">
        <is>
          <t>Alarme de Estado em Ponto Telessinalizado SS</t>
        </is>
      </c>
      <c r="K701" s="69" t="inlineStr">
        <is>
          <t>Alarme de Estado em Ponto Telessinalizado SS</t>
        </is>
      </c>
      <c r="L701" s="69">
        <f>VLOOKUP(LinkTable6789[[#This Row],[Coluna1]],[4]AlarmCatalog!$A:$M,11,FALSE)</f>
        <v/>
      </c>
    </row>
    <row r="702" ht="16.5" customFormat="1" customHeight="1" s="67">
      <c r="A702" s="68" t="inlineStr">
        <is>
          <t>null@null___REMOTO@LOCAL___Custom_S_TS_DS</t>
        </is>
      </c>
      <c r="B702" s="68" t="inlineStr"/>
      <c r="C702" s="68" t="inlineStr">
        <is>
          <t>Transit;REMOTO;LOCAL;Error</t>
        </is>
      </c>
      <c r="D702" s="68" t="inlineStr">
        <is>
          <t>0;1;2;3</t>
        </is>
      </c>
      <c r="E702" s="68" t="inlineStr">
        <is>
          <t>2;0;1;3</t>
        </is>
      </c>
      <c r="F702" s="68" t="inlineStr">
        <is>
          <t>;;;</t>
        </is>
      </c>
      <c r="G702" s="68" t="inlineStr">
        <is>
          <t>#FF000000;#FF00FF00;#FFFF0000;#FFA9A9A9</t>
        </is>
      </c>
      <c r="H702" s="68" t="inlineStr">
        <is>
          <t>Abnormal;Auto;Auto;Abnormal</t>
        </is>
      </c>
      <c r="I702" s="68" t="inlineStr">
        <is>
          <t>FALSE;TRUE;TRUE;FALSE</t>
        </is>
      </c>
      <c r="J702" s="68" t="inlineStr">
        <is>
          <t>Alarme de Estado em Ponto Telessinalizado DS</t>
        </is>
      </c>
      <c r="K702" s="69" t="inlineStr">
        <is>
          <t>Alarme de Estado em Ponto Telessinalizado DS</t>
        </is>
      </c>
      <c r="L702" s="69">
        <f>VLOOKUP(LinkTable6789[[#This Row],[Coluna1]],[4]AlarmCatalog!$A:$M,11,FALSE)</f>
        <v/>
      </c>
    </row>
    <row r="703" ht="16.5" customFormat="1" customHeight="1" s="67">
      <c r="A703" s="68" t="inlineStr">
        <is>
          <t>null@null___INCLUIDO@EXCLUIDO___Enabled___INV_S_TS</t>
        </is>
      </c>
      <c r="B703" s="68" t="inlineStr"/>
      <c r="C703" s="68" t="inlineStr">
        <is>
          <t>Transit;INCLUIDO;EXCLUIDO;Error</t>
        </is>
      </c>
      <c r="D703" s="68" t="inlineStr">
        <is>
          <t>0;1;2;3</t>
        </is>
      </c>
      <c r="E703" s="68" t="inlineStr">
        <is>
          <t>2;1;0;3</t>
        </is>
      </c>
      <c r="F703" s="68" t="inlineStr">
        <is>
          <t>;;;</t>
        </is>
      </c>
      <c r="G703" s="68" t="inlineStr">
        <is>
          <t>#FF000000;#FFFF0000;#FF00FF00;#FFA9A9A9</t>
        </is>
      </c>
      <c r="H703" s="68" t="inlineStr">
        <is>
          <t>Abnormal;Auto;Auto;Abnormal</t>
        </is>
      </c>
      <c r="I703" s="68" t="inlineStr">
        <is>
          <t>FALSE;TRUE;TRUE;FALSE</t>
        </is>
      </c>
      <c r="J703" s="68" t="inlineStr">
        <is>
          <t>Alarme de Estado em Ponto Telessinalizado</t>
        </is>
      </c>
      <c r="K703" s="69" t="inlineStr">
        <is>
          <t>Alarme de Estado em Ponto Telessinalizado</t>
        </is>
      </c>
      <c r="L703" s="69">
        <f>VLOOKUP(LinkTable6789[[#This Row],[Coluna1]],[4]AlarmCatalog!$A:$M,11,FALSE)</f>
        <v/>
      </c>
    </row>
    <row r="704" ht="16.5" customFormat="1" customHeight="1" s="67">
      <c r="A704" s="68" t="inlineStr">
        <is>
          <t>MANUAL@AUTOMATICO___MANUAL@AUTOMATICO___Custom___INV_S_TC_SS</t>
        </is>
      </c>
      <c r="B704" s="68" t="inlineStr"/>
      <c r="C704" s="68" t="inlineStr">
        <is>
          <t>Transit;MANUAL;AUTOMATICO;Error</t>
        </is>
      </c>
      <c r="D704" s="68" t="inlineStr">
        <is>
          <t>0;1;2;3</t>
        </is>
      </c>
      <c r="E704" s="68" t="inlineStr">
        <is>
          <t>2;1;0;3</t>
        </is>
      </c>
      <c r="F704" s="68" t="inlineStr">
        <is>
          <t>;MANUAL;AUTOMATICO;</t>
        </is>
      </c>
      <c r="G704" s="68" t="inlineStr">
        <is>
          <t>#FF000000;#FF00FF00;#FFFF0000;#FFA9A9A9</t>
        </is>
      </c>
      <c r="H704" s="68" t="inlineStr">
        <is>
          <t>Normal;Normal;Normal;Normal</t>
        </is>
      </c>
      <c r="I704" s="68" t="inlineStr">
        <is>
          <t>FALSE;TRUE;TRUE;FALSE</t>
        </is>
      </c>
      <c r="J704" s="68" t="inlineStr">
        <is>
          <t>Alarme de Estado em Ponto Telecontrolado SS</t>
        </is>
      </c>
      <c r="K704" s="69" t="inlineStr">
        <is>
          <t>Alarme de Estado em Ponto Telecontrolado SS</t>
        </is>
      </c>
      <c r="L704" s="69">
        <f>VLOOKUP(LinkTable6789[[#This Row],[Coluna1]],[4]AlarmCatalog!$A:$M,11,FALSE)</f>
        <v/>
      </c>
    </row>
    <row r="705" ht="16.5" customFormat="1" customHeight="1" s="67">
      <c r="A705" s="68" t="inlineStr">
        <is>
          <t>DESATIVAR@ATIVAR___DESATIVADO@ATIVADO___Custom_S_TS_SS</t>
        </is>
      </c>
      <c r="B705" s="68" t="inlineStr"/>
      <c r="C705" s="68" t="inlineStr">
        <is>
          <t>Transit;DESATIVADO;ATIVADO;Error</t>
        </is>
      </c>
      <c r="D705" s="68" t="inlineStr">
        <is>
          <t>0;1;2;3</t>
        </is>
      </c>
      <c r="E705" s="68" t="inlineStr">
        <is>
          <t>2;0;1;3</t>
        </is>
      </c>
      <c r="F705" s="68" t="inlineStr">
        <is>
          <t>;;;</t>
        </is>
      </c>
      <c r="G705" s="68" t="inlineStr">
        <is>
          <t>#FF000000;#FF00FF00;#FFFF0000;#FFA9A9A9</t>
        </is>
      </c>
      <c r="H705" s="68" t="inlineStr">
        <is>
          <t>Abnormal;Auto;Auto;Abnormal</t>
        </is>
      </c>
      <c r="I705" s="68" t="inlineStr">
        <is>
          <t>FALSE;TRUE;TRUE;FALSE</t>
        </is>
      </c>
      <c r="J705" s="68" t="inlineStr">
        <is>
          <t>Alarme de Estado em Ponto Telessinalizado SS</t>
        </is>
      </c>
      <c r="K705" s="69" t="inlineStr">
        <is>
          <t>Alarme de Estado em Ponto Telessinalizado SS</t>
        </is>
      </c>
      <c r="L705" s="69">
        <f>VLOOKUP(LinkTable6789[[#This Row],[Coluna1]],[4]AlarmCatalog!$A:$M,11,FALSE)</f>
        <v/>
      </c>
    </row>
    <row r="706" ht="16.5" customFormat="1" customHeight="1" s="67">
      <c r="A706" s="68" t="inlineStr">
        <is>
          <t>AUTOMATICO@MANUAL___AUTOMATICO@MANUAL___Custom___INV___admsINV_S_TS_SS</t>
        </is>
      </c>
      <c r="B706" s="68" t="inlineStr"/>
      <c r="C706" s="68" t="inlineStr">
        <is>
          <t>Transit;AUTOMATICO;MANUAL;Error</t>
        </is>
      </c>
      <c r="D706" s="68" t="inlineStr">
        <is>
          <t>0;2;1;3</t>
        </is>
      </c>
      <c r="E706" s="68" t="inlineStr">
        <is>
          <t>2;1;0;3</t>
        </is>
      </c>
      <c r="F706" s="68" t="inlineStr">
        <is>
          <t>;;;</t>
        </is>
      </c>
      <c r="G706" s="68" t="inlineStr">
        <is>
          <t>#FF000000;#FF00FF00;#FFFF0000;#FFA9A9A9</t>
        </is>
      </c>
      <c r="H706" s="68" t="inlineStr">
        <is>
          <t>Abnormal;Auto;Auto;Abnormal</t>
        </is>
      </c>
      <c r="I706" s="68" t="inlineStr">
        <is>
          <t>FALSE;TRUE;TRUE;FALSE</t>
        </is>
      </c>
      <c r="J706" s="68" t="inlineStr">
        <is>
          <t>Alarme de Estado em Ponto Telessinalizado SS</t>
        </is>
      </c>
      <c r="K706" s="69" t="inlineStr">
        <is>
          <t>Alarme de Estado em Ponto Telessinalizado SS</t>
        </is>
      </c>
      <c r="L706" s="69">
        <f>VLOOKUP(LinkTable6789[[#This Row],[Coluna1]],[4]AlarmCatalog!$A:$M,11,FALSE)</f>
        <v/>
      </c>
    </row>
    <row r="707" ht="16.5" customFormat="1" customHeight="1" s="67">
      <c r="A707" s="68" t="inlineStr">
        <is>
          <t>null@null___MANUAL@AUTOMATICO___Custom_S_TS_SS</t>
        </is>
      </c>
      <c r="B707" s="68" t="inlineStr"/>
      <c r="C707" s="68" t="inlineStr">
        <is>
          <t>Transit;MANUAL;AUTOMATICO;Error</t>
        </is>
      </c>
      <c r="D707" s="68" t="inlineStr">
        <is>
          <t>0;1;2;3</t>
        </is>
      </c>
      <c r="E707" s="68" t="inlineStr">
        <is>
          <t>2;0;1;3</t>
        </is>
      </c>
      <c r="F707" s="68" t="inlineStr">
        <is>
          <t>;;;</t>
        </is>
      </c>
      <c r="G707" s="68" t="inlineStr">
        <is>
          <t>#FF000000;#FF00FF00;#FFFF0000;#FFA9A9A9</t>
        </is>
      </c>
      <c r="H707" s="68" t="inlineStr">
        <is>
          <t>Normal;Normal;Normal;Normal</t>
        </is>
      </c>
      <c r="I707" s="68" t="inlineStr">
        <is>
          <t>FALSE;TRUE;TRUE;FALSE</t>
        </is>
      </c>
      <c r="J707" s="68" t="inlineStr">
        <is>
          <t>Alarme de Estado em Ponto Telessinalizado SS</t>
        </is>
      </c>
      <c r="K707" s="69" t="inlineStr">
        <is>
          <t>Alarme de Estado em Ponto Telessinalizado SS</t>
        </is>
      </c>
      <c r="L707" s="69">
        <f>VLOOKUP(LinkTable6789[[#This Row],[Coluna1]],[4]AlarmCatalog!$A:$M,11,FALSE)</f>
        <v/>
      </c>
    </row>
    <row r="708" ht="16.5" customFormat="1" customHeight="1" s="67">
      <c r="A708" s="68" t="inlineStr">
        <is>
          <t>null@null___REMOTO@LOCAL___Custom_S_TS_SS</t>
        </is>
      </c>
      <c r="B708" s="68" t="inlineStr"/>
      <c r="C708" s="68" t="inlineStr">
        <is>
          <t>Transit;REMOTO;LOCAL;Error</t>
        </is>
      </c>
      <c r="D708" s="68" t="inlineStr">
        <is>
          <t>0;1;2;3</t>
        </is>
      </c>
      <c r="E708" s="68" t="inlineStr">
        <is>
          <t>2;0;1;3</t>
        </is>
      </c>
      <c r="F708" s="68" t="inlineStr">
        <is>
          <t>;;;</t>
        </is>
      </c>
      <c r="G708" s="68" t="inlineStr">
        <is>
          <t>#FF000000;#FF00FF00;#FFFF0000;#FFA9A9A9</t>
        </is>
      </c>
      <c r="H708" s="68" t="inlineStr">
        <is>
          <t>Abnormal;Auto;Auto;Abnormal</t>
        </is>
      </c>
      <c r="I708" s="68" t="inlineStr">
        <is>
          <t>FALSE;TRUE;TRUE;FALSE</t>
        </is>
      </c>
      <c r="J708" s="68" t="inlineStr">
        <is>
          <t>Alarme de Estado em Ponto Telessinalizado SS</t>
        </is>
      </c>
      <c r="K708" s="69" t="inlineStr">
        <is>
          <t>Alarme de Estado em Ponto Telessinalizado SS</t>
        </is>
      </c>
      <c r="L708" s="69">
        <f>VLOOKUP(LinkTable6789[[#This Row],[Coluna1]],[4]AlarmCatalog!$A:$M,11,FALSE)</f>
        <v/>
      </c>
    </row>
    <row r="709" ht="16.5" customFormat="1" customHeight="1" s="67">
      <c r="A709" s="68" t="inlineStr">
        <is>
          <t>DESBLOQUEAR@BLOQUEAR___NORMAL@BLOQUEADA___Enabled___admsINV_S_TS_SS</t>
        </is>
      </c>
      <c r="B709" s="68" t="inlineStr"/>
      <c r="C709" s="68" t="inlineStr">
        <is>
          <t>Transit;NORMAL;BLOQUEADA;Error</t>
        </is>
      </c>
      <c r="D709" s="68" t="inlineStr">
        <is>
          <t>0;2;1;3</t>
        </is>
      </c>
      <c r="E709" s="68" t="inlineStr">
        <is>
          <t>2;0;1;3</t>
        </is>
      </c>
      <c r="F709" s="68" t="inlineStr">
        <is>
          <t>;;;</t>
        </is>
      </c>
      <c r="G709" s="68" t="inlineStr">
        <is>
          <t>#FF000000;#FF00FF00;#FFFF0000;#FFA9A9A9</t>
        </is>
      </c>
      <c r="H709" s="68" t="inlineStr">
        <is>
          <t>Abnormal;Auto;Auto;Abnormal</t>
        </is>
      </c>
      <c r="I709" s="68" t="inlineStr">
        <is>
          <t>FALSE;TRUE;TRUE;FALSE</t>
        </is>
      </c>
      <c r="J709" s="68" t="inlineStr">
        <is>
          <t>Alarme de Estado em Ponto Telessinalizado SS</t>
        </is>
      </c>
      <c r="K709" s="69" t="inlineStr">
        <is>
          <t>Alarme de Estado em Ponto Telessinalizado SS</t>
        </is>
      </c>
      <c r="L709" s="69">
        <f>VLOOKUP(LinkTable6789[[#This Row],[Coluna1]],[4]AlarmCatalog!$A:$M,11,FALSE)</f>
        <v/>
      </c>
    </row>
    <row r="710" ht="16.5" customFormat="1" customHeight="1" s="67">
      <c r="A710" s="68" t="inlineStr">
        <is>
          <t>MANUAL@AUTOMATICO___MANUAL@AUTOMATICO___Custom_S_TC_SS</t>
        </is>
      </c>
      <c r="B710" s="68" t="inlineStr"/>
      <c r="C710" s="68" t="inlineStr">
        <is>
          <t>Transit;MANUAL;AUTOMATICO;Error</t>
        </is>
      </c>
      <c r="D710" s="68" t="inlineStr">
        <is>
          <t>0;1;2;3</t>
        </is>
      </c>
      <c r="E710" s="68" t="inlineStr">
        <is>
          <t>2;0;1;3</t>
        </is>
      </c>
      <c r="F710" s="68" t="inlineStr">
        <is>
          <t>;MANUAL;AUTOMATICO;</t>
        </is>
      </c>
      <c r="G710" s="68" t="inlineStr">
        <is>
          <t>#FF000000;#FF00FF00;#FFFF0000;#FFA9A9A9</t>
        </is>
      </c>
      <c r="H710" s="68" t="inlineStr">
        <is>
          <t>Normal;Normal;Normal;Normal</t>
        </is>
      </c>
      <c r="I710" s="68" t="inlineStr">
        <is>
          <t>FALSE;TRUE;TRUE;FALSE</t>
        </is>
      </c>
      <c r="J710" s="68" t="inlineStr">
        <is>
          <t>Alarme de Estado em Ponto Telecontrolado SS</t>
        </is>
      </c>
      <c r="K710" s="69" t="inlineStr">
        <is>
          <t>Alarme de Estado em Ponto Telecontrolado</t>
        </is>
      </c>
      <c r="L710" s="69">
        <f>VLOOKUP(LinkTable6789[[#This Row],[Coluna1]],[4]AlarmCatalog!$A:$M,11,FALSE)</f>
        <v/>
      </c>
    </row>
    <row r="711" ht="16.5" customFormat="1" customHeight="1" s="67">
      <c r="A711" s="68" t="inlineStr">
        <is>
          <t>RELIGADOR@ALTERNATIVO___null@null___Custom_S_TS_SS</t>
        </is>
      </c>
      <c r="B711" s="68" t="inlineStr"/>
      <c r="C711" s="68" t="inlineStr">
        <is>
          <t>Transit;;;Error</t>
        </is>
      </c>
      <c r="D711" s="68" t="inlineStr">
        <is>
          <t>0;1;2;3</t>
        </is>
      </c>
      <c r="E711" s="68" t="inlineStr">
        <is>
          <t>2;0;1;3</t>
        </is>
      </c>
      <c r="F711" s="68" t="inlineStr">
        <is>
          <t>;;;</t>
        </is>
      </c>
      <c r="G711" s="68" t="inlineStr">
        <is>
          <t>#FF000000;#FF00FF00;#FFFF0000;#FFA9A9A9</t>
        </is>
      </c>
      <c r="H711" s="68" t="inlineStr">
        <is>
          <t>Normal;Normal;Normal;Normal</t>
        </is>
      </c>
      <c r="I711" s="68" t="inlineStr">
        <is>
          <t>FALSE;TRUE;TRUE;FALSE</t>
        </is>
      </c>
      <c r="J711" s="68" t="inlineStr">
        <is>
          <t>Alarme de Estado em Ponto Telessinalizado SS</t>
        </is>
      </c>
      <c r="K711" s="69" t="inlineStr">
        <is>
          <t>Alarme de Estado em Ponto Telessinalizado SS</t>
        </is>
      </c>
      <c r="L711" s="69">
        <f>VLOOKUP(LinkTable6789[[#This Row],[Coluna1]],[4]AlarmCatalog!$A:$M,11,FALSE)</f>
        <v/>
      </c>
    </row>
    <row r="712" ht="16.5" customFormat="1" customHeight="1" s="67">
      <c r="A712" s="68" t="inlineStr">
        <is>
          <t>null@null___INCLUIDO@EXCLUIDO___Enabled_S_TS</t>
        </is>
      </c>
      <c r="B712" s="68" t="inlineStr"/>
      <c r="C712" s="68" t="inlineStr">
        <is>
          <t>Transit;INCLUIDO;EXCLUIDO;Error</t>
        </is>
      </c>
      <c r="D712" s="68" t="inlineStr">
        <is>
          <t>0;1;2;3</t>
        </is>
      </c>
      <c r="E712" s="68" t="inlineStr">
        <is>
          <t>2;0;1;3</t>
        </is>
      </c>
      <c r="F712" s="68" t="inlineStr">
        <is>
          <t>;;;</t>
        </is>
      </c>
      <c r="G712" s="68" t="inlineStr">
        <is>
          <t>#FF000000;#FFFF0000;#FF00FF00;#FFA9A9A9</t>
        </is>
      </c>
      <c r="H712" s="68" t="inlineStr">
        <is>
          <t>Abnormal;Auto;Auto;Abnormal</t>
        </is>
      </c>
      <c r="I712" s="68" t="inlineStr">
        <is>
          <t>FALSE;TRUE;TRUE;FALSE</t>
        </is>
      </c>
      <c r="J712" s="68" t="inlineStr">
        <is>
          <t>Alarme de Estado em Ponto Telessinalizado</t>
        </is>
      </c>
      <c r="K712" s="69" t="inlineStr">
        <is>
          <t>Alarme de Estado em Ponto Telessinalizado</t>
        </is>
      </c>
      <c r="L712" s="69">
        <f>VLOOKUP(LinkTable6789[[#This Row],[Coluna1]],[4]AlarmCatalog!$A:$M,11,FALSE)</f>
        <v/>
      </c>
    </row>
    <row r="713" ht="16.5" customFormat="1" customHeight="1" s="67">
      <c r="A713" s="68" t="inlineStr">
        <is>
          <t>DI_DESBLOQUEAR@BLOQUEAR___DESBLOQUEADO@BLOQUEADO___Custom___admsINV_D_TC_DS</t>
        </is>
      </c>
      <c r="B713" s="68" t="inlineStr"/>
      <c r="C713" s="68" t="inlineStr">
        <is>
          <t>Erro;DESBLOQUEADO;BLOQUEADO;Transit</t>
        </is>
      </c>
      <c r="D713" s="68" t="inlineStr">
        <is>
          <t>0;2;1;3</t>
        </is>
      </c>
      <c r="E713" s="68" t="inlineStr">
        <is>
          <t>3;0;1;2</t>
        </is>
      </c>
      <c r="F713" s="68" t="inlineStr">
        <is>
          <t>;;BLOQUEAR;</t>
        </is>
      </c>
      <c r="G713" s="68" t="inlineStr">
        <is>
          <t>#FF000000;#FFFF0000;#FF00FF00;#FF00FF00</t>
        </is>
      </c>
      <c r="H713" s="68" t="inlineStr">
        <is>
          <t>Abnormal;Normal;Normal;Normal</t>
        </is>
      </c>
      <c r="I713" s="68" t="inlineStr">
        <is>
          <t>FALSE;TRUE;TRUE;TRUE</t>
        </is>
      </c>
      <c r="J713" s="68" t="inlineStr">
        <is>
          <t>Alarme de Estado em Ponto Telecontrolado DS</t>
        </is>
      </c>
      <c r="K713" s="69" t="inlineStr">
        <is>
          <t>Alarme de Estado em Ponto Telecontrolado DS</t>
        </is>
      </c>
      <c r="L713" s="69">
        <f>VLOOKUP(LinkTable6789[[#This Row],[Coluna1]],[4]AlarmCatalog!$A:$M,11,FALSE)</f>
        <v/>
      </c>
    </row>
    <row r="714" ht="16.5" customFormat="1" customHeight="1" s="67">
      <c r="A714" s="68" t="inlineStr">
        <is>
          <t>DI_MANUAL@AUTOMATICO___MANUAL@AUTOMATICO___Custom___admsINV_D_TC_DS</t>
        </is>
      </c>
      <c r="B714" s="68" t="inlineStr"/>
      <c r="C714" s="68" t="inlineStr">
        <is>
          <t>Erro;MANUAL;AUTOMATICO;Transit</t>
        </is>
      </c>
      <c r="D714" s="68" t="inlineStr">
        <is>
          <t>0;1;2;3</t>
        </is>
      </c>
      <c r="E714" s="68" t="inlineStr">
        <is>
          <t>3;1;2;0</t>
        </is>
      </c>
      <c r="F714" s="68" t="inlineStr">
        <is>
          <t>;MANUAL;AUTOMATICO;</t>
        </is>
      </c>
      <c r="G714" s="68" t="inlineStr">
        <is>
          <t>#FF000000;#FF00FF00;#FF00FF00;#FFFF0000</t>
        </is>
      </c>
      <c r="H714" s="68" t="inlineStr">
        <is>
          <t>Abnormal;Normal;Normal;Normal</t>
        </is>
      </c>
      <c r="I714" s="68" t="inlineStr">
        <is>
          <t>FALSE;TRUE;TRUE;TRUE</t>
        </is>
      </c>
      <c r="J714" s="68" t="inlineStr">
        <is>
          <t>Alarme de Estado em Ponto Telecontrolado DS</t>
        </is>
      </c>
      <c r="K714" s="69" t="inlineStr">
        <is>
          <t>Alarme de Estado em Ponto Telecontrolado DS</t>
        </is>
      </c>
      <c r="L714" s="69">
        <f>VLOOKUP(LinkTable6789[[#This Row],[Coluna1]],[4]AlarmCatalog!$A:$M,11,FALSE)</f>
        <v/>
      </c>
    </row>
    <row r="715" ht="16.5" customFormat="1" customHeight="1" s="67">
      <c r="A715" s="68" t="inlineStr">
        <is>
          <t>null@ATIVAR___DESATIVADO@ATIVADO___Custom___INV_S_TC_SS</t>
        </is>
      </c>
      <c r="B715" s="68" t="inlineStr"/>
      <c r="C715" s="68" t="inlineStr">
        <is>
          <t>Transit;DESATIVADO;ATIVADO;Error</t>
        </is>
      </c>
      <c r="D715" s="68" t="inlineStr">
        <is>
          <t>0;1;2;3</t>
        </is>
      </c>
      <c r="E715" s="68" t="inlineStr">
        <is>
          <t>2;1;0;3</t>
        </is>
      </c>
      <c r="F715" s="68" t="inlineStr">
        <is>
          <t>;;ATIVAR;</t>
        </is>
      </c>
      <c r="G715" s="68" t="inlineStr">
        <is>
          <t>#FF000000;#FF00FF00;#FFFF0000;#FFA9A9A9</t>
        </is>
      </c>
      <c r="H715" s="68" t="inlineStr">
        <is>
          <t>Abnormal;Auto;Auto;Abnormal</t>
        </is>
      </c>
      <c r="I715" s="68" t="inlineStr">
        <is>
          <t>FALSE;TRUE;TRUE;FALSE</t>
        </is>
      </c>
      <c r="J715" s="68" t="inlineStr">
        <is>
          <t>Alarme de Estado em Ponto Telecontrolado SS</t>
        </is>
      </c>
      <c r="K715" s="69" t="inlineStr">
        <is>
          <t>Alarme de Estado em Ponto Telecontrolado SS</t>
        </is>
      </c>
      <c r="L715" s="69">
        <f>VLOOKUP(LinkTable6789[[#This Row],[Coluna1]],[4]AlarmCatalog!$A:$M,11,FALSE)</f>
        <v/>
      </c>
    </row>
    <row r="716" ht="16.5" customFormat="1" customHeight="1" s="67">
      <c r="A716" s="68" t="inlineStr">
        <is>
          <t>AUTOMATICO@MANUAL___AUTOMATICO@MANUAL___Custom___admsINV_S_TS_SS</t>
        </is>
      </c>
      <c r="B716" s="68" t="inlineStr"/>
      <c r="C716" s="68" t="inlineStr">
        <is>
          <t>Transit;AUTOMATICO;MANUAL;Error</t>
        </is>
      </c>
      <c r="D716" s="68" t="inlineStr">
        <is>
          <t>0;2;1;3</t>
        </is>
      </c>
      <c r="E716" s="68" t="inlineStr">
        <is>
          <t>2;0;1;3</t>
        </is>
      </c>
      <c r="F716" s="68" t="inlineStr">
        <is>
          <t>;;;</t>
        </is>
      </c>
      <c r="G716" s="68" t="inlineStr">
        <is>
          <t>#FF000000;#FF00FF00;#FFFF0000;#FFA9A9A9</t>
        </is>
      </c>
      <c r="H716" s="68" t="inlineStr">
        <is>
          <t>Normal;Normal;Normal;Normal</t>
        </is>
      </c>
      <c r="I716" s="68" t="inlineStr">
        <is>
          <t>FALSE;TRUE;TRUE;FALSE</t>
        </is>
      </c>
      <c r="J716" s="68" t="inlineStr">
        <is>
          <t>Alarme de Estado em Ponto Telessinalizado SS</t>
        </is>
      </c>
      <c r="K716" s="69" t="inlineStr">
        <is>
          <t>Alarme de Estado em Ponto Telessinalizado SS</t>
        </is>
      </c>
      <c r="L716" s="69">
        <f>VLOOKUP(LinkTable6789[[#This Row],[Coluna1]],[4]AlarmCatalog!$A:$M,11,FALSE)</f>
        <v/>
      </c>
    </row>
    <row r="717" ht="16.5" customFormat="1" customHeight="1" s="67">
      <c r="A717" s="68" t="inlineStr">
        <is>
          <t>RELIGADOR@ALTERNATIVO___null@null___Custom_D_TC_SS</t>
        </is>
      </c>
      <c r="B717" s="68" t="inlineStr"/>
      <c r="C717" s="68" t="inlineStr">
        <is>
          <t>Transit;;;Error</t>
        </is>
      </c>
      <c r="D717" s="68" t="inlineStr">
        <is>
          <t>0;1;2;3</t>
        </is>
      </c>
      <c r="E717" s="68" t="inlineStr">
        <is>
          <t>2;0;1;3</t>
        </is>
      </c>
      <c r="F717" s="68" t="inlineStr">
        <is>
          <t>;RELIGADOR;ALTERNATIVO;</t>
        </is>
      </c>
      <c r="G717" s="68" t="inlineStr">
        <is>
          <t>#FF000000;#FF00FF00;#FFFF0000;#FFA9A9A9</t>
        </is>
      </c>
      <c r="H717" s="68" t="inlineStr">
        <is>
          <t>Normal;Normal;Normal;Normal</t>
        </is>
      </c>
      <c r="I717" s="68" t="inlineStr">
        <is>
          <t>FALSE;TRUE;TRUE;FALSE</t>
        </is>
      </c>
      <c r="J717" s="68" t="inlineStr">
        <is>
          <t>Alarme de Estado em Ponto Telecontrolado SS</t>
        </is>
      </c>
      <c r="K717" s="69" t="inlineStr">
        <is>
          <t>Alarme de Estado em Ponto Telecontrolado SS</t>
        </is>
      </c>
      <c r="L717" s="69">
        <f>VLOOKUP(LinkTable6789[[#This Row],[Coluna1]],[4]AlarmCatalog!$A:$M,11,FALSE)</f>
        <v/>
      </c>
    </row>
    <row r="718" ht="16.5" customFormat="1" customHeight="1" s="67">
      <c r="A718" s="68" t="inlineStr">
        <is>
          <t>null@null___REMOTO@LOCAL___Local___INV_S_TS</t>
        </is>
      </c>
      <c r="B718" s="68" t="inlineStr"/>
      <c r="C718" s="68" t="inlineStr">
        <is>
          <t>Transit;REMOTO;LOCAL;Error</t>
        </is>
      </c>
      <c r="D718" s="68" t="inlineStr">
        <is>
          <t>0;1;2;3</t>
        </is>
      </c>
      <c r="E718" s="68" t="inlineStr">
        <is>
          <t>2;1;0;3</t>
        </is>
      </c>
      <c r="F718" s="68" t="inlineStr">
        <is>
          <t>;;;</t>
        </is>
      </c>
      <c r="G718" s="68" t="inlineStr">
        <is>
          <t>#FF000000;#FF00FF00;#FFFF0000;#FFA9A9A9</t>
        </is>
      </c>
      <c r="H718" s="68" t="inlineStr">
        <is>
          <t>Abnormal;Auto;Auto;Abnormal</t>
        </is>
      </c>
      <c r="I718" s="68" t="inlineStr">
        <is>
          <t>FALSE;TRUE;TRUE;FALSE</t>
        </is>
      </c>
      <c r="J718" s="68" t="inlineStr">
        <is>
          <t>Alarme de Estado em Ponto Telessinalizado</t>
        </is>
      </c>
      <c r="K718" s="69" t="inlineStr">
        <is>
          <t>Alarme de Estado em Ponto Telessinalizado</t>
        </is>
      </c>
      <c r="L718" s="69">
        <f>VLOOKUP(LinkTable6789[[#This Row],[Coluna1]],[4]AlarmCatalog!$A:$M,11,FALSE)</f>
        <v/>
      </c>
    </row>
    <row r="719" ht="16.5" customFormat="1" customHeight="1" s="67">
      <c r="A719" s="68" t="inlineStr">
        <is>
          <t>null@null___INCLUIDO@EXCLUIDO___Enabled_S_TS_SB</t>
        </is>
      </c>
      <c r="B719" s="68" t="inlineStr"/>
      <c r="C719" s="68" t="inlineStr">
        <is>
          <t>Transit;INCLUIDO;EXCLUIDO;Error</t>
        </is>
      </c>
      <c r="D719" s="68" t="inlineStr">
        <is>
          <t>0;1;2;3</t>
        </is>
      </c>
      <c r="E719" s="68" t="inlineStr">
        <is>
          <t>2;0;1;3</t>
        </is>
      </c>
      <c r="F719" s="68" t="inlineStr">
        <is>
          <t>;;;</t>
        </is>
      </c>
      <c r="G719" s="68" t="inlineStr">
        <is>
          <t>#FF000000;#FFFF0000;#FF00FF00;#FFA9A9A9</t>
        </is>
      </c>
      <c r="H719" s="68" t="inlineStr">
        <is>
          <t>Abnormal;Auto;Auto;Abnormal</t>
        </is>
      </c>
      <c r="I719" s="68" t="inlineStr">
        <is>
          <t>FALSE;TRUE;TRUE;FALSE</t>
        </is>
      </c>
      <c r="J719" s="68" t="inlineStr">
        <is>
          <t>Alarme de Estado em Ponto Telessinalizado SB</t>
        </is>
      </c>
      <c r="K719" s="69" t="inlineStr">
        <is>
          <t>Alarme de Estado em Ponto Telessinalizado SB</t>
        </is>
      </c>
      <c r="L719" s="69">
        <f>VLOOKUP(LinkTable6789[[#This Row],[Coluna1]],[4]AlarmCatalog!$A:$M,11,FALSE)</f>
        <v/>
      </c>
    </row>
    <row r="720" ht="16.5" customFormat="1" customHeight="1" s="67">
      <c r="A720" s="68" t="inlineStr">
        <is>
          <t>null@null___LIGADO@DESLIGADO___Custom___INV_S_TS_SS</t>
        </is>
      </c>
      <c r="B720" s="68" t="inlineStr"/>
      <c r="C720" s="68" t="inlineStr">
        <is>
          <t>Transit;LIGADO;DESLIGADO;Error</t>
        </is>
      </c>
      <c r="D720" s="68" t="inlineStr">
        <is>
          <t>0;1;2;3</t>
        </is>
      </c>
      <c r="E720" s="68" t="inlineStr">
        <is>
          <t>2;1;0;3</t>
        </is>
      </c>
      <c r="F720" s="68" t="inlineStr">
        <is>
          <t>;;;</t>
        </is>
      </c>
      <c r="G720" s="68" t="inlineStr">
        <is>
          <t>#FF000000;#FF00FF00;#FFFF0000;#FFA9A9A9</t>
        </is>
      </c>
      <c r="H720" s="68" t="inlineStr">
        <is>
          <t>Abnormal;Auto;Auto;Abnormal</t>
        </is>
      </c>
      <c r="I720" s="68" t="inlineStr">
        <is>
          <t>FALSE;TRUE;TRUE;FALSE</t>
        </is>
      </c>
      <c r="J720" s="68" t="inlineStr">
        <is>
          <t>Alarme de Estado em Ponto Telessinalizado SS</t>
        </is>
      </c>
      <c r="K720" s="69" t="inlineStr">
        <is>
          <t>Alarme de Estado em Ponto Telessinalizado SS</t>
        </is>
      </c>
      <c r="L720" s="69">
        <f>VLOOKUP(LinkTable6789[[#This Row],[Coluna1]],[4]AlarmCatalog!$A:$M,11,FALSE)</f>
        <v/>
      </c>
    </row>
    <row r="721" ht="16.5" customFormat="1" customHeight="1" s="67">
      <c r="A721" s="68" t="inlineStr">
        <is>
          <t>DESATIVAR@ATIVAR___DESATIVADO@ATIVADO___Custom___INV_S_TS_SS</t>
        </is>
      </c>
      <c r="B721" s="68" t="inlineStr"/>
      <c r="C721" s="68" t="inlineStr">
        <is>
          <t>Transit;DESATIVADO;ATIVADO;Error</t>
        </is>
      </c>
      <c r="D721" s="68" t="inlineStr">
        <is>
          <t>0;1;2;3</t>
        </is>
      </c>
      <c r="E721" s="68" t="inlineStr">
        <is>
          <t>2;1;0;3</t>
        </is>
      </c>
      <c r="F721" s="68" t="inlineStr">
        <is>
          <t>;;;</t>
        </is>
      </c>
      <c r="G721" s="68" t="inlineStr">
        <is>
          <t>#FF000000;#FF00FF00;#FFFF0000;#FFA9A9A9</t>
        </is>
      </c>
      <c r="H721" s="68" t="inlineStr">
        <is>
          <t>Abnormal;Auto;Auto;Abnormal</t>
        </is>
      </c>
      <c r="I721" s="68" t="inlineStr">
        <is>
          <t>FALSE;TRUE;TRUE;FALSE</t>
        </is>
      </c>
      <c r="J721" s="68" t="inlineStr">
        <is>
          <t>Alarme de Estado em Ponto Telessinalizado SS</t>
        </is>
      </c>
      <c r="K721" s="69" t="inlineStr">
        <is>
          <t>Alarme de Estado em Ponto Telessinalizado SS</t>
        </is>
      </c>
      <c r="L721" s="69">
        <f>VLOOKUP(LinkTable6789[[#This Row],[Coluna1]],[4]AlarmCatalog!$A:$M,11,FALSE)</f>
        <v/>
      </c>
    </row>
    <row r="722" ht="16.5" customFormat="1" customHeight="1" s="67">
      <c r="A722" s="68" t="inlineStr">
        <is>
          <t>DESATIVAR@ATIVAR___NORMAL DESATIVADO@NORMAL ATIVADO___Custom___admsINV_S_TS_SS</t>
        </is>
      </c>
      <c r="B722" s="68" t="inlineStr"/>
      <c r="C722" s="68" t="inlineStr">
        <is>
          <t>Transit;NORMAL DESATIVADO;NORMAL ATIVADO;Error</t>
        </is>
      </c>
      <c r="D722" s="68" t="inlineStr">
        <is>
          <t>0;2;1;3</t>
        </is>
      </c>
      <c r="E722" s="68" t="inlineStr">
        <is>
          <t>2;0;1;3</t>
        </is>
      </c>
      <c r="F722" s="68" t="inlineStr">
        <is>
          <t>;;;</t>
        </is>
      </c>
      <c r="G722" s="68" t="inlineStr">
        <is>
          <t>#FF000000;#FF00FF00;#FFFF0000;#FFA9A9A9</t>
        </is>
      </c>
      <c r="H722" s="68" t="inlineStr">
        <is>
          <t>Abnormal;Auto;Auto;Abnormal</t>
        </is>
      </c>
      <c r="I722" s="68" t="inlineStr">
        <is>
          <t>FALSE;TRUE;TRUE;FALSE</t>
        </is>
      </c>
      <c r="J722" s="68" t="inlineStr">
        <is>
          <t>Alarme de Estado em Ponto Telessinalizado SS</t>
        </is>
      </c>
      <c r="K722" s="69" t="inlineStr">
        <is>
          <t>Alarme de Estado em Ponto Telessinalizado SS</t>
        </is>
      </c>
      <c r="L722" s="69">
        <f>VLOOKUP(LinkTable6789[[#This Row],[Coluna1]],[4]AlarmCatalog!$A:$M,11,FALSE)</f>
        <v/>
      </c>
    </row>
    <row r="723" ht="16.5" customFormat="1" customHeight="1" s="67">
      <c r="A723" s="68" t="inlineStr">
        <is>
          <t>null@null___PARALELO@INDIVIDUAL___Custom_S_TS</t>
        </is>
      </c>
      <c r="B723" s="68" t="inlineStr"/>
      <c r="C723" s="68" t="inlineStr">
        <is>
          <t>Transit;PARALELO;INDIVIDUAL;Error</t>
        </is>
      </c>
      <c r="D723" s="68" t="inlineStr">
        <is>
          <t>0;1;2;3</t>
        </is>
      </c>
      <c r="E723" s="68" t="inlineStr">
        <is>
          <t>2;0;1;3</t>
        </is>
      </c>
      <c r="F723" s="68" t="inlineStr">
        <is>
          <t>;;;</t>
        </is>
      </c>
      <c r="G723" s="68" t="inlineStr">
        <is>
          <t>#FF000000;#FF00FF00;#FFFF0000;#FFA9A9A9</t>
        </is>
      </c>
      <c r="H723" s="68" t="inlineStr">
        <is>
          <t>Abnormal;Auto;Auto;Abnormal</t>
        </is>
      </c>
      <c r="I723" s="68" t="inlineStr">
        <is>
          <t>FALSE;TRUE;TRUE;FALSE</t>
        </is>
      </c>
      <c r="J723" s="68" t="inlineStr">
        <is>
          <t>Alarme de Estado em Ponto Telessinalizado</t>
        </is>
      </c>
      <c r="K723" s="69" t="inlineStr">
        <is>
          <t>Alarme de Estado em Ponto Telessinalizado</t>
        </is>
      </c>
      <c r="L723" s="69">
        <f>VLOOKUP(LinkTable6789[[#This Row],[Coluna1]],[4]AlarmCatalog!$A:$M,11,FALSE)</f>
        <v/>
      </c>
    </row>
    <row r="724" ht="16.5" customFormat="1" customHeight="1" s="67">
      <c r="A724" s="68" t="inlineStr">
        <is>
          <t>null@ATIVAR___DESATIVADO@ATIVADO___Custom___INV_S_TC_SSx</t>
        </is>
      </c>
      <c r="B724" s="68" t="inlineStr"/>
      <c r="C724" s="68" t="inlineStr">
        <is>
          <t>Transit;DESATIVADO;ATIVADO;Error</t>
        </is>
      </c>
      <c r="D724" s="68" t="inlineStr">
        <is>
          <t>0;1;2;3</t>
        </is>
      </c>
      <c r="E724" s="68" t="inlineStr">
        <is>
          <t>2;1;0;3</t>
        </is>
      </c>
      <c r="F724" s="68" t="inlineStr">
        <is>
          <t>;;ATIVAR;</t>
        </is>
      </c>
      <c r="G724" s="68" t="inlineStr">
        <is>
          <t>#FF000000;#FF00FF00;#FFFF0000;#FFA9A9A9</t>
        </is>
      </c>
      <c r="H724" s="68" t="inlineStr">
        <is>
          <t>Abnormal;Auto;Auto;Abnormal</t>
        </is>
      </c>
      <c r="I724" s="68" t="inlineStr">
        <is>
          <t>FALSE;TRUE;TRUE;FALSE</t>
        </is>
      </c>
      <c r="J724" s="68" t="inlineStr">
        <is>
          <t>Alarme de Estado em Ponto Telecontrolado SSx</t>
        </is>
      </c>
      <c r="K724" s="69" t="inlineStr">
        <is>
          <t>Alarme de Estado em Ponto Telecontrolado SSx</t>
        </is>
      </c>
      <c r="L724" s="69">
        <f>VLOOKUP(LinkTable6789[[#This Row],[Coluna1]],[4]AlarmCatalog!$A:$M,11,FALSE)</f>
        <v/>
      </c>
    </row>
    <row r="725" ht="16.5" customFormat="1" customHeight="1" s="67">
      <c r="A725" s="68" t="inlineStr">
        <is>
          <t>RELIGADOR@CHAVE___RELIGADOR@CHAVE___Custom_D_TC_SS</t>
        </is>
      </c>
      <c r="B725" s="68" t="inlineStr"/>
      <c r="C725" s="68" t="inlineStr">
        <is>
          <t>Transit;RELIGADOR;CHAVE;Error</t>
        </is>
      </c>
      <c r="D725" s="68" t="inlineStr">
        <is>
          <t>0;1;2;3</t>
        </is>
      </c>
      <c r="E725" s="68" t="inlineStr">
        <is>
          <t>0;1;2;3</t>
        </is>
      </c>
      <c r="F725" s="68" t="inlineStr">
        <is>
          <t>;RELIGADOR;CHAVE;</t>
        </is>
      </c>
      <c r="G725" s="68" t="inlineStr">
        <is>
          <t>#FF000000;#FF00FF00;#FF00FF00;#FF000000</t>
        </is>
      </c>
      <c r="H725" s="68" t="inlineStr">
        <is>
          <t>Abnormal;Normal;Normal;Abnormal</t>
        </is>
      </c>
      <c r="I725" s="68" t="inlineStr">
        <is>
          <t>FALSE;TRUE;TRUE;FALSE</t>
        </is>
      </c>
      <c r="J725" s="68" t="inlineStr">
        <is>
          <t>Alarme de Estado em Ponto Telecontrolado SS</t>
        </is>
      </c>
      <c r="K725" s="69" t="inlineStr">
        <is>
          <t>Alarme de Estado em Ponto Telecontrolado SS</t>
        </is>
      </c>
      <c r="L725" s="69">
        <f>VLOOKUP(LinkTable6789[[#This Row],[Coluna1]],[4]AlarmCatalog!$A:$M,11,FALSE)</f>
        <v/>
      </c>
    </row>
    <row r="726" ht="16.5" customFormat="1" customHeight="1" s="67">
      <c r="A726" s="68" t="inlineStr">
        <is>
          <t>null@null___AUTOM DESATIVADO@AUTOM ATIVOU___Custom___INV_S_TS_SS</t>
        </is>
      </c>
      <c r="B726" s="68" t="inlineStr"/>
      <c r="C726" s="68" t="inlineStr">
        <is>
          <t>Transit;AUTOM DESATIVADO;AUTOM ATIVOU;Error</t>
        </is>
      </c>
      <c r="D726" s="68" t="inlineStr">
        <is>
          <t>0;1;2;3</t>
        </is>
      </c>
      <c r="E726" s="68" t="inlineStr">
        <is>
          <t>2;1;0;3</t>
        </is>
      </c>
      <c r="F726" s="68" t="inlineStr">
        <is>
          <t>;;;</t>
        </is>
      </c>
      <c r="G726" s="68" t="inlineStr">
        <is>
          <t>#FF000000;#FF00FF00;#FFFF0000;#FFA9A9A9</t>
        </is>
      </c>
      <c r="H726" s="68" t="inlineStr">
        <is>
          <t>Abnormal;Auto;Auto;Abnormal</t>
        </is>
      </c>
      <c r="I726" s="68" t="inlineStr">
        <is>
          <t>FALSE;TRUE;TRUE;FALSE</t>
        </is>
      </c>
      <c r="J726" s="68" t="inlineStr">
        <is>
          <t>Alarme de Estado em Ponto Telessinalizado SS</t>
        </is>
      </c>
      <c r="K726" s="69" t="inlineStr">
        <is>
          <t>Alarme de Estado em Ponto Telessinalizado SS</t>
        </is>
      </c>
      <c r="L726" s="69">
        <f>VLOOKUP(LinkTable6789[[#This Row],[Coluna1]],[4]AlarmCatalog!$A:$M,11,FALSE)</f>
        <v/>
      </c>
    </row>
    <row r="727" ht="16.5" customFormat="1" customHeight="1" s="67">
      <c r="A727" s="68" t="inlineStr">
        <is>
          <t>@___@____S_TS_SS</t>
        </is>
      </c>
      <c r="B727" s="68" t="inlineStr"/>
      <c r="C727" s="68" t="inlineStr">
        <is>
          <t>Transit;;;Error</t>
        </is>
      </c>
      <c r="D727" s="68" t="inlineStr">
        <is>
          <t>0;1;2;3</t>
        </is>
      </c>
      <c r="E727" s="68" t="inlineStr">
        <is>
          <t>0;1;2;3</t>
        </is>
      </c>
      <c r="F727" s="68" t="inlineStr">
        <is>
          <t>;;;</t>
        </is>
      </c>
      <c r="G727" s="68" t="inlineStr">
        <is>
          <t>#FF000000;#FF00FF00;#FFFF0000;#FFA9A9A9</t>
        </is>
      </c>
      <c r="H727" s="68" t="inlineStr">
        <is>
          <t>Abnormal;Auto;Auto;Abnormal</t>
        </is>
      </c>
      <c r="I727" s="68" t="inlineStr">
        <is>
          <t>FALSE;TRUE;TRUE;FALSE</t>
        </is>
      </c>
      <c r="J727" s="68" t="inlineStr">
        <is>
          <t>Alarme de Estado em Ponto Telessinalizado SS</t>
        </is>
      </c>
      <c r="K727" s="69" t="inlineStr">
        <is>
          <t>Alarme de Estado em Ponto Telessinalizado SS</t>
        </is>
      </c>
      <c r="L727" s="69">
        <f>VLOOKUP(LinkTable6789[[#This Row],[Coluna1]],[4]AlarmCatalog!$A:$M,11,FALSE)</f>
        <v/>
      </c>
    </row>
    <row r="728" ht="16.5" customFormat="1" customHeight="1" s="67">
      <c r="A728" s="68" t="inlineStr">
        <is>
          <t>null@null___AUTOM DESATIVADO@AUTOM ATIVOU___Custom_S_TS_SS</t>
        </is>
      </c>
      <c r="B728" s="68" t="inlineStr"/>
      <c r="C728" s="68" t="inlineStr">
        <is>
          <t>Transit;AUTOM DESATIVADO;AUTOM ATIVOU;Error</t>
        </is>
      </c>
      <c r="D728" s="68" t="inlineStr">
        <is>
          <t>0;1;2;3</t>
        </is>
      </c>
      <c r="E728" s="68" t="inlineStr">
        <is>
          <t>2;0;1;3</t>
        </is>
      </c>
      <c r="F728" s="68" t="inlineStr">
        <is>
          <t>;;;</t>
        </is>
      </c>
      <c r="G728" s="68" t="inlineStr">
        <is>
          <t>#FF000000;#FF00FF00;#FFFF0000;#FFA9A9A9</t>
        </is>
      </c>
      <c r="H728" s="68" t="inlineStr">
        <is>
          <t>Abnormal;Auto;Auto;Abnormal</t>
        </is>
      </c>
      <c r="I728" s="68" t="inlineStr">
        <is>
          <t>FALSE;TRUE;TRUE;FALSE</t>
        </is>
      </c>
      <c r="J728" s="68" t="inlineStr">
        <is>
          <t>Alarme de Estado em Ponto Telessinalizado SS</t>
        </is>
      </c>
      <c r="K728" s="69" t="inlineStr">
        <is>
          <t>Alarme de Estado em Ponto Telessinalizado SS</t>
        </is>
      </c>
      <c r="L728" s="69">
        <f>VLOOKUP(LinkTable6789[[#This Row],[Coluna1]],[4]AlarmCatalog!$A:$M,11,FALSE)</f>
        <v/>
      </c>
    </row>
    <row r="729" ht="16.5" customFormat="1" customHeight="1" s="67">
      <c r="A729" s="68" t="inlineStr">
        <is>
          <t>null@null___DESABILITOU@HABILITOU___Custom_S_TS_SV</t>
        </is>
      </c>
      <c r="B729" s="68" t="inlineStr"/>
      <c r="C729" s="68" t="inlineStr">
        <is>
          <t>Transit;DESABILITOU;HABILITOU;Error</t>
        </is>
      </c>
      <c r="D729" s="68" t="inlineStr">
        <is>
          <t>0;1;2;3</t>
        </is>
      </c>
      <c r="E729" s="68" t="inlineStr">
        <is>
          <t>2;0;1;3</t>
        </is>
      </c>
      <c r="F729" s="68" t="inlineStr">
        <is>
          <t>;;;</t>
        </is>
      </c>
      <c r="G729" s="68" t="inlineStr">
        <is>
          <t>#FF000000;#FF00FF00;#FFFF0000;#FFA9A9A9</t>
        </is>
      </c>
      <c r="H729" s="68" t="inlineStr">
        <is>
          <t>Abnormal;Auto;Auto;Abnormal</t>
        </is>
      </c>
      <c r="I729" s="68" t="inlineStr">
        <is>
          <t>FALSE;TRUE;TRUE;FALSE</t>
        </is>
      </c>
      <c r="J729" s="68" t="inlineStr">
        <is>
          <t>Alarme de Estado em Ponto Telessinalizado SV</t>
        </is>
      </c>
      <c r="K729" s="69" t="inlineStr">
        <is>
          <t>Alarme de Estado em Ponto Telessinalizado SV</t>
        </is>
      </c>
      <c r="L729" s="69">
        <f>VLOOKUP(LinkTable6789[[#This Row],[Coluna1]],[4]AlarmCatalog!$A:$M,11,FALSE)</f>
        <v/>
      </c>
    </row>
    <row r="730" ht="16.5" customFormat="1" customHeight="1" s="67">
      <c r="A730" s="68" t="inlineStr">
        <is>
          <t>MESTRE@INDIVIDUAL@COMANDADO___MESTRE@INDIVIDUAL@COMANDADO___Custom___D_TS_SS</t>
        </is>
      </c>
      <c r="B730" s="68" t="inlineStr"/>
      <c r="C730" s="68" t="inlineStr">
        <is>
          <t>MESTRE;INDIVIDUAL;COMANDADO;Error</t>
        </is>
      </c>
      <c r="D730" s="68" t="inlineStr">
        <is>
          <t>0;1;2;3</t>
        </is>
      </c>
      <c r="E730" s="68" t="inlineStr">
        <is>
          <t>0;2;1;3</t>
        </is>
      </c>
      <c r="F730" s="68" t="inlineStr">
        <is>
          <t>;MESTRE;INDIVIDUAL;</t>
        </is>
      </c>
      <c r="G730" s="68" t="inlineStr">
        <is>
          <t>#FFFF0000;#FFFF0000;#FFFF0000;#FFA9A9A9</t>
        </is>
      </c>
      <c r="H730" s="68" t="inlineStr">
        <is>
          <t>Abnormal;Normal;Abnormal;Abnormal</t>
        </is>
      </c>
      <c r="I730" s="68" t="inlineStr">
        <is>
          <t>TRUE;TRUE;TRUE;FALSE</t>
        </is>
      </c>
      <c r="J730" s="68" t="inlineStr">
        <is>
          <t>Alarme de Estado em Ponto Telessinalizado SS</t>
        </is>
      </c>
      <c r="K730" s="69" t="inlineStr">
        <is>
          <t>Alarme de Estado em Ponto Telessinalizado SS</t>
        </is>
      </c>
      <c r="L730" s="69">
        <f>VLOOKUP(LinkTable6789[[#This Row],[Coluna1]],[4]AlarmCatalog!$A:$M,11,FALSE)</f>
        <v/>
      </c>
    </row>
    <row r="731" ht="16.5" customFormat="1" customHeight="1" s="67">
      <c r="A731" s="68" t="inlineStr">
        <is>
          <t>null@null___INCLUIDO@EXCLUIDO___Enabled_S_TS_SS</t>
        </is>
      </c>
      <c r="B731" s="68" t="inlineStr"/>
      <c r="C731" s="68" t="inlineStr">
        <is>
          <t>Transit;INCLUIDO;EXCLUIDO;Error</t>
        </is>
      </c>
      <c r="D731" s="68" t="inlineStr">
        <is>
          <t>0;1;2;3</t>
        </is>
      </c>
      <c r="E731" s="68" t="inlineStr">
        <is>
          <t>2;0;1;3</t>
        </is>
      </c>
      <c r="F731" s="68" t="inlineStr">
        <is>
          <t>;;;</t>
        </is>
      </c>
      <c r="G731" s="68" t="inlineStr">
        <is>
          <t>#FF000000;#FFFF0000;#FF00FF00;#FFA9A9A9</t>
        </is>
      </c>
      <c r="H731" s="68" t="inlineStr">
        <is>
          <t>Abnormal;Auto;Auto;Abnormal</t>
        </is>
      </c>
      <c r="I731" s="68" t="inlineStr">
        <is>
          <t>FALSE;TRUE;TRUE;FALSE</t>
        </is>
      </c>
      <c r="J731" s="68" t="inlineStr">
        <is>
          <t>Alarme de Estado em Ponto Telessinalizado SS</t>
        </is>
      </c>
      <c r="K731" s="69" t="inlineStr">
        <is>
          <t>Alarme de Estado em Ponto Telessinalizado SS</t>
        </is>
      </c>
      <c r="L731" s="69">
        <f>VLOOKUP(LinkTable6789[[#This Row],[Coluna1]],[4]AlarmCatalog!$A:$M,11,FALSE)</f>
        <v/>
      </c>
    </row>
    <row r="732" ht="16.5" customFormat="1" customHeight="1" s="67">
      <c r="A732" s="68" t="inlineStr">
        <is>
          <t>PARALELO@INDIVID___PARALELO@INDIVIDUAL___Custom_S_TS_SS</t>
        </is>
      </c>
      <c r="B732" s="68" t="inlineStr"/>
      <c r="C732" s="68" t="inlineStr">
        <is>
          <t>Transit;PARALELO;INDIVIDUAL;Error</t>
        </is>
      </c>
      <c r="D732" s="68" t="inlineStr">
        <is>
          <t>0;1;2;3</t>
        </is>
      </c>
      <c r="E732" s="68" t="inlineStr">
        <is>
          <t>2;0;1;3</t>
        </is>
      </c>
      <c r="F732" s="68" t="inlineStr">
        <is>
          <t>;;;</t>
        </is>
      </c>
      <c r="G732" s="68" t="inlineStr">
        <is>
          <t>#FF000000;#FF00FF00;#FFFF0000;#FFA9A9A9</t>
        </is>
      </c>
      <c r="H732" s="68" t="inlineStr">
        <is>
          <t>Abnormal;Auto;Auto;Abnormal</t>
        </is>
      </c>
      <c r="I732" s="68" t="inlineStr">
        <is>
          <t>FALSE;TRUE;TRUE;FALSE</t>
        </is>
      </c>
      <c r="J732" s="68" t="inlineStr">
        <is>
          <t>Alarme de Estado em Ponto Telessinalizado SS</t>
        </is>
      </c>
      <c r="K732" s="69" t="inlineStr">
        <is>
          <t>Alarme de Estado em Ponto Telessinalizado SS</t>
        </is>
      </c>
      <c r="L732" s="69">
        <f>VLOOKUP(LinkTable6789[[#This Row],[Coluna1]],[4]AlarmCatalog!$A:$M,11,FALSE)</f>
        <v/>
      </c>
    </row>
    <row r="733" ht="16.5" customFormat="1" customHeight="1" s="67">
      <c r="A733" s="68" t="inlineStr">
        <is>
          <t>MESTRE@INDIVIDUAL@COMANDO___MESTRE@INDIVIDUAL@COMANDO___Custom___INV___admsINV_D_TS_SS</t>
        </is>
      </c>
      <c r="B733" s="68" t="inlineStr"/>
      <c r="C733" s="68" t="inlineStr">
        <is>
          <t>MESTRE;INDIVIDUAL;COMANDADO;</t>
        </is>
      </c>
      <c r="D733" s="68" t="inlineStr">
        <is>
          <t>2;0;1;3</t>
        </is>
      </c>
      <c r="E733" s="68" t="inlineStr">
        <is>
          <t>0;2;1;3</t>
        </is>
      </c>
      <c r="F733" s="68" t="inlineStr">
        <is>
          <t>MESTRE;INDIVIDUAL;COMANDO;</t>
        </is>
      </c>
      <c r="G733" s="68" t="inlineStr">
        <is>
          <t>#FFFF0000;#FF00FF00;#FF00FF00;#FF000000</t>
        </is>
      </c>
      <c r="H733" s="68" t="inlineStr">
        <is>
          <t>Normal;Abnormal;Abnormal;Abnormal</t>
        </is>
      </c>
      <c r="I733" s="68" t="inlineStr">
        <is>
          <t>TRUE;TRUE;TRUE;FALSE</t>
        </is>
      </c>
      <c r="J733" s="68" t="inlineStr">
        <is>
          <t>Alarme de Estado em Ponto Telessinalizado SS</t>
        </is>
      </c>
      <c r="K733" s="69" t="inlineStr">
        <is>
          <t>Alarme de Estado em Ponto Telessinalizado SS</t>
        </is>
      </c>
      <c r="L733" s="69">
        <f>VLOOKUP(LinkTable6789[[#This Row],[Coluna1]],[4]AlarmCatalog!$A:$M,11,FALSE)</f>
        <v/>
      </c>
    </row>
    <row r="734" ht="16.5" customFormat="1" customHeight="1" s="67">
      <c r="A734" s="68" t="inlineStr">
        <is>
          <t>MESTRE@INDIVIDUAL@COMANDADO___MESTRE@INDIVIDUAL@COMANDADO___Custom___INV___D_TS_SS</t>
        </is>
      </c>
      <c r="B734" s="68" t="inlineStr"/>
      <c r="C734" s="68" t="inlineStr">
        <is>
          <t>INDIVIDUAL;MESTRE;COMANDADO;Error</t>
        </is>
      </c>
      <c r="D734" s="68" t="inlineStr">
        <is>
          <t>0;1;2;3</t>
        </is>
      </c>
      <c r="E734" s="68" t="inlineStr">
        <is>
          <t>0;1;2;3</t>
        </is>
      </c>
      <c r="F734" s="68" t="inlineStr">
        <is>
          <t>;MESTRE;INDIVIDUAL;</t>
        </is>
      </c>
      <c r="G734" s="68" t="inlineStr">
        <is>
          <t>#FFFF0000;#FFFF0000;#FFFF0000;#FFA9A9A9</t>
        </is>
      </c>
      <c r="H734" s="68" t="inlineStr">
        <is>
          <t>Normal;Normal;Abnormal;Abnormal</t>
        </is>
      </c>
      <c r="I734" s="68" t="inlineStr">
        <is>
          <t>TRUE;TRUE;TRUE;FALSE</t>
        </is>
      </c>
      <c r="J734" s="68" t="inlineStr">
        <is>
          <t>Alarme de Estado em Ponto Telessinalizado SS</t>
        </is>
      </c>
      <c r="K734" s="69" t="inlineStr">
        <is>
          <t>Alarme de Estado em Ponto Telessinalizado SS</t>
        </is>
      </c>
      <c r="L734" s="69">
        <f>VLOOKUP(LinkTable6789[[#This Row],[Coluna1]],[4]AlarmCatalog!$A:$M,11,FALSE)</f>
        <v/>
      </c>
    </row>
    <row r="735" ht="16.5" customFormat="1" customHeight="1" s="67">
      <c r="A735" s="68" t="inlineStr">
        <is>
          <t>null@ATIVAR___DESATIVADO@ATIVADO___Custom_S_TC_SS</t>
        </is>
      </c>
      <c r="B735" s="68" t="inlineStr"/>
      <c r="C735" s="68" t="inlineStr">
        <is>
          <t>Transit;DESATIVADO;ATIVADO;Error</t>
        </is>
      </c>
      <c r="D735" s="68" t="inlineStr">
        <is>
          <t>0;1;2;3</t>
        </is>
      </c>
      <c r="E735" s="68" t="inlineStr">
        <is>
          <t>2;0;1;3</t>
        </is>
      </c>
      <c r="F735" s="68" t="inlineStr">
        <is>
          <t>;;ATIVAR;</t>
        </is>
      </c>
      <c r="G735" s="68" t="inlineStr">
        <is>
          <t>#FF000000;#FF00FF00;#FFFF0000;#FFA9A9A9</t>
        </is>
      </c>
      <c r="H735" s="68" t="inlineStr">
        <is>
          <t>Abnormal;Auto;Auto;Abnormal</t>
        </is>
      </c>
      <c r="I735" s="68" t="inlineStr">
        <is>
          <t>FALSE;TRUE;TRUE;FALSE</t>
        </is>
      </c>
      <c r="J735" s="68" t="inlineStr">
        <is>
          <t>Alarme de Estado em Ponto Telecontrolado SS</t>
        </is>
      </c>
      <c r="K735" s="69" t="inlineStr">
        <is>
          <t>Alarme de Estado em Ponto Telecontrolado SS</t>
        </is>
      </c>
      <c r="L735" s="69">
        <f>VLOOKUP(LinkTable6789[[#This Row],[Coluna1]],[4]AlarmCatalog!$A:$M,11,FALSE)</f>
        <v/>
      </c>
    </row>
    <row r="736" ht="16.5" customFormat="1" customHeight="1" s="67">
      <c r="A736" s="68" t="inlineStr">
        <is>
          <t>null@null___HABILITADO@DESABILITADO___Custom_S_TS</t>
        </is>
      </c>
      <c r="B736" s="68" t="inlineStr"/>
      <c r="C736" s="68" t="inlineStr">
        <is>
          <t>Error;HABILITADO;DESABILITADO;Transit</t>
        </is>
      </c>
      <c r="D736" s="68" t="inlineStr">
        <is>
          <t>0;1;2;3</t>
        </is>
      </c>
      <c r="E736" s="68" t="inlineStr">
        <is>
          <t>2;0;1;3</t>
        </is>
      </c>
      <c r="F736" s="68" t="inlineStr">
        <is>
          <t>;;;</t>
        </is>
      </c>
      <c r="G736" s="68" t="inlineStr">
        <is>
          <t>#FF000000;#FF00FF00;#FFFF0000;#FFA9A9A9</t>
        </is>
      </c>
      <c r="H736" s="68" t="inlineStr">
        <is>
          <t>Abnormal;Auto;Auto;Abnormal</t>
        </is>
      </c>
      <c r="I736" s="68" t="inlineStr">
        <is>
          <t>FALSE;TRUE;TRUE;FALSE</t>
        </is>
      </c>
      <c r="J736" s="68" t="inlineStr">
        <is>
          <t>Alarme de Estado em Ponto Telessinalizado</t>
        </is>
      </c>
      <c r="K736" s="69" t="inlineStr">
        <is>
          <t>Alarme de Estado em Ponto Telessinalizado</t>
        </is>
      </c>
      <c r="L736" s="69">
        <f>VLOOKUP(LinkTable6789[[#This Row],[Coluna1]],[4]AlarmCatalog!$A:$M,11,FALSE)</f>
        <v/>
      </c>
    </row>
    <row r="737" ht="16.5" customFormat="1" customHeight="1" s="67">
      <c r="A737" s="68" t="inlineStr">
        <is>
          <t>null@ATIVAR___NORMAL DESATIVADO@NORMAL ATIVADO___Custom___admsINV_S_TC_SS</t>
        </is>
      </c>
      <c r="B737" s="68" t="inlineStr"/>
      <c r="C737" s="68" t="inlineStr">
        <is>
          <t>Transit;NORMAL DESATIVADO;NORMAL ATIVADO;Error</t>
        </is>
      </c>
      <c r="D737" s="68" t="inlineStr">
        <is>
          <t>0;2;1;3</t>
        </is>
      </c>
      <c r="E737" s="68" t="inlineStr">
        <is>
          <t>2;0;1;3</t>
        </is>
      </c>
      <c r="F737" s="68" t="inlineStr">
        <is>
          <t>;;ATIVAR;</t>
        </is>
      </c>
      <c r="G737" s="68" t="inlineStr">
        <is>
          <t>#FF000000;#FF00FF00;#FFFF0000;#FFA9A9A9</t>
        </is>
      </c>
      <c r="H737" s="68" t="inlineStr">
        <is>
          <t>Abnormal;Auto;Auto;Abnormal</t>
        </is>
      </c>
      <c r="I737" s="68" t="inlineStr">
        <is>
          <t>FALSE;TRUE;TRUE;FALSE</t>
        </is>
      </c>
      <c r="J737" s="68" t="inlineStr">
        <is>
          <t>Alarme de Estado em Ponto Telecontrolado SS</t>
        </is>
      </c>
      <c r="K737" s="69" t="inlineStr">
        <is>
          <t>Alarme de Estado em Ponto Telecontrolado SS</t>
        </is>
      </c>
      <c r="L737" s="69">
        <f>VLOOKUP(LinkTable6789[[#This Row],[Coluna1]],[4]AlarmCatalog!$A:$M,11,FALSE)</f>
        <v/>
      </c>
    </row>
    <row r="738" ht="16.5" customFormat="1" customHeight="1" s="67">
      <c r="A738" s="68" t="inlineStr">
        <is>
          <t>null@DESABILITAR___null@null__Enabled_S_TC_SS</t>
        </is>
      </c>
      <c r="B738" s="68" t="inlineStr"/>
      <c r="C738" s="68" t="inlineStr">
        <is>
          <t>;;;Error</t>
        </is>
      </c>
      <c r="D738" s="68" t="inlineStr">
        <is>
          <t>0;1;2;3</t>
        </is>
      </c>
      <c r="E738" s="68" t="inlineStr">
        <is>
          <t>2;0;1;3</t>
        </is>
      </c>
      <c r="F738" s="68" t="inlineStr">
        <is>
          <t>;;DESABILITAR;</t>
        </is>
      </c>
      <c r="G738" s="68" t="inlineStr">
        <is>
          <t>#00000000;#00000000;#00000000;#FFA9A9A9</t>
        </is>
      </c>
      <c r="H738" s="68" t="inlineStr">
        <is>
          <t>Normal;Auto;Auto;Abnormal</t>
        </is>
      </c>
      <c r="I738" s="68" t="inlineStr">
        <is>
          <t>FALSE;TRUE;TRUE;FALSE</t>
        </is>
      </c>
      <c r="J738" s="68" t="inlineStr">
        <is>
          <t>Alarme de Estado em Ponto Telecontrolado SS</t>
        </is>
      </c>
      <c r="K738" s="69" t="inlineStr">
        <is>
          <t>Alarme de Estado em Ponto Telecontrolado SS</t>
        </is>
      </c>
      <c r="L738" s="69">
        <f>VLOOKUP(LinkTable6789[[#This Row],[Coluna1]],[4]AlarmCatalog!$A:$M,11,FALSE)</f>
        <v/>
      </c>
    </row>
    <row r="739" ht="16.5" customFormat="1" customHeight="1" s="67">
      <c r="A739" s="68" t="inlineStr">
        <is>
          <t>null@INDIVIDUAL___DESATIVADO@ATIVADO___Custom_S_TC_SS</t>
        </is>
      </c>
      <c r="B739" s="68" t="inlineStr"/>
      <c r="C739" s="68" t="inlineStr">
        <is>
          <t>Transit;DESATIVADO;ATIVADO;Error</t>
        </is>
      </c>
      <c r="D739" s="68" t="inlineStr">
        <is>
          <t>0;1;2;3</t>
        </is>
      </c>
      <c r="E739" s="68" t="inlineStr">
        <is>
          <t>2;0;1;3</t>
        </is>
      </c>
      <c r="F739" s="68" t="inlineStr">
        <is>
          <t>;;INDIVIDUAL;</t>
        </is>
      </c>
      <c r="G739" s="68" t="inlineStr">
        <is>
          <t>#FF000000;#FF00FF00;#FFFF0000;#FFA9A9A9</t>
        </is>
      </c>
      <c r="H739" s="68" t="inlineStr">
        <is>
          <t>Abnormal;Auto;Auto;Abnormal</t>
        </is>
      </c>
      <c r="I739" s="68" t="inlineStr">
        <is>
          <t>FALSE;TRUE;TRUE;FALSE</t>
        </is>
      </c>
      <c r="J739" s="68" t="inlineStr">
        <is>
          <t>Alarme de Estado em Ponto Telecontrolado SS</t>
        </is>
      </c>
      <c r="K739" s="69" t="inlineStr">
        <is>
          <t>Alarme de Estado em Ponto Telecontrolado SS</t>
        </is>
      </c>
      <c r="L739" s="69">
        <f>VLOOKUP(LinkTable6789[[#This Row],[Coluna1]],[4]AlarmCatalog!$A:$M,11,FALSE)</f>
        <v/>
      </c>
    </row>
    <row r="740" ht="16.5" customFormat="1" customHeight="1" s="67">
      <c r="A740" s="68" t="inlineStr">
        <is>
          <t>null@MESTRE___DESATIVADO@ATIVADO___Custom_S_TC_SS</t>
        </is>
      </c>
      <c r="B740" s="68" t="inlineStr"/>
      <c r="C740" s="68" t="inlineStr">
        <is>
          <t>Transit;DESATIVADO;ATIVADO;Error</t>
        </is>
      </c>
      <c r="D740" s="68" t="inlineStr">
        <is>
          <t>0;1;2;3</t>
        </is>
      </c>
      <c r="E740" s="68" t="inlineStr">
        <is>
          <t>2;0;1;3</t>
        </is>
      </c>
      <c r="F740" s="68" t="inlineStr">
        <is>
          <t>;;MESTRE;</t>
        </is>
      </c>
      <c r="G740" s="68" t="inlineStr">
        <is>
          <t>#FF000000;#FF00FF00;#FFFF0000;#FFA9A9A9</t>
        </is>
      </c>
      <c r="H740" s="68" t="inlineStr">
        <is>
          <t>Abnormal;Auto;Auto;Abnormal</t>
        </is>
      </c>
      <c r="I740" s="68" t="inlineStr">
        <is>
          <t>TRUE;TRUE;TRUE;FALSE</t>
        </is>
      </c>
      <c r="J740" s="68" t="inlineStr">
        <is>
          <t>Alarme de Estado em Ponto Telecontrolado SS</t>
        </is>
      </c>
      <c r="K740" s="69" t="inlineStr">
        <is>
          <t>Alarme de Estado em Ponto Telecontrolado SS</t>
        </is>
      </c>
      <c r="L740" s="69">
        <f>VLOOKUP(LinkTable6789[[#This Row],[Coluna1]],[4]AlarmCatalog!$A:$M,11,FALSE)</f>
        <v/>
      </c>
    </row>
    <row r="741" ht="16.5" customFormat="1" customHeight="1" s="67">
      <c r="A741" s="68" t="inlineStr">
        <is>
          <t>null@null___AUTOMATICO@MANUAL___Custom___INV_S_TS_SS</t>
        </is>
      </c>
      <c r="B741" s="68" t="inlineStr"/>
      <c r="C741" s="68" t="inlineStr">
        <is>
          <t>Transit;AUTOMATICO;MANUAL;Error</t>
        </is>
      </c>
      <c r="D741" s="68" t="inlineStr">
        <is>
          <t>0;1;2;3</t>
        </is>
      </c>
      <c r="E741" s="68" t="inlineStr">
        <is>
          <t>2;1;0;3</t>
        </is>
      </c>
      <c r="F741" s="68" t="inlineStr">
        <is>
          <t>;;;</t>
        </is>
      </c>
      <c r="G741" s="68" t="inlineStr">
        <is>
          <t>#FF000000;#FF00FF00;#FFFF0000;#FFA9A9A9</t>
        </is>
      </c>
      <c r="H741" s="68" t="inlineStr">
        <is>
          <t>Abnormal;Auto;Auto;Abnormal</t>
        </is>
      </c>
      <c r="I741" s="68" t="inlineStr">
        <is>
          <t>FALSE;TRUE;TRUE;FALSE</t>
        </is>
      </c>
      <c r="J741" s="68" t="inlineStr">
        <is>
          <t>Alarme de Estado em Ponto Telessinalizado SS</t>
        </is>
      </c>
      <c r="K741" s="69" t="inlineStr">
        <is>
          <t>Alarme de Estado em Ponto Telessinalizado SS</t>
        </is>
      </c>
      <c r="L741" s="69">
        <f>VLOOKUP(LinkTable6789[[#This Row],[Coluna1]],[4]AlarmCatalog!$A:$M,11,FALSE)</f>
        <v/>
      </c>
    </row>
    <row r="742" ht="16.5" customFormat="1" customHeight="1" s="67">
      <c r="A742" s="68" t="inlineStr">
        <is>
          <t>null@null@null___MESTRE@INDIVIDUAL@COMANDO___Custom___admsINV_D_TS_SS</t>
        </is>
      </c>
      <c r="B742" s="68" t="inlineStr"/>
      <c r="C742" s="68" t="inlineStr">
        <is>
          <t>MESTRE;COMANDADO;INDIVIDUAL;Error</t>
        </is>
      </c>
      <c r="D742" s="68" t="inlineStr">
        <is>
          <t>0;1;2;3</t>
        </is>
      </c>
      <c r="E742" s="68" t="inlineStr">
        <is>
          <t>0;1;2;3</t>
        </is>
      </c>
      <c r="F742" s="68" t="inlineStr">
        <is>
          <t>MESTRE;;;</t>
        </is>
      </c>
      <c r="G742" s="68" t="inlineStr">
        <is>
          <t>#FFFF0000;#FFFF0000;#FFFF0000;#FF000000</t>
        </is>
      </c>
      <c r="H742" s="68" t="inlineStr">
        <is>
          <t>Normal;Normal;Normal;Abnormal</t>
        </is>
      </c>
      <c r="I742" s="68" t="inlineStr">
        <is>
          <t>TRUE;TRUE;TRUE;FALSE</t>
        </is>
      </c>
      <c r="J742" s="68" t="inlineStr">
        <is>
          <t>Alarme de Estado em Ponto Telecontrolado SS</t>
        </is>
      </c>
      <c r="K742" s="69" t="inlineStr">
        <is>
          <t>Alarme de Estado em Ponto Telecontrolado SS</t>
        </is>
      </c>
      <c r="L742" s="69">
        <f>VLOOKUP(LinkTable6789[[#This Row],[Coluna1]],[4]AlarmCatalog!$A:$M,11,FALSE)</f>
        <v/>
      </c>
    </row>
    <row r="743" ht="16.5" customFormat="1" customHeight="1" s="67">
      <c r="A743" s="68" t="inlineStr">
        <is>
          <t>MESTRE@INDIVIDUAL@COMANDO___null@null@null___Custom___admsINV_D_TC_SS</t>
        </is>
      </c>
      <c r="B743" s="68" t="inlineStr"/>
      <c r="C743" s="68" t="inlineStr">
        <is>
          <t>;;;</t>
        </is>
      </c>
      <c r="D743" s="68" t="inlineStr">
        <is>
          <t>0;1;2;3</t>
        </is>
      </c>
      <c r="E743" s="68" t="inlineStr">
        <is>
          <t>1;2;4;8</t>
        </is>
      </c>
      <c r="F743" s="68" t="inlineStr">
        <is>
          <t>MESTRE;INDIVIDUAL;COMANDADO;</t>
        </is>
      </c>
      <c r="G743" s="68" t="inlineStr">
        <is>
          <t>#FFFF0000;#FFFF0000;#FFFF0000;#FF000000</t>
        </is>
      </c>
      <c r="H743" s="68" t="inlineStr">
        <is>
          <t>Normal;Normal;Normal;Abnormal</t>
        </is>
      </c>
      <c r="I743" s="68" t="inlineStr">
        <is>
          <t>TRUE;TRUE;TRUE;FALSE</t>
        </is>
      </c>
      <c r="J743" s="68" t="inlineStr">
        <is>
          <t>Alarme de Estado em Ponto Telecontrolado SS</t>
        </is>
      </c>
      <c r="K743" s="69" t="inlineStr">
        <is>
          <t>Alarme de Estado em Ponto Telecontrolado SS</t>
        </is>
      </c>
      <c r="L743" s="69">
        <f>VLOOKUP(LinkTable6789[[#This Row],[Coluna1]],[4]AlarmCatalog!$A:$M,11,FALSE)</f>
        <v/>
      </c>
    </row>
    <row r="744" ht="16.5" customFormat="1" customHeight="1" s="67">
      <c r="A744" s="68" t="inlineStr">
        <is>
          <t>null@null___LIBERADO@BLOQUEADO___Custom___INV_S_TS_SS</t>
        </is>
      </c>
      <c r="B744" s="68" t="inlineStr"/>
      <c r="C744" s="68" t="inlineStr">
        <is>
          <t>Transit;LIBERADO;BLOQUEADO;Error</t>
        </is>
      </c>
      <c r="D744" s="68" t="inlineStr">
        <is>
          <t>0;1;2;3</t>
        </is>
      </c>
      <c r="E744" s="68" t="inlineStr">
        <is>
          <t>2;1;0;3</t>
        </is>
      </c>
      <c r="F744" s="68" t="inlineStr">
        <is>
          <t>;;;</t>
        </is>
      </c>
      <c r="G744" s="68" t="inlineStr">
        <is>
          <t>#FF000000;#FF00FF00;#FFFF0000;#FFA9A9A9</t>
        </is>
      </c>
      <c r="H744" s="68" t="inlineStr">
        <is>
          <t>Abnormal;Auto;Auto;Abnormal</t>
        </is>
      </c>
      <c r="I744" s="68" t="inlineStr">
        <is>
          <t>FALSE;TRUE;TRUE;FALSE</t>
        </is>
      </c>
      <c r="J744" s="68" t="inlineStr">
        <is>
          <t>Alarme de Estado em Ponto Telessinalizado SS</t>
        </is>
      </c>
      <c r="K744" s="69" t="inlineStr">
        <is>
          <t>Alarme de Estado em Ponto Telessinalizado SS</t>
        </is>
      </c>
      <c r="L744" s="69">
        <f>VLOOKUP(LinkTable6789[[#This Row],[Coluna1]],[4]AlarmCatalog!$A:$M,11,FALSE)</f>
        <v/>
      </c>
    </row>
    <row r="745" ht="16.5" customFormat="1" customHeight="1" s="67">
      <c r="A745" s="68" t="inlineStr">
        <is>
          <t>null@null___OPERANDO@BLOQUEADO___Custom_S_TS_SS</t>
        </is>
      </c>
      <c r="B745" s="68" t="inlineStr"/>
      <c r="C745" s="68" t="inlineStr">
        <is>
          <t>Transit;OPERANDO;BLOQUEADO;Error</t>
        </is>
      </c>
      <c r="D745" s="68" t="inlineStr">
        <is>
          <t>0;1;2;3</t>
        </is>
      </c>
      <c r="E745" s="68" t="inlineStr">
        <is>
          <t>2;0;1;3</t>
        </is>
      </c>
      <c r="F745" s="68" t="inlineStr">
        <is>
          <t>;;;</t>
        </is>
      </c>
      <c r="G745" s="68" t="inlineStr">
        <is>
          <t>#FF000000;#FF00FF00;#FFFF0000;#FFA9A9A9</t>
        </is>
      </c>
      <c r="H745" s="68" t="inlineStr">
        <is>
          <t>Abnormal;Auto;Auto;Abnormal</t>
        </is>
      </c>
      <c r="I745" s="68" t="inlineStr">
        <is>
          <t>FALSE;TRUE;TRUE;FALSE</t>
        </is>
      </c>
      <c r="J745" s="68" t="inlineStr">
        <is>
          <t>Alarme de Estado em Ponto Telessinalizado SS</t>
        </is>
      </c>
      <c r="K745" s="69" t="inlineStr">
        <is>
          <t>Alarme de Estado em Ponto Telessinalizado SS</t>
        </is>
      </c>
      <c r="L745" s="69">
        <f>VLOOKUP(LinkTable6789[[#This Row],[Coluna1]],[4]AlarmCatalog!$A:$M,11,FALSE)</f>
        <v/>
      </c>
    </row>
    <row r="746" ht="16.5" customFormat="1" customHeight="1" s="67">
      <c r="A746" s="68" t="inlineStr">
        <is>
          <t>null@null___HABILITADO@DESABILITADO___Custom_S_TS_SA</t>
        </is>
      </c>
      <c r="B746" s="68" t="inlineStr"/>
      <c r="C746" s="68" t="inlineStr">
        <is>
          <t>Transit;HABILITADO;DESABILITADO;Error</t>
        </is>
      </c>
      <c r="D746" s="68" t="inlineStr">
        <is>
          <t>0;1;2;3</t>
        </is>
      </c>
      <c r="E746" s="68" t="inlineStr">
        <is>
          <t>2;0;1;3</t>
        </is>
      </c>
      <c r="F746" s="68" t="inlineStr">
        <is>
          <t>;;;</t>
        </is>
      </c>
      <c r="G746" s="68" t="inlineStr">
        <is>
          <t>#FF000000;#FF00FF00;#FFFF0000;#FFA9A9A9</t>
        </is>
      </c>
      <c r="H746" s="68" t="inlineStr">
        <is>
          <t>Abnormal;Auto;Auto;Abnormal</t>
        </is>
      </c>
      <c r="I746" s="68" t="inlineStr">
        <is>
          <t>FALSE;TRUE;TRUE;FALSE</t>
        </is>
      </c>
      <c r="J746" s="68" t="inlineStr">
        <is>
          <t>Alarme de Estado em Ponto Telessinalizado SA</t>
        </is>
      </c>
      <c r="K746" s="69" t="inlineStr">
        <is>
          <t>Alarme de Estado em Ponto Telessinalizado SA</t>
        </is>
      </c>
      <c r="L746" s="69">
        <f>VLOOKUP(LinkTable6789[[#This Row],[Coluna1]],[4]AlarmCatalog!$A:$M,11,FALSE)</f>
        <v/>
      </c>
    </row>
    <row r="747" ht="16.5" customFormat="1" customHeight="1" s="67">
      <c r="A747" s="68" t="inlineStr">
        <is>
          <t>null@null___EXTRAIDA@INSERIDA___Custom_S_TS_SS</t>
        </is>
      </c>
      <c r="B747" s="68" t="inlineStr"/>
      <c r="C747" s="68" t="inlineStr">
        <is>
          <t>Transit;EXTRAIDA;INSERIDA;Error</t>
        </is>
      </c>
      <c r="D747" s="68" t="inlineStr">
        <is>
          <t>0;1;2;3</t>
        </is>
      </c>
      <c r="E747" s="68" t="inlineStr">
        <is>
          <t>2;0;1;3</t>
        </is>
      </c>
      <c r="F747" s="68" t="inlineStr">
        <is>
          <t>;;;</t>
        </is>
      </c>
      <c r="G747" s="68" t="inlineStr">
        <is>
          <t>#FF000000;#FF00FF00;#FFFF0000;#FFA9A9A9</t>
        </is>
      </c>
      <c r="H747" s="68" t="inlineStr">
        <is>
          <t>Abnormal;Auto;Auto;Abnormal</t>
        </is>
      </c>
      <c r="I747" s="68" t="inlineStr">
        <is>
          <t>FALSE;TRUE;TRUE;FALSE</t>
        </is>
      </c>
      <c r="J747" s="68" t="inlineStr">
        <is>
          <t>Alarme de Estado em Ponto Telessinalizado SS</t>
        </is>
      </c>
      <c r="K747" s="69" t="inlineStr">
        <is>
          <t>Alarme de Estado em Ponto Telessinalizado SS</t>
        </is>
      </c>
      <c r="L747" s="69">
        <f>VLOOKUP(LinkTable6789[[#This Row],[Coluna1]],[4]AlarmCatalog!$A:$M,11,FALSE)</f>
        <v/>
      </c>
    </row>
    <row r="748" ht="16.5" customFormat="1" customHeight="1" s="67">
      <c r="A748" s="68" t="inlineStr">
        <is>
          <t>G1@G2___DESATIVADO@ATIVADO___Custom_S_TS_SS</t>
        </is>
      </c>
      <c r="B748" s="68" t="inlineStr"/>
      <c r="C748" s="68" t="inlineStr">
        <is>
          <t>Transit;DESATIVADO;ATIVADO;Error</t>
        </is>
      </c>
      <c r="D748" s="68" t="inlineStr">
        <is>
          <t>0;1;2;3</t>
        </is>
      </c>
      <c r="E748" s="68" t="inlineStr">
        <is>
          <t>2;0;1;3</t>
        </is>
      </c>
      <c r="F748" s="68" t="inlineStr">
        <is>
          <t>;;;</t>
        </is>
      </c>
      <c r="G748" s="68" t="inlineStr">
        <is>
          <t>#FF000000;#FF00FF00;#FFFF0000;#FFA9A9A9</t>
        </is>
      </c>
      <c r="H748" s="68" t="inlineStr">
        <is>
          <t>Abnormal;Auto;Auto;Abnormal</t>
        </is>
      </c>
      <c r="I748" s="68" t="inlineStr">
        <is>
          <t>FALSE;TRUE;TRUE;FALSE</t>
        </is>
      </c>
      <c r="J748" s="68" t="inlineStr">
        <is>
          <t>Alarme de Estado em Ponto Telessinalizado SS</t>
        </is>
      </c>
      <c r="K748" s="69" t="inlineStr">
        <is>
          <t>Alarme de Estado em Ponto Telessinalizado SS</t>
        </is>
      </c>
      <c r="L748" s="69">
        <f>VLOOKUP(LinkTable6789[[#This Row],[Coluna1]],[4]AlarmCatalog!$A:$M,11,FALSE)</f>
        <v/>
      </c>
    </row>
    <row r="749" ht="16.5" customFormat="1" customHeight="1" s="67">
      <c r="A749" s="68" t="inlineStr">
        <is>
          <t>null@null___INCLUIDO@EXCLUIDO___INV___Local_S_TS_SS</t>
        </is>
      </c>
      <c r="B749" s="68" t="inlineStr"/>
      <c r="C749" s="68" t="inlineStr">
        <is>
          <t>Transit;INCLUIDO;EXCLUIDO;Error</t>
        </is>
      </c>
      <c r="D749" s="68" t="inlineStr">
        <is>
          <t>0;1;2;3</t>
        </is>
      </c>
      <c r="E749" s="68" t="inlineStr">
        <is>
          <t>2;1;0;3</t>
        </is>
      </c>
      <c r="F749" s="68" t="inlineStr">
        <is>
          <t>;;;</t>
        </is>
      </c>
      <c r="G749" s="68" t="inlineStr">
        <is>
          <t>#FF000000;#FFFF0000;#FF00FF00;#FFA9A9A9</t>
        </is>
      </c>
      <c r="H749" s="68" t="inlineStr">
        <is>
          <t>Abnormal;Auto;Auto;Abnormal</t>
        </is>
      </c>
      <c r="I749" s="68" t="inlineStr">
        <is>
          <t>FALSE;TRUE;TRUE;FALSE</t>
        </is>
      </c>
      <c r="J749" s="68" t="inlineStr">
        <is>
          <t>Alarme de Estado em Ponto Telessinalizado SS</t>
        </is>
      </c>
      <c r="K749" s="69" t="inlineStr">
        <is>
          <t>Alarme de Estado em Ponto Telessinalizado SS</t>
        </is>
      </c>
      <c r="L749" s="69">
        <f>VLOOKUP(LinkTable6789[[#This Row],[Coluna1]],[4]AlarmCatalog!$A:$M,11,FALSE)</f>
        <v/>
      </c>
    </row>
    <row r="750" ht="16.5" customFormat="1" customHeight="1" s="67">
      <c r="A750" s="68" t="inlineStr">
        <is>
          <t>null@null___DESATIVADA@ATIVADA___Custom_S_TS_SS</t>
        </is>
      </c>
      <c r="B750" s="68" t="inlineStr"/>
      <c r="C750" s="68" t="inlineStr">
        <is>
          <t>Transit;DESATIVADA;ATIVADA;Error</t>
        </is>
      </c>
      <c r="D750" s="68" t="inlineStr">
        <is>
          <t>0;1;2;3</t>
        </is>
      </c>
      <c r="E750" s="68" t="inlineStr">
        <is>
          <t>2;0;1;3</t>
        </is>
      </c>
      <c r="F750" s="68" t="inlineStr">
        <is>
          <t>;;;</t>
        </is>
      </c>
      <c r="G750" s="68" t="inlineStr">
        <is>
          <t>#FF000000;#FFFF0000;#FFFF0000;#FFA9A9A9</t>
        </is>
      </c>
      <c r="H750" s="68" t="inlineStr">
        <is>
          <t>Abnormal;Normal;Normal;Abnormal</t>
        </is>
      </c>
      <c r="I750" s="68" t="inlineStr">
        <is>
          <t>FALSE;TRUE;TRUE;FALSE</t>
        </is>
      </c>
      <c r="J750" s="68" t="inlineStr">
        <is>
          <t>Alarme de Estado em Ponto Telessinalizado SS</t>
        </is>
      </c>
      <c r="K750" s="69" t="inlineStr">
        <is>
          <t>Alarme de Estado em Ponto Telessinalizado SS</t>
        </is>
      </c>
      <c r="L750" s="69">
        <f>VLOOKUP(LinkTable6789[[#This Row],[Coluna1]],[4]AlarmCatalog!$A:$M,11,FALSE)</f>
        <v/>
      </c>
    </row>
    <row r="751" ht="16.5" customFormat="1" customHeight="1" s="67">
      <c r="A751" s="68" t="inlineStr">
        <is>
          <t>null@null___INCLUIDO@EXCLUIDO___Local___INV_S_TS</t>
        </is>
      </c>
      <c r="B751" s="68" t="inlineStr"/>
      <c r="C751" s="68" t="inlineStr">
        <is>
          <t>Transit;INCLUIDO;EXCLUIDO;Error</t>
        </is>
      </c>
      <c r="D751" s="68" t="inlineStr">
        <is>
          <t>0;1;2;3</t>
        </is>
      </c>
      <c r="E751" s="68" t="inlineStr">
        <is>
          <t>2;1;0;3</t>
        </is>
      </c>
      <c r="F751" s="68" t="inlineStr">
        <is>
          <t>;;;</t>
        </is>
      </c>
      <c r="G751" s="68" t="inlineStr">
        <is>
          <t>#FF000000;#FFFF0000;#FF00FF00;#FFA9A9A9</t>
        </is>
      </c>
      <c r="H751" s="68" t="inlineStr">
        <is>
          <t>Abnormal;Auto;Auto;Abnormal</t>
        </is>
      </c>
      <c r="I751" s="68" t="inlineStr">
        <is>
          <t>FALSE;TRUE;TRUE;FALSE</t>
        </is>
      </c>
      <c r="J751" s="68" t="inlineStr">
        <is>
          <t>Alarme de Estado em Ponto Telessinalizado</t>
        </is>
      </c>
      <c r="K751" s="69" t="inlineStr">
        <is>
          <t>Alarme de Estado em Ponto Telessinalizado</t>
        </is>
      </c>
      <c r="L751" s="69">
        <f>VLOOKUP(LinkTable6789[[#This Row],[Coluna1]],[4]AlarmCatalog!$A:$M,11,FALSE)</f>
        <v/>
      </c>
    </row>
    <row r="752" ht="16.5" customFormat="1" customHeight="1" s="67">
      <c r="A752" s="68" t="inlineStr">
        <is>
          <t>null@null___REMOTO@LOCAL___Local_S_TS</t>
        </is>
      </c>
      <c r="B752" s="68" t="inlineStr"/>
      <c r="C752" s="68" t="inlineStr">
        <is>
          <t>Transit;REMOTO;LOCAL;Error</t>
        </is>
      </c>
      <c r="D752" s="68" t="inlineStr">
        <is>
          <t>0;1;2;3</t>
        </is>
      </c>
      <c r="E752" s="68" t="inlineStr">
        <is>
          <t>2;0;1;3</t>
        </is>
      </c>
      <c r="F752" s="68" t="inlineStr">
        <is>
          <t>;;;</t>
        </is>
      </c>
      <c r="G752" s="68" t="inlineStr">
        <is>
          <t>#FF000000;#FF00FF00;#FFFF0000;#FFA9A9A9</t>
        </is>
      </c>
      <c r="H752" s="68" t="inlineStr">
        <is>
          <t>Abnormal;Auto;Auto;Abnormal</t>
        </is>
      </c>
      <c r="I752" s="68" t="inlineStr">
        <is>
          <t>FALSE;TRUE;TRUE;FALSE</t>
        </is>
      </c>
      <c r="J752" s="68" t="inlineStr">
        <is>
          <t>Alarme de Estado em Ponto Telessinalizado</t>
        </is>
      </c>
      <c r="K752" s="69" t="inlineStr">
        <is>
          <t>Alarme de Estado em Ponto Telessinalizado</t>
        </is>
      </c>
      <c r="L752" s="69">
        <f>VLOOKUP(LinkTable6789[[#This Row],[Coluna1]],[4]AlarmCatalog!$A:$M,11,FALSE)</f>
        <v/>
      </c>
    </row>
    <row r="753" ht="16.5" customFormat="1" customHeight="1" s="67">
      <c r="A753" s="68" t="inlineStr">
        <is>
          <t>null@null@null___INDIVIDUAL@MESTRE@COMANDADO___Custom___admsINV__CDCO_D_TC_SS</t>
        </is>
      </c>
      <c r="B753" s="68" t="inlineStr"/>
      <c r="C753" s="68" t="inlineStr">
        <is>
          <t>INDIVIDUAL;MESTRE;COMANDADO;Error</t>
        </is>
      </c>
      <c r="D753" s="68" t="inlineStr">
        <is>
          <t>0;1;2;3</t>
        </is>
      </c>
      <c r="E753" s="68" t="inlineStr">
        <is>
          <t>0;1;2;3</t>
        </is>
      </c>
      <c r="F753" s="68" t="inlineStr">
        <is>
          <t>;;;</t>
        </is>
      </c>
      <c r="G753" s="68" t="inlineStr">
        <is>
          <t>#FFFF0000;#FFFF0000;#FFFF0000;#FF000000</t>
        </is>
      </c>
      <c r="H753" s="68" t="inlineStr">
        <is>
          <t>Normal;Normal;Normal;Abnormal</t>
        </is>
      </c>
      <c r="I753" s="68" t="inlineStr">
        <is>
          <t>TRUE;TRUE;TRUE;TRUE</t>
        </is>
      </c>
      <c r="J753" s="68" t="inlineStr">
        <is>
          <t>Alarme de Estado em Ponto Telecontrolado SS</t>
        </is>
      </c>
      <c r="K753" s="69" t="inlineStr">
        <is>
          <t>Alarme de Estado em Ponto Telecontrolado SS</t>
        </is>
      </c>
      <c r="L753" s="69">
        <f>VLOOKUP(LinkTable6789[[#This Row],[Coluna1]],[4]AlarmCatalog!$A:$M,11,FALSE)</f>
        <v/>
      </c>
    </row>
    <row r="754" ht="16.5" customFormat="1" customHeight="1" s="67">
      <c r="A754" s="68" t="inlineStr">
        <is>
          <t>INDIVIDUAL@MESTRE___null@null___Custom___admsINV__CDCO_D_TC_SS_CTRL</t>
        </is>
      </c>
      <c r="B754" s="68" t="inlineStr"/>
      <c r="C754" s="68" t="inlineStr">
        <is>
          <t>;;;</t>
        </is>
      </c>
      <c r="D754" s="68" t="inlineStr">
        <is>
          <t>0;1;2;3</t>
        </is>
      </c>
      <c r="E754" s="68" t="inlineStr">
        <is>
          <t>1;2;4;8</t>
        </is>
      </c>
      <c r="F754" s="68" t="inlineStr">
        <is>
          <t>INDIVIDUAL;MESTRE;;</t>
        </is>
      </c>
      <c r="G754" s="68" t="inlineStr">
        <is>
          <t>#FF000000;#FF000000;#FF000000;#FF000000</t>
        </is>
      </c>
      <c r="H754" s="68" t="inlineStr">
        <is>
          <t>Normal;Normal;Normal;Normal</t>
        </is>
      </c>
      <c r="I754" s="68" t="inlineStr">
        <is>
          <t>TRUE;TRUE;TRUE;TRUE</t>
        </is>
      </c>
      <c r="J754" s="68" t="inlineStr">
        <is>
          <t>Alarme de Estado em Ponto Telecontrolado SS</t>
        </is>
      </c>
      <c r="K754" s="69" t="inlineStr">
        <is>
          <t>Alarme de Estado em Ponto Telecontrolado SS</t>
        </is>
      </c>
      <c r="L754" s="69">
        <f>VLOOKUP(LinkTable6789[[#This Row],[Coluna1]],[4]AlarmCatalog!$A:$M,11,FALSE)</f>
        <v/>
      </c>
    </row>
    <row r="755" ht="16.5" customFormat="1" customHeight="1" s="67">
      <c r="A755" s="68" t="inlineStr">
        <is>
          <t>RELIGADOR@ALTERNATIVO___null@null___Custom_S_TC_SS</t>
        </is>
      </c>
      <c r="B755" s="68" t="inlineStr"/>
      <c r="C755" s="68" t="inlineStr">
        <is>
          <t>Transit;;;Error</t>
        </is>
      </c>
      <c r="D755" s="68" t="inlineStr">
        <is>
          <t>0;1;2;3</t>
        </is>
      </c>
      <c r="E755" s="68" t="inlineStr">
        <is>
          <t>2;0;1;3</t>
        </is>
      </c>
      <c r="F755" s="68" t="inlineStr">
        <is>
          <t>;RELIGADOR;ALTERNATIVO;</t>
        </is>
      </c>
      <c r="G755" s="68" t="inlineStr">
        <is>
          <t>#FF000000;#FF00FF00;#FFFF0000;#FFA9A9A9</t>
        </is>
      </c>
      <c r="H755" s="68" t="inlineStr">
        <is>
          <t>Normal;Normal;Normal;Normal</t>
        </is>
      </c>
      <c r="I755" s="68" t="inlineStr">
        <is>
          <t>FALSE;TRUE;TRUE;FALSE</t>
        </is>
      </c>
      <c r="J755" s="68" t="inlineStr">
        <is>
          <t>Alarme de Estado em Ponto Telecontrolado SS</t>
        </is>
      </c>
      <c r="K755" s="69" t="inlineStr">
        <is>
          <t>Alarme de Estado em Ponto Telecontrolado SS</t>
        </is>
      </c>
      <c r="L755" s="69">
        <f>VLOOKUP(LinkTable6789[[#This Row],[Coluna1]],[4]AlarmCatalog!$A:$M,11,FALSE)</f>
        <v/>
      </c>
    </row>
    <row r="756" ht="16.5" customFormat="1" customHeight="1" s="67">
      <c r="A756" s="68" t="inlineStr">
        <is>
          <t>DI_UNIDIRECIONAL@BIDIRECIONAL___UNIDIRECIONAL@BIDIRECIONAL___Custom_S_TC_DSx</t>
        </is>
      </c>
      <c r="B756" s="68" t="inlineStr"/>
      <c r="C756" s="68" t="inlineStr">
        <is>
          <t>Transit;UNIDIRECIONAL;BIDIRECIONAL;Error</t>
        </is>
      </c>
      <c r="D756" s="68" t="inlineStr">
        <is>
          <t>0;1;2;3</t>
        </is>
      </c>
      <c r="E756" s="68" t="inlineStr">
        <is>
          <t>2;0;1;3</t>
        </is>
      </c>
      <c r="F756" s="68" t="inlineStr">
        <is>
          <t>;UNIDIRECIONAL;BIDIRECIONAL;</t>
        </is>
      </c>
      <c r="G756" s="68" t="inlineStr">
        <is>
          <t>#FF000000;#FF00FF00;#FFFF0000;#FFA9A9A9</t>
        </is>
      </c>
      <c r="H756" s="68" t="inlineStr">
        <is>
          <t>Abnormal;Auto;Auto;Abnormal</t>
        </is>
      </c>
      <c r="I756" s="68" t="inlineStr">
        <is>
          <t>FALSE;TRUE;TRUE;FALSE</t>
        </is>
      </c>
      <c r="J756" s="68" t="inlineStr">
        <is>
          <t>Alarme de Estado em Ponto Telecontrolado DSx</t>
        </is>
      </c>
      <c r="K756" s="69" t="inlineStr">
        <is>
          <t>Alarme de Estado em Ponto Telecontrolado DSx</t>
        </is>
      </c>
      <c r="L756" s="69">
        <f>VLOOKUP(LinkTable6789[[#This Row],[Coluna1]],[4]AlarmCatalog!$A:$M,11,FALSE)</f>
        <v/>
      </c>
    </row>
    <row r="757" ht="16.5" customFormat="1" customHeight="1" s="67">
      <c r="A757" s="68" t="inlineStr">
        <is>
          <t>DI_null@RESET___NORMAL@ATUADO___Custom_S_TC_DSx</t>
        </is>
      </c>
      <c r="B757" s="68" t="inlineStr"/>
      <c r="C757" s="68" t="inlineStr">
        <is>
          <t>Transit;NORMAL;ATUADO;Error</t>
        </is>
      </c>
      <c r="D757" s="68" t="inlineStr">
        <is>
          <t>0;1;2;3</t>
        </is>
      </c>
      <c r="E757" s="68" t="inlineStr">
        <is>
          <t>2;0;1;3</t>
        </is>
      </c>
      <c r="F757" s="68" t="inlineStr">
        <is>
          <t>;;RESET;</t>
        </is>
      </c>
      <c r="G757" s="68" t="inlineStr">
        <is>
          <t>#FF000000;#FF00FF00;#FFFF0000;#FFA9A9A9</t>
        </is>
      </c>
      <c r="H757" s="68" t="inlineStr">
        <is>
          <t>Abnormal;Auto;Auto;Abnormal</t>
        </is>
      </c>
      <c r="I757" s="68" t="inlineStr">
        <is>
          <t>FALSE;TRUE;TRUE;FALSE</t>
        </is>
      </c>
      <c r="J757" s="68" t="inlineStr">
        <is>
          <t>Alarme de Estado em Ponto Telecontrolado DSx</t>
        </is>
      </c>
      <c r="K757" s="69" t="inlineStr">
        <is>
          <t>Alarme de Estado em Ponto Telecontrolado DSx</t>
        </is>
      </c>
      <c r="L757" s="69">
        <f>VLOOKUP(LinkTable6789[[#This Row],[Coluna1]],[4]AlarmCatalog!$A:$M,11,FALSE)</f>
        <v/>
      </c>
    </row>
    <row r="758" ht="16.5" customFormat="1" customHeight="1" s="67">
      <c r="A758" s="68" t="inlineStr">
        <is>
          <t>DI_null@null___NORMAL@FALTA___Custom_S_TS_DSx</t>
        </is>
      </c>
      <c r="B758" s="68" t="inlineStr"/>
      <c r="C758" s="68" t="inlineStr">
        <is>
          <t>Transit;NORMAL;FALTA;Error</t>
        </is>
      </c>
      <c r="D758" s="68" t="inlineStr">
        <is>
          <t>0;1;2;3</t>
        </is>
      </c>
      <c r="E758" s="68" t="inlineStr">
        <is>
          <t>2;0;1;3</t>
        </is>
      </c>
      <c r="F758" s="68" t="inlineStr">
        <is>
          <t>;;;</t>
        </is>
      </c>
      <c r="G758" s="68" t="inlineStr">
        <is>
          <t>#FF000000;#FF00FF00;#FFFF0000;#FFA9A9A9</t>
        </is>
      </c>
      <c r="H758" s="68" t="inlineStr">
        <is>
          <t>Abnormal;Auto;Auto;Abnormal</t>
        </is>
      </c>
      <c r="I758" s="68" t="inlineStr">
        <is>
          <t>FALSE;TRUE;TRUE;FALSE</t>
        </is>
      </c>
      <c r="J758" s="68" t="inlineStr">
        <is>
          <t>Alarme de Estado em Ponto Telessinalizado DSx</t>
        </is>
      </c>
      <c r="K758" s="69" t="inlineStr">
        <is>
          <t>Alarme de Estado em Ponto Telessinalizado DSx</t>
        </is>
      </c>
      <c r="L758" s="69">
        <f>VLOOKUP(LinkTable6789[[#This Row],[Coluna1]],[4]AlarmCatalog!$A:$M,11,FALSE)</f>
        <v/>
      </c>
    </row>
    <row r="759" ht="16.5" customFormat="1" customHeight="1" s="67">
      <c r="A759" s="68" t="inlineStr">
        <is>
          <t>G1@G2___DESATIVADO@ATIVADO___Custom_S_TS_SSx</t>
        </is>
      </c>
      <c r="B759" s="68" t="inlineStr"/>
      <c r="C759" s="68" t="inlineStr">
        <is>
          <t>Transit;DESATIVADO;ATIVADO;Error</t>
        </is>
      </c>
      <c r="D759" s="68" t="inlineStr">
        <is>
          <t>0;1;2;3</t>
        </is>
      </c>
      <c r="E759" s="68" t="inlineStr">
        <is>
          <t>2;0;1;3</t>
        </is>
      </c>
      <c r="F759" s="68" t="inlineStr">
        <is>
          <t>;;;</t>
        </is>
      </c>
      <c r="G759" s="68" t="inlineStr">
        <is>
          <t>#FF000000;#FF00FF00;#FFFF0000;#FFA9A9A9</t>
        </is>
      </c>
      <c r="H759" s="68" t="inlineStr">
        <is>
          <t>Abnormal;Auto;Auto;Abnormal</t>
        </is>
      </c>
      <c r="I759" s="68" t="inlineStr">
        <is>
          <t>FALSE;TRUE;TRUE;FALSE</t>
        </is>
      </c>
      <c r="J759" s="68" t="inlineStr">
        <is>
          <t>Alarme de Estado em Ponto Telessinalizado SSx</t>
        </is>
      </c>
      <c r="K759" s="69" t="inlineStr">
        <is>
          <t>Alarme de Estado em Ponto Telessinalizado SSx</t>
        </is>
      </c>
      <c r="L759" s="69">
        <f>VLOOKUP(LinkTable6789[[#This Row],[Coluna1]],[4]AlarmCatalog!$A:$M,11,FALSE)</f>
        <v/>
      </c>
    </row>
    <row r="760" ht="16.5" customFormat="1" customHeight="1" s="67">
      <c r="A760" s="68" t="inlineStr">
        <is>
          <t>DI_MANUAL@AUTOMATICO___MANUAL@AUTOMATICO___Custom___admsINV_D_TC_DSx</t>
        </is>
      </c>
      <c r="B760" s="68" t="inlineStr"/>
      <c r="C760" s="68" t="inlineStr">
        <is>
          <t>Erro;MANUAL;AUTOMATICO;Transit</t>
        </is>
      </c>
      <c r="D760" s="68" t="inlineStr">
        <is>
          <t>0;1;2;3</t>
        </is>
      </c>
      <c r="E760" s="68" t="inlineStr">
        <is>
          <t>3;1;2;0</t>
        </is>
      </c>
      <c r="F760" s="68" t="inlineStr">
        <is>
          <t>;MANUAL;AUTOMATICO;</t>
        </is>
      </c>
      <c r="G760" s="68" t="inlineStr">
        <is>
          <t>#FF000000;#FF00FF00;#FF00FF00;#FFFF0000</t>
        </is>
      </c>
      <c r="H760" s="68" t="inlineStr">
        <is>
          <t>Abnormal;Normal;Normal;Normal</t>
        </is>
      </c>
      <c r="I760" s="68" t="inlineStr">
        <is>
          <t>FALSE;TRUE;TRUE;TRUE</t>
        </is>
      </c>
      <c r="J760" s="68" t="inlineStr">
        <is>
          <t>Alarme de Estado em Ponto Telecontrolado DSx</t>
        </is>
      </c>
      <c r="K760" s="69" t="inlineStr">
        <is>
          <t>Alarme de Estado em Ponto Telecontrolado DSx</t>
        </is>
      </c>
      <c r="L760" s="69">
        <f>VLOOKUP(LinkTable6789[[#This Row],[Coluna1]],[4]AlarmCatalog!$A:$M,11,FALSE)</f>
        <v/>
      </c>
    </row>
    <row r="761" ht="16.5" customFormat="1" customHeight="1" s="67">
      <c r="A761" s="68" t="inlineStr">
        <is>
          <t>DI_DIMINUIR@AUMENTAR___null@null___Custom_S_TC_DSx</t>
        </is>
      </c>
      <c r="B761" s="68" t="inlineStr"/>
      <c r="C761" s="68" t="inlineStr">
        <is>
          <t>Transit;;;Error</t>
        </is>
      </c>
      <c r="D761" s="68" t="inlineStr">
        <is>
          <t>0;1;2;3</t>
        </is>
      </c>
      <c r="E761" s="68" t="inlineStr">
        <is>
          <t>2;0;1;3</t>
        </is>
      </c>
      <c r="F761" s="68" t="inlineStr">
        <is>
          <t>;DIMINUIR;AUMENTAR;</t>
        </is>
      </c>
      <c r="G761" s="68" t="inlineStr">
        <is>
          <t>#FF000000;#FF00FF00;#FFFF0000;#FFA9A9A9</t>
        </is>
      </c>
      <c r="H761" s="68" t="inlineStr">
        <is>
          <t>Normal;Normal;Normal;Normal</t>
        </is>
      </c>
      <c r="I761" s="68" t="inlineStr">
        <is>
          <t>FALSE;TRUE;TRUE;FALSE</t>
        </is>
      </c>
      <c r="J761" s="68" t="inlineStr">
        <is>
          <t>Alarme de Estado em Ponto Telecontrolado DSx</t>
        </is>
      </c>
      <c r="K761" s="69" t="inlineStr">
        <is>
          <t>Alarme de Estado em Ponto Telecontrolado DSx</t>
        </is>
      </c>
      <c r="L761" s="69">
        <f>VLOOKUP(LinkTable6789[[#This Row],[Coluna1]],[4]AlarmCatalog!$A:$M,11,FALSE)</f>
        <v/>
      </c>
    </row>
    <row r="762" ht="16.5" customFormat="1" customHeight="1" s="67">
      <c r="A762" s="68" t="inlineStr">
        <is>
          <t>DI_DESATIVAR@ATIVAR___DESATIVADO@ATIVADO___Custom_S_TC_DSx</t>
        </is>
      </c>
      <c r="B762" s="68" t="inlineStr"/>
      <c r="C762" s="68" t="inlineStr">
        <is>
          <t>Transit;DESATIVADO;ATIVADO;Error</t>
        </is>
      </c>
      <c r="D762" s="68" t="inlineStr">
        <is>
          <t>0;1;2;3</t>
        </is>
      </c>
      <c r="E762" s="68" t="inlineStr">
        <is>
          <t>2;0;1;3</t>
        </is>
      </c>
      <c r="F762" s="68" t="inlineStr">
        <is>
          <t>;DESATIVAR;ATIVAR;</t>
        </is>
      </c>
      <c r="G762" s="68" t="inlineStr">
        <is>
          <t>#FF000000;#FF00FF00;#FFFF0000;#FFA9A9A9</t>
        </is>
      </c>
      <c r="H762" s="68" t="inlineStr">
        <is>
          <t>Abnormal;Auto;Auto;Abnormal</t>
        </is>
      </c>
      <c r="I762" s="68" t="inlineStr">
        <is>
          <t>FALSE;TRUE;TRUE;FALSE</t>
        </is>
      </c>
      <c r="J762" s="68" t="inlineStr">
        <is>
          <t>Alarme de Estado em Ponto Telecontrolado DSx</t>
        </is>
      </c>
      <c r="K762" s="69" t="inlineStr">
        <is>
          <t>Alarme de Estado em Ponto Telecontrolado DSx</t>
        </is>
      </c>
      <c r="L762" s="69">
        <f>VLOOKUP(LinkTable6789[[#This Row],[Coluna1]],[4]AlarmCatalog!$A:$M,11,FALSE)</f>
        <v/>
      </c>
    </row>
    <row r="763" ht="16.5" customFormat="1" customHeight="1" s="67">
      <c r="A763" s="68" t="inlineStr">
        <is>
          <t>DI_null@null___ABERTO@FECHADO___Custom_S_TS_DSx</t>
        </is>
      </c>
      <c r="B763" s="68" t="inlineStr"/>
      <c r="C763" s="68" t="inlineStr">
        <is>
          <t>Transit;ABERTO;FECHADO;Error</t>
        </is>
      </c>
      <c r="D763" s="68" t="inlineStr">
        <is>
          <t>0;2;1;3</t>
        </is>
      </c>
      <c r="E763" s="68" t="inlineStr">
        <is>
          <t>2;1;0;3</t>
        </is>
      </c>
      <c r="F763" s="68" t="inlineStr">
        <is>
          <t>;;;</t>
        </is>
      </c>
      <c r="G763" s="68" t="inlineStr">
        <is>
          <t>#FF000000;#FF00FF00;#FFFF0000;#FFA9A9A9</t>
        </is>
      </c>
      <c r="H763" s="68" t="inlineStr">
        <is>
          <t>Abnormal;Auto;Auto;Abnormal</t>
        </is>
      </c>
      <c r="I763" s="68" t="inlineStr">
        <is>
          <t>FALSE;TRUE;TRUE;FALSE</t>
        </is>
      </c>
      <c r="J763" s="68" t="inlineStr">
        <is>
          <t>Alarme de Estado em Ponto Telessinalizado DSx</t>
        </is>
      </c>
      <c r="K763" s="69" t="inlineStr">
        <is>
          <t>Alarme de Estado em Ponto Telessinalizado DSx</t>
        </is>
      </c>
      <c r="L763" s="69">
        <f>VLOOKUP(LinkTable6789[[#This Row],[Coluna1]],[4]AlarmCatalog!$A:$M,11,FALSE)</f>
        <v/>
      </c>
    </row>
    <row r="764" ht="16.5" customFormat="1" customHeight="1" s="67">
      <c r="A764" s="68" t="inlineStr">
        <is>
          <t>AUMENTAR@DIMINUIR___null@null___TapIncrement_Sinv_TC_SS</t>
        </is>
      </c>
      <c r="B764" s="68" t="inlineStr"/>
      <c r="C764" s="68" t="inlineStr">
        <is>
          <t>Transit;;;Error</t>
        </is>
      </c>
      <c r="D764" s="68" t="inlineStr">
        <is>
          <t>0;2;1;3</t>
        </is>
      </c>
      <c r="E764" s="68" t="inlineStr">
        <is>
          <t>0;2;1;3</t>
        </is>
      </c>
      <c r="F764" s="68" t="inlineStr">
        <is>
          <t>;AUMENTAR;DIMINUIR;</t>
        </is>
      </c>
      <c r="G764" s="68" t="inlineStr">
        <is>
          <t>#FF000000;#FFFF0000;#FFFF0000;#FFA9A9A9</t>
        </is>
      </c>
      <c r="H764" s="68" t="inlineStr">
        <is>
          <t>Abnormal;Auto;Auto;Abnormal</t>
        </is>
      </c>
      <c r="I764" s="68" t="inlineStr">
        <is>
          <t>FALSE;TRUE;TRUE;FALSE</t>
        </is>
      </c>
      <c r="J764" s="68" t="inlineStr">
        <is>
          <t>Alarme de Estado em Ponto Telecontrolado SS</t>
        </is>
      </c>
      <c r="K764" s="69" t="inlineStr">
        <is>
          <t>Alarme de Estado em Ponto Telecontrolado SS</t>
        </is>
      </c>
      <c r="L764" s="69">
        <f>VLOOKUP(LinkTable6789[[#This Row],[Coluna1]],[4]AlarmCatalog!$A:$M,11,FALSE)</f>
        <v/>
      </c>
    </row>
    <row r="765" ht="16.5" customFormat="1" customHeight="1" s="67">
      <c r="A765" s="68" t="inlineStr">
        <is>
          <t>MESTRE@INDIVIDUAL@COMANDADO___MESTRE@INDIVIDUAL@COMANDADO___Custom___INV___2414_TS_SS</t>
        </is>
      </c>
      <c r="B765" s="68" t="inlineStr"/>
      <c r="C765" s="68" t="inlineStr">
        <is>
          <t>INDIVIDUAL;MESTRE;COMANDADO;Error</t>
        </is>
      </c>
      <c r="D765" s="68" t="inlineStr">
        <is>
          <t>0;1;2;3</t>
        </is>
      </c>
      <c r="E765" s="68" t="inlineStr">
        <is>
          <t>0;2;4;8</t>
        </is>
      </c>
      <c r="F765" s="68" t="inlineStr">
        <is>
          <t>MESTRE;INDIVIDUAL;;</t>
        </is>
      </c>
      <c r="G765" s="68" t="inlineStr">
        <is>
          <t>#FFFF0000;#FFFF0000;#FFFF0000;#FFA9A9A9</t>
        </is>
      </c>
      <c r="H765" s="68" t="inlineStr">
        <is>
          <t>Normal;Normal;Normal;Abnormal</t>
        </is>
      </c>
      <c r="I765" s="68" t="inlineStr">
        <is>
          <t>TRUE;TRUE;TRUE;FALSE</t>
        </is>
      </c>
      <c r="J765" s="68" t="inlineStr">
        <is>
          <t>Alarme de Estado em Ponto Telessinalizado SS</t>
        </is>
      </c>
      <c r="K765" s="69" t="inlineStr">
        <is>
          <t>Alarme de Estado em Ponto Telessinalizado SS</t>
        </is>
      </c>
      <c r="L765" s="69">
        <f>VLOOKUP(LinkTable6789[[#This Row],[Coluna1]],[4]AlarmCatalog!$A:$M,11,FALSE)</f>
        <v/>
      </c>
    </row>
    <row r="766" ht="16.5" customFormat="1" customHeight="1" s="67">
      <c r="A766" s="68" t="inlineStr">
        <is>
          <t>INDIVIDUAL@MESTRE___null@null___Custom___admsINV__CDCO_D_TC_SS_CTRL_vnb</t>
        </is>
      </c>
      <c r="B766" s="68" t="inlineStr"/>
      <c r="C766" s="68" t="inlineStr">
        <is>
          <t>INDIVIDUAL;</t>
        </is>
      </c>
      <c r="D766" s="68" t="inlineStr">
        <is>
          <t>0;1</t>
        </is>
      </c>
      <c r="E766" s="68" t="inlineStr">
        <is>
          <t>0;1</t>
        </is>
      </c>
      <c r="F766" s="68" t="inlineStr">
        <is>
          <t>MESTRE;INDIVIDUAL</t>
        </is>
      </c>
      <c r="G766" s="68" t="inlineStr">
        <is>
          <t>#FF000000;#FF000000</t>
        </is>
      </c>
      <c r="H766" s="68" t="inlineStr">
        <is>
          <t>Normal;Normal</t>
        </is>
      </c>
      <c r="I766" s="68" t="inlineStr">
        <is>
          <t>TRUE;TRUE</t>
        </is>
      </c>
      <c r="J766" s="68" t="inlineStr">
        <is>
          <t>Alarme de Estado em Ponto Telecontrolado SS</t>
        </is>
      </c>
      <c r="K766" s="69" t="inlineStr">
        <is>
          <t>Alarme de Estado em Ponto Telecontrolado SS</t>
        </is>
      </c>
      <c r="L766" s="69">
        <f>VLOOKUP(LinkTable6789[[#This Row],[Coluna1]],[4]AlarmCatalog!$A:$M,11,FALSE)</f>
        <v/>
      </c>
    </row>
    <row r="767" ht="16.5" customFormat="1" customHeight="1" s="67">
      <c r="A767" s="68" t="inlineStr">
        <is>
          <t>RELIGADOR@CHAVE___RELIGADOR@CHAVE___Custom___S_TC_SS</t>
        </is>
      </c>
      <c r="B767" s="68" t="inlineStr"/>
      <c r="C767" s="68" t="inlineStr">
        <is>
          <t>Transit;RELIGADOR;CHAVE;Error</t>
        </is>
      </c>
      <c r="D767" s="68" t="inlineStr">
        <is>
          <t>0;1;2;3</t>
        </is>
      </c>
      <c r="E767" s="68" t="inlineStr">
        <is>
          <t>2;0;1;3</t>
        </is>
      </c>
      <c r="F767" s="68" t="inlineStr">
        <is>
          <t>;RELIGADOR;CHAVE;</t>
        </is>
      </c>
      <c r="G767" s="68" t="inlineStr">
        <is>
          <t>#FF000000;#FF00FF00;#FF00FF00;#FF000000</t>
        </is>
      </c>
      <c r="H767" s="68" t="inlineStr">
        <is>
          <t>Abnormal;Auto;Auto;Abnormal</t>
        </is>
      </c>
      <c r="I767" s="68" t="inlineStr">
        <is>
          <t>FALSE;TRUE;TRUE;FALSE</t>
        </is>
      </c>
      <c r="J767" s="68" t="inlineStr">
        <is>
          <t>Alarme de Estado em Ponto Telecontrolado SS</t>
        </is>
      </c>
      <c r="K767" s="69" t="inlineStr">
        <is>
          <t>Alarme de Estado em Ponto Telecontrolado SS</t>
        </is>
      </c>
      <c r="L767" s="69">
        <f>VLOOKUP(LinkTable6789[[#This Row],[Coluna1]],[4]AlarmCatalog!$A:$M,11,FALSE)</f>
        <v/>
      </c>
    </row>
    <row r="768" ht="16.5" customFormat="1" customHeight="1" s="67">
      <c r="A768" s="68" t="inlineStr">
        <is>
          <t>DI_null@null___NORMAL@FALHA___Custom_Sinv_TS_DS</t>
        </is>
      </c>
      <c r="B768" s="68" t="inlineStr"/>
      <c r="C768" s="68" t="inlineStr">
        <is>
          <t>Transit;NORMAL;FALHA;Error</t>
        </is>
      </c>
      <c r="D768" s="68" t="inlineStr">
        <is>
          <t>0;1;2;3</t>
        </is>
      </c>
      <c r="E768" s="68" t="inlineStr">
        <is>
          <t>2;1;0;3</t>
        </is>
      </c>
      <c r="F768" s="68" t="inlineStr">
        <is>
          <t>;;;</t>
        </is>
      </c>
      <c r="G768" s="68" t="inlineStr">
        <is>
          <t>#FF000000;#FF00FF00;#FFFF0000;#FFA9A9A9</t>
        </is>
      </c>
      <c r="H768" s="68" t="inlineStr">
        <is>
          <t>Abnormal;Normal;Abnormal;Abnormal</t>
        </is>
      </c>
      <c r="I768" s="68" t="inlineStr">
        <is>
          <t>FALSE;TRUE;TRUE;FALSE</t>
        </is>
      </c>
      <c r="J768" s="68" t="inlineStr">
        <is>
          <t>Alarme de Estado em Ponto Telessinalizado DS</t>
        </is>
      </c>
      <c r="K768" s="69" t="inlineStr">
        <is>
          <t>Alarme de Estado em Ponto Telessinalizado DS</t>
        </is>
      </c>
      <c r="L768" s="69">
        <f>VLOOKUP(LinkTable6789[[#This Row],[Coluna1]],[4]AlarmCatalog!$A:$M,11,FALSE)</f>
        <v/>
      </c>
    </row>
    <row r="769" ht="16.5" customFormat="1" customHeight="1" s="67">
      <c r="A769" s="68" t="inlineStr">
        <is>
          <t>PARALELO@INDIVIDUAL___PARALELO@INDIVIDUAL___Custom_S_TS_SS</t>
        </is>
      </c>
      <c r="B769" s="68" t="inlineStr"/>
      <c r="C769" s="68" t="inlineStr">
        <is>
          <t>Transit;INDIVIDUAL;PARALELO;Error</t>
        </is>
      </c>
      <c r="D769" s="68" t="inlineStr">
        <is>
          <t>0;1;2;3</t>
        </is>
      </c>
      <c r="E769" s="68" t="inlineStr">
        <is>
          <t>2;0;1;3</t>
        </is>
      </c>
      <c r="F769" s="68" t="inlineStr">
        <is>
          <t>;INDIVIDUAL;PARALELO;</t>
        </is>
      </c>
      <c r="G769" s="68" t="inlineStr">
        <is>
          <t>#FF000000;#FFFF0000;#FF00FF00;#FFA9A9A9</t>
        </is>
      </c>
      <c r="H769" s="68" t="inlineStr">
        <is>
          <t>Abnormal;Auto;Auto;Abnormal</t>
        </is>
      </c>
      <c r="I769" s="68" t="inlineStr">
        <is>
          <t>FALSE;TRUE;TRUE;FALSE</t>
        </is>
      </c>
      <c r="J769" s="68" t="inlineStr">
        <is>
          <t>Alarme de Estado em Ponto Telessinalizado SS</t>
        </is>
      </c>
      <c r="K769" s="69" t="inlineStr">
        <is>
          <t>Alarme de Estado em Ponto Telessinalizado SS</t>
        </is>
      </c>
      <c r="L769" s="69">
        <f>VLOOKUP(LinkTable6789[[#This Row],[Coluna1]],[4]AlarmCatalog!$A:$M,11,FALSE)</f>
        <v/>
      </c>
    </row>
    <row r="770" ht="16.5" customFormat="1" customHeight="1" s="67">
      <c r="A770" s="68" t="inlineStr">
        <is>
          <t>RESET@null___null@null___Custom_S_TC_SS</t>
        </is>
      </c>
      <c r="B770" s="68" t="inlineStr"/>
      <c r="C770" s="68" t="inlineStr">
        <is>
          <t>Transit;;;Error</t>
        </is>
      </c>
      <c r="D770" s="68" t="inlineStr">
        <is>
          <t>0;1;2;3</t>
        </is>
      </c>
      <c r="E770" s="68" t="inlineStr">
        <is>
          <t>2;0;1;3</t>
        </is>
      </c>
      <c r="F770" s="68" t="inlineStr">
        <is>
          <t>;RESET;;</t>
        </is>
      </c>
      <c r="G770" s="68" t="inlineStr">
        <is>
          <t>#FF000000;#FF00FF00;#FFFF0000;#FFA9A9A9</t>
        </is>
      </c>
      <c r="H770" s="68" t="inlineStr">
        <is>
          <t>Normal;Normal;Normal;Normal</t>
        </is>
      </c>
      <c r="I770" s="68" t="inlineStr">
        <is>
          <t>FALSE;TRUE;TRUE;FALSE</t>
        </is>
      </c>
      <c r="J770" s="68" t="inlineStr">
        <is>
          <t>Alarme de Estado em Ponto Telecontrolado SS</t>
        </is>
      </c>
      <c r="K770" s="69" t="inlineStr">
        <is>
          <t>Alarme de Estado em Ponto Telecontrolado SS</t>
        </is>
      </c>
      <c r="L770" s="69">
        <f>VLOOKUP(LinkTable6789[[#This Row],[Coluna1]],[4]AlarmCatalog!$A:$M,11,FALSE)</f>
        <v/>
      </c>
    </row>
    <row r="771" ht="16.5" customFormat="1" customHeight="1" s="67">
      <c r="A771" s="68" t="inlineStr">
        <is>
          <t>TROCA@null___null@null___Custom_S_TC_SS</t>
        </is>
      </c>
      <c r="B771" s="68" t="inlineStr"/>
      <c r="C771" s="68" t="inlineStr">
        <is>
          <t>Transit;;;Error</t>
        </is>
      </c>
      <c r="D771" s="68" t="inlineStr">
        <is>
          <t>0;1;2;3</t>
        </is>
      </c>
      <c r="E771" s="68" t="inlineStr">
        <is>
          <t>2;0;1;3</t>
        </is>
      </c>
      <c r="F771" s="68" t="inlineStr">
        <is>
          <t>;TROCA;;</t>
        </is>
      </c>
      <c r="G771" s="68" t="inlineStr">
        <is>
          <t>#FF000000;#FF00FF00;#FFFF0000;#FFA9A9A9</t>
        </is>
      </c>
      <c r="H771" s="68" t="inlineStr">
        <is>
          <t>Normal;Normal;Normal;Normal</t>
        </is>
      </c>
      <c r="I771" s="68" t="inlineStr">
        <is>
          <t>FALSE;TRUE;TRUE;FALSE</t>
        </is>
      </c>
      <c r="J771" s="68" t="inlineStr">
        <is>
          <t>Alarme de Estado em Ponto Telecontrolado SS</t>
        </is>
      </c>
      <c r="K771" s="69" t="inlineStr">
        <is>
          <t>Alarme de Estado em Ponto Telecontrolado SS</t>
        </is>
      </c>
      <c r="L771" s="69">
        <f>VLOOKUP(LinkTable6789[[#This Row],[Coluna1]],[4]AlarmCatalog!$A:$M,11,FALSE)</f>
        <v/>
      </c>
    </row>
    <row r="772" ht="16.5" customFormat="1" customHeight="1" s="67">
      <c r="A772" s="68" t="inlineStr">
        <is>
          <t>DI_null@null___UNIDIRECIONAL@BIDIRECIONAL___Custom_S_TC_DS</t>
        </is>
      </c>
      <c r="B772" s="68" t="inlineStr">
        <is>
          <t>CMD - UNIDIRECIONAL/BIDIRECIONAL</t>
        </is>
      </c>
      <c r="C772" s="68" t="inlineStr">
        <is>
          <t>;;;</t>
        </is>
      </c>
      <c r="D772" s="68" t="inlineStr">
        <is>
          <t>0;1;2;3</t>
        </is>
      </c>
      <c r="E772" s="68" t="inlineStr">
        <is>
          <t>2;0;1;3</t>
        </is>
      </c>
      <c r="F772" s="68" t="inlineStr">
        <is>
          <t>;UNIDIRECIONAL;BIDIRECIONAL;</t>
        </is>
      </c>
      <c r="G772" s="68" t="inlineStr">
        <is>
          <t>#FF000000;#FF00FF00;#FFFF0000;#FFA9A9A9</t>
        </is>
      </c>
      <c r="H772" s="68" t="inlineStr">
        <is>
          <t>Normal;Normal;Normal;Normal</t>
        </is>
      </c>
      <c r="I772" s="68" t="inlineStr">
        <is>
          <t>FALSE;TRUE;TRUE;FALSE</t>
        </is>
      </c>
      <c r="J772" s="68" t="inlineStr">
        <is>
          <t>Alarme de Estado em Ponto Telecontrolado DS</t>
        </is>
      </c>
      <c r="K772" s="69" t="inlineStr">
        <is>
          <t>Alarme de Estado em Ponto Telecontrolado DS</t>
        </is>
      </c>
      <c r="L772" s="69">
        <f>VLOOKUP(LinkTable6789[[#This Row],[Coluna1]],[4]AlarmCatalog!$A:$M,11,FALSE)</f>
        <v/>
      </c>
    </row>
    <row r="773" ht="16.5" customFormat="1" customHeight="1" s="67">
      <c r="A773" s="68" t="inlineStr">
        <is>
          <t>DI_null@null___UNIDIRECIONAL@BIDIRECIONALBLOQ___Custom_S_TC_DS</t>
        </is>
      </c>
      <c r="B773" s="68" t="inlineStr">
        <is>
          <t>CMD - BIDIRECIONAL BLOQ. I=0</t>
        </is>
      </c>
      <c r="C773" s="68" t="inlineStr">
        <is>
          <t>;;;Error</t>
        </is>
      </c>
      <c r="D773" s="68" t="inlineStr">
        <is>
          <t>0;1;2;3</t>
        </is>
      </c>
      <c r="E773" s="68" t="inlineStr">
        <is>
          <t>2;0;1;3</t>
        </is>
      </c>
      <c r="F773" s="68" t="inlineStr">
        <is>
          <t>;UNIDIRECIONAL;BIDIRECIONAL BLOQ. I=0;</t>
        </is>
      </c>
      <c r="G773" s="68" t="inlineStr">
        <is>
          <t>#FF000000;#FF00FF00;#FFFF0000;#FFA9A9A9</t>
        </is>
      </c>
      <c r="H773" s="68" t="inlineStr">
        <is>
          <t>Normal;Normal;Normal;Normal</t>
        </is>
      </c>
      <c r="I773" s="68" t="inlineStr">
        <is>
          <t>FALSE;TRUE;TRUE;FALSE</t>
        </is>
      </c>
      <c r="J773" s="68" t="inlineStr">
        <is>
          <t>Alarme de Estado em Ponto Telecontrolado DS</t>
        </is>
      </c>
      <c r="K773" s="69" t="inlineStr">
        <is>
          <t>Alarme de Estado em Ponto Telecontrolado DS</t>
        </is>
      </c>
      <c r="L773" s="69">
        <f>VLOOKUP(LinkTable6789[[#This Row],[Coluna1]],[4]AlarmCatalog!$A:$M,11,FALSE)</f>
        <v/>
      </c>
    </row>
    <row r="774" ht="16.5" customFormat="1" customHeight="1" s="67">
      <c r="A774" s="68" t="inlineStr">
        <is>
          <t>DI_null@null___UNIDIRECIONAL@COGERACAO___Custom_S_TC_DS</t>
        </is>
      </c>
      <c r="B774" s="68" t="inlineStr">
        <is>
          <t>CMD - COGERAÇÃO</t>
        </is>
      </c>
      <c r="C774" s="68" t="inlineStr">
        <is>
          <t>;;;Error</t>
        </is>
      </c>
      <c r="D774" s="68" t="inlineStr">
        <is>
          <t>0;1;2;3</t>
        </is>
      </c>
      <c r="E774" s="68" t="inlineStr">
        <is>
          <t>2;0;1;3</t>
        </is>
      </c>
      <c r="F774" s="68" t="inlineStr">
        <is>
          <t>;UNIDIRECIONAL;COGERAÇÃO;</t>
        </is>
      </c>
      <c r="G774" s="68" t="inlineStr">
        <is>
          <t>#FF000000;#FF00FF00;#FFFF0000;#FFA9A9A9</t>
        </is>
      </c>
      <c r="H774" s="68" t="inlineStr">
        <is>
          <t>Normal;Normal;Normal;Normal</t>
        </is>
      </c>
      <c r="I774" s="68" t="inlineStr">
        <is>
          <t>FALSE;TRUE;TRUE;FALSE</t>
        </is>
      </c>
      <c r="J774" s="68" t="inlineStr">
        <is>
          <t>Alarme de Estado em Ponto Telecontrolado DS</t>
        </is>
      </c>
      <c r="K774" s="69" t="inlineStr">
        <is>
          <t>Alarme de Estado em Ponto Telecontrolado DS</t>
        </is>
      </c>
      <c r="L774" s="69">
        <f>VLOOKUP(LinkTable6789[[#This Row],[Coluna1]],[4]AlarmCatalog!$A:$M,11,FALSE)</f>
        <v/>
      </c>
    </row>
    <row r="775" ht="16.5" customFormat="1" customHeight="1" s="67">
      <c r="A775" s="68" t="inlineStr">
        <is>
          <t>DI_null@null___UNIDIRECIONAL@BIDIRECIONALI=0___Custom_S_TC_DS</t>
        </is>
      </c>
      <c r="B775" s="68" t="inlineStr">
        <is>
          <t>CMD - BIDIRECIONAL I=0</t>
        </is>
      </c>
      <c r="C775" s="68" t="inlineStr">
        <is>
          <t>;;;Error</t>
        </is>
      </c>
      <c r="D775" s="68" t="inlineStr">
        <is>
          <t>0;1;2;3</t>
        </is>
      </c>
      <c r="E775" s="68" t="inlineStr">
        <is>
          <t>2;0;1;3</t>
        </is>
      </c>
      <c r="F775" s="68" t="inlineStr">
        <is>
          <t>;UNIDIRECIONAL;BIDIRECIONAL I=0;</t>
        </is>
      </c>
      <c r="G775" s="68" t="inlineStr">
        <is>
          <t>#FF000000;#FF00FF00;#FFFF0000;#FFA9A9A9</t>
        </is>
      </c>
      <c r="H775" s="68" t="inlineStr">
        <is>
          <t>Normal;Normal;Normal;Normal</t>
        </is>
      </c>
      <c r="I775" s="68" t="inlineStr">
        <is>
          <t>FALSE;TRUE;TRUE;FALSE</t>
        </is>
      </c>
      <c r="J775" s="68" t="inlineStr">
        <is>
          <t>Alarme de Estado em Ponto Telecontrolado DS</t>
        </is>
      </c>
      <c r="K775" s="69" t="inlineStr">
        <is>
          <t>Alarme de Estado em Ponto Telecontrolado DS</t>
        </is>
      </c>
      <c r="L775" s="69">
        <f>VLOOKUP(LinkTable6789[[#This Row],[Coluna1]],[4]AlarmCatalog!$A:$M,11,FALSE)</f>
        <v/>
      </c>
    </row>
    <row r="776" ht="16.5" customFormat="1" customHeight="1" s="67">
      <c r="A776" s="68" t="inlineStr">
        <is>
          <t>DI_null@RESETRUA___null@null___Custom_S_TC_DSx</t>
        </is>
      </c>
      <c r="B776" s="68" t="inlineStr">
        <is>
          <t>RESET RUA</t>
        </is>
      </c>
      <c r="C776" s="68" t="inlineStr">
        <is>
          <t>;;;</t>
        </is>
      </c>
      <c r="D776" s="68" t="inlineStr">
        <is>
          <t>0;1;2;3</t>
        </is>
      </c>
      <c r="E776" s="68" t="inlineStr">
        <is>
          <t>2;0;1;3</t>
        </is>
      </c>
      <c r="F776" s="68" t="inlineStr">
        <is>
          <t>;;RESET RUA;</t>
        </is>
      </c>
      <c r="G776" s="68" t="inlineStr">
        <is>
          <t>#FF000000;#FF00FF00;#FFFF0000;#FFA9A9A9</t>
        </is>
      </c>
      <c r="H776" s="68" t="inlineStr">
        <is>
          <t>Abnormal;Auto;Auto;Abnormal</t>
        </is>
      </c>
      <c r="I776" s="68" t="inlineStr">
        <is>
          <t>FALSE;TRUE;TRUE;FALSE</t>
        </is>
      </c>
      <c r="J776" s="68" t="inlineStr">
        <is>
          <t>Alarme de Estado em Ponto Telecontrolado DSx</t>
        </is>
      </c>
      <c r="K776" s="69" t="inlineStr">
        <is>
          <t>Alarme de Estado em Ponto Telecontrolado DSx</t>
        </is>
      </c>
      <c r="L776" s="69">
        <f>VLOOKUP(LinkTable6789[[#This Row],[Coluna1]],[4]AlarmCatalog!$A:$M,11,FALSE)</f>
        <v/>
      </c>
    </row>
    <row r="777" ht="16.5" customFormat="1" customHeight="1" s="67">
      <c r="A777" s="68" t="inlineStr">
        <is>
          <t>ZERAR@null___null@null___Custom_S_TC_SS</t>
        </is>
      </c>
      <c r="B777" s="68" t="inlineStr"/>
      <c r="C777" s="68" t="inlineStr">
        <is>
          <t>Transit;;;Error</t>
        </is>
      </c>
      <c r="D777" s="68" t="inlineStr">
        <is>
          <t>0;1;2;3</t>
        </is>
      </c>
      <c r="E777" s="68" t="inlineStr">
        <is>
          <t>2;0;1;3</t>
        </is>
      </c>
      <c r="F777" s="68" t="inlineStr">
        <is>
          <t>;ZERAR;;</t>
        </is>
      </c>
      <c r="G777" s="68" t="inlineStr">
        <is>
          <t>#FF000000;#FF00FF00;#FFFF0000;#FFA9A9A9</t>
        </is>
      </c>
      <c r="H777" s="68" t="inlineStr">
        <is>
          <t>Normal;Normal;Normal;Normal</t>
        </is>
      </c>
      <c r="I777" s="68" t="inlineStr">
        <is>
          <t>FALSE;TRUE;TRUE;FALSE</t>
        </is>
      </c>
      <c r="J777" s="68" t="inlineStr">
        <is>
          <t>Alarme de Estado em Ponto Telecontrolado SS</t>
        </is>
      </c>
      <c r="K777" s="69" t="inlineStr">
        <is>
          <t>Alarme de Estado em Ponto Telecontrolado SS</t>
        </is>
      </c>
      <c r="L777" s="69">
        <f>VLOOKUP(LinkTable6789[[#This Row],[Coluna1]],[4]AlarmCatalog!$A:$M,11,FALSE)</f>
        <v/>
      </c>
    </row>
    <row r="778" ht="16.5" customFormat="1" customHeight="1" s="67">
      <c r="A778" s="68" t="inlineStr">
        <is>
          <t>null@null___INCLUIDO@EXCLUIDO___Local___INV_S_TS_SS</t>
        </is>
      </c>
      <c r="B778" s="68" t="inlineStr"/>
      <c r="C778" s="68" t="inlineStr">
        <is>
          <t>Transit;INCLUIDO;EXCLUIDO;Error</t>
        </is>
      </c>
      <c r="D778" s="68" t="inlineStr">
        <is>
          <t>0;1;2;3</t>
        </is>
      </c>
      <c r="E778" s="68" t="inlineStr">
        <is>
          <t>2;1;0;3</t>
        </is>
      </c>
      <c r="F778" s="68" t="inlineStr">
        <is>
          <t>;;;</t>
        </is>
      </c>
      <c r="G778" s="68" t="inlineStr">
        <is>
          <t>#FF000000;#FFFF0000;#FF00FF00;#FFA9A9A9</t>
        </is>
      </c>
      <c r="H778" s="68" t="inlineStr">
        <is>
          <t>Abnormal;Auto;Auto;Abnormal</t>
        </is>
      </c>
      <c r="I778" s="68" t="inlineStr">
        <is>
          <t>FALSE;TRUE;TRUE;FALSE</t>
        </is>
      </c>
      <c r="J778" s="68" t="inlineStr">
        <is>
          <t>Alarme de Estado em Ponto Telessinalizado SS</t>
        </is>
      </c>
      <c r="K778" s="69" t="inlineStr">
        <is>
          <t>Alarme de Estado em Ponto Telessinalizado SS</t>
        </is>
      </c>
      <c r="L778" s="69">
        <f>VLOOKUP(LinkTable6789[[#This Row],[Coluna1]],[4]AlarmCatalog!$A:$M,11,FALSE)</f>
        <v/>
      </c>
    </row>
    <row r="779" ht="16.5" customFormat="1" customHeight="1" s="67">
      <c r="A779" s="68" t="inlineStr">
        <is>
          <t>null@null___INCLUIDO@EXCLUIDO___Local_D_TS</t>
        </is>
      </c>
      <c r="B779" s="68" t="inlineStr"/>
      <c r="C779" s="68" t="inlineStr">
        <is>
          <t>Error;INCLUIDO;EXCLUIDO;Transit</t>
        </is>
      </c>
      <c r="D779" s="68" t="inlineStr">
        <is>
          <t>0;1;2;3</t>
        </is>
      </c>
      <c r="E779" s="68" t="inlineStr">
        <is>
          <t>2;0;1;3</t>
        </is>
      </c>
      <c r="F779" s="68" t="inlineStr">
        <is>
          <t>;;;</t>
        </is>
      </c>
      <c r="G779" s="68" t="inlineStr">
        <is>
          <t>#FF000000;#FFFF0000;#FF00FF00;#FFA9A9A9</t>
        </is>
      </c>
      <c r="H779" s="68" t="inlineStr">
        <is>
          <t>Abnormal;Normal;Normal;Normal</t>
        </is>
      </c>
      <c r="I779" s="68" t="inlineStr">
        <is>
          <t>FALSE;TRUE;TRUE;FALSE</t>
        </is>
      </c>
      <c r="J779" s="68" t="inlineStr">
        <is>
          <t>Alarme de Estado em Ponto Telessinalizado</t>
        </is>
      </c>
      <c r="K779" s="69" t="inlineStr">
        <is>
          <t>Alarme de Estado em Ponto Telessinalizado</t>
        </is>
      </c>
      <c r="L779" s="69">
        <f>VLOOKUP(LinkTable6789[[#This Row],[Coluna1]],[4]AlarmCatalog!$A:$M,11,FALSE)</f>
        <v/>
      </c>
    </row>
    <row r="780" ht="16.5" customFormat="1" customHeight="1" s="67">
      <c r="A780" s="68" t="inlineStr">
        <is>
          <t>null@null___INCLUIDO@EXCLUIDO___Local_D_TS_SS</t>
        </is>
      </c>
      <c r="B780" s="68" t="inlineStr"/>
      <c r="C780" s="68" t="inlineStr">
        <is>
          <t>Invalido;INCLUIDO;EXCLUIDO;Error</t>
        </is>
      </c>
      <c r="D780" s="68" t="inlineStr">
        <is>
          <t>0;1;2;3</t>
        </is>
      </c>
      <c r="E780" s="68" t="inlineStr">
        <is>
          <t>0;1;2;3</t>
        </is>
      </c>
      <c r="F780" s="68" t="inlineStr">
        <is>
          <t>;;;</t>
        </is>
      </c>
      <c r="G780" s="68" t="inlineStr">
        <is>
          <t>#FF000000;#FFFF0000;#FF00FF00;#FFA9A9A9</t>
        </is>
      </c>
      <c r="H780" s="68" t="inlineStr">
        <is>
          <t>Abnormal;Normal;Normal;Normal</t>
        </is>
      </c>
      <c r="I780" s="68" t="inlineStr">
        <is>
          <t>FALSE;TRUE;TRUE;FALSE</t>
        </is>
      </c>
      <c r="J780" s="68" t="inlineStr">
        <is>
          <t>Alarme de Estado em Ponto Telessinalizado SS</t>
        </is>
      </c>
      <c r="K780" s="69" t="inlineStr">
        <is>
          <t>Alarme de Estado em Ponto Telessinalizado SS</t>
        </is>
      </c>
      <c r="L780" s="69">
        <f>VLOOKUP(LinkTable6789[[#This Row],[Coluna1]],[4]AlarmCatalog!$A:$M,11,FALSE)</f>
        <v/>
      </c>
    </row>
    <row r="781" ht="16.5" customFormat="1" customHeight="1" s="67">
      <c r="A781" s="68" t="inlineStr">
        <is>
          <t>null@null___INCLUIDO@EXCLUIDO___Local_S_TS</t>
        </is>
      </c>
      <c r="B781" s="68" t="inlineStr"/>
      <c r="C781" s="68" t="inlineStr">
        <is>
          <t>Transit;INCLUIDO;EXCLUIDO;Error</t>
        </is>
      </c>
      <c r="D781" s="68" t="inlineStr">
        <is>
          <t>0;1;2;3</t>
        </is>
      </c>
      <c r="E781" s="68" t="inlineStr">
        <is>
          <t>2;0;1;3</t>
        </is>
      </c>
      <c r="F781" s="68" t="inlineStr">
        <is>
          <t>;;;</t>
        </is>
      </c>
      <c r="G781" s="68" t="inlineStr">
        <is>
          <t>#FF000000;#FFFF0000;#FF00FF00;#FFA9A9A9</t>
        </is>
      </c>
      <c r="H781" s="68" t="inlineStr">
        <is>
          <t>Abnormal;Auto;Auto;Abnormal</t>
        </is>
      </c>
      <c r="I781" s="68" t="inlineStr">
        <is>
          <t>FALSE;TRUE;TRUE;FALSE</t>
        </is>
      </c>
      <c r="J781" s="68" t="inlineStr">
        <is>
          <t>Alarme de Estado em Ponto Telessinalizado</t>
        </is>
      </c>
      <c r="K781" s="69" t="inlineStr">
        <is>
          <t>Alarme de Estado em Ponto Telessinalizado</t>
        </is>
      </c>
      <c r="L781" s="69">
        <f>VLOOKUP(LinkTable6789[[#This Row],[Coluna1]],[4]AlarmCatalog!$A:$M,11,FALSE)</f>
        <v/>
      </c>
    </row>
    <row r="782" ht="16.5" customFormat="1" customHeight="1" s="67">
      <c r="A782" s="68" t="inlineStr">
        <is>
          <t>null@null___INCLUIDO@EXCLUIDO___Local_S_TS_SS</t>
        </is>
      </c>
      <c r="B782" s="68" t="inlineStr"/>
      <c r="C782" s="68" t="inlineStr">
        <is>
          <t>Transit;INCLUIDO;EXCLUIDO;Error</t>
        </is>
      </c>
      <c r="D782" s="68" t="inlineStr">
        <is>
          <t>0;1;2;3</t>
        </is>
      </c>
      <c r="E782" s="68" t="inlineStr">
        <is>
          <t>2;0;1;3</t>
        </is>
      </c>
      <c r="F782" s="68" t="inlineStr">
        <is>
          <t>;;;</t>
        </is>
      </c>
      <c r="G782" s="68" t="inlineStr">
        <is>
          <t>#FF000000;#FFFF0000;#FF00FF00;#FFA9A9A9</t>
        </is>
      </c>
      <c r="H782" s="68" t="inlineStr">
        <is>
          <t>Abnormal;Auto;Auto;Abnormal</t>
        </is>
      </c>
      <c r="I782" s="68" t="inlineStr">
        <is>
          <t>FALSE;TRUE;TRUE;FALSE</t>
        </is>
      </c>
      <c r="J782" s="68" t="inlineStr">
        <is>
          <t>Alarme de Estado em Ponto Telessinalizado SS</t>
        </is>
      </c>
      <c r="K782" s="69" t="inlineStr">
        <is>
          <t>Alarme de Estado em Ponto Telessinalizado SS</t>
        </is>
      </c>
      <c r="L782" s="69">
        <f>VLOOKUP(LinkTable6789[[#This Row],[Coluna1]],[4]AlarmCatalog!$A:$M,11,FALSE)</f>
        <v/>
      </c>
    </row>
    <row r="783" ht="16.5" customFormat="1" customHeight="1" s="67">
      <c r="A783" s="68" t="inlineStr">
        <is>
          <t>null@null___INCLUIDO@EXCLUIDO___ReclosingEnabled___admsINV_S_TS_SS</t>
        </is>
      </c>
      <c r="B783" s="68" t="inlineStr"/>
      <c r="C783" s="68" t="inlineStr">
        <is>
          <t>Transit;INCLUIDO;EXCLUIDO;Error</t>
        </is>
      </c>
      <c r="D783" s="68" t="inlineStr">
        <is>
          <t>0;2;1;3</t>
        </is>
      </c>
      <c r="E783" s="68" t="inlineStr">
        <is>
          <t>2;0;1;3</t>
        </is>
      </c>
      <c r="F783" s="68" t="inlineStr">
        <is>
          <t>;;;</t>
        </is>
      </c>
      <c r="G783" s="68" t="inlineStr">
        <is>
          <t>#FF000000;#FFFF0000;#FF00FF00;#FFA9A9A9</t>
        </is>
      </c>
      <c r="H783" s="68" t="inlineStr">
        <is>
          <t>Abnormal;Auto;Auto;Abnormal</t>
        </is>
      </c>
      <c r="I783" s="68" t="inlineStr">
        <is>
          <t>FALSE;TRUE;TRUE;FALSE</t>
        </is>
      </c>
      <c r="J783" s="68" t="inlineStr">
        <is>
          <t>Alarme de Estado em Ponto Telessinalizado SS</t>
        </is>
      </c>
      <c r="K783" s="69" t="inlineStr">
        <is>
          <t>Alarme de Estado em Ponto Telessinalizado SS</t>
        </is>
      </c>
      <c r="L783" s="69">
        <f>VLOOKUP(LinkTable6789[[#This Row],[Coluna1]],[4]AlarmCatalog!$A:$M,11,FALSE)</f>
        <v/>
      </c>
    </row>
    <row r="784" ht="16.5" customFormat="1" customHeight="1" s="67">
      <c r="A784" s="68" t="inlineStr">
        <is>
          <t>null@null___INCLUIDO@EXCLUIDO___ReclosingEnabled___INV___admsINV_S_TS_SS</t>
        </is>
      </c>
      <c r="B784" s="68" t="inlineStr"/>
      <c r="C784" s="68" t="inlineStr">
        <is>
          <t>Transit;INCLUIDO;EXCLUIDO;Error</t>
        </is>
      </c>
      <c r="D784" s="68" t="inlineStr">
        <is>
          <t>0;2;1;3</t>
        </is>
      </c>
      <c r="E784" s="68" t="inlineStr">
        <is>
          <t>2;1;0;3</t>
        </is>
      </c>
      <c r="F784" s="68" t="inlineStr">
        <is>
          <t>;;;</t>
        </is>
      </c>
      <c r="G784" s="68" t="inlineStr">
        <is>
          <t>#FF000000;#FFFF0000;#FF00FF00;#FFA9A9A9</t>
        </is>
      </c>
      <c r="H784" s="68" t="inlineStr">
        <is>
          <t>Abnormal;Auto;Auto;Abnormal</t>
        </is>
      </c>
      <c r="I784" s="68" t="inlineStr">
        <is>
          <t>FALSE;TRUE;TRUE;FALSE</t>
        </is>
      </c>
      <c r="J784" s="68" t="inlineStr">
        <is>
          <t>Alarme de Estado em Ponto Telessinalizado SS</t>
        </is>
      </c>
      <c r="K784" s="69" t="inlineStr">
        <is>
          <t>Alarme de Estado em Ponto Telessinalizado SS</t>
        </is>
      </c>
      <c r="L784" s="69">
        <f>VLOOKUP(LinkTable6789[[#This Row],[Coluna1]],[4]AlarmCatalog!$A:$M,11,FALSE)</f>
        <v/>
      </c>
    </row>
    <row r="785" ht="16.5" customFormat="1" customHeight="1" s="67">
      <c r="A785" s="68" t="inlineStr">
        <is>
          <t>null@null___INCLUIDO@EXCLUIDO___ReclosingEnabled___INV_S_TS</t>
        </is>
      </c>
      <c r="B785" s="68" t="inlineStr"/>
      <c r="C785" s="68" t="inlineStr">
        <is>
          <t>Error;INCLUIDO;EXCLUIDO;Transit</t>
        </is>
      </c>
      <c r="D785" s="68" t="inlineStr">
        <is>
          <t>0;1;2;3</t>
        </is>
      </c>
      <c r="E785" s="68" t="inlineStr">
        <is>
          <t>2;1;0;3</t>
        </is>
      </c>
      <c r="F785" s="68" t="inlineStr">
        <is>
          <t>;;;</t>
        </is>
      </c>
      <c r="G785" s="68" t="inlineStr">
        <is>
          <t>#FF000000;#FFFF0000;#FF00FF00;#FFA9A9A9</t>
        </is>
      </c>
      <c r="H785" s="68" t="inlineStr">
        <is>
          <t>Abnormal;Auto;Auto;Abnormal</t>
        </is>
      </c>
      <c r="I785" s="68" t="inlineStr">
        <is>
          <t>FALSE;TRUE;TRUE;FALSE</t>
        </is>
      </c>
      <c r="J785" s="68" t="inlineStr">
        <is>
          <t>Alarme de Estado em Ponto Telessinalizado</t>
        </is>
      </c>
      <c r="K785" s="69" t="inlineStr">
        <is>
          <t>Alarme de Estado em Ponto Telessinalizado</t>
        </is>
      </c>
      <c r="L785" s="69">
        <f>VLOOKUP(LinkTable6789[[#This Row],[Coluna1]],[4]AlarmCatalog!$A:$M,11,FALSE)</f>
        <v/>
      </c>
    </row>
    <row r="786" ht="16.5" customFormat="1" customHeight="1" s="67">
      <c r="A786" s="68" t="inlineStr">
        <is>
          <t>null@null___INCLUIDO@EXCLUIDO___ReclosingEnabled___INV_S_TS_SS</t>
        </is>
      </c>
      <c r="B786" s="68" t="inlineStr"/>
      <c r="C786" s="68" t="inlineStr">
        <is>
          <t>Transit;INCLUIDO;EXCLUIDO;Error</t>
        </is>
      </c>
      <c r="D786" s="68" t="inlineStr">
        <is>
          <t>0;1;2;3</t>
        </is>
      </c>
      <c r="E786" s="68" t="inlineStr">
        <is>
          <t>2;1;0;3</t>
        </is>
      </c>
      <c r="F786" s="68" t="inlineStr">
        <is>
          <t>;;;</t>
        </is>
      </c>
      <c r="G786" s="68" t="inlineStr">
        <is>
          <t>#FF000000;#FFFF0000;#FF00FF00;#FFA9A9A9</t>
        </is>
      </c>
      <c r="H786" s="68" t="inlineStr">
        <is>
          <t>Abnormal;Auto;Auto;Abnormal</t>
        </is>
      </c>
      <c r="I786" s="68" t="inlineStr">
        <is>
          <t>FALSE;TRUE;TRUE;FALSE</t>
        </is>
      </c>
      <c r="J786" s="68" t="inlineStr">
        <is>
          <t>Alarme de Estado em Ponto Telessinalizado SS</t>
        </is>
      </c>
      <c r="K786" s="69" t="inlineStr">
        <is>
          <t>Alarme de Estado em Ponto Telessinalizado SS</t>
        </is>
      </c>
      <c r="L786" s="69">
        <f>VLOOKUP(LinkTable6789[[#This Row],[Coluna1]],[4]AlarmCatalog!$A:$M,11,FALSE)</f>
        <v/>
      </c>
    </row>
    <row r="787" ht="16.5" customFormat="1" customHeight="1" s="67">
      <c r="A787" s="68" t="inlineStr">
        <is>
          <t>null@null___INCLUIDO@EXCLUIDO___ReclosingEnabled_S_TS</t>
        </is>
      </c>
      <c r="B787" s="68" t="inlineStr"/>
      <c r="C787" s="68" t="inlineStr">
        <is>
          <t>Transit;INCLUIDO;EXCLUIDO;Error</t>
        </is>
      </c>
      <c r="D787" s="68" t="inlineStr">
        <is>
          <t>0;1;2;3</t>
        </is>
      </c>
      <c r="E787" s="68" t="inlineStr">
        <is>
          <t>2;0;1;3</t>
        </is>
      </c>
      <c r="F787" s="68" t="inlineStr">
        <is>
          <t>;;;</t>
        </is>
      </c>
      <c r="G787" s="68" t="inlineStr">
        <is>
          <t>#FF000000;#FFFF0000;#FF00FF00;#FFA9A9A9</t>
        </is>
      </c>
      <c r="H787" s="68" t="inlineStr">
        <is>
          <t>Abnormal;Auto;Auto;Abnormal</t>
        </is>
      </c>
      <c r="I787" s="68" t="inlineStr">
        <is>
          <t>FALSE;TRUE;TRUE;FALSE</t>
        </is>
      </c>
      <c r="J787" s="68" t="inlineStr">
        <is>
          <t>Alarme de Estado em Ponto Telessinalizado</t>
        </is>
      </c>
      <c r="K787" s="69" t="inlineStr">
        <is>
          <t>Alarme de Estado em Ponto Telessinalizado</t>
        </is>
      </c>
      <c r="L787" s="69">
        <f>VLOOKUP(LinkTable6789[[#This Row],[Coluna1]],[4]AlarmCatalog!$A:$M,11,FALSE)</f>
        <v/>
      </c>
    </row>
    <row r="788" ht="16.5" customFormat="1" customHeight="1" s="67">
      <c r="A788" s="68" t="inlineStr">
        <is>
          <t>null@null___INCLUIDO@EXCLUIDO___ReclosingEnabled_S_TS_SS</t>
        </is>
      </c>
      <c r="B788" s="68" t="inlineStr"/>
      <c r="C788" s="68" t="inlineStr">
        <is>
          <t>Transit;INCLUIDO;EXCLUIDO;Error</t>
        </is>
      </c>
      <c r="D788" s="68" t="inlineStr">
        <is>
          <t>0;1;2;3</t>
        </is>
      </c>
      <c r="E788" s="68" t="inlineStr">
        <is>
          <t>2;0;1;3</t>
        </is>
      </c>
      <c r="F788" s="68" t="inlineStr">
        <is>
          <t>;;;</t>
        </is>
      </c>
      <c r="G788" s="68" t="inlineStr">
        <is>
          <t>#FF000000;#FFFF0000;#FF00FF00;#FFA9A9A9</t>
        </is>
      </c>
      <c r="H788" s="68" t="inlineStr">
        <is>
          <t>Abnormal;Auto;Auto;Abnormal</t>
        </is>
      </c>
      <c r="I788" s="68" t="inlineStr">
        <is>
          <t>FALSE;TRUE;TRUE;FALSE</t>
        </is>
      </c>
      <c r="J788" s="68" t="inlineStr">
        <is>
          <t>Alarme de Estado em Ponto Telessinalizado SS</t>
        </is>
      </c>
      <c r="K788" s="69" t="inlineStr">
        <is>
          <t>Alarme de Estado em Ponto Telessinalizado SS</t>
        </is>
      </c>
      <c r="L788" s="69">
        <f>VLOOKUP(LinkTable6789[[#This Row],[Coluna1]],[4]AlarmCatalog!$A:$M,11,FALSE)</f>
        <v/>
      </c>
    </row>
    <row r="789" ht="16.5" customFormat="1" customHeight="1" s="67">
      <c r="A789" s="68" t="inlineStr">
        <is>
          <t>DESLIGAR@LIGAR___DESLIGADO@LIGADO___SwitchStatus_S_TC_ST</t>
        </is>
      </c>
      <c r="B789" s="68" t="inlineStr"/>
      <c r="C789" s="68" t="inlineStr">
        <is>
          <t>Transit;DESLIGADO;LIGADO;Error</t>
        </is>
      </c>
      <c r="D789" s="68" t="inlineStr">
        <is>
          <t>0;1;2;3</t>
        </is>
      </c>
      <c r="E789" s="68" t="inlineStr">
        <is>
          <t>2;0;1;3</t>
        </is>
      </c>
      <c r="F789" s="68" t="inlineStr">
        <is>
          <t>;DESLIGAR;LIGAR;</t>
        </is>
      </c>
      <c r="G789" s="68" t="inlineStr">
        <is>
          <t>#FF000000;#FF00FF00;#FFFF0000;#FFA9A9A9</t>
        </is>
      </c>
      <c r="H789" s="68" t="inlineStr">
        <is>
          <t>Abnormal;Auto;Auto;Abnormal</t>
        </is>
      </c>
      <c r="I789" s="68" t="inlineStr">
        <is>
          <t>FALSE;TRUE;TRUE;FALSE</t>
        </is>
      </c>
      <c r="J789" s="68" t="inlineStr">
        <is>
          <t>Alarme de Estado em Ponto Telecontrolado ST</t>
        </is>
      </c>
      <c r="K789" s="69" t="inlineStr">
        <is>
          <t>Alarme de Estado em Ponto Telecontrolado ST</t>
        </is>
      </c>
      <c r="L789" s="69">
        <f>VLOOKUP(LinkTable6789[[#This Row],[Coluna1]],[4]AlarmCatalog!$A:$M,11,FALSE)</f>
        <v/>
      </c>
    </row>
    <row r="790" ht="16.5" customFormat="1" customHeight="1" s="67">
      <c r="A790" s="68" t="inlineStr">
        <is>
          <t>ABRIR@FECHAR___ABERTO@FECHADO___SwitchStatus_S_TC_ST</t>
        </is>
      </c>
      <c r="B790" s="68" t="inlineStr"/>
      <c r="C790" s="68" t="inlineStr">
        <is>
          <t>Transit;ABERTO;FECHADO;Error</t>
        </is>
      </c>
      <c r="D790" s="68" t="inlineStr">
        <is>
          <t>0;1;2;3</t>
        </is>
      </c>
      <c r="E790" s="68" t="inlineStr">
        <is>
          <t>2;0;1;3</t>
        </is>
      </c>
      <c r="F790" s="68" t="inlineStr">
        <is>
          <t>;ABRIR;FECHAR;</t>
        </is>
      </c>
      <c r="G790" s="68" t="inlineStr">
        <is>
          <t>#FF000000;#FF00FF00;#FFFF0000;#FFA9A9A9</t>
        </is>
      </c>
      <c r="H790" s="68" t="inlineStr">
        <is>
          <t>Abnormal;Auto;Auto;Abnormal</t>
        </is>
      </c>
      <c r="I790" s="68" t="inlineStr">
        <is>
          <t>FALSE;TRUE;TRUE;FALSE</t>
        </is>
      </c>
      <c r="J790" s="68" t="inlineStr">
        <is>
          <t>Alarme de Estado em Ponto Telecontrolado ST</t>
        </is>
      </c>
      <c r="K790" s="69" t="inlineStr">
        <is>
          <t>Alarme de Estado em Ponto Telecontrolado ST</t>
        </is>
      </c>
      <c r="L790" s="69">
        <f>VLOOKUP(LinkTable6789[[#This Row],[Coluna1]],[4]AlarmCatalog!$A:$M,11,FALSE)</f>
        <v/>
      </c>
    </row>
    <row r="791" ht="16.5" customFormat="1" customHeight="1" s="67">
      <c r="A791" s="68" t="inlineStr">
        <is>
          <t>Switch.SwitchStatus</t>
        </is>
      </c>
      <c r="B791" s="68" t="inlineStr"/>
      <c r="C791" s="68" t="inlineStr">
        <is>
          <t>Error;ABERTO;FECHADO;Transit</t>
        </is>
      </c>
      <c r="D791" s="68" t="inlineStr">
        <is>
          <t>0;1;2;3</t>
        </is>
      </c>
      <c r="E791" s="68" t="inlineStr">
        <is>
          <t>0;1;2;3</t>
        </is>
      </c>
      <c r="F791" s="68" t="inlineStr">
        <is>
          <t>;ABRIR;FECHAR;</t>
        </is>
      </c>
      <c r="G791" s="68" t="inlineStr">
        <is>
          <t>#00000000;#FF00FF00;#FFFF0000;#00000000</t>
        </is>
      </c>
      <c r="H791" s="68" t="inlineStr">
        <is>
          <t>Abnormal;Normal;Normal;Abnormal</t>
        </is>
      </c>
      <c r="I791" s="68" t="inlineStr">
        <is>
          <t>TRUE;TRUE;TRUE;TRUE</t>
        </is>
      </c>
      <c r="J791" s="68" t="n"/>
      <c r="K791" s="69" t="n"/>
      <c r="L791" s="69">
        <f>VLOOKUP(LinkTable6789[[#This Row],[Coluna1]],[4]AlarmCatalog!$A:$M,11,FALSE)</f>
        <v/>
      </c>
    </row>
    <row r="792" ht="16.5" customFormat="1" customHeight="1" s="67">
      <c r="A792" s="68" t="inlineStr">
        <is>
          <t>RegulatingControl.Enabled</t>
        </is>
      </c>
      <c r="B792" s="68" t="inlineStr"/>
      <c r="C792" s="68" t="inlineStr">
        <is>
          <t>Error;DISABLED;ENABLED;Transit</t>
        </is>
      </c>
      <c r="D792" s="68" t="inlineStr">
        <is>
          <t>0;1;2;3</t>
        </is>
      </c>
      <c r="E792" s="68" t="inlineStr">
        <is>
          <t>0;1;2;3</t>
        </is>
      </c>
      <c r="F792" s="68" t="inlineStr">
        <is>
          <t>;DISABLE;ENABLE;</t>
        </is>
      </c>
      <c r="G792" s="68" t="inlineStr">
        <is>
          <t>#00000000;#00FF0000;#0000FF00;#00000000</t>
        </is>
      </c>
      <c r="H792" s="68" t="inlineStr">
        <is>
          <t>Normal;Normal;Normal;Normal</t>
        </is>
      </c>
      <c r="I792" s="68" t="inlineStr">
        <is>
          <t>TRUE;TRUE;TRUE;TRUE</t>
        </is>
      </c>
      <c r="J792" s="68" t="n"/>
      <c r="K792" s="69" t="n"/>
      <c r="L792" s="69">
        <f>VLOOKUP(LinkTable6789[[#This Row],[Coluna1]],[4]AlarmCatalog!$A:$M,11,FALSE)</f>
        <v/>
      </c>
    </row>
    <row r="793" ht="16.5" customFormat="1" customHeight="1" s="67">
      <c r="A793" s="68" t="inlineStr">
        <is>
          <t>Fuse.SwitchStatus</t>
        </is>
      </c>
      <c r="B793" s="68" t="inlineStr"/>
      <c r="C793" s="68" t="inlineStr">
        <is>
          <t>Error;ABERTO;FECHADO;Transit</t>
        </is>
      </c>
      <c r="D793" s="68" t="inlineStr">
        <is>
          <t>0;1;2;3</t>
        </is>
      </c>
      <c r="E793" s="68" t="inlineStr">
        <is>
          <t>0;1;2;3</t>
        </is>
      </c>
      <c r="F793" s="68" t="inlineStr">
        <is>
          <t>;ABRIR;FECHAR;</t>
        </is>
      </c>
      <c r="G793" s="68" t="inlineStr">
        <is>
          <t>#00000000;#0000FF00;#00FF0000;#00000000</t>
        </is>
      </c>
      <c r="H793" s="68" t="inlineStr">
        <is>
          <t>Abnormal;Normal;Normal;Abnormal</t>
        </is>
      </c>
      <c r="I793" s="68" t="inlineStr">
        <is>
          <t>TRUE;TRUE;TRUE;TRUE</t>
        </is>
      </c>
      <c r="J793" s="68" t="n"/>
      <c r="K793" s="69" t="n"/>
      <c r="L793" s="69">
        <f>VLOOKUP(LinkTable6789[[#This Row],[Coluna1]],[4]AlarmCatalog!$A:$M,11,FALSE)</f>
        <v/>
      </c>
    </row>
    <row r="794" ht="16.5" customFormat="1" customHeight="1" s="67">
      <c r="A794" s="68" t="inlineStr">
        <is>
          <t>ProtectionEquipment.Enabled</t>
        </is>
      </c>
      <c r="B794" s="68" t="inlineStr"/>
      <c r="C794" s="68" t="inlineStr">
        <is>
          <t>Error;DISABLED;ENABLED;Transit</t>
        </is>
      </c>
      <c r="D794" s="68" t="inlineStr">
        <is>
          <t>0;1;2;3</t>
        </is>
      </c>
      <c r="E794" s="68" t="inlineStr">
        <is>
          <t>0;1;2;3</t>
        </is>
      </c>
      <c r="F794" s="68" t="inlineStr">
        <is>
          <t>;DISABLE;ENABLE;</t>
        </is>
      </c>
      <c r="G794" s="68" t="inlineStr">
        <is>
          <t>#00000000;#00FF0000;#0000FF00;#00000000</t>
        </is>
      </c>
      <c r="H794" s="68" t="inlineStr">
        <is>
          <t>Normal;Normal;Normal;Normal</t>
        </is>
      </c>
      <c r="I794" s="68" t="inlineStr">
        <is>
          <t>TRUE;TRUE;TRUE;TRUE</t>
        </is>
      </c>
      <c r="J794" s="68" t="n"/>
      <c r="K794" s="69" t="n"/>
      <c r="L794" s="69">
        <f>VLOOKUP(LinkTable6789[[#This Row],[Coluna1]],[4]AlarmCatalog!$A:$M,11,FALSE)</f>
        <v/>
      </c>
    </row>
    <row r="795" ht="16.5" customFormat="1" customHeight="1" s="67">
      <c r="A795" s="68" t="inlineStr">
        <is>
          <t>ProtectionEquipment.ReclosingEnabled</t>
        </is>
      </c>
      <c r="B795" s="68" t="inlineStr"/>
      <c r="C795" s="68" t="inlineStr">
        <is>
          <t>Error;DISABLED;ENABLED;Transit</t>
        </is>
      </c>
      <c r="D795" s="68" t="inlineStr">
        <is>
          <t>0;1;2;3</t>
        </is>
      </c>
      <c r="E795" s="68" t="inlineStr">
        <is>
          <t>0;1;2;3</t>
        </is>
      </c>
      <c r="F795" s="68" t="inlineStr">
        <is>
          <t>;DISABLE;ENABLE;</t>
        </is>
      </c>
      <c r="G795" s="68" t="inlineStr">
        <is>
          <t>#00000000;#00FF0000;#0000FF00;#00000000</t>
        </is>
      </c>
      <c r="H795" s="68" t="inlineStr">
        <is>
          <t>Normal;Normal;Normal;Normal</t>
        </is>
      </c>
      <c r="I795" s="68" t="inlineStr">
        <is>
          <t>TRUE;TRUE;TRUE;TRUE</t>
        </is>
      </c>
      <c r="J795" s="68" t="n"/>
      <c r="K795" s="69" t="n"/>
      <c r="L795" s="69">
        <f>VLOOKUP(LinkTable6789[[#This Row],[Coluna1]],[4]AlarmCatalog!$A:$M,11,FALSE)</f>
        <v/>
      </c>
    </row>
    <row r="796" ht="16.5" customFormat="1" customHeight="1" s="67">
      <c r="A796" s="68" t="inlineStr">
        <is>
          <t>Reclosing.Enabled</t>
        </is>
      </c>
      <c r="B796" s="68" t="inlineStr"/>
      <c r="C796" s="68" t="inlineStr">
        <is>
          <t>Error;DESABILITADO;HABILITADO;Transit</t>
        </is>
      </c>
      <c r="D796" s="68" t="inlineStr">
        <is>
          <t>0;1;2;3</t>
        </is>
      </c>
      <c r="E796" s="68" t="inlineStr">
        <is>
          <t>0;1;2;3</t>
        </is>
      </c>
      <c r="F796" s="68" t="inlineStr">
        <is>
          <t>;DESABILITAR;HABILITAR;</t>
        </is>
      </c>
      <c r="G796" s="68" t="inlineStr">
        <is>
          <t>#00000000;#00FF0000;#0000FF00;#00000000</t>
        </is>
      </c>
      <c r="H796" s="68" t="inlineStr">
        <is>
          <t>Normal;Normal;Normal;Normal</t>
        </is>
      </c>
      <c r="I796" s="68" t="inlineStr">
        <is>
          <t>TRUE;TRUE;TRUE;TRUE</t>
        </is>
      </c>
      <c r="J796" s="68" t="n"/>
      <c r="K796" s="69" t="n"/>
      <c r="L796" s="69">
        <f>VLOOKUP(LinkTable6789[[#This Row],[Coluna1]],[4]AlarmCatalog!$A:$M,11,FALSE)</f>
        <v/>
      </c>
    </row>
    <row r="797" ht="16.5" customFormat="1" customHeight="1" s="67">
      <c r="A797" s="68" t="inlineStr">
        <is>
          <t>TapIncrement</t>
        </is>
      </c>
      <c r="B797" s="68" t="inlineStr"/>
      <c r="C797" s="68" t="inlineStr">
        <is>
          <t>Error;;;Transit</t>
        </is>
      </c>
      <c r="D797" s="68" t="inlineStr">
        <is>
          <t>0;1;2;3</t>
        </is>
      </c>
      <c r="E797" s="68" t="inlineStr">
        <is>
          <t>0;1;2;3</t>
        </is>
      </c>
      <c r="F797" s="68" t="inlineStr">
        <is>
          <t>;DIMINUIR;AUMENTAR;</t>
        </is>
      </c>
      <c r="G797" s="68" t="inlineStr">
        <is>
          <t>#00000000;#00FF0000;#0000FF00;#00000000</t>
        </is>
      </c>
      <c r="H797" s="68" t="inlineStr">
        <is>
          <t>Normal;Normal;Normal;Normal</t>
        </is>
      </c>
      <c r="I797" s="68" t="inlineStr">
        <is>
          <t>TRUE;TRUE;TRUE;TRUE</t>
        </is>
      </c>
      <c r="J797" s="68" t="n"/>
      <c r="K797" s="69" t="n"/>
      <c r="L797" s="69">
        <f>VLOOKUP(LinkTable6789[[#This Row],[Coluna1]],[4]AlarmCatalog!$A:$M,11,FALSE)</f>
        <v/>
      </c>
    </row>
    <row r="798" ht="16.5" customFormat="1" customHeight="1" s="67">
      <c r="A798" s="68" t="inlineStr">
        <is>
          <t>RegulatingControl.Refresh</t>
        </is>
      </c>
      <c r="B798" s="68" t="inlineStr"/>
      <c r="C798" s="68" t="inlineStr">
        <is>
          <t>Error;Refresh;HeartBeat;Transit</t>
        </is>
      </c>
      <c r="D798" s="68" t="inlineStr">
        <is>
          <t>0;1;2;3</t>
        </is>
      </c>
      <c r="E798" s="68" t="inlineStr">
        <is>
          <t>0;1;2;3</t>
        </is>
      </c>
      <c r="F798" s="68" t="inlineStr">
        <is>
          <t>;Refresh;HeartBeat;</t>
        </is>
      </c>
      <c r="G798" s="68" t="inlineStr">
        <is>
          <t>#00000000;#00FF0000;#0000FF00;#00000000</t>
        </is>
      </c>
      <c r="H798" s="68" t="inlineStr">
        <is>
          <t>Normal;Normal;Normal;Normal</t>
        </is>
      </c>
      <c r="I798" s="68" t="inlineStr">
        <is>
          <t>TRUE;TRUE;TRUE;TRUE</t>
        </is>
      </c>
      <c r="J798" s="68" t="n"/>
      <c r="K798" s="69" t="n"/>
      <c r="L798" s="69">
        <f>VLOOKUP(LinkTable6789[[#This Row],[Coluna1]],[4]AlarmCatalog!$A:$M,11,FALSE)</f>
        <v/>
      </c>
    </row>
    <row r="799" ht="16.5" customFormat="1" customHeight="1" s="67">
      <c r="A799" s="68" t="inlineStr">
        <is>
          <t>FaultIndicator.FaultStatus</t>
        </is>
      </c>
      <c r="B799" s="68" t="inlineStr"/>
      <c r="C799" s="68" t="inlineStr">
        <is>
          <t>Error;Open;Closed;Transit</t>
        </is>
      </c>
      <c r="D799" s="68" t="inlineStr">
        <is>
          <t>0;1;2;3</t>
        </is>
      </c>
      <c r="E799" s="68" t="inlineStr">
        <is>
          <t>0;1;2;3</t>
        </is>
      </c>
      <c r="F799" s="68" t="inlineStr">
        <is>
          <t>;Open;Close;</t>
        </is>
      </c>
      <c r="G799" s="68" t="inlineStr">
        <is>
          <t>#00000000;#0000FF00;#00FF0000;#00000000</t>
        </is>
      </c>
      <c r="H799" s="68" t="inlineStr">
        <is>
          <t>Abnormal;Normal;Normal;Abnormal</t>
        </is>
      </c>
      <c r="I799" s="68" t="inlineStr">
        <is>
          <t>TRUE;TRUE;TRUE;TRUE</t>
        </is>
      </c>
      <c r="J799" s="68" t="n"/>
      <c r="K799" s="69" t="n"/>
      <c r="L799" s="69">
        <f>VLOOKUP(LinkTable6789[[#This Row],[Coluna1]],[4]AlarmCatalog!$A:$M,11,FALSE)</f>
        <v/>
      </c>
    </row>
    <row r="800" ht="16.5" customFormat="1" customHeight="1" s="67">
      <c r="A800" s="68" t="inlineStr">
        <is>
          <t>DI_ANTENA</t>
        </is>
      </c>
      <c r="B800" s="68" t="inlineStr"/>
      <c r="C800" s="68" t="inlineStr">
        <is>
          <t>OMNI;OMNI AMP;DIRECIONAL;DIREC AMP;RESERVADO;INDEFINIDO</t>
        </is>
      </c>
      <c r="D800" s="68" t="inlineStr">
        <is>
          <t>0;1;2;3;4;5</t>
        </is>
      </c>
      <c r="E800" s="68" t="inlineStr">
        <is>
          <t>0;1;2;3;4;5</t>
        </is>
      </c>
      <c r="F800" s="68" t="inlineStr">
        <is>
          <t>OMNI;OMNI AMP;DIRECIONAL;DIREC AMP;RESERVADO;INDEFINIDO</t>
        </is>
      </c>
      <c r="G800" s="68" t="inlineStr">
        <is>
          <t>#00A9A9A9;#00A9A9A9;#00A9A9A9;#00A9A9A9;#00A9A9A9;#00A9A9A9</t>
        </is>
      </c>
      <c r="H800" s="68" t="inlineStr">
        <is>
          <t>Normal;Normal;Normal;Normal;Normal;Normal</t>
        </is>
      </c>
      <c r="I800" s="68" t="inlineStr">
        <is>
          <t>FALSE;FALSE;FALSE;FALSE;FALSE;FALSE</t>
        </is>
      </c>
      <c r="J800" s="68" t="n"/>
      <c r="K800" s="69" t="n"/>
      <c r="L800" s="69">
        <f>VLOOKUP(LinkTable6789[[#This Row],[Coluna1]],[4]AlarmCatalog!$A:$M,11,FALSE)</f>
        <v/>
      </c>
    </row>
    <row r="801" ht="16.5" customFormat="1" customHeight="1" s="67">
      <c r="A801" s="68" t="inlineStr">
        <is>
          <t>DI_MODEM</t>
        </is>
      </c>
      <c r="B801" s="68" t="inlineStr"/>
      <c r="C801" s="68" t="inlineStr">
        <is>
          <t>ATIVA HORIZON;UTW;V2COM;ROBUSTEL;SILVER SPRING;ATIVA;VELP;DWF;INDEFINIDO</t>
        </is>
      </c>
      <c r="D801" s="68" t="inlineStr">
        <is>
          <t>0;1;2;3;4;5;6;7;8</t>
        </is>
      </c>
      <c r="E801" s="68" t="inlineStr">
        <is>
          <t>0;1;2;3;4;5;6;7;8</t>
        </is>
      </c>
      <c r="F801" s="68" t="inlineStr">
        <is>
          <t>ATIVA HORIZON;UTW;V2COM;ROBUSTEL;SILVER SPRING;ATIVA;VELP;DWF;INDEFINIDO</t>
        </is>
      </c>
      <c r="G801" s="68" t="inlineStr">
        <is>
          <t>#00A9A9A9;#00A9A9A9;#00A9A9A9;#00A9A9A9;#00A9A9A9;#00A9A9A9;#00A9A9A9;#00A9A9A9;#00000000</t>
        </is>
      </c>
      <c r="H801" s="68" t="inlineStr">
        <is>
          <t>Normal;Normal;Normal;Normal;Normal;Normal;Normal;Normal;Normal</t>
        </is>
      </c>
      <c r="I801" s="68" t="inlineStr">
        <is>
          <t>FALSE;FALSE;FALSE;FALSE;FALSE;FALSE;FALSE;FALSE;TRUE</t>
        </is>
      </c>
      <c r="J801" s="68" t="n"/>
      <c r="K801" s="69" t="n"/>
      <c r="L801" s="69">
        <f>VLOOKUP(LinkTable6789[[#This Row],[Coluna1]],[4]AlarmCatalog!$A:$M,11,FALSE)</f>
        <v/>
      </c>
    </row>
    <row r="802" ht="16.5" customFormat="1" customHeight="1" s="67">
      <c r="A802" s="68" t="inlineStr">
        <is>
          <t>null@null___HABILITADO@DESABILITADO___Custom_S_TS_SS</t>
        </is>
      </c>
      <c r="B802" s="68" t="inlineStr"/>
      <c r="C802" s="68" t="inlineStr">
        <is>
          <t>Transit;HABILITADO;DESABILITADO;Error</t>
        </is>
      </c>
      <c r="D802" s="68" t="inlineStr">
        <is>
          <t>0;1;2;3</t>
        </is>
      </c>
      <c r="E802" s="68" t="inlineStr">
        <is>
          <t>2;0;1;3</t>
        </is>
      </c>
      <c r="F802" s="68" t="inlineStr">
        <is>
          <t>;;;</t>
        </is>
      </c>
      <c r="G802" s="68" t="inlineStr">
        <is>
          <t>#FF000000;#FF00FF00;#FFFF0000;#FFA9A9A9</t>
        </is>
      </c>
      <c r="H802" s="68" t="inlineStr">
        <is>
          <t>Abnormal;Auto;Auto;Abnormal</t>
        </is>
      </c>
      <c r="I802" s="68" t="inlineStr">
        <is>
          <t>FALSE;TRUE;TRUE;FALSE</t>
        </is>
      </c>
      <c r="J802" s="68" t="inlineStr">
        <is>
          <t>Alarme de Estado em Ponto Telessinalizado SS</t>
        </is>
      </c>
      <c r="K802" s="69" t="inlineStr">
        <is>
          <t>Alarme de Estado em Ponto Telessinalizado SS</t>
        </is>
      </c>
      <c r="L802" s="69">
        <f>VLOOKUP(LinkTable6789[[#This Row],[Coluna1]],[4]AlarmCatalog!$A:$M,11,FALSE)</f>
        <v/>
      </c>
    </row>
    <row r="803" ht="16.5" customFormat="1" customHeight="1" s="67">
      <c r="A803" s="68" t="inlineStr">
        <is>
          <t>Reclosing.Enabled.Manual</t>
        </is>
      </c>
      <c r="B803" s="68" t="inlineStr"/>
      <c r="C803" s="68" t="inlineStr">
        <is>
          <t>Error;INCLUIDO;EXCLUIDO;Transit</t>
        </is>
      </c>
      <c r="D803" s="68" t="inlineStr">
        <is>
          <t>0;2;1;3</t>
        </is>
      </c>
      <c r="E803" s="68" t="inlineStr">
        <is>
          <t>2;1;0;3</t>
        </is>
      </c>
      <c r="F803" s="68" t="inlineStr">
        <is>
          <t>;INCLUIR;EXCLUIR;</t>
        </is>
      </c>
      <c r="G803" s="68" t="inlineStr">
        <is>
          <t>#00000000;#00FF0000;#0000FF00;#00000000</t>
        </is>
      </c>
      <c r="H803" s="68" t="inlineStr">
        <is>
          <t>Normal;Normal;Normal;Normal</t>
        </is>
      </c>
      <c r="I803" s="68" t="inlineStr">
        <is>
          <t>TRUE;TRUE;TRUE;TRUE</t>
        </is>
      </c>
      <c r="J803" s="68" t="n"/>
      <c r="K803" s="69" t="n"/>
      <c r="L803" s="69">
        <f>VLOOKUP(LinkTable6789[[#This Row],[Coluna1]],[4]AlarmCatalog!$A:$M,11,FALSE)</f>
        <v/>
      </c>
    </row>
    <row r="804" ht="16.5" customFormat="1" customHeight="1" s="67">
      <c r="A804" s="68" t="inlineStr">
        <is>
          <t>DI_RT_OPER_FLUXO</t>
        </is>
      </c>
      <c r="B804" s="68" t="inlineStr"/>
      <c r="C804" s="68" t="inlineStr">
        <is>
          <t>BIDIRECIONAL;UNIDIRECIONAL;BIDIRECIONAL BLOQ. (I=0);;COGERAÇÃO;;;;BIDIRECIONAL;;;;;;;</t>
        </is>
      </c>
      <c r="D804" s="68" t="inlineStr">
        <is>
          <t>0;1;2;3;4;5;6;7;8;9;10;11;12;13;14;15</t>
        </is>
      </c>
      <c r="E804" s="68" t="inlineStr">
        <is>
          <t>0;1;2;3;4;5;6;7;8;9;10;11;12;13;14;15</t>
        </is>
      </c>
      <c r="F804" s="68" t="inlineStr">
        <is>
          <t>;;;;;;;;;;;;;;;</t>
        </is>
      </c>
      <c r="G804" s="68" t="inlineStr">
        <is>
          <t>#00A9A9A9;#00A9A9A9;#00A9A9A9;#00A9A9A9;#00A9A9A9;#00A9A9A9;#00A9A9A9;#00A9A9A9;#00000000;#00000000;#00000000;#00000000;#00000000;#00000000;#00000000;#00000000</t>
        </is>
      </c>
      <c r="H804" s="68" t="inlineStr">
        <is>
          <t>Normal;Normal;Normal;Normal;Normal;Abnormal;Abnormal;Abnormal;Normal;Abnormal;Abnormal;Abnormal;Abnormal;Abnormal;Abnormal;Abnormal</t>
        </is>
      </c>
      <c r="I804" s="68" t="inlineStr">
        <is>
          <t>TRUE;TRUE;TRUE;FALSE;TRUE;FALSE;FALSE;FALSE;TRUE;TRUE;TRUE;TRUE;TRUE;TRUE;TRUE;TRUE</t>
        </is>
      </c>
      <c r="J804" s="68" t="n"/>
      <c r="K804" s="69" t="n"/>
      <c r="L804" s="69">
        <f>VLOOKUP(LinkTable6789[[#This Row],[Coluna1]],[4]AlarmCatalog!$A:$M,11,FALSE)</f>
        <v/>
      </c>
    </row>
    <row r="805" ht="16.5" customFormat="1" customHeight="1" s="67">
      <c r="A805" s="68" t="inlineStr">
        <is>
          <t>null@null___23kV@13,8kV___Custom_S_TS</t>
        </is>
      </c>
      <c r="B805" s="68" t="inlineStr"/>
      <c r="C805" s="68" t="inlineStr">
        <is>
          <t>Error;23kV;13,8kV;Transit</t>
        </is>
      </c>
      <c r="D805" s="68" t="inlineStr">
        <is>
          <t>0;1;2;3</t>
        </is>
      </c>
      <c r="E805" s="68" t="inlineStr">
        <is>
          <t>2;1;0;3</t>
        </is>
      </c>
      <c r="F805" s="68" t="inlineStr">
        <is>
          <t>;;;</t>
        </is>
      </c>
      <c r="G805" s="68" t="inlineStr">
        <is>
          <t>#00000000;#FF00FF00;#FFFF0000;#00000000</t>
        </is>
      </c>
      <c r="H805" s="68" t="inlineStr">
        <is>
          <t>Abnormal;Normal;Normal;Abnormal</t>
        </is>
      </c>
      <c r="I805" s="68" t="inlineStr">
        <is>
          <t>TRUE;TRUE;TRUE;TRUE</t>
        </is>
      </c>
      <c r="J805" s="68" t="n"/>
      <c r="K805" s="69" t="n"/>
      <c r="L805" s="69">
        <f>VLOOKUP(LinkTable6789[[#This Row],[Coluna1]],[4]AlarmCatalog!$A:$M,11,FALSE)</f>
        <v/>
      </c>
    </row>
    <row r="806" ht="16.5" customFormat="1" customHeight="1" s="67">
      <c r="A806" s="68" t="inlineStr">
        <is>
          <t>null@null___138kV@69kV___Custom_S_TS</t>
        </is>
      </c>
      <c r="B806" s="68" t="inlineStr"/>
      <c r="C806" s="68" t="inlineStr">
        <is>
          <t>Error;138kV;69kV;Transit</t>
        </is>
      </c>
      <c r="D806" s="68" t="inlineStr">
        <is>
          <t>0;1;2;3</t>
        </is>
      </c>
      <c r="E806" s="68" t="inlineStr">
        <is>
          <t>2;1;0;3</t>
        </is>
      </c>
      <c r="F806" s="68" t="inlineStr">
        <is>
          <t>;;;</t>
        </is>
      </c>
      <c r="G806" s="68" t="inlineStr">
        <is>
          <t>#00000000;#FF00FF00;#FFFF0000;#00000000</t>
        </is>
      </c>
      <c r="H806" s="68" t="inlineStr">
        <is>
          <t>Abnormal;Normal;Normal;Abnormal</t>
        </is>
      </c>
      <c r="I806" s="68" t="inlineStr">
        <is>
          <t>TRUE;TRUE;TRUE;TRUE</t>
        </is>
      </c>
      <c r="J806" s="68" t="n"/>
      <c r="K806" s="69" t="n"/>
      <c r="L806" s="69">
        <f>VLOOKUP(LinkTable6789[[#This Row],[Coluna1]],[4]AlarmCatalog!$A:$M,11,FALSE)</f>
        <v/>
      </c>
    </row>
    <row r="807" ht="15.75" customHeight="1">
      <c r="A807" s="72" t="inlineStr">
        <is>
          <t>null@null___REMOTO@LOCAL__Local_S_TS_SS</t>
        </is>
      </c>
      <c r="B807" s="72" t="n"/>
      <c r="C807" s="73" t="inlineStr">
        <is>
          <t>Transit;REMOTO;LOCAL;Error</t>
        </is>
      </c>
      <c r="D807" s="73" t="inlineStr">
        <is>
          <t>0;1;2;3</t>
        </is>
      </c>
      <c r="E807" s="73" t="inlineStr">
        <is>
          <t>2;0;1;3</t>
        </is>
      </c>
      <c r="F807" s="68" t="inlineStr">
        <is>
          <t>;;;</t>
        </is>
      </c>
      <c r="G807" s="68" t="inlineStr">
        <is>
          <t>#FF000000;#FF00FF00;#FFFF0000;#FFA9A9A9</t>
        </is>
      </c>
      <c r="H807" s="68" t="inlineStr">
        <is>
          <t>Abnormal;Auto;Auto;Abnormal</t>
        </is>
      </c>
      <c r="I807" s="68" t="inlineStr">
        <is>
          <t>FALSE;TRUE;TRUE;FALSE</t>
        </is>
      </c>
      <c r="J807" s="68" t="inlineStr">
        <is>
          <t>Alarme de Estado em Ponto Telessinalizado SS</t>
        </is>
      </c>
      <c r="K807" s="74" t="inlineStr">
        <is>
          <t>Alarme de Estado em Ponto Telessinalizado SS</t>
        </is>
      </c>
      <c r="L807" s="74">
        <f>VLOOKUP(LinkTable6789[[#This Row],[Coluna1]],[4]AlarmCatalog!$A:$M,11,FALSE)</f>
        <v/>
      </c>
    </row>
    <row r="808" ht="16.5" customHeight="1">
      <c r="A808" s="75" t="inlineStr">
        <is>
          <t>null@null___DESABILITADO@HABILITADO___Custom_S_TS_SV</t>
        </is>
      </c>
      <c r="B808" s="76" t="inlineStr"/>
      <c r="C808" s="76" t="inlineStr">
        <is>
          <t>Transit;DESABILITADO;HABILITADO;Error</t>
        </is>
      </c>
      <c r="D808" s="76" t="inlineStr">
        <is>
          <t>0;1;2;3</t>
        </is>
      </c>
      <c r="E808" s="76" t="inlineStr">
        <is>
          <t>2;0;1;3</t>
        </is>
      </c>
      <c r="F808" s="69" t="inlineStr">
        <is>
          <t>Alarme de Estado em Ponto Telessinalizado DV</t>
        </is>
      </c>
      <c r="G808" s="69" t="inlineStr">
        <is>
          <t>Severidade 5</t>
        </is>
      </c>
      <c r="H808" s="77" t="n"/>
      <c r="I808" s="77" t="n"/>
      <c r="J808" s="77" t="n"/>
      <c r="K808" s="69" t="inlineStr">
        <is>
          <t>Alarme de Estado em Ponto Telessinalizado SV</t>
        </is>
      </c>
      <c r="L808" s="78">
        <f>VLOOKUP(LinkTable6789[[#This Row],[Coluna1]],[4]AlarmCatalog!$A:$M,11,FALSE)</f>
        <v/>
      </c>
    </row>
    <row r="809">
      <c r="A809" s="77" t="inlineStr">
        <is>
          <t>null@COMANDADO___DESATIVADO@ATIVADO___Custom_S_TC_SS</t>
        </is>
      </c>
      <c r="B809" s="77" t="n"/>
      <c r="C809" s="76" t="inlineStr">
        <is>
          <t>Transit;DESABILITADO;HABILITADO;Error</t>
        </is>
      </c>
      <c r="D809" s="76" t="inlineStr">
        <is>
          <t>0;1;2;3</t>
        </is>
      </c>
      <c r="E809" s="76" t="inlineStr">
        <is>
          <t>2;0;1;3</t>
        </is>
      </c>
      <c r="F809" s="77" t="n"/>
      <c r="G809" s="77" t="n"/>
      <c r="H809" s="77" t="n"/>
      <c r="I809" s="77" t="n"/>
      <c r="J809" s="77" t="n"/>
      <c r="K809" s="69" t="inlineStr">
        <is>
          <t>Alarme de Estado em Ponto Telecontrolado SS</t>
        </is>
      </c>
      <c r="L809" s="69">
        <f>VLOOKUP(LinkTable6789[[#This Row],[Coluna1]],[4]AlarmCatalog!$A:$M,11,FALSE)</f>
        <v/>
      </c>
    </row>
  </sheetData>
  <conditionalFormatting sqref="A2:A809 D2:E809">
    <cfRule type="containsBlanks" priority="1" dxfId="6">
      <formula>LEN(TRIM(A2))=0</formula>
    </cfRule>
  </conditionalFormatting>
  <dataValidations count="1">
    <dataValidation sqref="G2:G807" showDropDown="0" showInputMessage="1" showErrorMessage="1" allowBlank="1" error="entry not valid"/>
  </dataValidations>
  <hyperlinks>
    <hyperlink xmlns:r="http://schemas.openxmlformats.org/officeDocument/2006/relationships" ref="A267" r:id="rId1"/>
    <hyperlink xmlns:r="http://schemas.openxmlformats.org/officeDocument/2006/relationships" ref="A276" r:id="rId2"/>
    <hyperlink xmlns:r="http://schemas.openxmlformats.org/officeDocument/2006/relationships" ref="A419" r:id="rId3"/>
    <hyperlink xmlns:r="http://schemas.openxmlformats.org/officeDocument/2006/relationships" ref="A543" r:id="rId4"/>
    <hyperlink xmlns:r="http://schemas.openxmlformats.org/officeDocument/2006/relationships" ref="A567" r:id="rId5"/>
    <hyperlink xmlns:r="http://schemas.openxmlformats.org/officeDocument/2006/relationships" ref="A629" r:id="rId6"/>
    <hyperlink xmlns:r="http://schemas.openxmlformats.org/officeDocument/2006/relationships" ref="A630" r:id="rId7"/>
    <hyperlink xmlns:r="http://schemas.openxmlformats.org/officeDocument/2006/relationships" ref="A808" r:id="rId8"/>
  </hyperlinks>
  <pageMargins left="0.511811024" right="0.511811024" top="0.787401575" bottom="0.787401575" header="0.31496062" footer="0.31496062"/>
  <legacyDrawing xmlns:r="http://schemas.openxmlformats.org/officeDocument/2006/relationships" r:id="anysvml"/>
  <tableParts count="1">
    <tablePart xmlns:r="http://schemas.openxmlformats.org/officeDocument/2006/relationships" r:id="rId9"/>
  </tableParts>
</worksheet>
</file>

<file path=xl/worksheets/sheet9.xml><?xml version="1.0" encoding="utf-8"?>
<worksheet xmlns="http://schemas.openxmlformats.org/spreadsheetml/2006/main">
  <sheetPr codeName="Planilha8">
    <tabColor theme="5"/>
    <outlinePr summaryBelow="1" summaryRight="1"/>
    <pageSetUpPr/>
  </sheetPr>
  <dimension ref="A1:I21"/>
  <sheetViews>
    <sheetView workbookViewId="0">
      <selection activeCell="F7" sqref="F7"/>
    </sheetView>
  </sheetViews>
  <sheetFormatPr baseColWidth="8" defaultRowHeight="15"/>
  <cols>
    <col width="8.5703125" bestFit="1" customWidth="1" min="1" max="1"/>
    <col width="31.7109375" bestFit="1" customWidth="1" min="2" max="2"/>
    <col width="12.5703125" customWidth="1" min="3" max="3"/>
    <col width="24.7109375" customWidth="1" min="4" max="4"/>
    <col width="32.85546875" customWidth="1" min="5" max="6"/>
    <col width="49.5703125" customWidth="1" min="7" max="7"/>
    <col width="24.140625" customWidth="1" min="8" max="8"/>
    <col width="24.28515625" customWidth="1" min="9" max="9"/>
  </cols>
  <sheetData>
    <row r="1">
      <c r="A1" s="1" t="inlineStr">
        <is>
          <t>SINAL</t>
        </is>
      </c>
      <c r="B1" s="1" t="inlineStr">
        <is>
          <t>DESCRIÇÃO NOVA</t>
        </is>
      </c>
      <c r="C1" s="1" t="inlineStr">
        <is>
          <t>SIGNAL TYPE</t>
        </is>
      </c>
      <c r="D1" s="1" t="inlineStr">
        <is>
          <t>TYPE SEVERIDADE</t>
        </is>
      </c>
      <c r="E1" s="1" t="inlineStr">
        <is>
          <t>FUNÇÃO</t>
        </is>
      </c>
      <c r="F1" s="1" t="inlineStr">
        <is>
          <t>EA</t>
        </is>
      </c>
      <c r="G1" s="1" t="inlineStr">
        <is>
          <t>PE</t>
        </is>
      </c>
      <c r="H1" s="1" t="inlineStr">
        <is>
          <t>Sinal</t>
        </is>
      </c>
      <c r="I1" s="1" t="inlineStr">
        <is>
          <t>Coordenada</t>
        </is>
      </c>
    </row>
    <row r="2" ht="25.5" customFormat="1" customHeight="1" s="60">
      <c r="A2" s="5" t="inlineStr">
        <is>
          <t>79_L</t>
        </is>
      </c>
      <c r="B2" s="5" t="inlineStr">
        <is>
          <t>79 - RELIGAMENTO LOCAL</t>
        </is>
      </c>
      <c r="C2" s="5" t="inlineStr">
        <is>
          <t>Custom</t>
        </is>
      </c>
      <c r="D2" s="5" t="inlineStr">
        <is>
          <t>PROT</t>
        </is>
      </c>
      <c r="E2" s="5" t="inlineStr">
        <is>
          <t>Transit;NORMAL;ATUADO;Error</t>
        </is>
      </c>
      <c r="F2" s="2" t="inlineStr">
        <is>
          <t>CAX; PMI</t>
        </is>
      </c>
      <c r="G2" s="2" t="n"/>
      <c r="H2" s="2" t="inlineStr">
        <is>
          <t>CLA_AL11_52-3_79_L; BGA_AL11_52-9_79_L</t>
        </is>
      </c>
      <c r="I2" s="2" t="inlineStr">
        <is>
          <t>34502; 34672</t>
        </is>
      </c>
    </row>
    <row r="3">
      <c r="A3" s="5" t="inlineStr">
        <is>
          <t>J124</t>
        </is>
      </c>
      <c r="B3" s="5" t="inlineStr">
        <is>
          <t>AJUSTE PARA AL1 OU AL2 OU AL4</t>
        </is>
      </c>
      <c r="C3" s="2" t="inlineStr">
        <is>
          <t>Custom</t>
        </is>
      </c>
      <c r="D3" s="2" t="inlineStr">
        <is>
          <t>ALARMES PREDIAIS/VF/GRUPO</t>
        </is>
      </c>
      <c r="E3" s="2" t="inlineStr">
        <is>
          <t>Transit;DESABILITADO;HABILITADO;Error</t>
        </is>
      </c>
      <c r="F3" s="2" t="inlineStr">
        <is>
          <t>VAI</t>
        </is>
      </c>
      <c r="G3" s="2" t="inlineStr">
        <is>
          <t>Confirmar o funcionamento.</t>
        </is>
      </c>
      <c r="H3" s="2" t="inlineStr">
        <is>
          <t>ENA_TRF2_24-2_J124</t>
        </is>
      </c>
      <c r="I3" s="2" t="n">
        <v>632</v>
      </c>
    </row>
    <row r="4" ht="25.5" customHeight="1">
      <c r="A4" s="2" t="inlineStr">
        <is>
          <t>SF6I</t>
        </is>
      </c>
      <c r="B4" s="5" t="inlineStr">
        <is>
          <t xml:space="preserve">INIBIR TRIP POR BAIXA PRESSAO SF6 </t>
        </is>
      </c>
      <c r="C4" s="2" t="inlineStr">
        <is>
          <t>Custom</t>
        </is>
      </c>
      <c r="D4" s="5" t="inlineStr">
        <is>
          <t>FUNCÕES/43/PARALELISMO</t>
        </is>
      </c>
      <c r="E4" s="2" t="inlineStr">
        <is>
          <t>Transit;NORMAL;INIBIDO;Error</t>
        </is>
      </c>
      <c r="F4" s="2" t="inlineStr">
        <is>
          <t>VAI</t>
        </is>
      </c>
      <c r="G4" s="2" t="inlineStr">
        <is>
          <t>Confirmar o funcionamento. Função inibe o trip por SF6?</t>
        </is>
      </c>
      <c r="H4" s="2" t="inlineStr">
        <is>
          <t>ETB_AL11_52-13_SF6I; ETB_AL21_52-12_SF6I</t>
        </is>
      </c>
      <c r="I4" s="2" t="inlineStr">
        <is>
          <t>508; 547</t>
        </is>
      </c>
    </row>
    <row r="5">
      <c r="A5" s="5" t="inlineStr">
        <is>
          <t>PARALELO</t>
        </is>
      </c>
      <c r="B5" s="5" t="inlineStr">
        <is>
          <t>PARALELO</t>
        </is>
      </c>
      <c r="C5" s="2" t="inlineStr">
        <is>
          <t>Parallel</t>
        </is>
      </c>
      <c r="D5" s="2" t="inlineStr">
        <is>
          <t>FUNCÕES/43/PARALELISMO</t>
        </is>
      </c>
      <c r="E5" s="2" t="inlineStr">
        <is>
          <t>Transit;DESATIVADO;ATIVADO;Error</t>
        </is>
      </c>
      <c r="F5" s="2" t="inlineStr">
        <is>
          <t>VAI</t>
        </is>
      </c>
      <c r="G5" s="2" t="inlineStr">
        <is>
          <t>Confirmar o funcionamento; ponto diferente do padrão.</t>
        </is>
      </c>
      <c r="H5" s="2" t="inlineStr">
        <is>
          <t>VNB_TR1_TR1_PARALELO</t>
        </is>
      </c>
      <c r="I5" s="2" t="n">
        <v>266</v>
      </c>
    </row>
    <row r="6" ht="63.75" customHeight="1">
      <c r="A6" s="2" t="inlineStr">
        <is>
          <t>R90E</t>
        </is>
      </c>
      <c r="B6" s="5" t="inlineStr">
        <is>
          <t>RELE 90 EMERGENCIAL</t>
        </is>
      </c>
      <c r="C6" s="5" t="inlineStr">
        <is>
          <t>Custom</t>
        </is>
      </c>
      <c r="D6" s="2" t="inlineStr">
        <is>
          <t>FUNCÕES/43/PARALELISMO</t>
        </is>
      </c>
      <c r="E6" s="2" t="inlineStr">
        <is>
          <t>Transit;INCLUIDO;EXCLUIDO;Error</t>
        </is>
      </c>
      <c r="F6" s="2" t="inlineStr">
        <is>
          <t>SMA; ALE</t>
        </is>
      </c>
      <c r="G6" s="2" t="inlineStr">
        <is>
          <t>Confirmar o funcionamento.</t>
        </is>
      </c>
      <c r="H6" s="2" t="inlineStr">
        <is>
          <t>SSP_TR1_TR1_R90E; SNA_TR2AT_TR2AT_R90E; SGB_TR1AT_52-2_R90E; SFA_TR2AT_TR2AT_R90E; IQB_TR1_TR1_R90E</t>
        </is>
      </c>
      <c r="I6" s="2" t="inlineStr">
        <is>
          <t>170; 847; 664; 152; 652</t>
        </is>
      </c>
    </row>
    <row r="7">
      <c r="A7" s="2" t="inlineStr">
        <is>
          <t>90PI</t>
        </is>
      </c>
      <c r="B7" s="5" t="inlineStr">
        <is>
          <t>RELE PARALELISMO</t>
        </is>
      </c>
      <c r="C7" s="5" t="inlineStr">
        <is>
          <t>Custom</t>
        </is>
      </c>
      <c r="D7" s="2" t="inlineStr">
        <is>
          <t>FUNCÕES/43/PARALELISMO</t>
        </is>
      </c>
      <c r="E7" s="2" t="inlineStr">
        <is>
          <t>Transit;PARALELO;INDIVIDUAL;Error</t>
        </is>
      </c>
      <c r="F7" s="2" t="inlineStr">
        <is>
          <t>SLE</t>
        </is>
      </c>
      <c r="G7" s="2" t="inlineStr">
        <is>
          <t>Confirmar o funcionamento.</t>
        </is>
      </c>
      <c r="H7" s="2" t="inlineStr">
        <is>
          <t>GTA_TR3_TR3_90PI</t>
        </is>
      </c>
      <c r="I7" s="2" t="n">
        <v>9320</v>
      </c>
    </row>
    <row r="8" ht="25.5" customHeight="1">
      <c r="A8" s="2" t="inlineStr">
        <is>
          <t>FCMC</t>
        </is>
      </c>
      <c r="B8" s="5" t="inlineStr">
        <is>
          <t>FALHA COMUNICACAO MULTIMEDIDOR</t>
        </is>
      </c>
      <c r="C8" s="2" t="inlineStr">
        <is>
          <t>Custom</t>
        </is>
      </c>
      <c r="D8" s="2" t="inlineStr">
        <is>
          <t>FALHAS FCOM/VCA/VCC</t>
        </is>
      </c>
      <c r="E8" s="2" t="inlineStr">
        <is>
          <t>Transit;NORMAL;FALHA;Error</t>
        </is>
      </c>
      <c r="F8" s="2" t="inlineStr">
        <is>
          <t>VAI</t>
        </is>
      </c>
      <c r="G8" s="2" t="inlineStr">
        <is>
          <t>Confirmar o funcionamento.</t>
        </is>
      </c>
      <c r="H8" s="2" t="inlineStr">
        <is>
          <t>ENA_TR1_TR1_FCMC;   VNB_TR2_TR2_FCMC</t>
        </is>
      </c>
      <c r="I8" s="2" t="inlineStr">
        <is>
          <t>103; 270</t>
        </is>
      </c>
    </row>
    <row r="9">
      <c r="A9" s="4" t="inlineStr">
        <is>
          <t>M69C</t>
        </is>
      </c>
      <c r="B9" s="5" t="inlineStr">
        <is>
          <t>DJAUX 69 PAINEL</t>
        </is>
      </c>
      <c r="C9" s="2" t="inlineStr">
        <is>
          <t>Custom</t>
        </is>
      </c>
      <c r="D9" s="2" t="inlineStr">
        <is>
          <t>FALHAS FCOM/VCA/VCC</t>
        </is>
      </c>
      <c r="E9" s="2" t="inlineStr">
        <is>
          <t>Transit;LIGADO;DESLIGADO;Error</t>
        </is>
      </c>
      <c r="F9" s="2" t="inlineStr">
        <is>
          <t>Automação</t>
        </is>
      </c>
      <c r="G9" s="2" t="inlineStr">
        <is>
          <t>Alterar o nome do sinal</t>
        </is>
      </c>
      <c r="H9" s="2" t="n"/>
      <c r="I9" s="2" t="inlineStr">
        <is>
          <t>OK</t>
        </is>
      </c>
    </row>
    <row r="10">
      <c r="A10" s="4" t="inlineStr">
        <is>
          <t>MDP1</t>
        </is>
      </c>
      <c r="B10" s="5" t="inlineStr">
        <is>
          <t>DJAUX TP BARRA P1 PAINEL</t>
        </is>
      </c>
      <c r="C10" s="2" t="inlineStr">
        <is>
          <t>Custom</t>
        </is>
      </c>
      <c r="D10" s="2" t="inlineStr">
        <is>
          <t>FALHAS FCOM/VCA/VCC</t>
        </is>
      </c>
      <c r="E10" s="2" t="inlineStr">
        <is>
          <t>Transit;LIGADO;DESLIGADO;Error</t>
        </is>
      </c>
      <c r="F10" s="2" t="inlineStr">
        <is>
          <t>Automação</t>
        </is>
      </c>
      <c r="G10" s="2" t="inlineStr">
        <is>
          <t>Alterar o nome do sinal</t>
        </is>
      </c>
      <c r="H10" s="2" t="n"/>
      <c r="I10" s="2" t="inlineStr">
        <is>
          <t>OK</t>
        </is>
      </c>
    </row>
    <row r="11">
      <c r="A11" s="4" t="inlineStr">
        <is>
          <t>MDP2</t>
        </is>
      </c>
      <c r="B11" s="5" t="inlineStr">
        <is>
          <t>DJAUX TP BARRA P2 PAINEL</t>
        </is>
      </c>
      <c r="C11" s="2" t="inlineStr">
        <is>
          <t>Custom</t>
        </is>
      </c>
      <c r="D11" s="2" t="inlineStr">
        <is>
          <t>FALHAS FCOM/VCA/VCC</t>
        </is>
      </c>
      <c r="E11" s="2" t="inlineStr">
        <is>
          <t>Transit;LIGADO;DESLIGADO;Error</t>
        </is>
      </c>
      <c r="F11" s="2" t="inlineStr">
        <is>
          <t>Automação</t>
        </is>
      </c>
      <c r="G11" s="2" t="inlineStr">
        <is>
          <t>Alterar o nome do sinal</t>
        </is>
      </c>
      <c r="H11" s="2" t="n"/>
      <c r="I11" s="2" t="inlineStr">
        <is>
          <t>OK</t>
        </is>
      </c>
    </row>
    <row r="12">
      <c r="A12" s="4" t="inlineStr">
        <is>
          <t>MDTP1</t>
        </is>
      </c>
      <c r="B12" s="5" t="inlineStr">
        <is>
          <t>DJAUX TP PATIO BARRAP1</t>
        </is>
      </c>
      <c r="C12" s="2" t="inlineStr">
        <is>
          <t>Custom</t>
        </is>
      </c>
      <c r="D12" s="2" t="inlineStr">
        <is>
          <t>FALHAS FCOM/VCA/VCC</t>
        </is>
      </c>
      <c r="E12" s="2" t="inlineStr">
        <is>
          <t>Transit;LIGADO;DESLIGADO;Error</t>
        </is>
      </c>
      <c r="F12" s="2" t="inlineStr">
        <is>
          <t>Automação</t>
        </is>
      </c>
      <c r="G12" s="2" t="inlineStr">
        <is>
          <t>Alterar o nome do sinal</t>
        </is>
      </c>
      <c r="H12" s="2" t="n"/>
      <c r="I12" s="2" t="inlineStr">
        <is>
          <t>OK</t>
        </is>
      </c>
    </row>
    <row r="13">
      <c r="A13" s="4" t="inlineStr">
        <is>
          <t>MDTP2</t>
        </is>
      </c>
      <c r="B13" s="5" t="inlineStr">
        <is>
          <t>DJAUX TP PATIO BARRAP2</t>
        </is>
      </c>
      <c r="C13" s="2" t="inlineStr">
        <is>
          <t>Custom</t>
        </is>
      </c>
      <c r="D13" s="2" t="inlineStr">
        <is>
          <t>FALHAS FCOM/VCA/VCC</t>
        </is>
      </c>
      <c r="E13" s="2" t="inlineStr">
        <is>
          <t>Transit;LIGADO;DESLIGADO;Error</t>
        </is>
      </c>
      <c r="F13" s="2" t="inlineStr">
        <is>
          <t>Automação</t>
        </is>
      </c>
      <c r="G13" s="2" t="inlineStr">
        <is>
          <t>Alterar o nome do sinal</t>
        </is>
      </c>
      <c r="H13" s="2" t="n"/>
      <c r="I13" s="2" t="inlineStr">
        <is>
          <t>OK</t>
        </is>
      </c>
    </row>
    <row r="14">
      <c r="A14" s="2" t="inlineStr">
        <is>
          <t>MINC</t>
        </is>
      </c>
      <c r="B14" s="5" t="inlineStr">
        <is>
          <t>MINC</t>
        </is>
      </c>
      <c r="C14" s="2" t="inlineStr">
        <is>
          <t>Custom</t>
        </is>
      </c>
      <c r="D14" s="5" t="inlineStr">
        <is>
          <t>FUNCÕES/43/PARALELISMO</t>
        </is>
      </c>
      <c r="E14" s="2" t="inlineStr">
        <is>
          <t>Transit;NORMAL;ATUADO;Error</t>
        </is>
      </c>
      <c r="F14" s="2" t="inlineStr">
        <is>
          <t>PFU</t>
        </is>
      </c>
      <c r="G14" s="2" t="inlineStr">
        <is>
          <t>Confirmar o funcionamento.</t>
        </is>
      </c>
      <c r="H14" s="2" t="inlineStr">
        <is>
          <t>LT800_KECENG_89-2_MINC</t>
        </is>
      </c>
      <c r="I14" s="2" t="n">
        <v>26</v>
      </c>
    </row>
    <row r="15" ht="25.5" customHeight="1">
      <c r="A15" s="2" t="inlineStr">
        <is>
          <t>VF1I</t>
        </is>
      </c>
      <c r="B15" s="5" t="inlineStr">
        <is>
          <t>CHAVE VF1 PRIORITARIO</t>
        </is>
      </c>
      <c r="C15" s="2" t="inlineStr">
        <is>
          <t>Custom</t>
        </is>
      </c>
      <c r="D15" s="2" t="inlineStr">
        <is>
          <t>FUNCÕES/43/PARALELISMO</t>
        </is>
      </c>
      <c r="E15" s="2" t="inlineStr">
        <is>
          <t>Transit;INCLUIDO;EXCLUIDO;Error</t>
        </is>
      </c>
      <c r="F15" s="2" t="inlineStr">
        <is>
          <t xml:space="preserve">CAX  </t>
        </is>
      </c>
      <c r="G15" s="2" t="inlineStr">
        <is>
          <t>Confirmar o funcionamento.</t>
        </is>
      </c>
      <c r="H15" s="2" t="inlineStr">
        <is>
          <t>CXC_TR1_TR1_VF2I;       FEL_TR1_TR1_VF2I</t>
        </is>
      </c>
      <c r="I15" s="2" t="inlineStr">
        <is>
          <t>22225; 573</t>
        </is>
      </c>
    </row>
    <row r="16">
      <c r="A16" s="2" t="inlineStr">
        <is>
          <t>VF1L</t>
        </is>
      </c>
      <c r="B16" s="5" t="inlineStr">
        <is>
          <t>CHAVE VF1 POSICAO LOCAL</t>
        </is>
      </c>
      <c r="C16" s="2" t="inlineStr">
        <is>
          <t>Custom</t>
        </is>
      </c>
      <c r="D16" s="2" t="inlineStr">
        <is>
          <t>FUNCÕES/43/PARALELISMO</t>
        </is>
      </c>
      <c r="E16" s="2" t="inlineStr">
        <is>
          <t>Transit;REMOTO;LOCAL;Error</t>
        </is>
      </c>
      <c r="F16" s="2" t="inlineStr">
        <is>
          <t xml:space="preserve">CAX  </t>
        </is>
      </c>
      <c r="G16" s="2" t="inlineStr">
        <is>
          <t>Confirmar o funcionamento.</t>
        </is>
      </c>
      <c r="H16" s="2" t="inlineStr">
        <is>
          <t>VAC_TR1_TR1_VF1L</t>
        </is>
      </c>
      <c r="I16" s="2" t="n">
        <v>16080</v>
      </c>
    </row>
    <row r="17" ht="25.5" customHeight="1">
      <c r="A17" s="2" t="inlineStr">
        <is>
          <t>VF2I</t>
        </is>
      </c>
      <c r="B17" s="5" t="inlineStr">
        <is>
          <t>CHAVE VF2 PRIORITARIO</t>
        </is>
      </c>
      <c r="C17" s="2" t="inlineStr">
        <is>
          <t>Custom</t>
        </is>
      </c>
      <c r="D17" s="2" t="inlineStr">
        <is>
          <t>FUNCÕES/43/PARALELISMO</t>
        </is>
      </c>
      <c r="E17" s="2" t="inlineStr">
        <is>
          <t>Transit;INCLUIDO;EXCLUIDO;Error</t>
        </is>
      </c>
      <c r="F17" s="2" t="inlineStr">
        <is>
          <t xml:space="preserve">CAX  </t>
        </is>
      </c>
      <c r="G17" s="2" t="inlineStr">
        <is>
          <t>Confirmar o funcionamento.</t>
        </is>
      </c>
      <c r="H17" s="2" t="inlineStr">
        <is>
          <t>CXC_TR1_TR1_VF1I;       FEL_TR1_TR1_VF1I</t>
        </is>
      </c>
      <c r="I17" s="2" t="inlineStr">
        <is>
          <t>22224; 572</t>
        </is>
      </c>
    </row>
    <row r="18">
      <c r="A18" s="2" t="inlineStr">
        <is>
          <t>VF2L</t>
        </is>
      </c>
      <c r="B18" s="5" t="inlineStr">
        <is>
          <t>CHAVE VF2 POSICAO LOCAL</t>
        </is>
      </c>
      <c r="C18" s="2" t="inlineStr">
        <is>
          <t>Custom</t>
        </is>
      </c>
      <c r="D18" s="2" t="inlineStr">
        <is>
          <t>FUNCÕES/43/PARALELISMO</t>
        </is>
      </c>
      <c r="E18" s="2" t="inlineStr">
        <is>
          <t>Transit;REMOTO;LOCAL;Error</t>
        </is>
      </c>
      <c r="F18" s="2" t="inlineStr">
        <is>
          <t xml:space="preserve">CAX  </t>
        </is>
      </c>
      <c r="G18" s="2" t="inlineStr">
        <is>
          <t>Confirmar o funcionamento.</t>
        </is>
      </c>
      <c r="H18" s="2" t="inlineStr">
        <is>
          <t>TCO_TR2_TR2_VF2L</t>
        </is>
      </c>
      <c r="I18" s="2" t="n">
        <v>16081</v>
      </c>
    </row>
    <row r="19" ht="25.5" customHeight="1">
      <c r="A19" s="2" t="inlineStr">
        <is>
          <t>50CD</t>
        </is>
      </c>
      <c r="B19" s="2" t="inlineStr">
        <is>
          <t>50 - SOBRECORRENTE CDC</t>
        </is>
      </c>
      <c r="C19" s="5" t="inlineStr">
        <is>
          <t>RelayTrip</t>
        </is>
      </c>
      <c r="D19" s="2" t="inlineStr">
        <is>
          <t>PROT</t>
        </is>
      </c>
      <c r="E19" s="2" t="inlineStr">
        <is>
          <t>Transit;NORMAL;ATUADO;Error</t>
        </is>
      </c>
      <c r="F19" s="2" t="inlineStr">
        <is>
          <t>CAX; ALE</t>
        </is>
      </c>
      <c r="G19" s="2" t="inlineStr">
        <is>
          <t>Confirmar o funcionamento.</t>
        </is>
      </c>
      <c r="H19" s="2" t="inlineStr">
        <is>
          <t>GMB_TR1_TR1_A_50CD; URI_TR1_TR1_50CD</t>
        </is>
      </c>
      <c r="I19" s="2" t="inlineStr">
        <is>
          <t>471; 227</t>
        </is>
      </c>
    </row>
    <row r="20" ht="25.5" customHeight="1">
      <c r="A20" s="2" t="inlineStr">
        <is>
          <t>MTRF</t>
        </is>
      </c>
      <c r="B20" s="2" t="inlineStr">
        <is>
          <t>MODULO TRANSFERIDO</t>
        </is>
      </c>
      <c r="C20" s="2" t="inlineStr">
        <is>
          <t>Custom</t>
        </is>
      </c>
      <c r="D20" s="5" t="inlineStr">
        <is>
          <t>FUNCÕES/43/PARALELISMO</t>
        </is>
      </c>
      <c r="E20" s="2" t="inlineStr">
        <is>
          <t>Transit;NORMAL;ATUADO;Error</t>
        </is>
      </c>
      <c r="F20" s="2" t="inlineStr">
        <is>
          <t>SMA; PFU</t>
        </is>
      </c>
      <c r="G20" s="2" t="inlineStr">
        <is>
          <t>Confirmar o funcionamento.</t>
        </is>
      </c>
      <c r="H20" s="2" t="inlineStr">
        <is>
          <t>SMB_LTFXA_LTFXA_MTRF; THA_LTKSM_LTKSM_MTRF</t>
        </is>
      </c>
      <c r="I20" s="2" t="inlineStr">
        <is>
          <t>443; 316</t>
        </is>
      </c>
    </row>
    <row r="21">
      <c r="A21" s="2" t="inlineStr">
        <is>
          <t>CMDE</t>
        </is>
      </c>
      <c r="B21" s="2" t="inlineStr">
        <is>
          <t>PROPRIEDADE DO COMANDO</t>
        </is>
      </c>
      <c r="C21" s="2" t="inlineStr">
        <is>
          <t>Custom</t>
        </is>
      </c>
      <c r="D21" s="2" t="inlineStr">
        <is>
          <t>ALARMES PREDIAIS/VF/GRUPO</t>
        </is>
      </c>
      <c r="E21" s="2" t="inlineStr">
        <is>
          <t>Transit;CEEE;RGE;Error</t>
        </is>
      </c>
      <c r="F21" s="2" t="inlineStr">
        <is>
          <t>Automação</t>
        </is>
      </c>
      <c r="G21" s="2" t="inlineStr">
        <is>
          <t>Alterar o MM</t>
        </is>
      </c>
      <c r="H21" s="2" t="inlineStr">
        <is>
          <t>ERN</t>
        </is>
      </c>
      <c r="I21" s="2" t="n"/>
    </row>
  </sheetData>
  <autoFilter ref="A1:I21"/>
  <conditionalFormatting sqref="B1">
    <cfRule type="duplicateValues" priority="7" dxfId="0"/>
  </conditionalFormatting>
  <conditionalFormatting sqref="B2">
    <cfRule type="duplicateValues" priority="6" dxfId="0"/>
  </conditionalFormatting>
  <conditionalFormatting sqref="B3:B18">
    <cfRule type="duplicateValues" priority="80" dxfId="0"/>
  </conditionalFormatting>
  <conditionalFormatting sqref="B19">
    <cfRule type="duplicateValues" priority="4" dxfId="0"/>
  </conditionalFormatting>
  <conditionalFormatting sqref="B20">
    <cfRule type="duplicateValues" priority="3" dxfId="0"/>
  </conditionalFormatting>
  <conditionalFormatting sqref="B21">
    <cfRule type="duplicateValues" priority="2" dxfId="0"/>
  </conditionalFormatting>
  <pageMargins left="0.511811024" right="0.511811024" top="0.787401575" bottom="0.787401575" header="0.31496062" footer="0.31496062"/>
  <legacyDrawing xmlns:r="http://schemas.openxmlformats.org/officeDocument/2006/relationships" r:id="anysvml"/>
</worksheet>
</file>

<file path=xl/worksheets/sheet10.xml><?xml version="1.0" encoding="utf-8"?>
<worksheet xmlns="http://schemas.openxmlformats.org/spreadsheetml/2006/main">
  <sheetPr codeName="Planilha9">
    <tabColor theme="5"/>
    <outlinePr summaryBelow="1" summaryRight="1"/>
    <pageSetUpPr/>
  </sheetPr>
  <dimension ref="A1:H205"/>
  <sheetViews>
    <sheetView workbookViewId="0">
      <selection activeCell="A1" sqref="A1:B3"/>
    </sheetView>
  </sheetViews>
  <sheetFormatPr baseColWidth="8" defaultRowHeight="15"/>
  <cols>
    <col width="11.5703125" bestFit="1" customWidth="1" min="1" max="1"/>
    <col width="60.85546875" customWidth="1" min="2" max="2"/>
    <col width="50.5703125" customWidth="1" min="3" max="3"/>
  </cols>
  <sheetData>
    <row r="1">
      <c r="A1" s="1" t="inlineStr">
        <is>
          <t>SINAL</t>
        </is>
      </c>
      <c r="B1" s="1" t="inlineStr">
        <is>
          <t>DESCRIÇÃO NOVA</t>
        </is>
      </c>
      <c r="C1" s="1" t="inlineStr">
        <is>
          <t>Pendência</t>
        </is>
      </c>
    </row>
    <row r="2">
      <c r="A2" s="2" t="inlineStr">
        <is>
          <t>BIHI</t>
        </is>
      </c>
      <c r="B2" s="5" t="inlineStr">
        <is>
          <t>TENSAO DE REFERENCIA ALTA AUXILIAR</t>
        </is>
      </c>
      <c r="C2" s="2" t="inlineStr">
        <is>
          <t>Confirmar o funcionamento.</t>
        </is>
      </c>
    </row>
    <row r="3">
      <c r="A3" s="2" t="inlineStr">
        <is>
          <t>BILO</t>
        </is>
      </c>
      <c r="B3" s="5" t="inlineStr">
        <is>
          <t>TENSAO DE REFERENCIA BAIXA AUXILIAR</t>
        </is>
      </c>
      <c r="C3" s="2" t="inlineStr">
        <is>
          <t>Confirmar o funcionamento.</t>
        </is>
      </c>
    </row>
    <row r="4">
      <c r="A4" s="2" t="inlineStr">
        <is>
          <t>I2</t>
        </is>
      </c>
      <c r="B4" s="5" t="n"/>
      <c r="C4" s="2" t="inlineStr">
        <is>
          <t>Confirmar o funcionamento.</t>
        </is>
      </c>
    </row>
    <row r="5">
      <c r="A5" s="2" t="inlineStr">
        <is>
          <t>PCVA</t>
        </is>
      </c>
      <c r="B5" s="5" t="n"/>
      <c r="C5" s="2" t="inlineStr">
        <is>
          <t>Confirmar o funcionamento.</t>
        </is>
      </c>
    </row>
    <row r="6">
      <c r="A6" s="2" t="inlineStr">
        <is>
          <t>RTC</t>
        </is>
      </c>
      <c r="B6" s="5" t="n"/>
      <c r="C6" s="2" t="inlineStr">
        <is>
          <t>Confirmar o funcionamento.</t>
        </is>
      </c>
    </row>
    <row r="7">
      <c r="A7" s="4" t="inlineStr">
        <is>
          <t>VABL</t>
        </is>
      </c>
      <c r="B7" s="5" t="n"/>
      <c r="C7" s="5" t="inlineStr">
        <is>
          <t xml:space="preserve">trocar pra v </t>
        </is>
      </c>
    </row>
    <row r="8">
      <c r="A8" s="4" t="inlineStr">
        <is>
          <t>VAUX</t>
        </is>
      </c>
      <c r="B8" s="5" t="n"/>
      <c r="C8" s="5" t="inlineStr">
        <is>
          <t>trocar pra vca</t>
        </is>
      </c>
    </row>
    <row r="9">
      <c r="A9" s="2" t="inlineStr">
        <is>
          <t>VCA</t>
        </is>
      </c>
      <c r="B9" s="5" t="inlineStr">
        <is>
          <t>TENSAO CORRENTE ALTERNADA</t>
        </is>
      </c>
      <c r="C9" s="2" t="inlineStr">
        <is>
          <t>trocar para V, nos TSA</t>
        </is>
      </c>
    </row>
    <row r="10">
      <c r="A10" s="2" t="inlineStr">
        <is>
          <t>VCC1</t>
        </is>
      </c>
      <c r="B10" s="5" t="inlineStr">
        <is>
          <t>TENSAO CORRENTE CONTINUA 1</t>
        </is>
      </c>
      <c r="C10" s="2" t="inlineStr">
        <is>
          <t>ver na UTR</t>
        </is>
      </c>
    </row>
    <row r="11">
      <c r="A11" s="2" t="inlineStr">
        <is>
          <t>VCC2</t>
        </is>
      </c>
      <c r="B11" s="5" t="inlineStr">
        <is>
          <t>TENSAO CORRENTE CONTINUA 2</t>
        </is>
      </c>
      <c r="C11" s="2" t="n"/>
    </row>
    <row r="12">
      <c r="A12" s="2" t="inlineStr">
        <is>
          <t>FUGA</t>
        </is>
      </c>
      <c r="B12" s="2" t="inlineStr">
        <is>
          <t>FUGA A TERRA</t>
        </is>
      </c>
      <c r="C12" s="2" t="inlineStr">
        <is>
          <t>Confirmar o funcionamento.</t>
        </is>
      </c>
      <c r="D12" s="2" t="n"/>
      <c r="E12" s="2" t="n"/>
      <c r="F12" s="2" t="n"/>
      <c r="G12" s="2" t="n"/>
      <c r="H12" s="2" t="n"/>
    </row>
    <row r="142">
      <c r="B142" t="n"/>
    </row>
    <row r="144">
      <c r="B144" t="n"/>
    </row>
    <row r="146">
      <c r="B146" t="n"/>
    </row>
    <row r="204">
      <c r="B204" t="n"/>
    </row>
    <row r="205">
      <c r="B205" t="n"/>
    </row>
  </sheetData>
  <autoFilter ref="A1:C11"/>
  <pageMargins left="0.511811024" right="0.511811024" top="0.787401575" bottom="0.787401575" header="0.31496062" footer="0.31496062"/>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Júlia Linck</dc:creator>
  <dcterms:created xmlns:dcterms="http://purl.org/dc/terms/" xmlns:xsi="http://www.w3.org/2001/XMLSchema-instance" xsi:type="dcterms:W3CDTF">2025-04-15T19:53:20Z</dcterms:created>
  <dcterms:modified xmlns:dcterms="http://purl.org/dc/terms/" xmlns:xsi="http://www.w3.org/2001/XMLSchema-instance" xsi:type="dcterms:W3CDTF">2026-07-10T19:06:15Z</dcterms:modified>
  <cp:lastModifiedBy>Rafael Weber</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0x010100466E9D79B74AF542A49E35C0ED1A9805</vt:lpwstr>
  </property>
  <property name="MSIP_Label_263c2570-622b-435c-a1e7-755f37a0817f_Enabled" fmtid="{D5CDD505-2E9C-101B-9397-08002B2CF9AE}" pid="3">
    <vt:lpwstr xmlns:vt="http://schemas.openxmlformats.org/officeDocument/2006/docPropsVTypes">true</vt:lpwstr>
  </property>
  <property name="MSIP_Label_263c2570-622b-435c-a1e7-755f37a0817f_SetDate" fmtid="{D5CDD505-2E9C-101B-9397-08002B2CF9AE}" pid="4">
    <vt:lpwstr xmlns:vt="http://schemas.openxmlformats.org/officeDocument/2006/docPropsVTypes">2025-04-15T20:31:40Z</vt:lpwstr>
  </property>
  <property name="MSIP_Label_263c2570-622b-435c-a1e7-755f37a0817f_Method" fmtid="{D5CDD505-2E9C-101B-9397-08002B2CF9AE}" pid="5">
    <vt:lpwstr xmlns:vt="http://schemas.openxmlformats.org/officeDocument/2006/docPropsVTypes">Privileged</vt:lpwstr>
  </property>
  <property name="MSIP_Label_263c2570-622b-435c-a1e7-755f37a0817f_Name" fmtid="{D5CDD505-2E9C-101B-9397-08002B2CF9AE}" pid="6">
    <vt:lpwstr xmlns:vt="http://schemas.openxmlformats.org/officeDocument/2006/docPropsVTypes">Publico</vt:lpwstr>
  </property>
  <property name="MSIP_Label_263c2570-622b-435c-a1e7-755f37a0817f_SiteId" fmtid="{D5CDD505-2E9C-101B-9397-08002B2CF9AE}" pid="7">
    <vt:lpwstr xmlns:vt="http://schemas.openxmlformats.org/officeDocument/2006/docPropsVTypes">93546618-e20a-4fd3-a884-9e33ca7234a7</vt:lpwstr>
  </property>
  <property name="MSIP_Label_263c2570-622b-435c-a1e7-755f37a0817f_ActionId" fmtid="{D5CDD505-2E9C-101B-9397-08002B2CF9AE}" pid="8">
    <vt:lpwstr xmlns:vt="http://schemas.openxmlformats.org/officeDocument/2006/docPropsVTypes">5106757e-b4ee-465c-aefb-5501f250a6eb</vt:lpwstr>
  </property>
  <property name="MSIP_Label_263c2570-622b-435c-a1e7-755f37a0817f_ContentBits" fmtid="{D5CDD505-2E9C-101B-9397-08002B2CF9AE}" pid="9">
    <vt:lpwstr xmlns:vt="http://schemas.openxmlformats.org/officeDocument/2006/docPropsVTypes">1</vt:lpwstr>
  </property>
  <property name="MSIP_Label_263c2570-622b-435c-a1e7-755f37a0817f_Tag" fmtid="{D5CDD505-2E9C-101B-9397-08002B2CF9AE}" pid="10">
    <vt:lpwstr xmlns:vt="http://schemas.openxmlformats.org/officeDocument/2006/docPropsVTypes">10, 0, 1, 1</vt:lpwstr>
  </property>
</Properties>
</file>