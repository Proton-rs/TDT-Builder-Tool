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  <Override PartName="/xl/threadedComments/threadedComment13.xml" ContentType="application/vnd.ms-excel.threadedcomments+xml"/>
  <Override PartName="/xl/threadedComments/threadedComment14.xml" ContentType="application/vnd.ms-excel.threadedcomments+xml"/>
  <Override PartName="/xl/threadedComments/threadedComment1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TON\RGE\IMA\"/>
    </mc:Choice>
  </mc:AlternateContent>
  <xr:revisionPtr revIDLastSave="0" documentId="13_ncr:1_{0DD2C72D-D78C-462B-89AC-A3ED1ADBFD23}" xr6:coauthVersionLast="47" xr6:coauthVersionMax="47" xr10:uidLastSave="{00000000-0000-0000-0000-000000000000}"/>
  <bookViews>
    <workbookView xWindow="0" yWindow="15" windowWidth="29070" windowHeight="16470" tabRatio="761" firstSheet="5" activeTab="9" xr2:uid="{3E1A139F-36C5-4DF0-B97B-A251CD2B0B72}"/>
  </bookViews>
  <sheets>
    <sheet name="Informações" sheetId="1" r:id="rId1"/>
    <sheet name="LT 1 (FUTURO)" sheetId="21" state="hidden" r:id="rId2"/>
    <sheet name="LT 2 (FUTURO)" sheetId="22" state="hidden" r:id="rId3"/>
    <sheet name="RELACAO RELES" sheetId="47" r:id="rId4"/>
    <sheet name="MAPA DE REDE" sheetId="46" r:id="rId5"/>
    <sheet name="LT 3" sheetId="23" r:id="rId6"/>
    <sheet name="LT 4" sheetId="2" r:id="rId7"/>
    <sheet name="INTERB. AT (FUTURO)" sheetId="40" state="hidden" r:id="rId8"/>
    <sheet name="TR 1" sheetId="24" r:id="rId9"/>
    <sheet name="TR 2" sheetId="43" r:id="rId10"/>
    <sheet name="AL 11" sheetId="5" r:id="rId11"/>
    <sheet name="AL 12" sheetId="25" r:id="rId12"/>
    <sheet name="AL 14 (FUTURO)" sheetId="30" state="hidden" r:id="rId13"/>
    <sheet name="AL 15 (FUTURO)" sheetId="29" state="hidden" r:id="rId14"/>
    <sheet name="AL 16 (FUTURO)" sheetId="28" state="hidden" r:id="rId15"/>
    <sheet name="AL 13" sheetId="26" r:id="rId16"/>
    <sheet name="TRANSF 24-1" sheetId="37" r:id="rId17"/>
    <sheet name="INTERBARRAS BT" sheetId="39" r:id="rId18"/>
    <sheet name="AL 21 (FUTURO)" sheetId="27" state="hidden" r:id="rId19"/>
    <sheet name="AL 22 (FUTURO)" sheetId="33" state="hidden" r:id="rId20"/>
    <sheet name="AL 23" sheetId="31" r:id="rId21"/>
    <sheet name="AL 24" sheetId="34" r:id="rId22"/>
    <sheet name="AL 25" sheetId="35" r:id="rId23"/>
    <sheet name="AL 26" sheetId="36" r:id="rId24"/>
    <sheet name="TRANSF 24-2" sheetId="38" r:id="rId25"/>
    <sheet name="BC 1" sheetId="32" r:id="rId26"/>
    <sheet name="BC 2" sheetId="7" r:id="rId27"/>
    <sheet name="BARRA" sheetId="15" r:id="rId28"/>
    <sheet name="TSA 1" sheetId="8" state="hidden" r:id="rId29"/>
    <sheet name="TSA 2" sheetId="41" state="hidden" r:id="rId30"/>
    <sheet name="RET 1" sheetId="9" r:id="rId31"/>
    <sheet name="RET 2" sheetId="42" r:id="rId32"/>
    <sheet name="SE" sheetId="11" state="hidden" r:id="rId33"/>
    <sheet name="Lista" sheetId="18" state="hidden" r:id="rId34"/>
  </sheets>
  <externalReferences>
    <externalReference r:id="rId35"/>
  </externalReferences>
  <definedNames>
    <definedName name="_xlnm._FilterDatabase" localSheetId="25" hidden="1">'BC 1'!$A$9:$K$32</definedName>
    <definedName name="_xlnm._FilterDatabase" localSheetId="26" hidden="1">'BC 2'!$A$9:$K$62</definedName>
    <definedName name="_xlnm._FilterDatabase" localSheetId="7" hidden="1">'INTERB. AT (FUTURO)'!$A$8:$K$160</definedName>
    <definedName name="_xlnm._FilterDatabase" localSheetId="1" hidden="1">'LT 1 (FUTURO)'!$A$10:$K$164</definedName>
    <definedName name="_xlnm._FilterDatabase" localSheetId="2" hidden="1">'LT 2 (FUTURO)'!$A$10:$K$169</definedName>
    <definedName name="_xlnm._FilterDatabase" localSheetId="5" hidden="1">'LT 3'!$A$10:$K$105</definedName>
    <definedName name="_xlnm._FilterDatabase" localSheetId="6" hidden="1">'LT 4'!$A$10:$K$112</definedName>
    <definedName name="_xlnm._FilterDatabase" localSheetId="4" hidden="1">'MAPA DE REDE'!#REF!</definedName>
    <definedName name="_xlnm._FilterDatabase" localSheetId="3" hidden="1">'RELACAO RELES'!#REF!</definedName>
    <definedName name="_xlnm._FilterDatabase" localSheetId="8" hidden="1">'TR 1'!$A$13:$N$212</definedName>
    <definedName name="_xlnm._FilterDatabase" localSheetId="9" hidden="1">'TR 2'!$A$13:$N$240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" i="7" l="1"/>
  <c r="N31" i="32"/>
  <c r="N32" i="38"/>
  <c r="N32" i="36"/>
  <c r="N32" i="35"/>
  <c r="N32" i="34"/>
  <c r="N32" i="31"/>
  <c r="N31" i="39"/>
  <c r="N32" i="37"/>
  <c r="N32" i="26"/>
  <c r="N32" i="25"/>
  <c r="N32" i="5"/>
  <c r="N71" i="43"/>
  <c r="N72" i="43" s="1"/>
  <c r="N73" i="43" s="1"/>
  <c r="N67" i="43"/>
  <c r="N62" i="43"/>
  <c r="N57" i="43"/>
  <c r="N71" i="24"/>
  <c r="N72" i="24"/>
  <c r="N73" i="24" s="1"/>
  <c r="N67" i="24"/>
  <c r="N62" i="24"/>
  <c r="N57" i="24"/>
  <c r="N48" i="2"/>
  <c r="N47" i="2"/>
  <c r="N42" i="2"/>
  <c r="N37" i="2"/>
  <c r="N32" i="2"/>
  <c r="N48" i="23"/>
  <c r="N47" i="23"/>
  <c r="N42" i="23"/>
  <c r="N37" i="23"/>
  <c r="F134" i="43"/>
  <c r="B134" i="43"/>
  <c r="H134" i="43" s="1" a="1"/>
  <c r="H134" i="43" s="1"/>
  <c r="H133" i="43" a="1"/>
  <c r="H133" i="43" s="1"/>
  <c r="F133" i="43"/>
  <c r="B133" i="43"/>
  <c r="F103" i="43"/>
  <c r="B103" i="43"/>
  <c r="H103" i="43" s="1" a="1"/>
  <c r="H103" i="43" s="1"/>
  <c r="F102" i="43"/>
  <c r="B102" i="43"/>
  <c r="H102" i="43" s="1" a="1"/>
  <c r="H102" i="43" s="1"/>
  <c r="F22" i="38" l="1"/>
  <c r="B22" i="38"/>
  <c r="H22" i="38" s="1" a="1"/>
  <c r="H22" i="38" s="1"/>
  <c r="F22" i="36"/>
  <c r="B22" i="36"/>
  <c r="H22" i="36" s="1" a="1"/>
  <c r="H22" i="36" s="1"/>
  <c r="F22" i="35"/>
  <c r="B22" i="35"/>
  <c r="H22" i="35" s="1" a="1"/>
  <c r="H22" i="35" s="1"/>
  <c r="F22" i="34"/>
  <c r="B22" i="34"/>
  <c r="H22" i="34" s="1" a="1"/>
  <c r="H22" i="34" s="1"/>
  <c r="F22" i="31"/>
  <c r="B22" i="31"/>
  <c r="H22" i="31" s="1" a="1"/>
  <c r="H22" i="31" s="1"/>
  <c r="F22" i="37"/>
  <c r="B22" i="37"/>
  <c r="H22" i="37" s="1" a="1"/>
  <c r="H22" i="37" s="1"/>
  <c r="F22" i="26"/>
  <c r="B22" i="26"/>
  <c r="H22" i="26" s="1" a="1"/>
  <c r="H22" i="26" s="1"/>
  <c r="H22" i="25" a="1"/>
  <c r="H22" i="25" s="1"/>
  <c r="F22" i="25"/>
  <c r="B22" i="25"/>
  <c r="A6" i="46"/>
  <c r="F72" i="38"/>
  <c r="B72" i="38"/>
  <c r="H72" i="38" s="1" a="1"/>
  <c r="H72" i="38" s="1"/>
  <c r="F72" i="36"/>
  <c r="B72" i="36"/>
  <c r="H72" i="36" s="1" a="1"/>
  <c r="H72" i="36" s="1"/>
  <c r="F72" i="35"/>
  <c r="B72" i="35"/>
  <c r="H72" i="35" s="1" a="1"/>
  <c r="H72" i="35" s="1"/>
  <c r="F72" i="34"/>
  <c r="B72" i="34"/>
  <c r="H72" i="34" s="1" a="1"/>
  <c r="H72" i="34" s="1"/>
  <c r="F72" i="31"/>
  <c r="B72" i="31"/>
  <c r="H72" i="31" s="1" a="1"/>
  <c r="H72" i="31" s="1"/>
  <c r="F72" i="37"/>
  <c r="B72" i="37"/>
  <c r="H72" i="37" s="1" a="1"/>
  <c r="H72" i="37" s="1"/>
  <c r="F72" i="26"/>
  <c r="B72" i="26"/>
  <c r="H72" i="26" s="1" a="1"/>
  <c r="H72" i="26" s="1"/>
  <c r="F72" i="25"/>
  <c r="B72" i="25"/>
  <c r="H72" i="25" s="1" a="1"/>
  <c r="H72" i="25" s="1"/>
  <c r="F41" i="38"/>
  <c r="B41" i="38"/>
  <c r="H41" i="38" s="1" a="1"/>
  <c r="H41" i="38" s="1"/>
  <c r="F41" i="36"/>
  <c r="B41" i="36"/>
  <c r="H41" i="36" s="1" a="1"/>
  <c r="H41" i="36" s="1"/>
  <c r="F41" i="35"/>
  <c r="B41" i="35"/>
  <c r="H41" i="35" s="1" a="1"/>
  <c r="H41" i="35" s="1"/>
  <c r="F41" i="34"/>
  <c r="B41" i="34"/>
  <c r="H41" i="34" s="1" a="1"/>
  <c r="H41" i="34" s="1"/>
  <c r="F41" i="31"/>
  <c r="B41" i="31"/>
  <c r="H41" i="31" s="1" a="1"/>
  <c r="H41" i="31" s="1"/>
  <c r="F41" i="37"/>
  <c r="B41" i="37"/>
  <c r="H41" i="37" s="1" a="1"/>
  <c r="H41" i="37" s="1"/>
  <c r="F41" i="26"/>
  <c r="B41" i="26"/>
  <c r="H41" i="26" s="1" a="1"/>
  <c r="H41" i="26" s="1"/>
  <c r="F41" i="25"/>
  <c r="B41" i="25"/>
  <c r="H41" i="25" s="1" a="1"/>
  <c r="H41" i="25" s="1"/>
  <c r="F31" i="38"/>
  <c r="B31" i="38"/>
  <c r="H31" i="38" s="1" a="1"/>
  <c r="H31" i="38" s="1"/>
  <c r="F31" i="36"/>
  <c r="B31" i="36"/>
  <c r="H31" i="36" s="1" a="1"/>
  <c r="H31" i="36" s="1"/>
  <c r="F31" i="35"/>
  <c r="B31" i="35"/>
  <c r="H31" i="35" s="1" a="1"/>
  <c r="H31" i="35" s="1"/>
  <c r="F31" i="34"/>
  <c r="B31" i="34"/>
  <c r="H31" i="34" s="1" a="1"/>
  <c r="H31" i="34" s="1"/>
  <c r="F31" i="31"/>
  <c r="B31" i="31"/>
  <c r="H31" i="31" s="1" a="1"/>
  <c r="H31" i="31" s="1"/>
  <c r="F31" i="37"/>
  <c r="B31" i="37"/>
  <c r="H31" i="37" s="1" a="1"/>
  <c r="H31" i="37" s="1"/>
  <c r="F31" i="26"/>
  <c r="B31" i="26"/>
  <c r="H31" i="26" s="1" a="1"/>
  <c r="H31" i="26" s="1"/>
  <c r="F31" i="25"/>
  <c r="B31" i="25"/>
  <c r="H31" i="25" s="1" a="1"/>
  <c r="H31" i="25" s="1"/>
  <c r="F72" i="5" l="1"/>
  <c r="B72" i="5"/>
  <c r="H72" i="5" s="1" a="1"/>
  <c r="H72" i="5" s="1"/>
  <c r="F31" i="5"/>
  <c r="B31" i="5"/>
  <c r="H31" i="5" s="1" a="1"/>
  <c r="H31" i="5" s="1"/>
  <c r="H45" i="2" a="1"/>
  <c r="H45" i="2" s="1"/>
  <c r="F45" i="2"/>
  <c r="B45" i="2"/>
  <c r="A41" i="46"/>
  <c r="A57" i="46"/>
  <c r="A56" i="46"/>
  <c r="A55" i="46"/>
  <c r="A54" i="46"/>
  <c r="A53" i="46"/>
  <c r="A52" i="46"/>
  <c r="F65" i="23"/>
  <c r="B65" i="23"/>
  <c r="H65" i="23" s="1" a="1"/>
  <c r="H65" i="23" s="1"/>
  <c r="F64" i="23"/>
  <c r="B64" i="23"/>
  <c r="H64" i="23" s="1" a="1"/>
  <c r="H64" i="23" s="1"/>
  <c r="F63" i="23"/>
  <c r="B63" i="23"/>
  <c r="H63" i="23" s="1" a="1"/>
  <c r="H63" i="23" s="1"/>
  <c r="F62" i="23"/>
  <c r="B62" i="23"/>
  <c r="H62" i="23" s="1" a="1"/>
  <c r="H62" i="23" s="1"/>
  <c r="F61" i="23"/>
  <c r="B61" i="23"/>
  <c r="H61" i="23" s="1" a="1"/>
  <c r="H61" i="23" s="1"/>
  <c r="F60" i="23"/>
  <c r="B60" i="23"/>
  <c r="H60" i="23" s="1" a="1"/>
  <c r="H60" i="23" s="1"/>
  <c r="F66" i="23"/>
  <c r="B66" i="23"/>
  <c r="H66" i="23" s="1" a="1"/>
  <c r="H66" i="23" s="1"/>
  <c r="B60" i="2"/>
  <c r="F145" i="24"/>
  <c r="F146" i="24"/>
  <c r="F147" i="24"/>
  <c r="F143" i="24"/>
  <c r="B143" i="24"/>
  <c r="H143" i="24" s="1" a="1"/>
  <c r="H143" i="24" s="1"/>
  <c r="F142" i="24"/>
  <c r="B142" i="24"/>
  <c r="H142" i="24" s="1" a="1"/>
  <c r="H142" i="24" s="1"/>
  <c r="F146" i="43"/>
  <c r="F147" i="43"/>
  <c r="F145" i="43"/>
  <c r="F61" i="5"/>
  <c r="B61" i="5"/>
  <c r="H61" i="5" s="1" a="1"/>
  <c r="H61" i="5" s="1"/>
  <c r="F61" i="25"/>
  <c r="B61" i="25"/>
  <c r="H61" i="25" s="1" a="1"/>
  <c r="H61" i="25" s="1"/>
  <c r="F61" i="26"/>
  <c r="B61" i="26"/>
  <c r="H61" i="26" s="1" a="1"/>
  <c r="H61" i="26" s="1"/>
  <c r="F61" i="37"/>
  <c r="B61" i="37"/>
  <c r="H61" i="37" s="1" a="1"/>
  <c r="H61" i="37" s="1"/>
  <c r="F60" i="39"/>
  <c r="B60" i="39"/>
  <c r="H60" i="39" s="1" a="1"/>
  <c r="H60" i="39" s="1"/>
  <c r="F61" i="31"/>
  <c r="B61" i="31"/>
  <c r="H61" i="31" s="1" a="1"/>
  <c r="H61" i="31" s="1"/>
  <c r="F61" i="34"/>
  <c r="B61" i="34"/>
  <c r="H61" i="34" s="1" a="1"/>
  <c r="H61" i="34" s="1"/>
  <c r="F61" i="35"/>
  <c r="B61" i="35"/>
  <c r="H61" i="35" s="1" a="1"/>
  <c r="H61" i="35" s="1"/>
  <c r="F61" i="36"/>
  <c r="F61" i="38"/>
  <c r="F65" i="32"/>
  <c r="B65" i="32"/>
  <c r="H65" i="32" s="1" a="1"/>
  <c r="H65" i="32" s="1"/>
  <c r="F53" i="7"/>
  <c r="B53" i="7"/>
  <c r="H53" i="7" s="1" a="1"/>
  <c r="H53" i="7" s="1"/>
  <c r="F60" i="32"/>
  <c r="H22" i="7" a="1"/>
  <c r="H22" i="7" s="1"/>
  <c r="F22" i="7"/>
  <c r="B22" i="7"/>
  <c r="F212" i="43"/>
  <c r="B212" i="43"/>
  <c r="H212" i="43" s="1" a="1"/>
  <c r="H212" i="43" s="1"/>
  <c r="F211" i="43"/>
  <c r="B211" i="43"/>
  <c r="H211" i="43" s="1" a="1"/>
  <c r="H211" i="43" s="1"/>
  <c r="F210" i="43"/>
  <c r="B210" i="43"/>
  <c r="H210" i="43" s="1" a="1"/>
  <c r="H210" i="43" s="1"/>
  <c r="F209" i="43"/>
  <c r="B209" i="43"/>
  <c r="H209" i="43" s="1" a="1"/>
  <c r="H209" i="43" s="1"/>
  <c r="F208" i="43"/>
  <c r="B208" i="43"/>
  <c r="H208" i="43" s="1" a="1"/>
  <c r="H208" i="43" s="1"/>
  <c r="B207" i="43"/>
  <c r="H207" i="43" s="1" a="1"/>
  <c r="H207" i="43" s="1"/>
  <c r="F206" i="43"/>
  <c r="B206" i="43"/>
  <c r="H206" i="43" s="1" a="1"/>
  <c r="H206" i="43" s="1"/>
  <c r="B205" i="43"/>
  <c r="H205" i="43" s="1" a="1"/>
  <c r="H205" i="43" s="1"/>
  <c r="F204" i="43"/>
  <c r="B204" i="43"/>
  <c r="H204" i="43" s="1" a="1"/>
  <c r="H204" i="43" s="1"/>
  <c r="F203" i="43"/>
  <c r="B203" i="43"/>
  <c r="H203" i="43" s="1" a="1"/>
  <c r="H203" i="43" s="1"/>
  <c r="F202" i="43"/>
  <c r="B202" i="43"/>
  <c r="H202" i="43" s="1" a="1"/>
  <c r="H202" i="43" s="1"/>
  <c r="F201" i="43"/>
  <c r="B201" i="43"/>
  <c r="H201" i="43" s="1" a="1"/>
  <c r="H201" i="43" s="1"/>
  <c r="F200" i="43"/>
  <c r="B200" i="43"/>
  <c r="H200" i="43" s="1" a="1"/>
  <c r="H200" i="43" s="1"/>
  <c r="F199" i="43"/>
  <c r="B199" i="43"/>
  <c r="H199" i="43" s="1" a="1"/>
  <c r="H199" i="43" s="1"/>
  <c r="F198" i="43"/>
  <c r="B198" i="43"/>
  <c r="H198" i="43" s="1" a="1"/>
  <c r="H198" i="43" s="1"/>
  <c r="F197" i="43"/>
  <c r="B197" i="43"/>
  <c r="H197" i="43" s="1" a="1"/>
  <c r="H197" i="43" s="1"/>
  <c r="F196" i="43"/>
  <c r="B196" i="43"/>
  <c r="H196" i="43" s="1" a="1"/>
  <c r="H196" i="43" s="1"/>
  <c r="F195" i="43"/>
  <c r="B195" i="43"/>
  <c r="H195" i="43" s="1" a="1"/>
  <c r="H195" i="43" s="1"/>
  <c r="F194" i="43"/>
  <c r="B194" i="43"/>
  <c r="H194" i="43" s="1" a="1"/>
  <c r="H194" i="43" s="1"/>
  <c r="F193" i="43"/>
  <c r="B193" i="43"/>
  <c r="H193" i="43" s="1" a="1"/>
  <c r="H193" i="43" s="1"/>
  <c r="F192" i="43"/>
  <c r="B192" i="43"/>
  <c r="H192" i="43" s="1" a="1"/>
  <c r="H192" i="43" s="1"/>
  <c r="F191" i="43"/>
  <c r="B191" i="43"/>
  <c r="H191" i="43" s="1" a="1"/>
  <c r="H191" i="43" s="1"/>
  <c r="F190" i="43"/>
  <c r="B190" i="43"/>
  <c r="H190" i="43" s="1" a="1"/>
  <c r="H190" i="43" s="1"/>
  <c r="F189" i="43"/>
  <c r="B189" i="43"/>
  <c r="H189" i="43" s="1" a="1"/>
  <c r="H189" i="43" s="1"/>
  <c r="F188" i="43"/>
  <c r="B188" i="43"/>
  <c r="H188" i="43" s="1" a="1"/>
  <c r="H188" i="43" s="1"/>
  <c r="F187" i="43"/>
  <c r="B187" i="43"/>
  <c r="H187" i="43" s="1" a="1"/>
  <c r="H187" i="43" s="1"/>
  <c r="F186" i="43"/>
  <c r="B186" i="43"/>
  <c r="H186" i="43" s="1" a="1"/>
  <c r="H186" i="43" s="1"/>
  <c r="B185" i="43"/>
  <c r="H185" i="43" s="1" a="1"/>
  <c r="H185" i="43" s="1"/>
  <c r="B184" i="43"/>
  <c r="H184" i="43" s="1" a="1"/>
  <c r="H184" i="43" s="1"/>
  <c r="F183" i="43"/>
  <c r="B183" i="43"/>
  <c r="H183" i="43" s="1" a="1"/>
  <c r="H183" i="43" s="1"/>
  <c r="F182" i="43"/>
  <c r="B182" i="43"/>
  <c r="H182" i="43" s="1" a="1"/>
  <c r="H182" i="43" s="1"/>
  <c r="F181" i="43"/>
  <c r="B181" i="43"/>
  <c r="H181" i="43" s="1" a="1"/>
  <c r="H181" i="43" s="1"/>
  <c r="F180" i="43"/>
  <c r="B180" i="43"/>
  <c r="H180" i="43" s="1" a="1"/>
  <c r="H180" i="43" s="1"/>
  <c r="F142" i="43"/>
  <c r="B142" i="43"/>
  <c r="H142" i="43" s="1" a="1"/>
  <c r="H142" i="43" s="1"/>
  <c r="F179" i="43"/>
  <c r="B179" i="43"/>
  <c r="H179" i="43" s="1" a="1"/>
  <c r="H179" i="43" s="1"/>
  <c r="F178" i="43"/>
  <c r="B178" i="43"/>
  <c r="H178" i="43" s="1" a="1"/>
  <c r="H178" i="43" s="1"/>
  <c r="F179" i="24"/>
  <c r="B179" i="24"/>
  <c r="H179" i="24" s="1" a="1"/>
  <c r="H179" i="24" s="1"/>
  <c r="F178" i="24"/>
  <c r="B178" i="24"/>
  <c r="H178" i="24" s="1" a="1"/>
  <c r="H178" i="24" s="1"/>
  <c r="F69" i="23"/>
  <c r="B69" i="23"/>
  <c r="H69" i="23" s="1" a="1"/>
  <c r="H69" i="23" s="1"/>
  <c r="F68" i="23"/>
  <c r="B68" i="23"/>
  <c r="H68" i="23" s="1" a="1"/>
  <c r="H68" i="23" s="1"/>
  <c r="F69" i="2"/>
  <c r="B69" i="2"/>
  <c r="H69" i="2" s="1" a="1"/>
  <c r="H69" i="2" s="1"/>
  <c r="F68" i="2"/>
  <c r="B68" i="2"/>
  <c r="H68" i="2" s="1" a="1"/>
  <c r="H68" i="2" s="1"/>
  <c r="F113" i="43" l="1"/>
  <c r="B113" i="43"/>
  <c r="H113" i="43" s="1" a="1"/>
  <c r="H113" i="43" s="1"/>
  <c r="F112" i="43"/>
  <c r="B112" i="43"/>
  <c r="H112" i="43" s="1" a="1"/>
  <c r="H112" i="43" s="1"/>
  <c r="F111" i="43"/>
  <c r="B111" i="43"/>
  <c r="H111" i="43" s="1" a="1"/>
  <c r="H111" i="43" s="1"/>
  <c r="F85" i="43"/>
  <c r="B85" i="43"/>
  <c r="H85" i="43" s="1" a="1"/>
  <c r="H85" i="43" s="1"/>
  <c r="F84" i="43"/>
  <c r="B84" i="43"/>
  <c r="H84" i="43" s="1" a="1"/>
  <c r="H84" i="43" s="1"/>
  <c r="F44" i="15"/>
  <c r="B44" i="15"/>
  <c r="H44" i="15" s="1" a="1"/>
  <c r="H44" i="15" s="1"/>
  <c r="F45" i="15"/>
  <c r="B45" i="15"/>
  <c r="H45" i="15" s="1" a="1"/>
  <c r="H45" i="15" s="1"/>
  <c r="F46" i="15"/>
  <c r="B46" i="15"/>
  <c r="H46" i="15" s="1" a="1"/>
  <c r="H46" i="15" s="1"/>
  <c r="F74" i="7"/>
  <c r="B74" i="7"/>
  <c r="H74" i="7" s="1" a="1"/>
  <c r="H74" i="7" s="1"/>
  <c r="F74" i="32"/>
  <c r="B74" i="32"/>
  <c r="H74" i="32" s="1" a="1"/>
  <c r="H74" i="32" s="1"/>
  <c r="F74" i="36"/>
  <c r="B74" i="36"/>
  <c r="H74" i="36" s="1" a="1"/>
  <c r="H74" i="36" s="1"/>
  <c r="F74" i="35"/>
  <c r="B74" i="35"/>
  <c r="H74" i="35" s="1" a="1"/>
  <c r="H74" i="35" s="1"/>
  <c r="F74" i="34"/>
  <c r="B74" i="34"/>
  <c r="H74" i="34" s="1" a="1"/>
  <c r="H74" i="34" s="1"/>
  <c r="F74" i="31"/>
  <c r="B74" i="31"/>
  <c r="H74" i="31" s="1" a="1"/>
  <c r="H74" i="31" s="1"/>
  <c r="F72" i="39"/>
  <c r="B72" i="39"/>
  <c r="H72" i="39" s="1" a="1"/>
  <c r="H72" i="39" s="1"/>
  <c r="F74" i="38"/>
  <c r="B74" i="38"/>
  <c r="H74" i="38" s="1" a="1"/>
  <c r="H74" i="38" s="1"/>
  <c r="F74" i="37"/>
  <c r="B74" i="37"/>
  <c r="H74" i="37" s="1" a="1"/>
  <c r="H74" i="37" s="1"/>
  <c r="F74" i="26"/>
  <c r="B74" i="26"/>
  <c r="H74" i="26" s="1" a="1"/>
  <c r="H74" i="26" s="1"/>
  <c r="F74" i="25"/>
  <c r="B74" i="25"/>
  <c r="H74" i="25" s="1" a="1"/>
  <c r="H74" i="25" s="1"/>
  <c r="F74" i="5"/>
  <c r="B74" i="5"/>
  <c r="H74" i="5" s="1" a="1"/>
  <c r="H74" i="5" s="1"/>
  <c r="F177" i="43"/>
  <c r="B177" i="43"/>
  <c r="H177" i="43" s="1" a="1"/>
  <c r="H177" i="43" s="1"/>
  <c r="F177" i="24"/>
  <c r="B177" i="24"/>
  <c r="H177" i="24" s="1" a="1"/>
  <c r="H177" i="24" s="1"/>
  <c r="F64" i="7"/>
  <c r="B64" i="7"/>
  <c r="H64" i="7" s="1" a="1"/>
  <c r="H64" i="7" s="1"/>
  <c r="F63" i="7"/>
  <c r="B63" i="7"/>
  <c r="H63" i="7" s="1" a="1"/>
  <c r="H63" i="7" s="1"/>
  <c r="F62" i="7"/>
  <c r="B62" i="7"/>
  <c r="H62" i="7" s="1" a="1"/>
  <c r="H62" i="7" s="1"/>
  <c r="F61" i="7"/>
  <c r="B61" i="7"/>
  <c r="H61" i="7" s="1" a="1"/>
  <c r="H61" i="7" s="1"/>
  <c r="F60" i="7"/>
  <c r="B60" i="7"/>
  <c r="H60" i="7" s="1" a="1"/>
  <c r="H60" i="7" s="1"/>
  <c r="F64" i="32"/>
  <c r="B64" i="32"/>
  <c r="H64" i="32" s="1" a="1"/>
  <c r="H64" i="32" s="1"/>
  <c r="F63" i="32"/>
  <c r="B63" i="32"/>
  <c r="H63" i="32" s="1" a="1"/>
  <c r="H63" i="32" s="1"/>
  <c r="F62" i="32"/>
  <c r="B62" i="32"/>
  <c r="H62" i="32" s="1" a="1"/>
  <c r="H62" i="32" s="1"/>
  <c r="F61" i="32"/>
  <c r="B61" i="32"/>
  <c r="H61" i="32" s="1" a="1"/>
  <c r="H61" i="32" s="1"/>
  <c r="B60" i="32"/>
  <c r="H60" i="32" s="1" a="1"/>
  <c r="H60" i="32" s="1"/>
  <c r="F73" i="7"/>
  <c r="B73" i="7"/>
  <c r="H73" i="7" s="1" a="1"/>
  <c r="H73" i="7" s="1"/>
  <c r="F72" i="7"/>
  <c r="B72" i="7"/>
  <c r="H72" i="7" s="1" a="1"/>
  <c r="H72" i="7" s="1"/>
  <c r="F73" i="32"/>
  <c r="B73" i="32"/>
  <c r="H73" i="32" s="1" a="1"/>
  <c r="H73" i="32" s="1"/>
  <c r="F72" i="32"/>
  <c r="B72" i="32"/>
  <c r="H72" i="32" s="1" a="1"/>
  <c r="H72" i="32" s="1"/>
  <c r="F51" i="7"/>
  <c r="B51" i="7"/>
  <c r="H51" i="7" s="1" a="1"/>
  <c r="H51" i="7" s="1"/>
  <c r="F51" i="32"/>
  <c r="B51" i="32"/>
  <c r="H51" i="32" s="1" a="1"/>
  <c r="H51" i="32" s="1"/>
  <c r="F40" i="7"/>
  <c r="B40" i="7"/>
  <c r="H40" i="7" s="1" a="1"/>
  <c r="H40" i="7" s="1"/>
  <c r="B39" i="7"/>
  <c r="H39" i="7" s="1" a="1"/>
  <c r="H39" i="7" s="1"/>
  <c r="F38" i="7"/>
  <c r="B38" i="7"/>
  <c r="H38" i="7" s="1" a="1"/>
  <c r="H38" i="7" s="1"/>
  <c r="F37" i="7"/>
  <c r="B37" i="7"/>
  <c r="H37" i="7" s="1" a="1"/>
  <c r="H37" i="7" s="1"/>
  <c r="F36" i="7"/>
  <c r="B36" i="7"/>
  <c r="H36" i="7" s="1" a="1"/>
  <c r="H36" i="7" s="1"/>
  <c r="F35" i="7"/>
  <c r="B35" i="7"/>
  <c r="H35" i="7" s="1" a="1"/>
  <c r="H35" i="7" s="1"/>
  <c r="F34" i="7"/>
  <c r="B34" i="7"/>
  <c r="H34" i="7" s="1" a="1"/>
  <c r="H34" i="7" s="1"/>
  <c r="F40" i="32"/>
  <c r="B40" i="32"/>
  <c r="H40" i="32" s="1" a="1"/>
  <c r="H40" i="32" s="1"/>
  <c r="B39" i="32"/>
  <c r="H39" i="32" s="1" a="1"/>
  <c r="H39" i="32" s="1"/>
  <c r="F38" i="32"/>
  <c r="B38" i="32"/>
  <c r="H38" i="32" s="1" a="1"/>
  <c r="H38" i="32" s="1"/>
  <c r="F37" i="32"/>
  <c r="B37" i="32"/>
  <c r="H37" i="32" s="1" a="1"/>
  <c r="H37" i="32" s="1"/>
  <c r="F36" i="32"/>
  <c r="B36" i="32"/>
  <c r="H36" i="32" s="1" a="1"/>
  <c r="H36" i="32" s="1"/>
  <c r="F35" i="32"/>
  <c r="B35" i="32"/>
  <c r="H35" i="32" s="1" a="1"/>
  <c r="H35" i="32" s="1"/>
  <c r="F34" i="32"/>
  <c r="B34" i="32"/>
  <c r="H34" i="32" s="1" a="1"/>
  <c r="H34" i="32" s="1"/>
  <c r="F22" i="32"/>
  <c r="B22" i="32"/>
  <c r="H22" i="32" s="1" a="1"/>
  <c r="H22" i="32" s="1"/>
  <c r="F20" i="7"/>
  <c r="B20" i="7"/>
  <c r="H20" i="7" s="1" a="1"/>
  <c r="H20" i="7" s="1"/>
  <c r="F19" i="7"/>
  <c r="B19" i="7"/>
  <c r="H19" i="7" s="1" a="1"/>
  <c r="H19" i="7" s="1"/>
  <c r="F18" i="7"/>
  <c r="B18" i="7"/>
  <c r="H18" i="7" s="1" a="1"/>
  <c r="H18" i="7" s="1"/>
  <c r="F17" i="7"/>
  <c r="B17" i="7"/>
  <c r="H17" i="7" s="1" a="1"/>
  <c r="H17" i="7" s="1"/>
  <c r="F20" i="32"/>
  <c r="B20" i="32"/>
  <c r="H20" i="32" s="1" a="1"/>
  <c r="H20" i="32" s="1"/>
  <c r="F19" i="32"/>
  <c r="B19" i="32"/>
  <c r="H19" i="32" s="1" a="1"/>
  <c r="H19" i="32" s="1"/>
  <c r="F18" i="32"/>
  <c r="B18" i="32"/>
  <c r="H18" i="32" s="1" a="1"/>
  <c r="H18" i="32" s="1"/>
  <c r="F17" i="32"/>
  <c r="B17" i="32"/>
  <c r="H17" i="32" s="1" a="1"/>
  <c r="H17" i="32" s="1"/>
  <c r="B26" i="32"/>
  <c r="H26" i="32" s="1" a="1"/>
  <c r="H26" i="32" s="1"/>
  <c r="F26" i="32"/>
  <c r="B26" i="7"/>
  <c r="H26" i="7" s="1" a="1"/>
  <c r="H26" i="7" s="1"/>
  <c r="F26" i="7"/>
  <c r="F52" i="38"/>
  <c r="B52" i="38"/>
  <c r="H52" i="38" s="1" a="1"/>
  <c r="H52" i="38" s="1"/>
  <c r="F65" i="38"/>
  <c r="B65" i="38"/>
  <c r="H65" i="38" s="1" a="1"/>
  <c r="H65" i="38" s="1"/>
  <c r="F64" i="38"/>
  <c r="B64" i="38"/>
  <c r="H64" i="38" s="1" a="1"/>
  <c r="H64" i="38" s="1"/>
  <c r="F63" i="38"/>
  <c r="B63" i="38"/>
  <c r="H63" i="38" s="1" a="1"/>
  <c r="H63" i="38" s="1"/>
  <c r="F62" i="38"/>
  <c r="B62" i="38"/>
  <c r="H62" i="38" s="1" a="1"/>
  <c r="H62" i="38" s="1"/>
  <c r="B61" i="38"/>
  <c r="H61" i="38" s="1" a="1"/>
  <c r="H61" i="38" s="1"/>
  <c r="F73" i="38"/>
  <c r="B73" i="38"/>
  <c r="H73" i="38" s="1" a="1"/>
  <c r="H73" i="38" s="1"/>
  <c r="F71" i="38"/>
  <c r="B71" i="38"/>
  <c r="H71" i="38" s="1" a="1"/>
  <c r="H71" i="38" s="1"/>
  <c r="B40" i="38"/>
  <c r="H40" i="38" s="1" a="1"/>
  <c r="H40" i="38" s="1"/>
  <c r="F39" i="38"/>
  <c r="B39" i="38"/>
  <c r="H39" i="38" s="1" a="1"/>
  <c r="H39" i="38" s="1"/>
  <c r="F38" i="38"/>
  <c r="B38" i="38"/>
  <c r="H38" i="38" s="1" a="1"/>
  <c r="H38" i="38" s="1"/>
  <c r="F37" i="38"/>
  <c r="B37" i="38"/>
  <c r="H37" i="38" s="1" a="1"/>
  <c r="H37" i="38" s="1"/>
  <c r="F36" i="38"/>
  <c r="B36" i="38"/>
  <c r="H36" i="38" s="1" a="1"/>
  <c r="H36" i="38" s="1"/>
  <c r="F35" i="38"/>
  <c r="B35" i="38"/>
  <c r="H35" i="38" s="1" a="1"/>
  <c r="H35" i="38" s="1"/>
  <c r="F65" i="36"/>
  <c r="B65" i="36"/>
  <c r="H65" i="36" s="1" a="1"/>
  <c r="H65" i="36" s="1"/>
  <c r="F64" i="36"/>
  <c r="B64" i="36"/>
  <c r="H64" i="36" s="1" a="1"/>
  <c r="H64" i="36" s="1"/>
  <c r="F63" i="36"/>
  <c r="B63" i="36"/>
  <c r="H63" i="36" s="1" a="1"/>
  <c r="H63" i="36" s="1"/>
  <c r="F62" i="36"/>
  <c r="B62" i="36"/>
  <c r="H62" i="36" s="1" a="1"/>
  <c r="H62" i="36" s="1"/>
  <c r="B61" i="36"/>
  <c r="H61" i="36" s="1" a="1"/>
  <c r="H61" i="36" s="1"/>
  <c r="F65" i="35"/>
  <c r="B65" i="35"/>
  <c r="H65" i="35" s="1" a="1"/>
  <c r="H65" i="35" s="1"/>
  <c r="F64" i="35"/>
  <c r="B64" i="35"/>
  <c r="H64" i="35" s="1" a="1"/>
  <c r="H64" i="35" s="1"/>
  <c r="F63" i="35"/>
  <c r="B63" i="35"/>
  <c r="H63" i="35" s="1" a="1"/>
  <c r="H63" i="35" s="1"/>
  <c r="F62" i="35"/>
  <c r="B62" i="35"/>
  <c r="H62" i="35" s="1" a="1"/>
  <c r="H62" i="35" s="1"/>
  <c r="F52" i="36"/>
  <c r="B52" i="36"/>
  <c r="H52" i="36" s="1" a="1"/>
  <c r="H52" i="36" s="1"/>
  <c r="F52" i="35"/>
  <c r="B52" i="35"/>
  <c r="H52" i="35" s="1" a="1"/>
  <c r="H52" i="35" s="1"/>
  <c r="F73" i="36"/>
  <c r="B73" i="36"/>
  <c r="H73" i="36" s="1" a="1"/>
  <c r="H73" i="36" s="1"/>
  <c r="F71" i="36"/>
  <c r="B71" i="36"/>
  <c r="H71" i="36" s="1" a="1"/>
  <c r="H71" i="36" s="1"/>
  <c r="F73" i="35"/>
  <c r="B73" i="35"/>
  <c r="H73" i="35" s="1" a="1"/>
  <c r="H73" i="35" s="1"/>
  <c r="F71" i="35"/>
  <c r="B71" i="35"/>
  <c r="H71" i="35" s="1" a="1"/>
  <c r="H71" i="35" s="1"/>
  <c r="B40" i="36"/>
  <c r="H40" i="36" s="1" a="1"/>
  <c r="H40" i="36" s="1"/>
  <c r="F39" i="36"/>
  <c r="B39" i="36"/>
  <c r="H39" i="36" s="1" a="1"/>
  <c r="H39" i="36" s="1"/>
  <c r="F38" i="36"/>
  <c r="B38" i="36"/>
  <c r="H38" i="36" s="1" a="1"/>
  <c r="H38" i="36" s="1"/>
  <c r="F37" i="36"/>
  <c r="B37" i="36"/>
  <c r="H37" i="36" s="1" a="1"/>
  <c r="H37" i="36" s="1"/>
  <c r="F36" i="36"/>
  <c r="B36" i="36"/>
  <c r="H36" i="36" s="1" a="1"/>
  <c r="H36" i="36" s="1"/>
  <c r="F35" i="36"/>
  <c r="B35" i="36"/>
  <c r="H35" i="36" s="1" a="1"/>
  <c r="H35" i="36" s="1"/>
  <c r="B40" i="35"/>
  <c r="H40" i="35" s="1" a="1"/>
  <c r="H40" i="35" s="1"/>
  <c r="F39" i="35"/>
  <c r="B39" i="35"/>
  <c r="H39" i="35" s="1" a="1"/>
  <c r="H39" i="35" s="1"/>
  <c r="F38" i="35"/>
  <c r="B38" i="35"/>
  <c r="H38" i="35" s="1" a="1"/>
  <c r="H38" i="35" s="1"/>
  <c r="F37" i="35"/>
  <c r="B37" i="35"/>
  <c r="H37" i="35" s="1" a="1"/>
  <c r="H37" i="35" s="1"/>
  <c r="F36" i="35"/>
  <c r="B36" i="35"/>
  <c r="H36" i="35" s="1" a="1"/>
  <c r="H36" i="35" s="1"/>
  <c r="F35" i="35"/>
  <c r="B35" i="35"/>
  <c r="H35" i="35" s="1" a="1"/>
  <c r="H35" i="35" s="1"/>
  <c r="F65" i="34"/>
  <c r="B65" i="34"/>
  <c r="H65" i="34" s="1" a="1"/>
  <c r="H65" i="34" s="1"/>
  <c r="F52" i="34"/>
  <c r="B52" i="34"/>
  <c r="H52" i="34" s="1" a="1"/>
  <c r="H52" i="34" s="1"/>
  <c r="B62" i="34" l="1"/>
  <c r="H62" i="34" s="1" a="1"/>
  <c r="H62" i="34" s="1"/>
  <c r="F62" i="34"/>
  <c r="B63" i="34"/>
  <c r="H63" i="34" s="1" a="1"/>
  <c r="H63" i="34" s="1"/>
  <c r="F63" i="34"/>
  <c r="B64" i="34"/>
  <c r="H64" i="34" s="1" a="1"/>
  <c r="H64" i="34" s="1"/>
  <c r="F64" i="34"/>
  <c r="F73" i="34"/>
  <c r="B73" i="34"/>
  <c r="H73" i="34" s="1" a="1"/>
  <c r="H73" i="34" s="1"/>
  <c r="F71" i="34"/>
  <c r="B71" i="34"/>
  <c r="H71" i="34" s="1" a="1"/>
  <c r="H71" i="34" s="1"/>
  <c r="F52" i="31"/>
  <c r="B52" i="31"/>
  <c r="H52" i="31" s="1" a="1"/>
  <c r="H52" i="31" s="1"/>
  <c r="B40" i="31"/>
  <c r="H40" i="31" s="1" a="1"/>
  <c r="H40" i="31" s="1"/>
  <c r="F39" i="31"/>
  <c r="B39" i="31"/>
  <c r="H39" i="31" s="1" a="1"/>
  <c r="H39" i="31" s="1"/>
  <c r="F38" i="31"/>
  <c r="B38" i="31"/>
  <c r="H38" i="31" s="1" a="1"/>
  <c r="H38" i="31" s="1"/>
  <c r="F37" i="31"/>
  <c r="B37" i="31"/>
  <c r="H37" i="31" s="1" a="1"/>
  <c r="H37" i="31" s="1"/>
  <c r="F36" i="31"/>
  <c r="B36" i="31"/>
  <c r="H36" i="31" s="1" a="1"/>
  <c r="H36" i="31" s="1"/>
  <c r="F35" i="31"/>
  <c r="B35" i="31"/>
  <c r="H35" i="31" s="1" a="1"/>
  <c r="H35" i="31" s="1"/>
  <c r="B23" i="31"/>
  <c r="H23" i="31" s="1" a="1"/>
  <c r="H23" i="31" s="1"/>
  <c r="F23" i="31"/>
  <c r="B24" i="31"/>
  <c r="H24" i="31" s="1" a="1"/>
  <c r="H24" i="31" s="1"/>
  <c r="F24" i="31"/>
  <c r="B25" i="31"/>
  <c r="H25" i="31" s="1" a="1"/>
  <c r="H25" i="31" s="1"/>
  <c r="F25" i="31"/>
  <c r="B26" i="31"/>
  <c r="H26" i="31" s="1" a="1"/>
  <c r="H26" i="31" s="1"/>
  <c r="F26" i="31"/>
  <c r="B27" i="31"/>
  <c r="H27" i="31" s="1" a="1"/>
  <c r="H27" i="31" s="1"/>
  <c r="F27" i="31"/>
  <c r="B28" i="31"/>
  <c r="H28" i="31" s="1" a="1"/>
  <c r="H28" i="31" s="1"/>
  <c r="F28" i="31"/>
  <c r="B29" i="31"/>
  <c r="H29" i="31" s="1" a="1"/>
  <c r="H29" i="31" s="1"/>
  <c r="F29" i="31"/>
  <c r="B30" i="31"/>
  <c r="H30" i="31" s="1" a="1"/>
  <c r="H30" i="31" s="1"/>
  <c r="B32" i="31"/>
  <c r="H32" i="31" s="1" a="1"/>
  <c r="H32" i="31" s="1"/>
  <c r="F32" i="31"/>
  <c r="B33" i="31"/>
  <c r="H33" i="31" s="1" a="1"/>
  <c r="H33" i="31" s="1"/>
  <c r="F33" i="31"/>
  <c r="B34" i="31"/>
  <c r="H34" i="31" s="1" a="1"/>
  <c r="H34" i="31" s="1"/>
  <c r="F34" i="31"/>
  <c r="B42" i="31"/>
  <c r="H42" i="31" s="1" a="1"/>
  <c r="H42" i="31" s="1"/>
  <c r="F42" i="31"/>
  <c r="B43" i="31"/>
  <c r="H43" i="31" s="1" a="1"/>
  <c r="H43" i="31" s="1"/>
  <c r="F43" i="31"/>
  <c r="B44" i="31"/>
  <c r="H44" i="31" s="1" a="1"/>
  <c r="H44" i="31" s="1"/>
  <c r="F44" i="31"/>
  <c r="B45" i="31"/>
  <c r="H45" i="31" s="1" a="1"/>
  <c r="H45" i="31" s="1"/>
  <c r="F45" i="31"/>
  <c r="B46" i="31"/>
  <c r="H46" i="31" s="1" a="1"/>
  <c r="H46" i="31" s="1"/>
  <c r="F46" i="31"/>
  <c r="B47" i="31"/>
  <c r="H47" i="31" s="1" a="1"/>
  <c r="H47" i="31" s="1"/>
  <c r="F47" i="31"/>
  <c r="B48" i="31"/>
  <c r="H48" i="31" s="1" a="1"/>
  <c r="H48" i="31" s="1"/>
  <c r="F48" i="31"/>
  <c r="B49" i="31"/>
  <c r="H49" i="31" s="1" a="1"/>
  <c r="H49" i="31" s="1"/>
  <c r="F49" i="31"/>
  <c r="B50" i="31"/>
  <c r="H50" i="31" s="1" a="1"/>
  <c r="H50" i="31" s="1"/>
  <c r="F50" i="31"/>
  <c r="B51" i="31"/>
  <c r="H51" i="31" s="1" a="1"/>
  <c r="H51" i="31" s="1"/>
  <c r="F73" i="31"/>
  <c r="B73" i="31"/>
  <c r="H73" i="31" s="1" a="1"/>
  <c r="H73" i="31" s="1"/>
  <c r="F71" i="31"/>
  <c r="B71" i="31"/>
  <c r="H71" i="31" s="1" a="1"/>
  <c r="H71" i="31" s="1"/>
  <c r="F65" i="31"/>
  <c r="B65" i="31"/>
  <c r="H65" i="31" s="1" a="1"/>
  <c r="H65" i="31" s="1"/>
  <c r="F64" i="31"/>
  <c r="B64" i="31"/>
  <c r="H64" i="31" s="1" a="1"/>
  <c r="H64" i="31" s="1"/>
  <c r="F63" i="31"/>
  <c r="B63" i="31"/>
  <c r="H63" i="31" s="1" a="1"/>
  <c r="H63" i="31" s="1"/>
  <c r="F62" i="31"/>
  <c r="B62" i="31"/>
  <c r="H62" i="31" s="1" a="1"/>
  <c r="H62" i="31" s="1"/>
  <c r="F64" i="39"/>
  <c r="B64" i="39"/>
  <c r="H64" i="39" s="1" a="1"/>
  <c r="H64" i="39" s="1"/>
  <c r="F63" i="39"/>
  <c r="B63" i="39"/>
  <c r="H63" i="39" s="1" a="1"/>
  <c r="H63" i="39" s="1"/>
  <c r="F62" i="39"/>
  <c r="B62" i="39"/>
  <c r="H62" i="39" s="1" a="1"/>
  <c r="H62" i="39" s="1"/>
  <c r="F61" i="39"/>
  <c r="B61" i="39"/>
  <c r="H61" i="39" s="1" a="1"/>
  <c r="H61" i="39" s="1"/>
  <c r="F71" i="39"/>
  <c r="B71" i="39"/>
  <c r="H71" i="39" s="1" a="1"/>
  <c r="H71" i="39" s="1"/>
  <c r="F70" i="39"/>
  <c r="B70" i="39"/>
  <c r="H70" i="39" s="1" a="1"/>
  <c r="H70" i="39" s="1"/>
  <c r="F51" i="39"/>
  <c r="B51" i="39"/>
  <c r="H51" i="39" s="1" a="1"/>
  <c r="H51" i="39" s="1"/>
  <c r="F40" i="39"/>
  <c r="B40" i="39"/>
  <c r="H40" i="39" s="1" a="1"/>
  <c r="H40" i="39" s="1"/>
  <c r="B39" i="39"/>
  <c r="H39" i="39" s="1" a="1"/>
  <c r="H39" i="39" s="1"/>
  <c r="F38" i="39"/>
  <c r="B38" i="39"/>
  <c r="H38" i="39" s="1" a="1"/>
  <c r="H38" i="39" s="1"/>
  <c r="F37" i="39"/>
  <c r="B37" i="39"/>
  <c r="H37" i="39" s="1" a="1"/>
  <c r="H37" i="39" s="1"/>
  <c r="F36" i="39"/>
  <c r="B36" i="39"/>
  <c r="H36" i="39" s="1" a="1"/>
  <c r="H36" i="39" s="1"/>
  <c r="F35" i="39"/>
  <c r="B35" i="39"/>
  <c r="H35" i="39" s="1" a="1"/>
  <c r="H35" i="39" s="1"/>
  <c r="F34" i="39"/>
  <c r="B34" i="39"/>
  <c r="H34" i="39" s="1" a="1"/>
  <c r="H34" i="39" s="1"/>
  <c r="F22" i="39"/>
  <c r="B22" i="39"/>
  <c r="H22" i="39" s="1" a="1"/>
  <c r="H22" i="39" s="1"/>
  <c r="B52" i="39"/>
  <c r="H52" i="39" s="1" a="1"/>
  <c r="H52" i="39" s="1"/>
  <c r="F52" i="39"/>
  <c r="B53" i="39"/>
  <c r="F53" i="39"/>
  <c r="H53" i="39" a="1"/>
  <c r="H53" i="39" s="1"/>
  <c r="B54" i="39"/>
  <c r="H54" i="39" s="1" a="1"/>
  <c r="H54" i="39" s="1"/>
  <c r="F54" i="39"/>
  <c r="B55" i="39"/>
  <c r="H55" i="39" s="1" a="1"/>
  <c r="H55" i="39" s="1"/>
  <c r="F55" i="39"/>
  <c r="B56" i="39"/>
  <c r="H56" i="39" s="1" a="1"/>
  <c r="H56" i="39" s="1"/>
  <c r="F56" i="39"/>
  <c r="B57" i="39"/>
  <c r="H57" i="39" s="1" a="1"/>
  <c r="H57" i="39" s="1"/>
  <c r="F57" i="39"/>
  <c r="B58" i="39"/>
  <c r="H58" i="39" s="1" a="1"/>
  <c r="H58" i="39" s="1"/>
  <c r="F58" i="39"/>
  <c r="B59" i="39"/>
  <c r="H59" i="39" s="1" a="1"/>
  <c r="H59" i="39" s="1"/>
  <c r="F59" i="39"/>
  <c r="B65" i="39"/>
  <c r="H65" i="39" s="1" a="1"/>
  <c r="H65" i="39" s="1"/>
  <c r="F65" i="39"/>
  <c r="B66" i="39"/>
  <c r="H66" i="39" s="1" a="1"/>
  <c r="H66" i="39" s="1"/>
  <c r="F66" i="39"/>
  <c r="B67" i="39"/>
  <c r="H67" i="39" s="1" a="1"/>
  <c r="H67" i="39" s="1"/>
  <c r="F67" i="39"/>
  <c r="B21" i="39"/>
  <c r="H21" i="39" s="1" a="1"/>
  <c r="H21" i="39" s="1"/>
  <c r="F21" i="39"/>
  <c r="F65" i="37"/>
  <c r="B65" i="37"/>
  <c r="H65" i="37" s="1" a="1"/>
  <c r="H65" i="37" s="1"/>
  <c r="F64" i="37"/>
  <c r="B64" i="37"/>
  <c r="H64" i="37" s="1" a="1"/>
  <c r="H64" i="37" s="1"/>
  <c r="F63" i="37"/>
  <c r="B63" i="37"/>
  <c r="H63" i="37" s="1" a="1"/>
  <c r="H63" i="37" s="1"/>
  <c r="F62" i="37"/>
  <c r="B62" i="37"/>
  <c r="H62" i="37" s="1" a="1"/>
  <c r="H62" i="37" s="1"/>
  <c r="F73" i="37"/>
  <c r="B73" i="37"/>
  <c r="H73" i="37" s="1" a="1"/>
  <c r="H73" i="37" s="1"/>
  <c r="F71" i="37"/>
  <c r="B71" i="37"/>
  <c r="H71" i="37" s="1" a="1"/>
  <c r="H71" i="37" s="1"/>
  <c r="F52" i="37"/>
  <c r="B52" i="37"/>
  <c r="H52" i="37" s="1" a="1"/>
  <c r="H52" i="37" s="1"/>
  <c r="B40" i="37"/>
  <c r="H40" i="37" s="1" a="1"/>
  <c r="H40" i="37" s="1"/>
  <c r="F39" i="37"/>
  <c r="B39" i="37"/>
  <c r="H39" i="37" s="1" a="1"/>
  <c r="H39" i="37" s="1"/>
  <c r="F38" i="37"/>
  <c r="B38" i="37"/>
  <c r="H38" i="37" s="1" a="1"/>
  <c r="H38" i="37" s="1"/>
  <c r="F37" i="37"/>
  <c r="B37" i="37"/>
  <c r="H37" i="37" s="1" a="1"/>
  <c r="H37" i="37" s="1"/>
  <c r="F36" i="37"/>
  <c r="B36" i="37"/>
  <c r="H36" i="37" s="1" a="1"/>
  <c r="H36" i="37" s="1"/>
  <c r="F35" i="37"/>
  <c r="B35" i="37"/>
  <c r="H35" i="37" s="1" a="1"/>
  <c r="H35" i="37" s="1"/>
  <c r="F52" i="26"/>
  <c r="B52" i="26"/>
  <c r="H52" i="26" s="1" a="1"/>
  <c r="H52" i="26" s="1"/>
  <c r="B40" i="26"/>
  <c r="H40" i="26" s="1" a="1"/>
  <c r="H40" i="26" s="1"/>
  <c r="F39" i="26"/>
  <c r="B39" i="26"/>
  <c r="H39" i="26" s="1" a="1"/>
  <c r="H39" i="26" s="1"/>
  <c r="F38" i="26"/>
  <c r="B38" i="26"/>
  <c r="H38" i="26" s="1" a="1"/>
  <c r="H38" i="26" s="1"/>
  <c r="F37" i="26"/>
  <c r="B37" i="26"/>
  <c r="H37" i="26" s="1" a="1"/>
  <c r="H37" i="26" s="1"/>
  <c r="F36" i="26"/>
  <c r="B36" i="26"/>
  <c r="H36" i="26" s="1" a="1"/>
  <c r="H36" i="26" s="1"/>
  <c r="F35" i="26"/>
  <c r="B35" i="26"/>
  <c r="H35" i="26" s="1" a="1"/>
  <c r="H35" i="26" s="1"/>
  <c r="B23" i="26"/>
  <c r="F23" i="26"/>
  <c r="H23" i="26" a="1"/>
  <c r="H23" i="26" s="1"/>
  <c r="B24" i="26"/>
  <c r="H24" i="26" s="1" a="1"/>
  <c r="H24" i="26" s="1"/>
  <c r="F24" i="26"/>
  <c r="B25" i="26"/>
  <c r="H25" i="26" s="1" a="1"/>
  <c r="H25" i="26" s="1"/>
  <c r="F25" i="26"/>
  <c r="B26" i="26"/>
  <c r="H26" i="26" s="1" a="1"/>
  <c r="H26" i="26" s="1"/>
  <c r="F26" i="26"/>
  <c r="B27" i="26"/>
  <c r="H27" i="26" s="1" a="1"/>
  <c r="H27" i="26" s="1"/>
  <c r="F27" i="26"/>
  <c r="B28" i="26"/>
  <c r="H28" i="26" s="1" a="1"/>
  <c r="H28" i="26" s="1"/>
  <c r="F28" i="26"/>
  <c r="B29" i="26"/>
  <c r="H29" i="26" s="1" a="1"/>
  <c r="H29" i="26" s="1"/>
  <c r="F29" i="26"/>
  <c r="B30" i="26"/>
  <c r="H30" i="26" s="1" a="1"/>
  <c r="H30" i="26" s="1"/>
  <c r="F65" i="26"/>
  <c r="B65" i="26"/>
  <c r="H65" i="26" s="1" a="1"/>
  <c r="H65" i="26" s="1"/>
  <c r="F64" i="26"/>
  <c r="B64" i="26"/>
  <c r="H64" i="26" s="1" a="1"/>
  <c r="H64" i="26" s="1"/>
  <c r="F63" i="26"/>
  <c r="B63" i="26"/>
  <c r="H63" i="26" s="1" a="1"/>
  <c r="H63" i="26" s="1"/>
  <c r="F62" i="26"/>
  <c r="B62" i="26"/>
  <c r="H62" i="26" s="1" a="1"/>
  <c r="H62" i="26" s="1"/>
  <c r="F73" i="26"/>
  <c r="B73" i="26"/>
  <c r="H73" i="26" s="1" a="1"/>
  <c r="H73" i="26" s="1"/>
  <c r="F71" i="26"/>
  <c r="B71" i="26"/>
  <c r="H71" i="26" s="1" a="1"/>
  <c r="H71" i="26" s="1"/>
  <c r="F65" i="25"/>
  <c r="B65" i="25"/>
  <c r="H65" i="25" s="1" a="1"/>
  <c r="H65" i="25" s="1"/>
  <c r="F64" i="25"/>
  <c r="B64" i="25"/>
  <c r="H64" i="25" s="1" a="1"/>
  <c r="H64" i="25" s="1"/>
  <c r="F63" i="25"/>
  <c r="B63" i="25"/>
  <c r="H63" i="25" s="1" a="1"/>
  <c r="H63" i="25" s="1"/>
  <c r="F62" i="25"/>
  <c r="B62" i="25"/>
  <c r="H62" i="25" s="1" a="1"/>
  <c r="H62" i="25" s="1"/>
  <c r="F73" i="25"/>
  <c r="B73" i="25"/>
  <c r="H73" i="25" s="1" a="1"/>
  <c r="H73" i="25" s="1"/>
  <c r="F71" i="25"/>
  <c r="B71" i="25"/>
  <c r="H71" i="25" s="1" a="1"/>
  <c r="H71" i="25" s="1"/>
  <c r="F73" i="5"/>
  <c r="B73" i="5"/>
  <c r="H73" i="5" s="1" a="1"/>
  <c r="H73" i="5" s="1"/>
  <c r="F78" i="2"/>
  <c r="B78" i="2"/>
  <c r="H78" i="2" s="1" a="1"/>
  <c r="H78" i="2" s="1"/>
  <c r="B207" i="24"/>
  <c r="H207" i="24" s="1" a="1"/>
  <c r="H207" i="24" s="1"/>
  <c r="F156" i="24"/>
  <c r="B156" i="24"/>
  <c r="H156" i="24" s="1" a="1"/>
  <c r="H156" i="24" s="1"/>
  <c r="F155" i="43"/>
  <c r="F154" i="43"/>
  <c r="F76" i="43"/>
  <c r="F75" i="43"/>
  <c r="F212" i="24"/>
  <c r="B212" i="24"/>
  <c r="H212" i="24" s="1" a="1"/>
  <c r="H212" i="24" s="1"/>
  <c r="F211" i="24"/>
  <c r="B211" i="24"/>
  <c r="H211" i="24" s="1" a="1"/>
  <c r="H211" i="24" s="1"/>
  <c r="F210" i="24"/>
  <c r="B210" i="24"/>
  <c r="H210" i="24" s="1" a="1"/>
  <c r="H210" i="24" s="1"/>
  <c r="F209" i="24"/>
  <c r="B209" i="24"/>
  <c r="H209" i="24" s="1" a="1"/>
  <c r="H209" i="24" s="1"/>
  <c r="F208" i="24"/>
  <c r="B208" i="24"/>
  <c r="H208" i="24" s="1" a="1"/>
  <c r="H208" i="24" s="1"/>
  <c r="F183" i="24"/>
  <c r="B183" i="24"/>
  <c r="H183" i="24" s="1" a="1"/>
  <c r="H183" i="24" s="1"/>
  <c r="F206" i="24"/>
  <c r="B206" i="24"/>
  <c r="H206" i="24" s="1" a="1"/>
  <c r="H206" i="24" s="1"/>
  <c r="B185" i="24"/>
  <c r="H185" i="24" s="1" a="1"/>
  <c r="H185" i="24" s="1"/>
  <c r="B184" i="24"/>
  <c r="H184" i="24" s="1" a="1"/>
  <c r="H184" i="24" s="1"/>
  <c r="B141" i="43"/>
  <c r="B140" i="43"/>
  <c r="B139" i="43"/>
  <c r="B138" i="43"/>
  <c r="B137" i="43"/>
  <c r="B136" i="43"/>
  <c r="F176" i="43"/>
  <c r="B176" i="43"/>
  <c r="H176" i="43" s="1" a="1"/>
  <c r="H176" i="43" s="1"/>
  <c r="F175" i="43"/>
  <c r="B175" i="43"/>
  <c r="H175" i="43" s="1" a="1"/>
  <c r="H175" i="43" s="1"/>
  <c r="F174" i="43"/>
  <c r="B174" i="43"/>
  <c r="H174" i="43" s="1" a="1"/>
  <c r="H174" i="43" s="1"/>
  <c r="F173" i="43"/>
  <c r="B173" i="43"/>
  <c r="H173" i="43" s="1" a="1"/>
  <c r="H173" i="43" s="1"/>
  <c r="F143" i="43"/>
  <c r="F38" i="43"/>
  <c r="B38" i="43"/>
  <c r="H38" i="43" s="1" a="1"/>
  <c r="H38" i="43" s="1"/>
  <c r="F37" i="43"/>
  <c r="B37" i="43"/>
  <c r="H37" i="43" s="1" a="1"/>
  <c r="H37" i="43" s="1"/>
  <c r="F36" i="43"/>
  <c r="B36" i="43"/>
  <c r="H36" i="43" s="1" a="1"/>
  <c r="H36" i="43" s="1"/>
  <c r="F35" i="43"/>
  <c r="B35" i="43"/>
  <c r="H35" i="43" s="1" a="1"/>
  <c r="H35" i="43" s="1"/>
  <c r="B205" i="24"/>
  <c r="H205" i="24" s="1" a="1"/>
  <c r="H205" i="24" s="1"/>
  <c r="F204" i="24"/>
  <c r="B204" i="24"/>
  <c r="H204" i="24" s="1" a="1"/>
  <c r="H204" i="24" s="1"/>
  <c r="F203" i="24"/>
  <c r="B203" i="24"/>
  <c r="H203" i="24" s="1" a="1"/>
  <c r="H203" i="24" s="1"/>
  <c r="F202" i="24"/>
  <c r="B202" i="24"/>
  <c r="H202" i="24" s="1" a="1"/>
  <c r="H202" i="24" s="1"/>
  <c r="F201" i="24"/>
  <c r="B201" i="24"/>
  <c r="H201" i="24" s="1" a="1"/>
  <c r="H201" i="24" s="1"/>
  <c r="F200" i="24"/>
  <c r="B200" i="24"/>
  <c r="H200" i="24" s="1" a="1"/>
  <c r="H200" i="24" s="1"/>
  <c r="F199" i="24"/>
  <c r="B199" i="24"/>
  <c r="H199" i="24" s="1" a="1"/>
  <c r="H199" i="24" s="1"/>
  <c r="F198" i="24"/>
  <c r="B198" i="24"/>
  <c r="H198" i="24" s="1" a="1"/>
  <c r="H198" i="24" s="1"/>
  <c r="F197" i="24"/>
  <c r="B197" i="24"/>
  <c r="H197" i="24" s="1" a="1"/>
  <c r="H197" i="24" s="1"/>
  <c r="F196" i="24"/>
  <c r="B196" i="24"/>
  <c r="H196" i="24" s="1" a="1"/>
  <c r="H196" i="24" s="1"/>
  <c r="F195" i="24"/>
  <c r="B195" i="24"/>
  <c r="H195" i="24" s="1" a="1"/>
  <c r="H195" i="24" s="1"/>
  <c r="F194" i="24"/>
  <c r="B194" i="24"/>
  <c r="H194" i="24" s="1" a="1"/>
  <c r="H194" i="24" s="1"/>
  <c r="F193" i="24"/>
  <c r="B193" i="24"/>
  <c r="H193" i="24" s="1" a="1"/>
  <c r="H193" i="24" s="1"/>
  <c r="F192" i="24"/>
  <c r="B192" i="24"/>
  <c r="H192" i="24" s="1" a="1"/>
  <c r="H192" i="24" s="1"/>
  <c r="F191" i="24"/>
  <c r="B191" i="24"/>
  <c r="H191" i="24" s="1" a="1"/>
  <c r="H191" i="24" s="1"/>
  <c r="F190" i="24"/>
  <c r="B190" i="24"/>
  <c r="H190" i="24" s="1" a="1"/>
  <c r="H190" i="24" s="1"/>
  <c r="F189" i="24"/>
  <c r="B189" i="24"/>
  <c r="H189" i="24" s="1" a="1"/>
  <c r="H189" i="24" s="1"/>
  <c r="F188" i="24"/>
  <c r="B188" i="24"/>
  <c r="H188" i="24" s="1" a="1"/>
  <c r="H188" i="24" s="1"/>
  <c r="F187" i="24"/>
  <c r="B187" i="24"/>
  <c r="H187" i="24" s="1" a="1"/>
  <c r="H187" i="24" s="1"/>
  <c r="F186" i="24"/>
  <c r="B186" i="24"/>
  <c r="H186" i="24" s="1" a="1"/>
  <c r="H186" i="24" s="1"/>
  <c r="F176" i="24" l="1"/>
  <c r="B176" i="24"/>
  <c r="H176" i="24" s="1" a="1"/>
  <c r="H176" i="24" s="1"/>
  <c r="F175" i="24"/>
  <c r="B175" i="24"/>
  <c r="H175" i="24" s="1" a="1"/>
  <c r="H175" i="24" s="1"/>
  <c r="F174" i="24"/>
  <c r="B174" i="24"/>
  <c r="H174" i="24" s="1" a="1"/>
  <c r="H174" i="24" s="1"/>
  <c r="F173" i="24"/>
  <c r="B173" i="24"/>
  <c r="H173" i="24" s="1" a="1"/>
  <c r="H173" i="24" s="1"/>
  <c r="F182" i="24"/>
  <c r="B182" i="24"/>
  <c r="H182" i="24" s="1" a="1"/>
  <c r="H182" i="24" s="1"/>
  <c r="F181" i="24"/>
  <c r="B181" i="24"/>
  <c r="H181" i="24" s="1" a="1"/>
  <c r="H181" i="24" s="1"/>
  <c r="F180" i="24"/>
  <c r="B180" i="24"/>
  <c r="H180" i="24" s="1" a="1"/>
  <c r="H180" i="24" s="1"/>
  <c r="F38" i="24"/>
  <c r="B38" i="24"/>
  <c r="H38" i="24" s="1" a="1"/>
  <c r="H38" i="24" s="1"/>
  <c r="F37" i="24"/>
  <c r="B37" i="24"/>
  <c r="H37" i="24" s="1" a="1"/>
  <c r="H37" i="24" s="1"/>
  <c r="F36" i="24"/>
  <c r="B36" i="24"/>
  <c r="H36" i="24" s="1" a="1"/>
  <c r="H36" i="24" s="1"/>
  <c r="F35" i="24"/>
  <c r="B35" i="24"/>
  <c r="H35" i="24" s="1" a="1"/>
  <c r="H35" i="24" s="1"/>
  <c r="F24" i="2" l="1"/>
  <c r="B24" i="2"/>
  <c r="H24" i="2" s="1" a="1"/>
  <c r="H24" i="2" s="1"/>
  <c r="F24" i="23"/>
  <c r="B24" i="23"/>
  <c r="H24" i="23" s="1" a="1"/>
  <c r="H24" i="23" s="1"/>
  <c r="F105" i="2"/>
  <c r="B105" i="2"/>
  <c r="H105" i="2" s="1" a="1"/>
  <c r="H105" i="2" s="1"/>
  <c r="F105" i="23" l="1"/>
  <c r="B105" i="23"/>
  <c r="H105" i="23" s="1" a="1"/>
  <c r="H105" i="23" s="1"/>
  <c r="F71" i="5"/>
  <c r="B71" i="5"/>
  <c r="H71" i="5" s="1" a="1"/>
  <c r="H71" i="5" s="1"/>
  <c r="H122" i="46" l="1"/>
  <c r="G122" i="46" a="1"/>
  <c r="G122" i="46" s="1"/>
  <c r="F122" i="46"/>
  <c r="A122" i="46"/>
  <c r="H121" i="46"/>
  <c r="G121" i="46" a="1"/>
  <c r="G121" i="46" s="1"/>
  <c r="F121" i="46"/>
  <c r="A121" i="46"/>
  <c r="H120" i="46"/>
  <c r="G120" i="46" a="1"/>
  <c r="G120" i="46" s="1"/>
  <c r="F120" i="46"/>
  <c r="A120" i="46"/>
  <c r="H119" i="46"/>
  <c r="G119" i="46" a="1"/>
  <c r="G119" i="46" s="1"/>
  <c r="F119" i="46"/>
  <c r="A119" i="46"/>
  <c r="H118" i="46"/>
  <c r="G118" i="46" a="1"/>
  <c r="G118" i="46" s="1"/>
  <c r="F118" i="46"/>
  <c r="A118" i="46"/>
  <c r="H117" i="46"/>
  <c r="G117" i="46" a="1"/>
  <c r="G117" i="46" s="1"/>
  <c r="F117" i="46"/>
  <c r="A117" i="46"/>
  <c r="H116" i="46"/>
  <c r="G116" i="46" a="1"/>
  <c r="G116" i="46" s="1"/>
  <c r="F116" i="46"/>
  <c r="A116" i="46"/>
  <c r="H115" i="46"/>
  <c r="G115" i="46" a="1"/>
  <c r="G115" i="46" s="1"/>
  <c r="F115" i="46"/>
  <c r="A115" i="46"/>
  <c r="H114" i="46"/>
  <c r="G114" i="46" a="1"/>
  <c r="G114" i="46" s="1"/>
  <c r="F114" i="46"/>
  <c r="A114" i="46"/>
  <c r="H113" i="46"/>
  <c r="G113" i="46" a="1"/>
  <c r="G113" i="46" s="1"/>
  <c r="F113" i="46"/>
  <c r="A113" i="46"/>
  <c r="H112" i="46"/>
  <c r="G112" i="46" a="1"/>
  <c r="G112" i="46" s="1"/>
  <c r="F112" i="46"/>
  <c r="A112" i="46"/>
  <c r="H111" i="46"/>
  <c r="G111" i="46" a="1"/>
  <c r="G111" i="46" s="1"/>
  <c r="F111" i="46"/>
  <c r="A111" i="46"/>
  <c r="H110" i="46"/>
  <c r="G110" i="46" a="1"/>
  <c r="G110" i="46" s="1"/>
  <c r="F110" i="46"/>
  <c r="A110" i="46"/>
  <c r="H109" i="46"/>
  <c r="G109" i="46" a="1"/>
  <c r="G109" i="46" s="1"/>
  <c r="F109" i="46"/>
  <c r="A109" i="46"/>
  <c r="H108" i="46"/>
  <c r="G108" i="46" a="1"/>
  <c r="G108" i="46" s="1"/>
  <c r="F108" i="46"/>
  <c r="A108" i="46"/>
  <c r="H107" i="46"/>
  <c r="G107" i="46" a="1"/>
  <c r="G107" i="46" s="1"/>
  <c r="F107" i="46"/>
  <c r="A107" i="46"/>
  <c r="H106" i="46"/>
  <c r="G106" i="46" a="1"/>
  <c r="G106" i="46" s="1"/>
  <c r="F106" i="46"/>
  <c r="A106" i="46"/>
  <c r="H105" i="46"/>
  <c r="G105" i="46" a="1"/>
  <c r="G105" i="46" s="1"/>
  <c r="F105" i="46"/>
  <c r="A105" i="46"/>
  <c r="H104" i="46"/>
  <c r="G104" i="46" a="1"/>
  <c r="G104" i="46" s="1"/>
  <c r="F104" i="46"/>
  <c r="A104" i="46"/>
  <c r="H103" i="46"/>
  <c r="G103" i="46" a="1"/>
  <c r="G103" i="46" s="1"/>
  <c r="F103" i="46"/>
  <c r="A103" i="46"/>
  <c r="H102" i="46"/>
  <c r="G102" i="46" a="1"/>
  <c r="G102" i="46" s="1"/>
  <c r="F102" i="46"/>
  <c r="A102" i="46"/>
  <c r="H101" i="46"/>
  <c r="G101" i="46" a="1"/>
  <c r="G101" i="46" s="1"/>
  <c r="F101" i="46"/>
  <c r="A101" i="46"/>
  <c r="H100" i="46"/>
  <c r="G100" i="46" a="1"/>
  <c r="G100" i="46" s="1"/>
  <c r="F100" i="46"/>
  <c r="A100" i="46"/>
  <c r="H99" i="46"/>
  <c r="G99" i="46" a="1"/>
  <c r="G99" i="46" s="1"/>
  <c r="F99" i="46"/>
  <c r="A99" i="46"/>
  <c r="H98" i="46"/>
  <c r="G98" i="46" a="1"/>
  <c r="G98" i="46" s="1"/>
  <c r="F98" i="46"/>
  <c r="A98" i="46"/>
  <c r="L97" i="46"/>
  <c r="H97" i="46"/>
  <c r="G97" i="46" a="1"/>
  <c r="G97" i="46" s="1"/>
  <c r="F97" i="46"/>
  <c r="A97" i="46"/>
  <c r="L96" i="46"/>
  <c r="H96" i="46"/>
  <c r="G96" i="46" a="1"/>
  <c r="G96" i="46" s="1"/>
  <c r="F96" i="46"/>
  <c r="A96" i="46"/>
  <c r="H95" i="46"/>
  <c r="G95" i="46" a="1"/>
  <c r="G95" i="46" s="1"/>
  <c r="F95" i="46"/>
  <c r="A95" i="46"/>
  <c r="H94" i="46"/>
  <c r="G94" i="46" a="1"/>
  <c r="G94" i="46" s="1"/>
  <c r="F94" i="46"/>
  <c r="A94" i="46"/>
  <c r="H90" i="46"/>
  <c r="G90" i="46" a="1"/>
  <c r="G90" i="46" s="1"/>
  <c r="F90" i="46"/>
  <c r="A90" i="46"/>
  <c r="H89" i="46"/>
  <c r="G89" i="46" a="1"/>
  <c r="G89" i="46" s="1"/>
  <c r="F89" i="46"/>
  <c r="A89" i="46"/>
  <c r="H88" i="46"/>
  <c r="G88" i="46" a="1"/>
  <c r="G88" i="46" s="1"/>
  <c r="F88" i="46"/>
  <c r="A88" i="46"/>
  <c r="H87" i="46"/>
  <c r="G87" i="46" a="1"/>
  <c r="G87" i="46" s="1"/>
  <c r="F87" i="46"/>
  <c r="A87" i="46"/>
  <c r="H86" i="46"/>
  <c r="G86" i="46" a="1"/>
  <c r="G86" i="46" s="1"/>
  <c r="F86" i="46"/>
  <c r="A86" i="46"/>
  <c r="H85" i="46"/>
  <c r="G85" i="46" a="1"/>
  <c r="G85" i="46" s="1"/>
  <c r="F85" i="46"/>
  <c r="A85" i="46"/>
  <c r="H84" i="46"/>
  <c r="G84" i="46" a="1"/>
  <c r="G84" i="46" s="1"/>
  <c r="F84" i="46"/>
  <c r="A84" i="46"/>
  <c r="H83" i="46"/>
  <c r="G83" i="46" a="1"/>
  <c r="G83" i="46" s="1"/>
  <c r="F83" i="46"/>
  <c r="A83" i="46"/>
  <c r="H82" i="46"/>
  <c r="G82" i="46" a="1"/>
  <c r="G82" i="46" s="1"/>
  <c r="F82" i="46"/>
  <c r="A82" i="46"/>
  <c r="H81" i="46"/>
  <c r="G81" i="46" a="1"/>
  <c r="G81" i="46" s="1"/>
  <c r="F81" i="46"/>
  <c r="A81" i="46"/>
  <c r="H80" i="46"/>
  <c r="G80" i="46" a="1"/>
  <c r="G80" i="46" s="1"/>
  <c r="F80" i="46"/>
  <c r="A80" i="46"/>
  <c r="H79" i="46"/>
  <c r="G79" i="46" a="1"/>
  <c r="G79" i="46" s="1"/>
  <c r="F79" i="46"/>
  <c r="A79" i="46"/>
  <c r="H78" i="46"/>
  <c r="G78" i="46" a="1"/>
  <c r="G78" i="46" s="1"/>
  <c r="F78" i="46"/>
  <c r="A78" i="46"/>
  <c r="H77" i="46"/>
  <c r="G77" i="46" a="1"/>
  <c r="G77" i="46" s="1"/>
  <c r="F77" i="46"/>
  <c r="A77" i="46"/>
  <c r="H76" i="46"/>
  <c r="G76" i="46" a="1"/>
  <c r="G76" i="46" s="1"/>
  <c r="F76" i="46"/>
  <c r="A76" i="46"/>
  <c r="H75" i="46"/>
  <c r="G75" i="46" a="1"/>
  <c r="G75" i="46" s="1"/>
  <c r="F75" i="46"/>
  <c r="A75" i="46"/>
  <c r="H74" i="46"/>
  <c r="G74" i="46" a="1"/>
  <c r="G74" i="46" s="1"/>
  <c r="F74" i="46"/>
  <c r="A74" i="46"/>
  <c r="H73" i="46"/>
  <c r="G73" i="46" a="1"/>
  <c r="G73" i="46" s="1"/>
  <c r="F73" i="46"/>
  <c r="A73" i="46"/>
  <c r="H72" i="46"/>
  <c r="G72" i="46" a="1"/>
  <c r="G72" i="46" s="1"/>
  <c r="F72" i="46"/>
  <c r="A72" i="46"/>
  <c r="H71" i="46"/>
  <c r="G71" i="46" a="1"/>
  <c r="G71" i="46" s="1"/>
  <c r="F71" i="46"/>
  <c r="A71" i="46"/>
  <c r="H70" i="46"/>
  <c r="G70" i="46" a="1"/>
  <c r="G70" i="46" s="1"/>
  <c r="F70" i="46"/>
  <c r="A70" i="46"/>
  <c r="H69" i="46"/>
  <c r="G69" i="46" a="1"/>
  <c r="G69" i="46" s="1"/>
  <c r="F69" i="46"/>
  <c r="A69" i="46"/>
  <c r="H68" i="46"/>
  <c r="G68" i="46" a="1"/>
  <c r="G68" i="46" s="1"/>
  <c r="F68" i="46"/>
  <c r="A68" i="46"/>
  <c r="H67" i="46"/>
  <c r="G67" i="46" a="1"/>
  <c r="G67" i="46" s="1"/>
  <c r="F67" i="46"/>
  <c r="A67" i="46"/>
  <c r="H66" i="46"/>
  <c r="G66" i="46" a="1"/>
  <c r="G66" i="46" s="1"/>
  <c r="F66" i="46"/>
  <c r="A66" i="46"/>
  <c r="L65" i="46"/>
  <c r="H65" i="46"/>
  <c r="G65" i="46" a="1"/>
  <c r="G65" i="46" s="1"/>
  <c r="F65" i="46"/>
  <c r="A65" i="46"/>
  <c r="L64" i="46"/>
  <c r="H64" i="46"/>
  <c r="G64" i="46" a="1"/>
  <c r="G64" i="46" s="1"/>
  <c r="F64" i="46"/>
  <c r="A64" i="46"/>
  <c r="H63" i="46"/>
  <c r="G63" i="46" a="1"/>
  <c r="G63" i="46" s="1"/>
  <c r="F63" i="46"/>
  <c r="A63" i="46"/>
  <c r="H62" i="46"/>
  <c r="G62" i="46" a="1"/>
  <c r="G62" i="46" s="1"/>
  <c r="F62" i="46"/>
  <c r="A62" i="46"/>
  <c r="L58" i="46"/>
  <c r="H58" i="46"/>
  <c r="G58" i="46" a="1"/>
  <c r="G58" i="46" s="1"/>
  <c r="F58" i="46"/>
  <c r="A58" i="46"/>
  <c r="L57" i="46"/>
  <c r="H57" i="46"/>
  <c r="G57" i="46" a="1"/>
  <c r="G57" i="46" s="1"/>
  <c r="F57" i="46"/>
  <c r="L56" i="46"/>
  <c r="H56" i="46"/>
  <c r="G56" i="46" a="1"/>
  <c r="G56" i="46" s="1"/>
  <c r="F56" i="46"/>
  <c r="L55" i="46"/>
  <c r="H55" i="46"/>
  <c r="G55" i="46" a="1"/>
  <c r="G55" i="46" s="1"/>
  <c r="F55" i="46"/>
  <c r="L54" i="46"/>
  <c r="H54" i="46"/>
  <c r="G54" i="46" a="1"/>
  <c r="G54" i="46" s="1"/>
  <c r="F54" i="46"/>
  <c r="L53" i="46"/>
  <c r="H53" i="46"/>
  <c r="G53" i="46" a="1"/>
  <c r="G53" i="46" s="1"/>
  <c r="F53" i="46"/>
  <c r="L52" i="46"/>
  <c r="H52" i="46"/>
  <c r="G52" i="46" a="1"/>
  <c r="G52" i="46" s="1"/>
  <c r="F52" i="46"/>
  <c r="L51" i="46"/>
  <c r="H51" i="46"/>
  <c r="G51" i="46" a="1"/>
  <c r="G51" i="46" s="1"/>
  <c r="F51" i="46"/>
  <c r="A51" i="46"/>
  <c r="L50" i="46"/>
  <c r="H50" i="46"/>
  <c r="G50" i="46" a="1"/>
  <c r="G50" i="46" s="1"/>
  <c r="F50" i="46"/>
  <c r="A50" i="46"/>
  <c r="L49" i="46"/>
  <c r="H49" i="46"/>
  <c r="G49" i="46" a="1"/>
  <c r="G49" i="46" s="1"/>
  <c r="F49" i="46"/>
  <c r="A49" i="46"/>
  <c r="L48" i="46"/>
  <c r="H48" i="46"/>
  <c r="G48" i="46" a="1"/>
  <c r="G48" i="46" s="1"/>
  <c r="F48" i="46"/>
  <c r="A48" i="46"/>
  <c r="L47" i="46"/>
  <c r="H47" i="46"/>
  <c r="G47" i="46" a="1"/>
  <c r="G47" i="46" s="1"/>
  <c r="F47" i="46"/>
  <c r="A47" i="46"/>
  <c r="L46" i="46"/>
  <c r="H46" i="46"/>
  <c r="G46" i="46" a="1"/>
  <c r="G46" i="46" s="1"/>
  <c r="F46" i="46"/>
  <c r="A46" i="46"/>
  <c r="L45" i="46"/>
  <c r="H45" i="46"/>
  <c r="G45" i="46" a="1"/>
  <c r="G45" i="46" s="1"/>
  <c r="F45" i="46"/>
  <c r="A45" i="46"/>
  <c r="H44" i="46"/>
  <c r="G44" i="46" a="1"/>
  <c r="G44" i="46" s="1"/>
  <c r="F44" i="46"/>
  <c r="A44" i="46"/>
  <c r="H43" i="46"/>
  <c r="G43" i="46" a="1"/>
  <c r="G43" i="46" s="1"/>
  <c r="F43" i="46"/>
  <c r="A43" i="46"/>
  <c r="H42" i="46"/>
  <c r="G42" i="46" a="1"/>
  <c r="G42" i="46" s="1"/>
  <c r="F42" i="46"/>
  <c r="A42" i="46"/>
  <c r="H41" i="46"/>
  <c r="G41" i="46" a="1"/>
  <c r="G41" i="46" s="1"/>
  <c r="F41" i="46"/>
  <c r="H40" i="46"/>
  <c r="G40" i="46" a="1"/>
  <c r="G40" i="46" s="1"/>
  <c r="F40" i="46"/>
  <c r="A40" i="46"/>
  <c r="H39" i="46"/>
  <c r="G39" i="46" a="1"/>
  <c r="G39" i="46" s="1"/>
  <c r="F39" i="46"/>
  <c r="A39" i="46"/>
  <c r="H38" i="46"/>
  <c r="G38" i="46" a="1"/>
  <c r="G38" i="46" s="1"/>
  <c r="F38" i="46"/>
  <c r="A38" i="46"/>
  <c r="H37" i="46"/>
  <c r="G37" i="46" a="1"/>
  <c r="G37" i="46" s="1"/>
  <c r="F37" i="46"/>
  <c r="A37" i="46"/>
  <c r="H36" i="46"/>
  <c r="G36" i="46" a="1"/>
  <c r="G36" i="46" s="1"/>
  <c r="F36" i="46"/>
  <c r="A36" i="46"/>
  <c r="H35" i="46"/>
  <c r="G35" i="46" a="1"/>
  <c r="G35" i="46" s="1"/>
  <c r="F35" i="46"/>
  <c r="A35" i="46"/>
  <c r="H34" i="46"/>
  <c r="G34" i="46" a="1"/>
  <c r="G34" i="46" s="1"/>
  <c r="F34" i="46"/>
  <c r="A34" i="46"/>
  <c r="H33" i="46"/>
  <c r="G33" i="46" a="1"/>
  <c r="G33" i="46" s="1"/>
  <c r="F33" i="46"/>
  <c r="A33" i="46"/>
  <c r="L32" i="46"/>
  <c r="H32" i="46"/>
  <c r="G32" i="46" a="1"/>
  <c r="G32" i="46" s="1"/>
  <c r="F32" i="46"/>
  <c r="A32" i="46"/>
  <c r="L31" i="46"/>
  <c r="H31" i="46"/>
  <c r="G31" i="46" a="1"/>
  <c r="G31" i="46" s="1"/>
  <c r="F31" i="46"/>
  <c r="A31" i="46"/>
  <c r="L30" i="46"/>
  <c r="H30" i="46"/>
  <c r="G30" i="46" a="1"/>
  <c r="G30" i="46" s="1"/>
  <c r="F30" i="46"/>
  <c r="A30" i="46"/>
  <c r="L29" i="46"/>
  <c r="H29" i="46"/>
  <c r="G29" i="46" a="1"/>
  <c r="G29" i="46" s="1"/>
  <c r="F29" i="46"/>
  <c r="A29" i="46"/>
  <c r="L28" i="46"/>
  <c r="H28" i="46"/>
  <c r="G28" i="46" a="1"/>
  <c r="G28" i="46" s="1"/>
  <c r="F28" i="46"/>
  <c r="A28" i="46"/>
  <c r="L27" i="46"/>
  <c r="H27" i="46"/>
  <c r="G27" i="46" a="1"/>
  <c r="G27" i="46" s="1"/>
  <c r="F27" i="46"/>
  <c r="A27" i="46"/>
  <c r="L26" i="46"/>
  <c r="H26" i="46"/>
  <c r="G26" i="46" a="1"/>
  <c r="G26" i="46" s="1"/>
  <c r="F26" i="46"/>
  <c r="A26" i="46"/>
  <c r="L25" i="46"/>
  <c r="H25" i="46"/>
  <c r="G25" i="46" a="1"/>
  <c r="G25" i="46" s="1"/>
  <c r="F25" i="46"/>
  <c r="A25" i="46"/>
  <c r="L24" i="46"/>
  <c r="H24" i="46"/>
  <c r="G24" i="46" a="1"/>
  <c r="G24" i="46" s="1"/>
  <c r="F24" i="46"/>
  <c r="A24" i="46"/>
  <c r="L23" i="46"/>
  <c r="H23" i="46"/>
  <c r="G23" i="46" a="1"/>
  <c r="G23" i="46" s="1"/>
  <c r="F23" i="46"/>
  <c r="A23" i="46"/>
  <c r="L22" i="46"/>
  <c r="H22" i="46"/>
  <c r="G22" i="46" a="1"/>
  <c r="G22" i="46" s="1"/>
  <c r="F22" i="46"/>
  <c r="A22" i="46"/>
  <c r="L21" i="46"/>
  <c r="H21" i="46"/>
  <c r="G21" i="46" a="1"/>
  <c r="G21" i="46" s="1"/>
  <c r="F21" i="46"/>
  <c r="A21" i="46"/>
  <c r="L20" i="46"/>
  <c r="H20" i="46"/>
  <c r="G20" i="46" a="1"/>
  <c r="G20" i="46" s="1"/>
  <c r="F20" i="46"/>
  <c r="A20" i="46"/>
  <c r="L19" i="46"/>
  <c r="H19" i="46"/>
  <c r="G19" i="46" a="1"/>
  <c r="G19" i="46" s="1"/>
  <c r="F19" i="46"/>
  <c r="A19" i="46"/>
  <c r="L18" i="46"/>
  <c r="H18" i="46"/>
  <c r="G18" i="46" a="1"/>
  <c r="G18" i="46" s="1"/>
  <c r="F18" i="46"/>
  <c r="A18" i="46"/>
  <c r="L17" i="46"/>
  <c r="H17" i="46"/>
  <c r="G17" i="46" a="1"/>
  <c r="G17" i="46" s="1"/>
  <c r="F17" i="46"/>
  <c r="A17" i="46"/>
  <c r="L16" i="46"/>
  <c r="H16" i="46"/>
  <c r="G16" i="46" a="1"/>
  <c r="G16" i="46" s="1"/>
  <c r="F16" i="46"/>
  <c r="A16" i="46"/>
  <c r="L15" i="46"/>
  <c r="H15" i="46"/>
  <c r="G15" i="46" a="1"/>
  <c r="G15" i="46" s="1"/>
  <c r="F15" i="46"/>
  <c r="A15" i="46"/>
  <c r="L14" i="46"/>
  <c r="H14" i="46"/>
  <c r="G14" i="46" a="1"/>
  <c r="G14" i="46" s="1"/>
  <c r="F14" i="46"/>
  <c r="A14" i="46"/>
  <c r="L13" i="46"/>
  <c r="H13" i="46"/>
  <c r="G13" i="46" a="1"/>
  <c r="G13" i="46" s="1"/>
  <c r="F13" i="46"/>
  <c r="A13" i="46"/>
  <c r="L12" i="46"/>
  <c r="H12" i="46"/>
  <c r="G12" i="46" a="1"/>
  <c r="G12" i="46" s="1"/>
  <c r="F12" i="46"/>
  <c r="A12" i="46"/>
  <c r="L11" i="46"/>
  <c r="H11" i="46"/>
  <c r="G11" i="46" a="1"/>
  <c r="G11" i="46" s="1"/>
  <c r="F11" i="46"/>
  <c r="A11" i="46"/>
  <c r="L10" i="46"/>
  <c r="H10" i="46"/>
  <c r="G10" i="46" a="1"/>
  <c r="G10" i="46" s="1"/>
  <c r="F10" i="46"/>
  <c r="A10" i="46"/>
  <c r="L9" i="46"/>
  <c r="H9" i="46"/>
  <c r="G9" i="46" a="1"/>
  <c r="G9" i="46" s="1"/>
  <c r="F9" i="46"/>
  <c r="A9" i="46"/>
  <c r="L8" i="46"/>
  <c r="H8" i="46"/>
  <c r="G8" i="46" a="1"/>
  <c r="G8" i="46" s="1"/>
  <c r="F8" i="46"/>
  <c r="A8" i="46"/>
  <c r="L7" i="46"/>
  <c r="H7" i="46"/>
  <c r="G7" i="46" a="1"/>
  <c r="G7" i="46" s="1"/>
  <c r="F7" i="46"/>
  <c r="A7" i="46"/>
  <c r="L6" i="46"/>
  <c r="H6" i="46"/>
  <c r="G6" i="46" a="1"/>
  <c r="G6" i="46" s="1"/>
  <c r="F6" i="46"/>
  <c r="L5" i="46"/>
  <c r="H5" i="46"/>
  <c r="G5" i="46" a="1"/>
  <c r="G5" i="46" s="1"/>
  <c r="F5" i="46"/>
  <c r="A5" i="46"/>
  <c r="H4" i="46"/>
  <c r="G4" i="46" a="1"/>
  <c r="G4" i="46" s="1"/>
  <c r="F4" i="46"/>
  <c r="A4" i="46"/>
  <c r="H3" i="46"/>
  <c r="G3" i="46" a="1"/>
  <c r="G3" i="46" s="1"/>
  <c r="F3" i="46"/>
  <c r="A3" i="46"/>
  <c r="B103" i="23"/>
  <c r="H103" i="23" s="1" a="1"/>
  <c r="H103" i="23" s="1"/>
  <c r="N115" i="23"/>
  <c r="N116" i="23" s="1"/>
  <c r="N221" i="24" s="1"/>
  <c r="N222" i="24" s="1"/>
  <c r="N34" i="23"/>
  <c r="N35" i="23" s="1"/>
  <c r="N36" i="23" s="1"/>
  <c r="N39" i="23" s="1"/>
  <c r="N40" i="23" s="1"/>
  <c r="N41" i="23" s="1"/>
  <c r="N44" i="23" s="1"/>
  <c r="N45" i="23" s="1"/>
  <c r="N46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12" i="23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B18" i="8"/>
  <c r="H18" i="8" s="1"/>
  <c r="B19" i="8"/>
  <c r="H19" i="8" s="1"/>
  <c r="B78" i="7"/>
  <c r="H78" i="7" s="1" a="1"/>
  <c r="H78" i="7" s="1"/>
  <c r="F71" i="7"/>
  <c r="B71" i="7"/>
  <c r="H71" i="7" s="1" a="1"/>
  <c r="H71" i="7" s="1"/>
  <c r="F70" i="7"/>
  <c r="B70" i="7"/>
  <c r="H70" i="7" s="1" a="1"/>
  <c r="H70" i="7" s="1"/>
  <c r="F69" i="7"/>
  <c r="B69" i="7"/>
  <c r="H69" i="7" s="1" a="1"/>
  <c r="H69" i="7" s="1"/>
  <c r="F68" i="7"/>
  <c r="B68" i="7"/>
  <c r="H68" i="7" s="1" a="1"/>
  <c r="H68" i="7" s="1"/>
  <c r="F67" i="7"/>
  <c r="B67" i="7"/>
  <c r="H67" i="7" s="1" a="1"/>
  <c r="H67" i="7" s="1"/>
  <c r="F66" i="7"/>
  <c r="B66" i="7"/>
  <c r="H66" i="7" s="1" a="1"/>
  <c r="H66" i="7" s="1"/>
  <c r="F65" i="7"/>
  <c r="B65" i="7"/>
  <c r="H65" i="7" s="1" a="1"/>
  <c r="H65" i="7" s="1"/>
  <c r="F59" i="7"/>
  <c r="B59" i="7"/>
  <c r="H59" i="7" s="1" a="1"/>
  <c r="H59" i="7" s="1"/>
  <c r="F58" i="7"/>
  <c r="B58" i="7"/>
  <c r="H58" i="7" s="1" a="1"/>
  <c r="H58" i="7" s="1"/>
  <c r="F57" i="7"/>
  <c r="B57" i="7"/>
  <c r="H57" i="7" s="1" a="1"/>
  <c r="H57" i="7" s="1"/>
  <c r="F56" i="7"/>
  <c r="B56" i="7"/>
  <c r="H56" i="7" s="1" a="1"/>
  <c r="H56" i="7" s="1"/>
  <c r="F55" i="7"/>
  <c r="B55" i="7"/>
  <c r="H55" i="7" s="1" a="1"/>
  <c r="H55" i="7" s="1"/>
  <c r="F54" i="7"/>
  <c r="B54" i="7"/>
  <c r="H54" i="7" s="1" a="1"/>
  <c r="H54" i="7" s="1"/>
  <c r="F52" i="7"/>
  <c r="B52" i="7"/>
  <c r="H52" i="7" s="1" a="1"/>
  <c r="H52" i="7" s="1"/>
  <c r="B50" i="7"/>
  <c r="H50" i="7" s="1" a="1"/>
  <c r="H50" i="7" s="1"/>
  <c r="F49" i="7"/>
  <c r="B49" i="7"/>
  <c r="H49" i="7" s="1" a="1"/>
  <c r="H49" i="7" s="1"/>
  <c r="F48" i="7"/>
  <c r="B48" i="7"/>
  <c r="H48" i="7" s="1" a="1"/>
  <c r="H48" i="7" s="1"/>
  <c r="F47" i="7"/>
  <c r="B47" i="7"/>
  <c r="H47" i="7" s="1" a="1"/>
  <c r="H47" i="7" s="1"/>
  <c r="F46" i="7"/>
  <c r="B46" i="7"/>
  <c r="H46" i="7" s="1" a="1"/>
  <c r="H46" i="7" s="1"/>
  <c r="F45" i="7"/>
  <c r="B45" i="7"/>
  <c r="H45" i="7" s="1" a="1"/>
  <c r="H45" i="7" s="1"/>
  <c r="F44" i="7"/>
  <c r="B44" i="7"/>
  <c r="H44" i="7" s="1" a="1"/>
  <c r="H44" i="7" s="1"/>
  <c r="F43" i="7"/>
  <c r="B43" i="7"/>
  <c r="H43" i="7" s="1" a="1"/>
  <c r="H43" i="7" s="1"/>
  <c r="F42" i="7"/>
  <c r="B42" i="7"/>
  <c r="H42" i="7" s="1" a="1"/>
  <c r="H42" i="7" s="1"/>
  <c r="F41" i="7"/>
  <c r="B41" i="7"/>
  <c r="H41" i="7" s="1" a="1"/>
  <c r="H41" i="7" s="1"/>
  <c r="F33" i="7"/>
  <c r="B33" i="7"/>
  <c r="H33" i="7" s="1" a="1"/>
  <c r="H33" i="7" s="1"/>
  <c r="F32" i="7"/>
  <c r="B32" i="7"/>
  <c r="H32" i="7" s="1" a="1"/>
  <c r="H32" i="7" s="1"/>
  <c r="F31" i="7"/>
  <c r="B31" i="7"/>
  <c r="H31" i="7" s="1" a="1"/>
  <c r="H31" i="7" s="1"/>
  <c r="B30" i="7"/>
  <c r="H30" i="7" s="1" a="1"/>
  <c r="H30" i="7" s="1"/>
  <c r="F29" i="7"/>
  <c r="B29" i="7"/>
  <c r="H29" i="7" s="1" a="1"/>
  <c r="H29" i="7" s="1"/>
  <c r="F28" i="7"/>
  <c r="B28" i="7"/>
  <c r="H28" i="7" s="1" a="1"/>
  <c r="H28" i="7" s="1"/>
  <c r="F27" i="7"/>
  <c r="B27" i="7"/>
  <c r="H27" i="7" s="1" a="1"/>
  <c r="H27" i="7" s="1"/>
  <c r="F25" i="7"/>
  <c r="B25" i="7"/>
  <c r="H25" i="7" s="1" a="1"/>
  <c r="H25" i="7" s="1"/>
  <c r="F24" i="7"/>
  <c r="B24" i="7"/>
  <c r="H24" i="7" s="1" a="1"/>
  <c r="H24" i="7" s="1"/>
  <c r="F23" i="7"/>
  <c r="B23" i="7"/>
  <c r="H23" i="7" s="1" a="1"/>
  <c r="H23" i="7" s="1"/>
  <c r="F21" i="7"/>
  <c r="B21" i="7"/>
  <c r="H21" i="7" s="1" a="1"/>
  <c r="H21" i="7" s="1"/>
  <c r="F16" i="7"/>
  <c r="B16" i="7"/>
  <c r="H16" i="7" s="1" a="1"/>
  <c r="H16" i="7" s="1"/>
  <c r="F15" i="7"/>
  <c r="B15" i="7"/>
  <c r="H15" i="7" s="1" a="1"/>
  <c r="H15" i="7" s="1"/>
  <c r="F14" i="7"/>
  <c r="B14" i="7"/>
  <c r="H14" i="7" s="1" a="1"/>
  <c r="H14" i="7" s="1"/>
  <c r="F13" i="7"/>
  <c r="B13" i="7"/>
  <c r="H13" i="7" s="1" a="1"/>
  <c r="H13" i="7" s="1"/>
  <c r="F12" i="7"/>
  <c r="B12" i="7"/>
  <c r="H12" i="7" s="1" a="1"/>
  <c r="H12" i="7" s="1"/>
  <c r="F11" i="7"/>
  <c r="B11" i="7"/>
  <c r="H11" i="7" s="1" a="1"/>
  <c r="H11" i="7" s="1"/>
  <c r="F10" i="7"/>
  <c r="B10" i="7"/>
  <c r="H10" i="7" s="1" a="1"/>
  <c r="H10" i="7" s="1"/>
  <c r="B78" i="38"/>
  <c r="H78" i="38" s="1" a="1"/>
  <c r="H78" i="38" s="1"/>
  <c r="F70" i="38"/>
  <c r="B70" i="38"/>
  <c r="H70" i="38" s="1" a="1"/>
  <c r="H70" i="38" s="1"/>
  <c r="F69" i="38"/>
  <c r="B69" i="38"/>
  <c r="H69" i="38" s="1" a="1"/>
  <c r="H69" i="38" s="1"/>
  <c r="F68" i="38"/>
  <c r="B68" i="38"/>
  <c r="H68" i="38" s="1" a="1"/>
  <c r="H68" i="38" s="1"/>
  <c r="F67" i="38"/>
  <c r="B67" i="38"/>
  <c r="H67" i="38" s="1" a="1"/>
  <c r="H67" i="38" s="1"/>
  <c r="F66" i="38"/>
  <c r="B66" i="38"/>
  <c r="H66" i="38" s="1" a="1"/>
  <c r="H66" i="38" s="1"/>
  <c r="F60" i="38"/>
  <c r="B60" i="38"/>
  <c r="H60" i="38" s="1" a="1"/>
  <c r="H60" i="38" s="1"/>
  <c r="F59" i="38"/>
  <c r="B59" i="38"/>
  <c r="H59" i="38" s="1" a="1"/>
  <c r="H59" i="38" s="1"/>
  <c r="F58" i="38"/>
  <c r="B58" i="38"/>
  <c r="H58" i="38" s="1" a="1"/>
  <c r="H58" i="38" s="1"/>
  <c r="F57" i="38"/>
  <c r="B57" i="38"/>
  <c r="H57" i="38" s="1" a="1"/>
  <c r="H57" i="38" s="1"/>
  <c r="F56" i="38"/>
  <c r="B56" i="38"/>
  <c r="H56" i="38" s="1" a="1"/>
  <c r="H56" i="38" s="1"/>
  <c r="F55" i="38"/>
  <c r="B55" i="38"/>
  <c r="H55" i="38" s="1" a="1"/>
  <c r="H55" i="38" s="1"/>
  <c r="F54" i="38"/>
  <c r="B54" i="38"/>
  <c r="H54" i="38" s="1" a="1"/>
  <c r="H54" i="38" s="1"/>
  <c r="F53" i="38"/>
  <c r="B53" i="38"/>
  <c r="H53" i="38" s="1" a="1"/>
  <c r="H53" i="38" s="1"/>
  <c r="B51" i="38"/>
  <c r="H51" i="38" s="1" a="1"/>
  <c r="H51" i="38" s="1"/>
  <c r="F50" i="38"/>
  <c r="B50" i="38"/>
  <c r="H50" i="38" s="1" a="1"/>
  <c r="H50" i="38" s="1"/>
  <c r="F49" i="38"/>
  <c r="B49" i="38"/>
  <c r="H49" i="38" s="1" a="1"/>
  <c r="H49" i="38" s="1"/>
  <c r="F48" i="38"/>
  <c r="B48" i="38"/>
  <c r="H48" i="38" s="1" a="1"/>
  <c r="H48" i="38" s="1"/>
  <c r="F47" i="38"/>
  <c r="B47" i="38"/>
  <c r="H47" i="38" s="1" a="1"/>
  <c r="H47" i="38" s="1"/>
  <c r="F46" i="38"/>
  <c r="B46" i="38"/>
  <c r="H46" i="38" s="1" a="1"/>
  <c r="H46" i="38" s="1"/>
  <c r="F45" i="38"/>
  <c r="B45" i="38"/>
  <c r="H45" i="38" s="1" a="1"/>
  <c r="H45" i="38" s="1"/>
  <c r="F44" i="38"/>
  <c r="B44" i="38"/>
  <c r="H44" i="38" s="1" a="1"/>
  <c r="H44" i="38" s="1"/>
  <c r="F43" i="38"/>
  <c r="B43" i="38"/>
  <c r="H43" i="38" s="1" a="1"/>
  <c r="H43" i="38" s="1"/>
  <c r="F42" i="38"/>
  <c r="B42" i="38"/>
  <c r="H42" i="38" s="1" a="1"/>
  <c r="H42" i="38" s="1"/>
  <c r="F34" i="38"/>
  <c r="B34" i="38"/>
  <c r="H34" i="38" s="1" a="1"/>
  <c r="H34" i="38" s="1"/>
  <c r="F33" i="38"/>
  <c r="B33" i="38"/>
  <c r="H33" i="38" s="1" a="1"/>
  <c r="H33" i="38" s="1"/>
  <c r="F32" i="38"/>
  <c r="B32" i="38"/>
  <c r="H32" i="38" s="1" a="1"/>
  <c r="H32" i="38" s="1"/>
  <c r="B30" i="38"/>
  <c r="H30" i="38" s="1" a="1"/>
  <c r="H30" i="38" s="1"/>
  <c r="F29" i="38"/>
  <c r="B29" i="38"/>
  <c r="H29" i="38" s="1" a="1"/>
  <c r="H29" i="38" s="1"/>
  <c r="F28" i="38"/>
  <c r="B28" i="38"/>
  <c r="H28" i="38" s="1" a="1"/>
  <c r="H28" i="38" s="1"/>
  <c r="F27" i="38"/>
  <c r="B27" i="38"/>
  <c r="H27" i="38" s="1" a="1"/>
  <c r="H27" i="38" s="1"/>
  <c r="F26" i="38"/>
  <c r="B26" i="38"/>
  <c r="H26" i="38" s="1" a="1"/>
  <c r="H26" i="38" s="1"/>
  <c r="F25" i="38"/>
  <c r="B25" i="38"/>
  <c r="H25" i="38" s="1" a="1"/>
  <c r="H25" i="38" s="1"/>
  <c r="F24" i="38"/>
  <c r="B24" i="38"/>
  <c r="H24" i="38" s="1" a="1"/>
  <c r="H24" i="38" s="1"/>
  <c r="F23" i="38"/>
  <c r="B23" i="38"/>
  <c r="H23" i="38" s="1" a="1"/>
  <c r="H23" i="38" s="1"/>
  <c r="F21" i="38"/>
  <c r="B21" i="38"/>
  <c r="H21" i="38" s="1" a="1"/>
  <c r="H21" i="38" s="1"/>
  <c r="F20" i="38"/>
  <c r="B20" i="38"/>
  <c r="H20" i="38" s="1" a="1"/>
  <c r="H20" i="38" s="1"/>
  <c r="F19" i="38"/>
  <c r="B19" i="38"/>
  <c r="H19" i="38" s="1" a="1"/>
  <c r="H19" i="38" s="1"/>
  <c r="F18" i="38"/>
  <c r="B18" i="38"/>
  <c r="H18" i="38" s="1" a="1"/>
  <c r="H18" i="38" s="1"/>
  <c r="F17" i="38"/>
  <c r="B17" i="38"/>
  <c r="H17" i="38" s="1" a="1"/>
  <c r="H17" i="38" s="1"/>
  <c r="F16" i="38"/>
  <c r="B16" i="38"/>
  <c r="H16" i="38" s="1" a="1"/>
  <c r="H16" i="38" s="1"/>
  <c r="F15" i="38"/>
  <c r="B15" i="38"/>
  <c r="H15" i="38" s="1" a="1"/>
  <c r="H15" i="38" s="1"/>
  <c r="F14" i="38"/>
  <c r="B14" i="38"/>
  <c r="H14" i="38" s="1" a="1"/>
  <c r="H14" i="38" s="1"/>
  <c r="F13" i="38"/>
  <c r="B13" i="38"/>
  <c r="H13" i="38" s="1" a="1"/>
  <c r="H13" i="38" s="1"/>
  <c r="F12" i="38"/>
  <c r="B12" i="38"/>
  <c r="H12" i="38" s="1" a="1"/>
  <c r="H12" i="38" s="1"/>
  <c r="F11" i="38"/>
  <c r="B11" i="38"/>
  <c r="H11" i="38" s="1" a="1"/>
  <c r="H11" i="38" s="1"/>
  <c r="F10" i="38"/>
  <c r="B10" i="38"/>
  <c r="H10" i="38" s="1" a="1"/>
  <c r="H10" i="38" s="1"/>
  <c r="B78" i="36"/>
  <c r="H78" i="36" s="1" a="1"/>
  <c r="H78" i="36" s="1"/>
  <c r="F70" i="36"/>
  <c r="B70" i="36"/>
  <c r="H70" i="36" s="1" a="1"/>
  <c r="H70" i="36" s="1"/>
  <c r="F69" i="36"/>
  <c r="B69" i="36"/>
  <c r="H69" i="36" s="1" a="1"/>
  <c r="H69" i="36" s="1"/>
  <c r="F68" i="36"/>
  <c r="B68" i="36"/>
  <c r="H68" i="36" s="1" a="1"/>
  <c r="H68" i="36" s="1"/>
  <c r="F67" i="36"/>
  <c r="B67" i="36"/>
  <c r="H67" i="36" s="1" a="1"/>
  <c r="H67" i="36" s="1"/>
  <c r="F66" i="36"/>
  <c r="B66" i="36"/>
  <c r="H66" i="36" s="1" a="1"/>
  <c r="H66" i="36" s="1"/>
  <c r="F60" i="36"/>
  <c r="B60" i="36"/>
  <c r="H60" i="36" s="1" a="1"/>
  <c r="H60" i="36" s="1"/>
  <c r="F59" i="36"/>
  <c r="B59" i="36"/>
  <c r="H59" i="36" s="1" a="1"/>
  <c r="H59" i="36" s="1"/>
  <c r="F58" i="36"/>
  <c r="B58" i="36"/>
  <c r="H58" i="36" s="1" a="1"/>
  <c r="H58" i="36" s="1"/>
  <c r="F57" i="36"/>
  <c r="B57" i="36"/>
  <c r="H57" i="36" s="1" a="1"/>
  <c r="H57" i="36" s="1"/>
  <c r="F56" i="36"/>
  <c r="B56" i="36"/>
  <c r="H56" i="36" s="1" a="1"/>
  <c r="H56" i="36" s="1"/>
  <c r="F55" i="36"/>
  <c r="B55" i="36"/>
  <c r="H55" i="36" s="1" a="1"/>
  <c r="H55" i="36" s="1"/>
  <c r="F54" i="36"/>
  <c r="B54" i="36"/>
  <c r="H54" i="36" s="1" a="1"/>
  <c r="H54" i="36" s="1"/>
  <c r="F53" i="36"/>
  <c r="B53" i="36"/>
  <c r="H53" i="36" s="1" a="1"/>
  <c r="H53" i="36" s="1"/>
  <c r="B51" i="36"/>
  <c r="H51" i="36" s="1" a="1"/>
  <c r="H51" i="36" s="1"/>
  <c r="F50" i="36"/>
  <c r="B50" i="36"/>
  <c r="H50" i="36" s="1" a="1"/>
  <c r="H50" i="36" s="1"/>
  <c r="F49" i="36"/>
  <c r="B49" i="36"/>
  <c r="H49" i="36" s="1" a="1"/>
  <c r="H49" i="36" s="1"/>
  <c r="F48" i="36"/>
  <c r="B48" i="36"/>
  <c r="H48" i="36" s="1" a="1"/>
  <c r="H48" i="36" s="1"/>
  <c r="F47" i="36"/>
  <c r="B47" i="36"/>
  <c r="H47" i="36" s="1" a="1"/>
  <c r="H47" i="36" s="1"/>
  <c r="F46" i="36"/>
  <c r="B46" i="36"/>
  <c r="H46" i="36" s="1" a="1"/>
  <c r="H46" i="36" s="1"/>
  <c r="F45" i="36"/>
  <c r="B45" i="36"/>
  <c r="H45" i="36" s="1" a="1"/>
  <c r="H45" i="36" s="1"/>
  <c r="F44" i="36"/>
  <c r="B44" i="36"/>
  <c r="H44" i="36" s="1" a="1"/>
  <c r="H44" i="36" s="1"/>
  <c r="F43" i="36"/>
  <c r="B43" i="36"/>
  <c r="H43" i="36" s="1" a="1"/>
  <c r="H43" i="36" s="1"/>
  <c r="F42" i="36"/>
  <c r="B42" i="36"/>
  <c r="H42" i="36" s="1" a="1"/>
  <c r="H42" i="36" s="1"/>
  <c r="F34" i="36"/>
  <c r="B34" i="36"/>
  <c r="H34" i="36" s="1" a="1"/>
  <c r="H34" i="36" s="1"/>
  <c r="F33" i="36"/>
  <c r="B33" i="36"/>
  <c r="H33" i="36" s="1" a="1"/>
  <c r="H33" i="36" s="1"/>
  <c r="F32" i="36"/>
  <c r="B32" i="36"/>
  <c r="H32" i="36" s="1" a="1"/>
  <c r="H32" i="36" s="1"/>
  <c r="B30" i="36"/>
  <c r="H30" i="36" s="1" a="1"/>
  <c r="H30" i="36" s="1"/>
  <c r="F29" i="36"/>
  <c r="B29" i="36"/>
  <c r="H29" i="36" s="1" a="1"/>
  <c r="H29" i="36" s="1"/>
  <c r="F28" i="36"/>
  <c r="B28" i="36"/>
  <c r="H28" i="36" s="1" a="1"/>
  <c r="H28" i="36" s="1"/>
  <c r="F27" i="36"/>
  <c r="B27" i="36"/>
  <c r="H27" i="36" s="1" a="1"/>
  <c r="H27" i="36" s="1"/>
  <c r="F26" i="36"/>
  <c r="B26" i="36"/>
  <c r="H26" i="36" s="1" a="1"/>
  <c r="H26" i="36" s="1"/>
  <c r="F25" i="36"/>
  <c r="B25" i="36"/>
  <c r="H25" i="36" s="1" a="1"/>
  <c r="H25" i="36" s="1"/>
  <c r="F24" i="36"/>
  <c r="B24" i="36"/>
  <c r="H24" i="36" s="1" a="1"/>
  <c r="H24" i="36" s="1"/>
  <c r="F23" i="36"/>
  <c r="B23" i="36"/>
  <c r="H23" i="36" s="1" a="1"/>
  <c r="H23" i="36" s="1"/>
  <c r="F21" i="36"/>
  <c r="B21" i="36"/>
  <c r="H21" i="36" s="1" a="1"/>
  <c r="H21" i="36" s="1"/>
  <c r="F20" i="36"/>
  <c r="B20" i="36"/>
  <c r="H20" i="36" s="1" a="1"/>
  <c r="H20" i="36" s="1"/>
  <c r="F19" i="36"/>
  <c r="B19" i="36"/>
  <c r="H19" i="36" s="1" a="1"/>
  <c r="H19" i="36" s="1"/>
  <c r="F18" i="36"/>
  <c r="B18" i="36"/>
  <c r="H18" i="36" s="1" a="1"/>
  <c r="H18" i="36" s="1"/>
  <c r="F17" i="36"/>
  <c r="B17" i="36"/>
  <c r="H17" i="36" s="1" a="1"/>
  <c r="H17" i="36" s="1"/>
  <c r="F16" i="36"/>
  <c r="B16" i="36"/>
  <c r="H16" i="36" s="1" a="1"/>
  <c r="H16" i="36" s="1"/>
  <c r="F15" i="36"/>
  <c r="B15" i="36"/>
  <c r="H15" i="36" s="1" a="1"/>
  <c r="H15" i="36" s="1"/>
  <c r="F14" i="36"/>
  <c r="B14" i="36"/>
  <c r="H14" i="36" s="1" a="1"/>
  <c r="H14" i="36" s="1"/>
  <c r="F13" i="36"/>
  <c r="B13" i="36"/>
  <c r="H13" i="36" s="1" a="1"/>
  <c r="H13" i="36" s="1"/>
  <c r="F12" i="36"/>
  <c r="B12" i="36"/>
  <c r="H12" i="36" s="1" a="1"/>
  <c r="H12" i="36" s="1"/>
  <c r="F11" i="36"/>
  <c r="B11" i="36"/>
  <c r="H11" i="36" s="1" a="1"/>
  <c r="H11" i="36" s="1"/>
  <c r="F10" i="36"/>
  <c r="B10" i="36"/>
  <c r="H10" i="36" s="1" a="1"/>
  <c r="H10" i="36" s="1"/>
  <c r="B78" i="35"/>
  <c r="H78" i="35" s="1" a="1"/>
  <c r="H78" i="35" s="1"/>
  <c r="F70" i="35"/>
  <c r="B70" i="35"/>
  <c r="H70" i="35" s="1" a="1"/>
  <c r="H70" i="35" s="1"/>
  <c r="F69" i="35"/>
  <c r="B69" i="35"/>
  <c r="H69" i="35" s="1" a="1"/>
  <c r="H69" i="35" s="1"/>
  <c r="F68" i="35"/>
  <c r="B68" i="35"/>
  <c r="H68" i="35" s="1" a="1"/>
  <c r="H68" i="35" s="1"/>
  <c r="F67" i="35"/>
  <c r="B67" i="35"/>
  <c r="H67" i="35" s="1" a="1"/>
  <c r="H67" i="35" s="1"/>
  <c r="F66" i="35"/>
  <c r="B66" i="35"/>
  <c r="H66" i="35" s="1" a="1"/>
  <c r="H66" i="35" s="1"/>
  <c r="F60" i="35"/>
  <c r="B60" i="35"/>
  <c r="H60" i="35" s="1" a="1"/>
  <c r="H60" i="35" s="1"/>
  <c r="F59" i="35"/>
  <c r="B59" i="35"/>
  <c r="H59" i="35" s="1" a="1"/>
  <c r="H59" i="35" s="1"/>
  <c r="F58" i="35"/>
  <c r="B58" i="35"/>
  <c r="H58" i="35" s="1" a="1"/>
  <c r="H58" i="35" s="1"/>
  <c r="F57" i="35"/>
  <c r="B57" i="35"/>
  <c r="H57" i="35" s="1" a="1"/>
  <c r="H57" i="35" s="1"/>
  <c r="F56" i="35"/>
  <c r="B56" i="35"/>
  <c r="H56" i="35" s="1" a="1"/>
  <c r="H56" i="35" s="1"/>
  <c r="F55" i="35"/>
  <c r="B55" i="35"/>
  <c r="H55" i="35" s="1" a="1"/>
  <c r="H55" i="35" s="1"/>
  <c r="F54" i="35"/>
  <c r="B54" i="35"/>
  <c r="H54" i="35" s="1" a="1"/>
  <c r="H54" i="35" s="1"/>
  <c r="F53" i="35"/>
  <c r="B53" i="35"/>
  <c r="H53" i="35" s="1" a="1"/>
  <c r="H53" i="35" s="1"/>
  <c r="B51" i="35"/>
  <c r="H51" i="35" s="1" a="1"/>
  <c r="H51" i="35" s="1"/>
  <c r="F50" i="35"/>
  <c r="B50" i="35"/>
  <c r="H50" i="35" s="1" a="1"/>
  <c r="H50" i="35" s="1"/>
  <c r="F49" i="35"/>
  <c r="B49" i="35"/>
  <c r="H49" i="35" s="1" a="1"/>
  <c r="H49" i="35" s="1"/>
  <c r="F48" i="35"/>
  <c r="B48" i="35"/>
  <c r="H48" i="35" s="1" a="1"/>
  <c r="H48" i="35" s="1"/>
  <c r="F47" i="35"/>
  <c r="B47" i="35"/>
  <c r="H47" i="35" s="1" a="1"/>
  <c r="H47" i="35" s="1"/>
  <c r="F46" i="35"/>
  <c r="B46" i="35"/>
  <c r="H46" i="35" s="1" a="1"/>
  <c r="H46" i="35" s="1"/>
  <c r="F45" i="35"/>
  <c r="B45" i="35"/>
  <c r="H45" i="35" s="1" a="1"/>
  <c r="H45" i="35" s="1"/>
  <c r="F44" i="35"/>
  <c r="B44" i="35"/>
  <c r="H44" i="35" s="1" a="1"/>
  <c r="H44" i="35" s="1"/>
  <c r="F43" i="35"/>
  <c r="B43" i="35"/>
  <c r="H43" i="35" s="1" a="1"/>
  <c r="H43" i="35" s="1"/>
  <c r="F42" i="35"/>
  <c r="B42" i="35"/>
  <c r="H42" i="35" s="1" a="1"/>
  <c r="H42" i="35" s="1"/>
  <c r="F34" i="35"/>
  <c r="B34" i="35"/>
  <c r="H34" i="35" s="1" a="1"/>
  <c r="H34" i="35" s="1"/>
  <c r="F33" i="35"/>
  <c r="B33" i="35"/>
  <c r="H33" i="35" s="1" a="1"/>
  <c r="H33" i="35" s="1"/>
  <c r="F32" i="35"/>
  <c r="B32" i="35"/>
  <c r="H32" i="35" s="1" a="1"/>
  <c r="H32" i="35" s="1"/>
  <c r="B30" i="35"/>
  <c r="H30" i="35" s="1" a="1"/>
  <c r="H30" i="35" s="1"/>
  <c r="F29" i="35"/>
  <c r="B29" i="35"/>
  <c r="H29" i="35" s="1" a="1"/>
  <c r="H29" i="35" s="1"/>
  <c r="F28" i="35"/>
  <c r="B28" i="35"/>
  <c r="H28" i="35" s="1" a="1"/>
  <c r="H28" i="35" s="1"/>
  <c r="F27" i="35"/>
  <c r="B27" i="35"/>
  <c r="H27" i="35" s="1" a="1"/>
  <c r="H27" i="35" s="1"/>
  <c r="F26" i="35"/>
  <c r="B26" i="35"/>
  <c r="H26" i="35" s="1" a="1"/>
  <c r="H26" i="35" s="1"/>
  <c r="F25" i="35"/>
  <c r="B25" i="35"/>
  <c r="H25" i="35" s="1" a="1"/>
  <c r="H25" i="35" s="1"/>
  <c r="F24" i="35"/>
  <c r="B24" i="35"/>
  <c r="H24" i="35" s="1" a="1"/>
  <c r="H24" i="35" s="1"/>
  <c r="F23" i="35"/>
  <c r="B23" i="35"/>
  <c r="H23" i="35" s="1" a="1"/>
  <c r="H23" i="35" s="1"/>
  <c r="F21" i="35"/>
  <c r="B21" i="35"/>
  <c r="H21" i="35" s="1" a="1"/>
  <c r="H21" i="35" s="1"/>
  <c r="F20" i="35"/>
  <c r="B20" i="35"/>
  <c r="H20" i="35" s="1" a="1"/>
  <c r="H20" i="35" s="1"/>
  <c r="F19" i="35"/>
  <c r="B19" i="35"/>
  <c r="H19" i="35" s="1" a="1"/>
  <c r="H19" i="35" s="1"/>
  <c r="F18" i="35"/>
  <c r="B18" i="35"/>
  <c r="H18" i="35" s="1" a="1"/>
  <c r="H18" i="35" s="1"/>
  <c r="F17" i="35"/>
  <c r="B17" i="35"/>
  <c r="H17" i="35" s="1" a="1"/>
  <c r="H17" i="35" s="1"/>
  <c r="F16" i="35"/>
  <c r="B16" i="35"/>
  <c r="H16" i="35" s="1" a="1"/>
  <c r="H16" i="35" s="1"/>
  <c r="F15" i="35"/>
  <c r="B15" i="35"/>
  <c r="H15" i="35" s="1" a="1"/>
  <c r="H15" i="35" s="1"/>
  <c r="F14" i="35"/>
  <c r="B14" i="35"/>
  <c r="H14" i="35" s="1" a="1"/>
  <c r="H14" i="35" s="1"/>
  <c r="F13" i="35"/>
  <c r="B13" i="35"/>
  <c r="H13" i="35" s="1" a="1"/>
  <c r="H13" i="35" s="1"/>
  <c r="F12" i="35"/>
  <c r="B12" i="35"/>
  <c r="H12" i="35" s="1" a="1"/>
  <c r="H12" i="35" s="1"/>
  <c r="F11" i="35"/>
  <c r="B11" i="35"/>
  <c r="H11" i="35" s="1" a="1"/>
  <c r="H11" i="35" s="1"/>
  <c r="F10" i="35"/>
  <c r="B10" i="35"/>
  <c r="H10" i="35" s="1" a="1"/>
  <c r="H10" i="35" s="1"/>
  <c r="B78" i="34"/>
  <c r="H78" i="34" s="1" a="1"/>
  <c r="H78" i="34" s="1"/>
  <c r="F70" i="34"/>
  <c r="B70" i="34"/>
  <c r="H70" i="34" s="1" a="1"/>
  <c r="H70" i="34" s="1"/>
  <c r="F69" i="34"/>
  <c r="B69" i="34"/>
  <c r="H69" i="34" s="1" a="1"/>
  <c r="H69" i="34" s="1"/>
  <c r="F68" i="34"/>
  <c r="B68" i="34"/>
  <c r="H68" i="34" s="1" a="1"/>
  <c r="H68" i="34" s="1"/>
  <c r="F67" i="34"/>
  <c r="B67" i="34"/>
  <c r="H67" i="34" s="1" a="1"/>
  <c r="H67" i="34" s="1"/>
  <c r="F66" i="34"/>
  <c r="B66" i="34"/>
  <c r="H66" i="34" s="1" a="1"/>
  <c r="H66" i="34" s="1"/>
  <c r="F60" i="34"/>
  <c r="B60" i="34"/>
  <c r="H60" i="34" s="1" a="1"/>
  <c r="H60" i="34" s="1"/>
  <c r="F59" i="34"/>
  <c r="B59" i="34"/>
  <c r="H59" i="34" s="1" a="1"/>
  <c r="H59" i="34" s="1"/>
  <c r="F58" i="34"/>
  <c r="B58" i="34"/>
  <c r="H58" i="34" s="1" a="1"/>
  <c r="H58" i="34" s="1"/>
  <c r="F57" i="34"/>
  <c r="B57" i="34"/>
  <c r="H57" i="34" s="1" a="1"/>
  <c r="H57" i="34" s="1"/>
  <c r="F56" i="34"/>
  <c r="B56" i="34"/>
  <c r="H56" i="34" s="1" a="1"/>
  <c r="H56" i="34" s="1"/>
  <c r="F55" i="34"/>
  <c r="B55" i="34"/>
  <c r="H55" i="34" s="1" a="1"/>
  <c r="H55" i="34" s="1"/>
  <c r="F54" i="34"/>
  <c r="B54" i="34"/>
  <c r="H54" i="34" s="1" a="1"/>
  <c r="H54" i="34" s="1"/>
  <c r="F53" i="34"/>
  <c r="B53" i="34"/>
  <c r="H53" i="34" s="1" a="1"/>
  <c r="H53" i="34" s="1"/>
  <c r="B51" i="34"/>
  <c r="H51" i="34" s="1" a="1"/>
  <c r="H51" i="34" s="1"/>
  <c r="F50" i="34"/>
  <c r="B50" i="34"/>
  <c r="H50" i="34" s="1" a="1"/>
  <c r="H50" i="34" s="1"/>
  <c r="F49" i="34"/>
  <c r="B49" i="34"/>
  <c r="H49" i="34" s="1" a="1"/>
  <c r="H49" i="34" s="1"/>
  <c r="F48" i="34"/>
  <c r="B48" i="34"/>
  <c r="H48" i="34" s="1" a="1"/>
  <c r="H48" i="34" s="1"/>
  <c r="F47" i="34"/>
  <c r="B47" i="34"/>
  <c r="H47" i="34" s="1" a="1"/>
  <c r="H47" i="34" s="1"/>
  <c r="F46" i="34"/>
  <c r="B46" i="34"/>
  <c r="H46" i="34" s="1" a="1"/>
  <c r="H46" i="34" s="1"/>
  <c r="F45" i="34"/>
  <c r="B45" i="34"/>
  <c r="H45" i="34" s="1" a="1"/>
  <c r="H45" i="34" s="1"/>
  <c r="F44" i="34"/>
  <c r="B44" i="34"/>
  <c r="H44" i="34" s="1" a="1"/>
  <c r="H44" i="34" s="1"/>
  <c r="F43" i="34"/>
  <c r="B43" i="34"/>
  <c r="H43" i="34" s="1" a="1"/>
  <c r="H43" i="34" s="1"/>
  <c r="F42" i="34"/>
  <c r="B42" i="34"/>
  <c r="H42" i="34" s="1" a="1"/>
  <c r="H42" i="34" s="1"/>
  <c r="B40" i="34"/>
  <c r="H40" i="34" s="1" a="1"/>
  <c r="H40" i="34" s="1"/>
  <c r="F39" i="34"/>
  <c r="B39" i="34"/>
  <c r="H39" i="34" s="1" a="1"/>
  <c r="H39" i="34" s="1"/>
  <c r="F38" i="34"/>
  <c r="B38" i="34"/>
  <c r="H38" i="34" s="1" a="1"/>
  <c r="H38" i="34" s="1"/>
  <c r="F37" i="34"/>
  <c r="B37" i="34"/>
  <c r="H37" i="34" s="1" a="1"/>
  <c r="H37" i="34" s="1"/>
  <c r="F36" i="34"/>
  <c r="B36" i="34"/>
  <c r="H36" i="34" s="1" a="1"/>
  <c r="H36" i="34" s="1"/>
  <c r="F35" i="34"/>
  <c r="B35" i="34"/>
  <c r="H35" i="34" s="1" a="1"/>
  <c r="H35" i="34" s="1"/>
  <c r="F34" i="34"/>
  <c r="B34" i="34"/>
  <c r="H34" i="34" s="1" a="1"/>
  <c r="H34" i="34" s="1"/>
  <c r="F33" i="34"/>
  <c r="B33" i="34"/>
  <c r="H33" i="34" s="1" a="1"/>
  <c r="H33" i="34" s="1"/>
  <c r="F32" i="34"/>
  <c r="B32" i="34"/>
  <c r="H32" i="34" s="1" a="1"/>
  <c r="H32" i="34" s="1"/>
  <c r="B30" i="34"/>
  <c r="H30" i="34" s="1" a="1"/>
  <c r="H30" i="34" s="1"/>
  <c r="F29" i="34"/>
  <c r="B29" i="34"/>
  <c r="H29" i="34" s="1" a="1"/>
  <c r="H29" i="34" s="1"/>
  <c r="F28" i="34"/>
  <c r="B28" i="34"/>
  <c r="H28" i="34" s="1" a="1"/>
  <c r="H28" i="34" s="1"/>
  <c r="F27" i="34"/>
  <c r="B27" i="34"/>
  <c r="H27" i="34" s="1" a="1"/>
  <c r="H27" i="34" s="1"/>
  <c r="F26" i="34"/>
  <c r="B26" i="34"/>
  <c r="H26" i="34" s="1" a="1"/>
  <c r="H26" i="34" s="1"/>
  <c r="F25" i="34"/>
  <c r="B25" i="34"/>
  <c r="H25" i="34" s="1" a="1"/>
  <c r="H25" i="34" s="1"/>
  <c r="F24" i="34"/>
  <c r="B24" i="34"/>
  <c r="H24" i="34" s="1" a="1"/>
  <c r="H24" i="34" s="1"/>
  <c r="F23" i="34"/>
  <c r="B23" i="34"/>
  <c r="H23" i="34" s="1" a="1"/>
  <c r="H23" i="34" s="1"/>
  <c r="F21" i="34"/>
  <c r="B21" i="34"/>
  <c r="H21" i="34" s="1" a="1"/>
  <c r="H21" i="34" s="1"/>
  <c r="F20" i="34"/>
  <c r="B20" i="34"/>
  <c r="H20" i="34" s="1" a="1"/>
  <c r="H20" i="34" s="1"/>
  <c r="F19" i="34"/>
  <c r="B19" i="34"/>
  <c r="H19" i="34" s="1" a="1"/>
  <c r="H19" i="34" s="1"/>
  <c r="F18" i="34"/>
  <c r="B18" i="34"/>
  <c r="H18" i="34" s="1" a="1"/>
  <c r="H18" i="34" s="1"/>
  <c r="F17" i="34"/>
  <c r="B17" i="34"/>
  <c r="H17" i="34" s="1" a="1"/>
  <c r="H17" i="34" s="1"/>
  <c r="F16" i="34"/>
  <c r="B16" i="34"/>
  <c r="H16" i="34" s="1" a="1"/>
  <c r="H16" i="34" s="1"/>
  <c r="F15" i="34"/>
  <c r="B15" i="34"/>
  <c r="H15" i="34" s="1" a="1"/>
  <c r="H15" i="34" s="1"/>
  <c r="F14" i="34"/>
  <c r="B14" i="34"/>
  <c r="H14" i="34" s="1" a="1"/>
  <c r="H14" i="34" s="1"/>
  <c r="F13" i="34"/>
  <c r="B13" i="34"/>
  <c r="H13" i="34" s="1" a="1"/>
  <c r="H13" i="34" s="1"/>
  <c r="F12" i="34"/>
  <c r="B12" i="34"/>
  <c r="H12" i="34" s="1" a="1"/>
  <c r="H12" i="34" s="1"/>
  <c r="F11" i="34"/>
  <c r="B11" i="34"/>
  <c r="H11" i="34" s="1" a="1"/>
  <c r="H11" i="34" s="1"/>
  <c r="F10" i="34"/>
  <c r="B10" i="34"/>
  <c r="H10" i="34" s="1" a="1"/>
  <c r="H10" i="34" s="1"/>
  <c r="B78" i="31"/>
  <c r="H78" i="31" s="1" a="1"/>
  <c r="H78" i="31" s="1"/>
  <c r="F70" i="31"/>
  <c r="B70" i="31"/>
  <c r="H70" i="31" s="1" a="1"/>
  <c r="H70" i="31" s="1"/>
  <c r="F69" i="31"/>
  <c r="B69" i="31"/>
  <c r="H69" i="31" s="1" a="1"/>
  <c r="H69" i="31" s="1"/>
  <c r="F68" i="31"/>
  <c r="B68" i="31"/>
  <c r="H68" i="31" s="1" a="1"/>
  <c r="H68" i="31" s="1"/>
  <c r="F67" i="31"/>
  <c r="B67" i="31"/>
  <c r="H67" i="31" s="1" a="1"/>
  <c r="H67" i="31" s="1"/>
  <c r="F66" i="31"/>
  <c r="B66" i="31"/>
  <c r="H66" i="31" s="1" a="1"/>
  <c r="H66" i="31" s="1"/>
  <c r="F60" i="31"/>
  <c r="B60" i="31"/>
  <c r="H60" i="31" s="1" a="1"/>
  <c r="H60" i="31" s="1"/>
  <c r="F59" i="31"/>
  <c r="B59" i="31"/>
  <c r="H59" i="31" s="1" a="1"/>
  <c r="H59" i="31" s="1"/>
  <c r="F58" i="31"/>
  <c r="B58" i="31"/>
  <c r="H58" i="31" s="1" a="1"/>
  <c r="H58" i="31" s="1"/>
  <c r="F57" i="31"/>
  <c r="B57" i="31"/>
  <c r="H57" i="31" s="1" a="1"/>
  <c r="H57" i="31" s="1"/>
  <c r="F56" i="31"/>
  <c r="B56" i="31"/>
  <c r="H56" i="31" s="1" a="1"/>
  <c r="H56" i="31" s="1"/>
  <c r="F55" i="31"/>
  <c r="B55" i="31"/>
  <c r="H55" i="31" s="1" a="1"/>
  <c r="H55" i="31" s="1"/>
  <c r="F54" i="31"/>
  <c r="B54" i="31"/>
  <c r="H54" i="31" s="1" a="1"/>
  <c r="H54" i="31" s="1"/>
  <c r="F53" i="31"/>
  <c r="B53" i="31"/>
  <c r="H53" i="31" s="1" a="1"/>
  <c r="H53" i="31" s="1"/>
  <c r="F21" i="31"/>
  <c r="B21" i="31"/>
  <c r="H21" i="31" s="1" a="1"/>
  <c r="H21" i="31" s="1"/>
  <c r="F20" i="31"/>
  <c r="B20" i="31"/>
  <c r="H20" i="31" s="1" a="1"/>
  <c r="H20" i="31" s="1"/>
  <c r="F19" i="31"/>
  <c r="B19" i="31"/>
  <c r="H19" i="31" s="1" a="1"/>
  <c r="H19" i="31" s="1"/>
  <c r="F18" i="31"/>
  <c r="B18" i="31"/>
  <c r="H18" i="31" s="1" a="1"/>
  <c r="H18" i="31" s="1"/>
  <c r="F17" i="31"/>
  <c r="B17" i="31"/>
  <c r="H17" i="31" s="1" a="1"/>
  <c r="H17" i="31" s="1"/>
  <c r="F16" i="31"/>
  <c r="B16" i="31"/>
  <c r="H16" i="31" s="1" a="1"/>
  <c r="H16" i="31" s="1"/>
  <c r="F15" i="31"/>
  <c r="B15" i="31"/>
  <c r="H15" i="31" s="1" a="1"/>
  <c r="H15" i="31" s="1"/>
  <c r="F14" i="31"/>
  <c r="B14" i="31"/>
  <c r="H14" i="31" s="1" a="1"/>
  <c r="H14" i="31" s="1"/>
  <c r="F13" i="31"/>
  <c r="B13" i="31"/>
  <c r="H13" i="31" s="1" a="1"/>
  <c r="H13" i="31" s="1"/>
  <c r="F12" i="31"/>
  <c r="B12" i="31"/>
  <c r="H12" i="31" s="1" a="1"/>
  <c r="H12" i="31" s="1"/>
  <c r="F11" i="31"/>
  <c r="B11" i="31"/>
  <c r="H11" i="31" s="1" a="1"/>
  <c r="H11" i="31" s="1"/>
  <c r="F10" i="31"/>
  <c r="B10" i="31"/>
  <c r="H10" i="31" s="1" a="1"/>
  <c r="H10" i="31" s="1"/>
  <c r="B78" i="37"/>
  <c r="H78" i="37" s="1" a="1"/>
  <c r="H78" i="37" s="1"/>
  <c r="F70" i="37"/>
  <c r="B70" i="37"/>
  <c r="H70" i="37" s="1" a="1"/>
  <c r="H70" i="37" s="1"/>
  <c r="F69" i="37"/>
  <c r="B69" i="37"/>
  <c r="H69" i="37" s="1" a="1"/>
  <c r="H69" i="37" s="1"/>
  <c r="F68" i="37"/>
  <c r="B68" i="37"/>
  <c r="H68" i="37" s="1" a="1"/>
  <c r="H68" i="37" s="1"/>
  <c r="F67" i="37"/>
  <c r="B67" i="37"/>
  <c r="H67" i="37" s="1" a="1"/>
  <c r="H67" i="37" s="1"/>
  <c r="F66" i="37"/>
  <c r="B66" i="37"/>
  <c r="H66" i="37" s="1" a="1"/>
  <c r="H66" i="37" s="1"/>
  <c r="F60" i="37"/>
  <c r="B60" i="37"/>
  <c r="H60" i="37" s="1" a="1"/>
  <c r="H60" i="37" s="1"/>
  <c r="F59" i="37"/>
  <c r="B59" i="37"/>
  <c r="H59" i="37" s="1" a="1"/>
  <c r="H59" i="37" s="1"/>
  <c r="F58" i="37"/>
  <c r="B58" i="37"/>
  <c r="H58" i="37" s="1" a="1"/>
  <c r="H58" i="37" s="1"/>
  <c r="F57" i="37"/>
  <c r="B57" i="37"/>
  <c r="H57" i="37" s="1" a="1"/>
  <c r="H57" i="37" s="1"/>
  <c r="F56" i="37"/>
  <c r="B56" i="37"/>
  <c r="H56" i="37" s="1" a="1"/>
  <c r="H56" i="37" s="1"/>
  <c r="F55" i="37"/>
  <c r="B55" i="37"/>
  <c r="H55" i="37" s="1" a="1"/>
  <c r="H55" i="37" s="1"/>
  <c r="F54" i="37"/>
  <c r="B54" i="37"/>
  <c r="H54" i="37" s="1" a="1"/>
  <c r="H54" i="37" s="1"/>
  <c r="F53" i="37"/>
  <c r="B53" i="37"/>
  <c r="H53" i="37" s="1" a="1"/>
  <c r="H53" i="37" s="1"/>
  <c r="B51" i="37"/>
  <c r="H51" i="37" s="1" a="1"/>
  <c r="H51" i="37" s="1"/>
  <c r="F50" i="37"/>
  <c r="B50" i="37"/>
  <c r="H50" i="37" s="1" a="1"/>
  <c r="H50" i="37" s="1"/>
  <c r="F49" i="37"/>
  <c r="B49" i="37"/>
  <c r="H49" i="37" s="1" a="1"/>
  <c r="H49" i="37" s="1"/>
  <c r="F48" i="37"/>
  <c r="B48" i="37"/>
  <c r="H48" i="37" s="1" a="1"/>
  <c r="H48" i="37" s="1"/>
  <c r="F47" i="37"/>
  <c r="B47" i="37"/>
  <c r="H47" i="37" s="1" a="1"/>
  <c r="H47" i="37" s="1"/>
  <c r="F46" i="37"/>
  <c r="B46" i="37"/>
  <c r="H46" i="37" s="1" a="1"/>
  <c r="H46" i="37" s="1"/>
  <c r="F45" i="37"/>
  <c r="B45" i="37"/>
  <c r="H45" i="37" s="1" a="1"/>
  <c r="H45" i="37" s="1"/>
  <c r="F44" i="37"/>
  <c r="B44" i="37"/>
  <c r="H44" i="37" s="1" a="1"/>
  <c r="H44" i="37" s="1"/>
  <c r="F43" i="37"/>
  <c r="B43" i="37"/>
  <c r="H43" i="37" s="1" a="1"/>
  <c r="H43" i="37" s="1"/>
  <c r="F42" i="37"/>
  <c r="B42" i="37"/>
  <c r="H42" i="37" s="1" a="1"/>
  <c r="H42" i="37" s="1"/>
  <c r="F34" i="37"/>
  <c r="B34" i="37"/>
  <c r="H34" i="37" s="1" a="1"/>
  <c r="H34" i="37" s="1"/>
  <c r="F33" i="37"/>
  <c r="B33" i="37"/>
  <c r="H33" i="37" s="1" a="1"/>
  <c r="H33" i="37" s="1"/>
  <c r="F32" i="37"/>
  <c r="B32" i="37"/>
  <c r="H32" i="37" s="1" a="1"/>
  <c r="H32" i="37" s="1"/>
  <c r="B30" i="37"/>
  <c r="H30" i="37" s="1" a="1"/>
  <c r="H30" i="37" s="1"/>
  <c r="F29" i="37"/>
  <c r="B29" i="37"/>
  <c r="H29" i="37" s="1" a="1"/>
  <c r="H29" i="37" s="1"/>
  <c r="F28" i="37"/>
  <c r="B28" i="37"/>
  <c r="H28" i="37" s="1" a="1"/>
  <c r="H28" i="37" s="1"/>
  <c r="F27" i="37"/>
  <c r="B27" i="37"/>
  <c r="H27" i="37" s="1" a="1"/>
  <c r="H27" i="37" s="1"/>
  <c r="F26" i="37"/>
  <c r="B26" i="37"/>
  <c r="H26" i="37" s="1" a="1"/>
  <c r="H26" i="37" s="1"/>
  <c r="F25" i="37"/>
  <c r="B25" i="37"/>
  <c r="H25" i="37" s="1" a="1"/>
  <c r="H25" i="37" s="1"/>
  <c r="F24" i="37"/>
  <c r="B24" i="37"/>
  <c r="H24" i="37" s="1" a="1"/>
  <c r="H24" i="37" s="1"/>
  <c r="F23" i="37"/>
  <c r="B23" i="37"/>
  <c r="H23" i="37" s="1" a="1"/>
  <c r="H23" i="37" s="1"/>
  <c r="F21" i="37"/>
  <c r="B21" i="37"/>
  <c r="H21" i="37" s="1" a="1"/>
  <c r="H21" i="37" s="1"/>
  <c r="F20" i="37"/>
  <c r="B20" i="37"/>
  <c r="H20" i="37" s="1" a="1"/>
  <c r="H20" i="37" s="1"/>
  <c r="F19" i="37"/>
  <c r="B19" i="37"/>
  <c r="H19" i="37" s="1" a="1"/>
  <c r="H19" i="37" s="1"/>
  <c r="F18" i="37"/>
  <c r="B18" i="37"/>
  <c r="H18" i="37" s="1" a="1"/>
  <c r="H18" i="37" s="1"/>
  <c r="F17" i="37"/>
  <c r="B17" i="37"/>
  <c r="H17" i="37" s="1" a="1"/>
  <c r="H17" i="37" s="1"/>
  <c r="F16" i="37"/>
  <c r="B16" i="37"/>
  <c r="H16" i="37" s="1" a="1"/>
  <c r="H16" i="37" s="1"/>
  <c r="F15" i="37"/>
  <c r="B15" i="37"/>
  <c r="H15" i="37" s="1" a="1"/>
  <c r="H15" i="37" s="1"/>
  <c r="F14" i="37"/>
  <c r="B14" i="37"/>
  <c r="H14" i="37" s="1" a="1"/>
  <c r="H14" i="37" s="1"/>
  <c r="F13" i="37"/>
  <c r="B13" i="37"/>
  <c r="H13" i="37" s="1" a="1"/>
  <c r="H13" i="37" s="1"/>
  <c r="F12" i="37"/>
  <c r="B12" i="37"/>
  <c r="H12" i="37" s="1" a="1"/>
  <c r="H12" i="37" s="1"/>
  <c r="F11" i="37"/>
  <c r="B11" i="37"/>
  <c r="H11" i="37" s="1" a="1"/>
  <c r="H11" i="37" s="1"/>
  <c r="F10" i="37"/>
  <c r="B10" i="37"/>
  <c r="H10" i="37" s="1" a="1"/>
  <c r="H10" i="37" s="1"/>
  <c r="B78" i="26"/>
  <c r="H78" i="26" s="1" a="1"/>
  <c r="H78" i="26" s="1"/>
  <c r="F70" i="26"/>
  <c r="B70" i="26"/>
  <c r="H70" i="26" s="1" a="1"/>
  <c r="H70" i="26" s="1"/>
  <c r="F69" i="26"/>
  <c r="B69" i="26"/>
  <c r="H69" i="26" s="1" a="1"/>
  <c r="H69" i="26" s="1"/>
  <c r="F68" i="26"/>
  <c r="B68" i="26"/>
  <c r="H68" i="26" s="1" a="1"/>
  <c r="H68" i="26" s="1"/>
  <c r="F67" i="26"/>
  <c r="B67" i="26"/>
  <c r="H67" i="26" s="1" a="1"/>
  <c r="H67" i="26" s="1"/>
  <c r="F66" i="26"/>
  <c r="B66" i="26"/>
  <c r="H66" i="26" s="1" a="1"/>
  <c r="H66" i="26" s="1"/>
  <c r="F60" i="26"/>
  <c r="B60" i="26"/>
  <c r="H60" i="26" s="1" a="1"/>
  <c r="H60" i="26" s="1"/>
  <c r="F59" i="26"/>
  <c r="B59" i="26"/>
  <c r="H59" i="26" s="1" a="1"/>
  <c r="H59" i="26" s="1"/>
  <c r="F58" i="26"/>
  <c r="B58" i="26"/>
  <c r="H58" i="26" s="1" a="1"/>
  <c r="H58" i="26" s="1"/>
  <c r="F57" i="26"/>
  <c r="B57" i="26"/>
  <c r="H57" i="26" s="1" a="1"/>
  <c r="H57" i="26" s="1"/>
  <c r="F56" i="26"/>
  <c r="B56" i="26"/>
  <c r="H56" i="26" s="1" a="1"/>
  <c r="H56" i="26" s="1"/>
  <c r="F55" i="26"/>
  <c r="B55" i="26"/>
  <c r="H55" i="26" s="1" a="1"/>
  <c r="H55" i="26" s="1"/>
  <c r="F54" i="26"/>
  <c r="B54" i="26"/>
  <c r="H54" i="26" s="1" a="1"/>
  <c r="H54" i="26" s="1"/>
  <c r="F53" i="26"/>
  <c r="B53" i="26"/>
  <c r="H53" i="26" s="1" a="1"/>
  <c r="H53" i="26" s="1"/>
  <c r="B51" i="26"/>
  <c r="H51" i="26" s="1" a="1"/>
  <c r="H51" i="26" s="1"/>
  <c r="F50" i="26"/>
  <c r="B50" i="26"/>
  <c r="H50" i="26" s="1" a="1"/>
  <c r="H50" i="26" s="1"/>
  <c r="F49" i="26"/>
  <c r="B49" i="26"/>
  <c r="H49" i="26" s="1" a="1"/>
  <c r="H49" i="26" s="1"/>
  <c r="F48" i="26"/>
  <c r="B48" i="26"/>
  <c r="H48" i="26" s="1" a="1"/>
  <c r="H48" i="26" s="1"/>
  <c r="F47" i="26"/>
  <c r="B47" i="26"/>
  <c r="H47" i="26" s="1" a="1"/>
  <c r="H47" i="26" s="1"/>
  <c r="F46" i="26"/>
  <c r="B46" i="26"/>
  <c r="H46" i="26" s="1" a="1"/>
  <c r="H46" i="26" s="1"/>
  <c r="F45" i="26"/>
  <c r="B45" i="26"/>
  <c r="H45" i="26" s="1" a="1"/>
  <c r="H45" i="26" s="1"/>
  <c r="F44" i="26"/>
  <c r="B44" i="26"/>
  <c r="H44" i="26" s="1" a="1"/>
  <c r="H44" i="26" s="1"/>
  <c r="F43" i="26"/>
  <c r="B43" i="26"/>
  <c r="H43" i="26" s="1" a="1"/>
  <c r="H43" i="26" s="1"/>
  <c r="F42" i="26"/>
  <c r="B42" i="26"/>
  <c r="H42" i="26" s="1" a="1"/>
  <c r="H42" i="26" s="1"/>
  <c r="F34" i="26"/>
  <c r="B34" i="26"/>
  <c r="H34" i="26" s="1" a="1"/>
  <c r="H34" i="26" s="1"/>
  <c r="F33" i="26"/>
  <c r="B33" i="26"/>
  <c r="H33" i="26" s="1" a="1"/>
  <c r="H33" i="26" s="1"/>
  <c r="F32" i="26"/>
  <c r="B32" i="26"/>
  <c r="H32" i="26" s="1" a="1"/>
  <c r="H32" i="26" s="1"/>
  <c r="F21" i="26"/>
  <c r="B21" i="26"/>
  <c r="H21" i="26" s="1" a="1"/>
  <c r="H21" i="26" s="1"/>
  <c r="F20" i="26"/>
  <c r="B20" i="26"/>
  <c r="H20" i="26" s="1" a="1"/>
  <c r="H20" i="26" s="1"/>
  <c r="F19" i="26"/>
  <c r="B19" i="26"/>
  <c r="H19" i="26" s="1" a="1"/>
  <c r="H19" i="26" s="1"/>
  <c r="F18" i="26"/>
  <c r="B18" i="26"/>
  <c r="H18" i="26" s="1" a="1"/>
  <c r="H18" i="26" s="1"/>
  <c r="F17" i="26"/>
  <c r="B17" i="26"/>
  <c r="H17" i="26" s="1" a="1"/>
  <c r="H17" i="26" s="1"/>
  <c r="F16" i="26"/>
  <c r="B16" i="26"/>
  <c r="H16" i="26" s="1" a="1"/>
  <c r="H16" i="26" s="1"/>
  <c r="F15" i="26"/>
  <c r="B15" i="26"/>
  <c r="H15" i="26" s="1" a="1"/>
  <c r="H15" i="26" s="1"/>
  <c r="F14" i="26"/>
  <c r="B14" i="26"/>
  <c r="H14" i="26" s="1" a="1"/>
  <c r="H14" i="26" s="1"/>
  <c r="F13" i="26"/>
  <c r="B13" i="26"/>
  <c r="H13" i="26" s="1" a="1"/>
  <c r="H13" i="26" s="1"/>
  <c r="F12" i="26"/>
  <c r="B12" i="26"/>
  <c r="H12" i="26" s="1" a="1"/>
  <c r="H12" i="26" s="1"/>
  <c r="F11" i="26"/>
  <c r="B11" i="26"/>
  <c r="H11" i="26" s="1" a="1"/>
  <c r="H11" i="26" s="1"/>
  <c r="F10" i="26"/>
  <c r="B10" i="26"/>
  <c r="H10" i="26" s="1" a="1"/>
  <c r="H10" i="26" s="1"/>
  <c r="B78" i="25"/>
  <c r="H78" i="25" s="1" a="1"/>
  <c r="H78" i="25" s="1"/>
  <c r="F70" i="25"/>
  <c r="B70" i="25"/>
  <c r="H70" i="25" s="1" a="1"/>
  <c r="H70" i="25" s="1"/>
  <c r="F69" i="25"/>
  <c r="B69" i="25"/>
  <c r="H69" i="25" s="1" a="1"/>
  <c r="H69" i="25" s="1"/>
  <c r="F68" i="25"/>
  <c r="B68" i="25"/>
  <c r="H68" i="25" s="1" a="1"/>
  <c r="H68" i="25" s="1"/>
  <c r="F67" i="25"/>
  <c r="B67" i="25"/>
  <c r="H67" i="25" s="1" a="1"/>
  <c r="H67" i="25" s="1"/>
  <c r="F66" i="25"/>
  <c r="B66" i="25"/>
  <c r="H66" i="25" s="1" a="1"/>
  <c r="H66" i="25" s="1"/>
  <c r="F60" i="25"/>
  <c r="B60" i="25"/>
  <c r="H60" i="25" s="1" a="1"/>
  <c r="H60" i="25" s="1"/>
  <c r="F59" i="25"/>
  <c r="B59" i="25"/>
  <c r="H59" i="25" s="1" a="1"/>
  <c r="H59" i="25" s="1"/>
  <c r="F58" i="25"/>
  <c r="B58" i="25"/>
  <c r="H58" i="25" s="1" a="1"/>
  <c r="H58" i="25" s="1"/>
  <c r="F57" i="25"/>
  <c r="B57" i="25"/>
  <c r="H57" i="25" s="1" a="1"/>
  <c r="H57" i="25" s="1"/>
  <c r="F56" i="25"/>
  <c r="B56" i="25"/>
  <c r="H56" i="25" s="1" a="1"/>
  <c r="H56" i="25" s="1"/>
  <c r="F55" i="25"/>
  <c r="B55" i="25"/>
  <c r="H55" i="25" s="1" a="1"/>
  <c r="H55" i="25" s="1"/>
  <c r="F54" i="25"/>
  <c r="B54" i="25"/>
  <c r="H54" i="25" s="1" a="1"/>
  <c r="H54" i="25" s="1"/>
  <c r="F53" i="25"/>
  <c r="B53" i="25"/>
  <c r="H53" i="25" s="1" a="1"/>
  <c r="H53" i="25" s="1"/>
  <c r="F52" i="25"/>
  <c r="B52" i="25"/>
  <c r="H52" i="25" s="1" a="1"/>
  <c r="H52" i="25" s="1"/>
  <c r="B51" i="25"/>
  <c r="H51" i="25" s="1" a="1"/>
  <c r="H51" i="25" s="1"/>
  <c r="F50" i="25"/>
  <c r="B50" i="25"/>
  <c r="H50" i="25" s="1" a="1"/>
  <c r="H50" i="25" s="1"/>
  <c r="F49" i="25"/>
  <c r="B49" i="25"/>
  <c r="H49" i="25" s="1" a="1"/>
  <c r="H49" i="25" s="1"/>
  <c r="F48" i="25"/>
  <c r="B48" i="25"/>
  <c r="H48" i="25" s="1" a="1"/>
  <c r="H48" i="25" s="1"/>
  <c r="F47" i="25"/>
  <c r="B47" i="25"/>
  <c r="H47" i="25" s="1" a="1"/>
  <c r="H47" i="25" s="1"/>
  <c r="F46" i="25"/>
  <c r="B46" i="25"/>
  <c r="H46" i="25" s="1" a="1"/>
  <c r="H46" i="25" s="1"/>
  <c r="F45" i="25"/>
  <c r="B45" i="25"/>
  <c r="H45" i="25" s="1" a="1"/>
  <c r="H45" i="25" s="1"/>
  <c r="F44" i="25"/>
  <c r="B44" i="25"/>
  <c r="H44" i="25" s="1" a="1"/>
  <c r="H44" i="25" s="1"/>
  <c r="F43" i="25"/>
  <c r="B43" i="25"/>
  <c r="H43" i="25" s="1" a="1"/>
  <c r="H43" i="25" s="1"/>
  <c r="F42" i="25"/>
  <c r="B42" i="25"/>
  <c r="H42" i="25" s="1" a="1"/>
  <c r="H42" i="25" s="1"/>
  <c r="B40" i="25"/>
  <c r="H40" i="25" s="1" a="1"/>
  <c r="H40" i="25" s="1"/>
  <c r="F39" i="25"/>
  <c r="B39" i="25"/>
  <c r="H39" i="25" s="1" a="1"/>
  <c r="H39" i="25" s="1"/>
  <c r="F38" i="25"/>
  <c r="B38" i="25"/>
  <c r="H38" i="25" s="1" a="1"/>
  <c r="H38" i="25" s="1"/>
  <c r="F37" i="25"/>
  <c r="B37" i="25"/>
  <c r="H37" i="25" s="1" a="1"/>
  <c r="H37" i="25" s="1"/>
  <c r="F36" i="25"/>
  <c r="B36" i="25"/>
  <c r="H36" i="25" s="1" a="1"/>
  <c r="H36" i="25" s="1"/>
  <c r="F35" i="25"/>
  <c r="B35" i="25"/>
  <c r="H35" i="25" s="1" a="1"/>
  <c r="H35" i="25" s="1"/>
  <c r="F34" i="25"/>
  <c r="B34" i="25"/>
  <c r="H34" i="25" s="1" a="1"/>
  <c r="H34" i="25" s="1"/>
  <c r="F33" i="25"/>
  <c r="B33" i="25"/>
  <c r="H33" i="25" s="1" a="1"/>
  <c r="H33" i="25" s="1"/>
  <c r="F32" i="25"/>
  <c r="B32" i="25"/>
  <c r="H32" i="25" s="1" a="1"/>
  <c r="H32" i="25" s="1"/>
  <c r="B30" i="25"/>
  <c r="H30" i="25" s="1" a="1"/>
  <c r="H30" i="25" s="1"/>
  <c r="F29" i="25"/>
  <c r="B29" i="25"/>
  <c r="H29" i="25" s="1" a="1"/>
  <c r="H29" i="25" s="1"/>
  <c r="F28" i="25"/>
  <c r="B28" i="25"/>
  <c r="H28" i="25" s="1" a="1"/>
  <c r="H28" i="25" s="1"/>
  <c r="F27" i="25"/>
  <c r="B27" i="25"/>
  <c r="H27" i="25" s="1" a="1"/>
  <c r="H27" i="25" s="1"/>
  <c r="F26" i="25"/>
  <c r="B26" i="25"/>
  <c r="H26" i="25" s="1" a="1"/>
  <c r="H26" i="25" s="1"/>
  <c r="F25" i="25"/>
  <c r="B25" i="25"/>
  <c r="H25" i="25" s="1" a="1"/>
  <c r="H25" i="25" s="1"/>
  <c r="F24" i="25"/>
  <c r="B24" i="25"/>
  <c r="H24" i="25" s="1" a="1"/>
  <c r="H24" i="25" s="1"/>
  <c r="F23" i="25"/>
  <c r="B23" i="25"/>
  <c r="H23" i="25" s="1" a="1"/>
  <c r="H23" i="25" s="1"/>
  <c r="F21" i="25"/>
  <c r="B21" i="25"/>
  <c r="H21" i="25" s="1" a="1"/>
  <c r="H21" i="25" s="1"/>
  <c r="F20" i="25"/>
  <c r="B20" i="25"/>
  <c r="H20" i="25" s="1" a="1"/>
  <c r="H20" i="25" s="1"/>
  <c r="F19" i="25"/>
  <c r="B19" i="25"/>
  <c r="H19" i="25" s="1" a="1"/>
  <c r="H19" i="25" s="1"/>
  <c r="F18" i="25"/>
  <c r="B18" i="25"/>
  <c r="H18" i="25" s="1" a="1"/>
  <c r="H18" i="25" s="1"/>
  <c r="F17" i="25"/>
  <c r="B17" i="25"/>
  <c r="H17" i="25" s="1" a="1"/>
  <c r="H17" i="25" s="1"/>
  <c r="F16" i="25"/>
  <c r="B16" i="25"/>
  <c r="H16" i="25" s="1" a="1"/>
  <c r="H16" i="25" s="1"/>
  <c r="F15" i="25"/>
  <c r="B15" i="25"/>
  <c r="H15" i="25" s="1" a="1"/>
  <c r="H15" i="25" s="1"/>
  <c r="F14" i="25"/>
  <c r="B14" i="25"/>
  <c r="H14" i="25" s="1" a="1"/>
  <c r="H14" i="25" s="1"/>
  <c r="F13" i="25"/>
  <c r="B13" i="25"/>
  <c r="H13" i="25" s="1" a="1"/>
  <c r="H13" i="25" s="1"/>
  <c r="F12" i="25"/>
  <c r="B12" i="25"/>
  <c r="H12" i="25" s="1" a="1"/>
  <c r="H12" i="25" s="1"/>
  <c r="F11" i="25"/>
  <c r="B11" i="25"/>
  <c r="H11" i="25" s="1" a="1"/>
  <c r="H11" i="25" s="1"/>
  <c r="F10" i="25"/>
  <c r="B10" i="25"/>
  <c r="H10" i="25" s="1" a="1"/>
  <c r="H10" i="25" s="1"/>
  <c r="B217" i="43"/>
  <c r="H217" i="43" s="1" a="1"/>
  <c r="H217" i="43" s="1"/>
  <c r="B216" i="43"/>
  <c r="H216" i="43" s="1" a="1"/>
  <c r="H216" i="43" s="1"/>
  <c r="F172" i="43"/>
  <c r="B172" i="43"/>
  <c r="H172" i="43" s="1" a="1"/>
  <c r="H172" i="43" s="1"/>
  <c r="F171" i="43"/>
  <c r="B171" i="43"/>
  <c r="H171" i="43" s="1" a="1"/>
  <c r="H171" i="43" s="1"/>
  <c r="F170" i="43"/>
  <c r="B170" i="43"/>
  <c r="H170" i="43" s="1" a="1"/>
  <c r="H170" i="43" s="1"/>
  <c r="F169" i="43"/>
  <c r="B169" i="43"/>
  <c r="H169" i="43" s="1" a="1"/>
  <c r="H169" i="43" s="1"/>
  <c r="F168" i="43"/>
  <c r="B168" i="43"/>
  <c r="H168" i="43" s="1" a="1"/>
  <c r="H168" i="43" s="1"/>
  <c r="F167" i="43"/>
  <c r="B167" i="43"/>
  <c r="H167" i="43" s="1" a="1"/>
  <c r="H167" i="43" s="1"/>
  <c r="F166" i="43"/>
  <c r="B166" i="43"/>
  <c r="H166" i="43" s="1" a="1"/>
  <c r="H166" i="43" s="1"/>
  <c r="F165" i="43"/>
  <c r="B165" i="43"/>
  <c r="H165" i="43" s="1" a="1"/>
  <c r="H165" i="43" s="1"/>
  <c r="F164" i="43"/>
  <c r="B164" i="43"/>
  <c r="H164" i="43" s="1" a="1"/>
  <c r="H164" i="43" s="1"/>
  <c r="F163" i="43"/>
  <c r="B163" i="43"/>
  <c r="H163" i="43" s="1" a="1"/>
  <c r="H163" i="43" s="1"/>
  <c r="F162" i="43"/>
  <c r="B162" i="43"/>
  <c r="H162" i="43" s="1" a="1"/>
  <c r="H162" i="43" s="1"/>
  <c r="F161" i="43"/>
  <c r="B161" i="43"/>
  <c r="H161" i="43" s="1" a="1"/>
  <c r="H161" i="43" s="1"/>
  <c r="F160" i="43"/>
  <c r="B160" i="43"/>
  <c r="H160" i="43" s="1" a="1"/>
  <c r="H160" i="43" s="1"/>
  <c r="F159" i="43"/>
  <c r="B159" i="43"/>
  <c r="H159" i="43" s="1" a="1"/>
  <c r="H159" i="43" s="1"/>
  <c r="F158" i="43"/>
  <c r="B158" i="43"/>
  <c r="H158" i="43" s="1" a="1"/>
  <c r="H158" i="43" s="1"/>
  <c r="F157" i="43"/>
  <c r="B157" i="43"/>
  <c r="H157" i="43" s="1" a="1"/>
  <c r="H157" i="43" s="1"/>
  <c r="F156" i="43"/>
  <c r="B156" i="43"/>
  <c r="H156" i="43" s="1" a="1"/>
  <c r="H156" i="43" s="1"/>
  <c r="B155" i="43"/>
  <c r="H155" i="43" s="1" a="1"/>
  <c r="H155" i="43" s="1"/>
  <c r="B154" i="43"/>
  <c r="H154" i="43" s="1" a="1"/>
  <c r="H154" i="43" s="1"/>
  <c r="F153" i="43"/>
  <c r="B153" i="43"/>
  <c r="H153" i="43" s="1" a="1"/>
  <c r="H153" i="43" s="1"/>
  <c r="F152" i="43"/>
  <c r="B152" i="43"/>
  <c r="H152" i="43" s="1" a="1"/>
  <c r="H152" i="43" s="1"/>
  <c r="F151" i="43"/>
  <c r="B151" i="43"/>
  <c r="H151" i="43" s="1" a="1"/>
  <c r="H151" i="43" s="1"/>
  <c r="F150" i="43"/>
  <c r="B150" i="43"/>
  <c r="H150" i="43" s="1" a="1"/>
  <c r="H150" i="43" s="1"/>
  <c r="F149" i="43"/>
  <c r="B149" i="43"/>
  <c r="H149" i="43" s="1" a="1"/>
  <c r="H149" i="43" s="1"/>
  <c r="F148" i="43"/>
  <c r="B148" i="43"/>
  <c r="H148" i="43" s="1" a="1"/>
  <c r="H148" i="43" s="1"/>
  <c r="B147" i="43"/>
  <c r="H147" i="43" s="1" a="1"/>
  <c r="H147" i="43" s="1"/>
  <c r="B146" i="43"/>
  <c r="H146" i="43" s="1" a="1"/>
  <c r="H146" i="43" s="1"/>
  <c r="B145" i="43"/>
  <c r="H145" i="43" s="1" a="1"/>
  <c r="H145" i="43" s="1"/>
  <c r="F144" i="43"/>
  <c r="B144" i="43"/>
  <c r="H144" i="43" s="1" a="1"/>
  <c r="H144" i="43" s="1"/>
  <c r="B143" i="43"/>
  <c r="H143" i="43" s="1" a="1"/>
  <c r="H143" i="43" s="1"/>
  <c r="H141" i="43" a="1"/>
  <c r="H141" i="43" s="1"/>
  <c r="F140" i="43"/>
  <c r="H140" i="43" a="1"/>
  <c r="H140" i="43" s="1"/>
  <c r="F139" i="43"/>
  <c r="H139" i="43" a="1"/>
  <c r="H139" i="43" s="1"/>
  <c r="F138" i="43"/>
  <c r="H138" i="43" a="1"/>
  <c r="H138" i="43" s="1"/>
  <c r="F137" i="43"/>
  <c r="H137" i="43" a="1"/>
  <c r="H137" i="43" s="1"/>
  <c r="F136" i="43"/>
  <c r="H136" i="43" a="1"/>
  <c r="H136" i="43" s="1"/>
  <c r="F135" i="43"/>
  <c r="B135" i="43"/>
  <c r="H135" i="43" s="1" a="1"/>
  <c r="H135" i="43" s="1"/>
  <c r="F132" i="43"/>
  <c r="B132" i="43"/>
  <c r="H132" i="43" s="1" a="1"/>
  <c r="H132" i="43" s="1"/>
  <c r="F131" i="43"/>
  <c r="B131" i="43"/>
  <c r="H131" i="43" s="1" a="1"/>
  <c r="H131" i="43" s="1"/>
  <c r="F130" i="43"/>
  <c r="B130" i="43"/>
  <c r="H130" i="43" s="1" a="1"/>
  <c r="H130" i="43" s="1"/>
  <c r="F129" i="43"/>
  <c r="B129" i="43"/>
  <c r="H129" i="43" s="1" a="1"/>
  <c r="H129" i="43" s="1"/>
  <c r="F128" i="43"/>
  <c r="B128" i="43"/>
  <c r="H128" i="43" s="1" a="1"/>
  <c r="H128" i="43" s="1"/>
  <c r="F127" i="43"/>
  <c r="B127" i="43"/>
  <c r="H127" i="43" s="1" a="1"/>
  <c r="H127" i="43" s="1"/>
  <c r="B126" i="43"/>
  <c r="H126" i="43" s="1" a="1"/>
  <c r="H126" i="43" s="1"/>
  <c r="F125" i="43"/>
  <c r="B125" i="43"/>
  <c r="H125" i="43" s="1" a="1"/>
  <c r="H125" i="43" s="1"/>
  <c r="F124" i="43"/>
  <c r="B124" i="43"/>
  <c r="H124" i="43" s="1" a="1"/>
  <c r="H124" i="43" s="1"/>
  <c r="F123" i="43"/>
  <c r="B123" i="43"/>
  <c r="H123" i="43" s="1" a="1"/>
  <c r="H123" i="43" s="1"/>
  <c r="F122" i="43"/>
  <c r="B122" i="43"/>
  <c r="H122" i="43" s="1" a="1"/>
  <c r="H122" i="43" s="1"/>
  <c r="F121" i="43"/>
  <c r="B121" i="43"/>
  <c r="H121" i="43" s="1" a="1"/>
  <c r="H121" i="43" s="1"/>
  <c r="F120" i="43"/>
  <c r="B120" i="43"/>
  <c r="H120" i="43" s="1" a="1"/>
  <c r="H120" i="43" s="1"/>
  <c r="F119" i="43"/>
  <c r="B119" i="43"/>
  <c r="H119" i="43" s="1" a="1"/>
  <c r="H119" i="43" s="1"/>
  <c r="F118" i="43"/>
  <c r="B118" i="43"/>
  <c r="H118" i="43" s="1" a="1"/>
  <c r="H118" i="43" s="1"/>
  <c r="F117" i="43"/>
  <c r="B117" i="43"/>
  <c r="H117" i="43" s="1" a="1"/>
  <c r="H117" i="43" s="1"/>
  <c r="F116" i="43"/>
  <c r="B116" i="43"/>
  <c r="H116" i="43" s="1" a="1"/>
  <c r="H116" i="43" s="1"/>
  <c r="F115" i="43"/>
  <c r="B115" i="43"/>
  <c r="H115" i="43" s="1" a="1"/>
  <c r="H115" i="43" s="1"/>
  <c r="F114" i="43"/>
  <c r="B114" i="43"/>
  <c r="H114" i="43" s="1" a="1"/>
  <c r="H114" i="43" s="1"/>
  <c r="F110" i="43"/>
  <c r="B110" i="43"/>
  <c r="H110" i="43" s="1" a="1"/>
  <c r="H110" i="43" s="1"/>
  <c r="B109" i="43"/>
  <c r="H109" i="43" s="1" a="1"/>
  <c r="H109" i="43" s="1"/>
  <c r="B108" i="43"/>
  <c r="H108" i="43" s="1" a="1"/>
  <c r="H108" i="43" s="1"/>
  <c r="F107" i="43"/>
  <c r="B107" i="43"/>
  <c r="H107" i="43" s="1" a="1"/>
  <c r="H107" i="43" s="1"/>
  <c r="F106" i="43"/>
  <c r="B106" i="43"/>
  <c r="H106" i="43" s="1" a="1"/>
  <c r="H106" i="43" s="1"/>
  <c r="F105" i="43"/>
  <c r="B105" i="43"/>
  <c r="H105" i="43" s="1" a="1"/>
  <c r="H105" i="43" s="1"/>
  <c r="F104" i="43"/>
  <c r="B104" i="43"/>
  <c r="H104" i="43" s="1" a="1"/>
  <c r="H104" i="43" s="1"/>
  <c r="F101" i="43"/>
  <c r="B101" i="43"/>
  <c r="H101" i="43" s="1" a="1"/>
  <c r="H101" i="43" s="1"/>
  <c r="F100" i="43"/>
  <c r="B100" i="43"/>
  <c r="H100" i="43" s="1" a="1"/>
  <c r="H100" i="43" s="1"/>
  <c r="F99" i="43"/>
  <c r="B99" i="43"/>
  <c r="H99" i="43" s="1" a="1"/>
  <c r="H99" i="43" s="1"/>
  <c r="F98" i="43"/>
  <c r="B98" i="43"/>
  <c r="H98" i="43" s="1" a="1"/>
  <c r="H98" i="43" s="1"/>
  <c r="F97" i="43"/>
  <c r="B97" i="43"/>
  <c r="H97" i="43" s="1" a="1"/>
  <c r="H97" i="43" s="1"/>
  <c r="F96" i="43"/>
  <c r="B96" i="43"/>
  <c r="H96" i="43" s="1" a="1"/>
  <c r="H96" i="43" s="1"/>
  <c r="F95" i="43"/>
  <c r="B95" i="43"/>
  <c r="H95" i="43" s="1" a="1"/>
  <c r="H95" i="43" s="1"/>
  <c r="F94" i="43"/>
  <c r="B94" i="43"/>
  <c r="H94" i="43" s="1" a="1"/>
  <c r="H94" i="43" s="1"/>
  <c r="F93" i="43"/>
  <c r="B93" i="43"/>
  <c r="H93" i="43" s="1" a="1"/>
  <c r="H93" i="43" s="1"/>
  <c r="F92" i="43"/>
  <c r="B92" i="43"/>
  <c r="H92" i="43" s="1" a="1"/>
  <c r="H92" i="43" s="1"/>
  <c r="F91" i="43"/>
  <c r="B91" i="43"/>
  <c r="H91" i="43" s="1" a="1"/>
  <c r="H91" i="43" s="1"/>
  <c r="F90" i="43"/>
  <c r="B90" i="43"/>
  <c r="H90" i="43" s="1" a="1"/>
  <c r="H90" i="43" s="1"/>
  <c r="F89" i="43"/>
  <c r="B89" i="43"/>
  <c r="H89" i="43" s="1" a="1"/>
  <c r="H89" i="43" s="1"/>
  <c r="F88" i="43"/>
  <c r="B88" i="43"/>
  <c r="H88" i="43" s="1" a="1"/>
  <c r="H88" i="43" s="1"/>
  <c r="F87" i="43"/>
  <c r="B87" i="43"/>
  <c r="H87" i="43" s="1" a="1"/>
  <c r="H87" i="43" s="1"/>
  <c r="F86" i="43"/>
  <c r="B86" i="43"/>
  <c r="H86" i="43" s="1" a="1"/>
  <c r="H86" i="43" s="1"/>
  <c r="F83" i="43"/>
  <c r="B83" i="43"/>
  <c r="H83" i="43" s="1" a="1"/>
  <c r="H83" i="43" s="1"/>
  <c r="F82" i="43"/>
  <c r="B82" i="43"/>
  <c r="H82" i="43" s="1" a="1"/>
  <c r="H82" i="43" s="1"/>
  <c r="F81" i="43"/>
  <c r="B81" i="43"/>
  <c r="H81" i="43" s="1" a="1"/>
  <c r="H81" i="43" s="1"/>
  <c r="F80" i="43"/>
  <c r="B80" i="43"/>
  <c r="H80" i="43" s="1" a="1"/>
  <c r="H80" i="43" s="1"/>
  <c r="F79" i="43"/>
  <c r="B79" i="43"/>
  <c r="H79" i="43" s="1" a="1"/>
  <c r="H79" i="43" s="1"/>
  <c r="F78" i="43"/>
  <c r="B78" i="43"/>
  <c r="H78" i="43" s="1" a="1"/>
  <c r="H78" i="43" s="1"/>
  <c r="F77" i="43"/>
  <c r="B77" i="43"/>
  <c r="H77" i="43" s="1" a="1"/>
  <c r="H77" i="43" s="1"/>
  <c r="B76" i="43"/>
  <c r="H76" i="43" s="1" a="1"/>
  <c r="H76" i="43" s="1"/>
  <c r="B75" i="43"/>
  <c r="H75" i="43" s="1" a="1"/>
  <c r="H75" i="43" s="1"/>
  <c r="F74" i="43"/>
  <c r="B74" i="43"/>
  <c r="H74" i="43" s="1" a="1"/>
  <c r="H74" i="43" s="1"/>
  <c r="F73" i="43"/>
  <c r="B73" i="43"/>
  <c r="H73" i="43" s="1" a="1"/>
  <c r="H73" i="43" s="1"/>
  <c r="F72" i="43"/>
  <c r="B72" i="43"/>
  <c r="H72" i="43" s="1" a="1"/>
  <c r="H72" i="43" s="1"/>
  <c r="F71" i="43"/>
  <c r="B71" i="43"/>
  <c r="H71" i="43" s="1" a="1"/>
  <c r="H71" i="43" s="1"/>
  <c r="F70" i="43"/>
  <c r="B70" i="43"/>
  <c r="H70" i="43" s="1" a="1"/>
  <c r="H70" i="43" s="1"/>
  <c r="F69" i="43"/>
  <c r="B69" i="43"/>
  <c r="H69" i="43" s="1" a="1"/>
  <c r="H69" i="43" s="1"/>
  <c r="F68" i="43"/>
  <c r="B68" i="43"/>
  <c r="H68" i="43" s="1" a="1"/>
  <c r="H68" i="43" s="1"/>
  <c r="F67" i="43"/>
  <c r="B67" i="43"/>
  <c r="H67" i="43" s="1" a="1"/>
  <c r="H67" i="43" s="1"/>
  <c r="F66" i="43"/>
  <c r="B66" i="43"/>
  <c r="H66" i="43" s="1" a="1"/>
  <c r="H66" i="43" s="1"/>
  <c r="F65" i="43"/>
  <c r="B65" i="43"/>
  <c r="H65" i="43" s="1" a="1"/>
  <c r="H65" i="43" s="1"/>
  <c r="F64" i="43"/>
  <c r="B64" i="43"/>
  <c r="H64" i="43" s="1" a="1"/>
  <c r="H64" i="43" s="1"/>
  <c r="F63" i="43"/>
  <c r="B63" i="43"/>
  <c r="H63" i="43" s="1" a="1"/>
  <c r="H63" i="43" s="1"/>
  <c r="F62" i="43"/>
  <c r="B62" i="43"/>
  <c r="H62" i="43" s="1" a="1"/>
  <c r="H62" i="43" s="1"/>
  <c r="F61" i="43"/>
  <c r="B61" i="43"/>
  <c r="H61" i="43" s="1" a="1"/>
  <c r="H61" i="43" s="1"/>
  <c r="F60" i="43"/>
  <c r="B60" i="43"/>
  <c r="H60" i="43" s="1" a="1"/>
  <c r="H60" i="43" s="1"/>
  <c r="F59" i="43"/>
  <c r="B59" i="43"/>
  <c r="H59" i="43" s="1" a="1"/>
  <c r="H59" i="43" s="1"/>
  <c r="F58" i="43"/>
  <c r="B58" i="43"/>
  <c r="H58" i="43" s="1" a="1"/>
  <c r="H58" i="43" s="1"/>
  <c r="F57" i="43"/>
  <c r="B57" i="43"/>
  <c r="H57" i="43" s="1" a="1"/>
  <c r="H57" i="43" s="1"/>
  <c r="B56" i="43"/>
  <c r="H56" i="43" s="1" a="1"/>
  <c r="H56" i="43" s="1"/>
  <c r="B55" i="43"/>
  <c r="H55" i="43" s="1" a="1"/>
  <c r="H55" i="43" s="1"/>
  <c r="F54" i="43"/>
  <c r="B54" i="43"/>
  <c r="H54" i="43" s="1" a="1"/>
  <c r="H54" i="43" s="1"/>
  <c r="F53" i="43"/>
  <c r="B53" i="43"/>
  <c r="H53" i="43" s="1" a="1"/>
  <c r="H53" i="43" s="1"/>
  <c r="F52" i="43"/>
  <c r="B52" i="43"/>
  <c r="H52" i="43" s="1" a="1"/>
  <c r="H52" i="43" s="1"/>
  <c r="F51" i="43"/>
  <c r="B51" i="43"/>
  <c r="H51" i="43" s="1" a="1"/>
  <c r="H51" i="43" s="1"/>
  <c r="F50" i="43"/>
  <c r="B50" i="43"/>
  <c r="H50" i="43" s="1" a="1"/>
  <c r="H50" i="43" s="1"/>
  <c r="F49" i="43"/>
  <c r="B49" i="43"/>
  <c r="H49" i="43" s="1" a="1"/>
  <c r="H49" i="43" s="1"/>
  <c r="F48" i="43"/>
  <c r="B48" i="43"/>
  <c r="H48" i="43" s="1" a="1"/>
  <c r="H48" i="43" s="1"/>
  <c r="F47" i="43"/>
  <c r="B47" i="43"/>
  <c r="H47" i="43" s="1" a="1"/>
  <c r="H47" i="43" s="1"/>
  <c r="F46" i="43"/>
  <c r="B46" i="43"/>
  <c r="H46" i="43" s="1" a="1"/>
  <c r="H46" i="43" s="1"/>
  <c r="F45" i="43"/>
  <c r="B45" i="43"/>
  <c r="H45" i="43" s="1" a="1"/>
  <c r="H45" i="43" s="1"/>
  <c r="F44" i="43"/>
  <c r="B44" i="43"/>
  <c r="H44" i="43" s="1" a="1"/>
  <c r="H44" i="43" s="1"/>
  <c r="F43" i="43"/>
  <c r="B43" i="43"/>
  <c r="H43" i="43" s="1" a="1"/>
  <c r="H43" i="43" s="1"/>
  <c r="F42" i="43"/>
  <c r="B42" i="43"/>
  <c r="H42" i="43" s="1" a="1"/>
  <c r="H42" i="43" s="1"/>
  <c r="F41" i="43"/>
  <c r="B41" i="43"/>
  <c r="H41" i="43" s="1" a="1"/>
  <c r="H41" i="43" s="1"/>
  <c r="F40" i="43"/>
  <c r="B40" i="43"/>
  <c r="H40" i="43" s="1" a="1"/>
  <c r="H40" i="43" s="1"/>
  <c r="B39" i="43"/>
  <c r="H39" i="43" s="1" a="1"/>
  <c r="H39" i="43" s="1"/>
  <c r="F34" i="43"/>
  <c r="B34" i="43"/>
  <c r="H34" i="43" s="1" a="1"/>
  <c r="H34" i="43" s="1"/>
  <c r="F33" i="43"/>
  <c r="B33" i="43"/>
  <c r="H33" i="43" s="1" a="1"/>
  <c r="H33" i="43" s="1"/>
  <c r="F32" i="43"/>
  <c r="B32" i="43"/>
  <c r="H32" i="43" s="1" a="1"/>
  <c r="H32" i="43" s="1"/>
  <c r="F31" i="43"/>
  <c r="B31" i="43"/>
  <c r="H31" i="43" s="1" a="1"/>
  <c r="H31" i="43" s="1"/>
  <c r="F30" i="43"/>
  <c r="B30" i="43"/>
  <c r="H30" i="43" s="1" a="1"/>
  <c r="H30" i="43" s="1"/>
  <c r="F29" i="43"/>
  <c r="B29" i="43"/>
  <c r="H29" i="43" s="1" a="1"/>
  <c r="H29" i="43" s="1"/>
  <c r="F28" i="43"/>
  <c r="B28" i="43"/>
  <c r="H28" i="43" s="1" a="1"/>
  <c r="H28" i="43" s="1"/>
  <c r="F27" i="43"/>
  <c r="B27" i="43"/>
  <c r="H27" i="43" s="1" a="1"/>
  <c r="H27" i="43" s="1"/>
  <c r="F26" i="43"/>
  <c r="B26" i="43"/>
  <c r="H26" i="43" s="1" a="1"/>
  <c r="H26" i="43" s="1"/>
  <c r="F25" i="43"/>
  <c r="B25" i="43"/>
  <c r="H25" i="43" s="1" a="1"/>
  <c r="H25" i="43" s="1"/>
  <c r="F24" i="43"/>
  <c r="B24" i="43"/>
  <c r="H24" i="43" s="1" a="1"/>
  <c r="H24" i="43" s="1"/>
  <c r="F23" i="43"/>
  <c r="B23" i="43"/>
  <c r="H23" i="43" s="1" a="1"/>
  <c r="H23" i="43" s="1"/>
  <c r="F22" i="43"/>
  <c r="B22" i="43"/>
  <c r="H22" i="43" s="1" a="1"/>
  <c r="H22" i="43" s="1"/>
  <c r="F21" i="43"/>
  <c r="B21" i="43"/>
  <c r="H21" i="43" s="1" a="1"/>
  <c r="H21" i="43" s="1"/>
  <c r="F20" i="43"/>
  <c r="B20" i="43"/>
  <c r="H20" i="43" s="1" a="1"/>
  <c r="H20" i="43" s="1"/>
  <c r="F19" i="43"/>
  <c r="B19" i="43"/>
  <c r="H19" i="43" s="1" a="1"/>
  <c r="H19" i="43" s="1"/>
  <c r="F18" i="43"/>
  <c r="B18" i="43"/>
  <c r="H18" i="43" s="1" a="1"/>
  <c r="H18" i="43" s="1"/>
  <c r="F17" i="43"/>
  <c r="B17" i="43"/>
  <c r="H17" i="43" s="1" a="1"/>
  <c r="H17" i="43" s="1"/>
  <c r="F16" i="43"/>
  <c r="B16" i="43"/>
  <c r="H16" i="43" s="1" a="1"/>
  <c r="H16" i="43" s="1"/>
  <c r="F15" i="43"/>
  <c r="B15" i="43"/>
  <c r="H15" i="43" s="1" a="1"/>
  <c r="H15" i="43" s="1"/>
  <c r="F14" i="43"/>
  <c r="B14" i="43"/>
  <c r="H14" i="43" s="1" a="1"/>
  <c r="H14" i="43" s="1"/>
  <c r="F144" i="24"/>
  <c r="B144" i="24"/>
  <c r="H144" i="24" s="1" a="1"/>
  <c r="H144" i="24" s="1"/>
  <c r="B110" i="2"/>
  <c r="H110" i="2" s="1" a="1"/>
  <c r="H110" i="2" s="1"/>
  <c r="B109" i="2"/>
  <c r="H109" i="2" s="1" a="1"/>
  <c r="H109" i="2" s="1"/>
  <c r="F104" i="2"/>
  <c r="B104" i="2"/>
  <c r="H104" i="2" s="1" a="1"/>
  <c r="H104" i="2" s="1"/>
  <c r="H103" i="2" a="1"/>
  <c r="H103" i="2" s="1"/>
  <c r="F103" i="2"/>
  <c r="F102" i="2"/>
  <c r="B102" i="2"/>
  <c r="H102" i="2" s="1" a="1"/>
  <c r="H102" i="2" s="1"/>
  <c r="F101" i="2"/>
  <c r="B101" i="2"/>
  <c r="H101" i="2" s="1" a="1"/>
  <c r="H101" i="2" s="1"/>
  <c r="F100" i="2"/>
  <c r="B100" i="2"/>
  <c r="H100" i="2" s="1" a="1"/>
  <c r="H100" i="2" s="1"/>
  <c r="F99" i="2"/>
  <c r="B99" i="2"/>
  <c r="H99" i="2" s="1" a="1"/>
  <c r="H99" i="2" s="1"/>
  <c r="F98" i="2"/>
  <c r="B98" i="2"/>
  <c r="H98" i="2" s="1" a="1"/>
  <c r="H98" i="2" s="1"/>
  <c r="F97" i="2"/>
  <c r="B97" i="2"/>
  <c r="H97" i="2" s="1" a="1"/>
  <c r="H97" i="2" s="1"/>
  <c r="F96" i="2"/>
  <c r="B96" i="2"/>
  <c r="H96" i="2" s="1" a="1"/>
  <c r="H96" i="2" s="1"/>
  <c r="F95" i="2"/>
  <c r="B95" i="2"/>
  <c r="H95" i="2" s="1" a="1"/>
  <c r="H95" i="2" s="1"/>
  <c r="F94" i="2"/>
  <c r="B94" i="2"/>
  <c r="H94" i="2" s="1" a="1"/>
  <c r="H94" i="2" s="1"/>
  <c r="F93" i="2"/>
  <c r="B93" i="2"/>
  <c r="H93" i="2" s="1" a="1"/>
  <c r="H93" i="2" s="1"/>
  <c r="F92" i="2"/>
  <c r="B92" i="2"/>
  <c r="H92" i="2" s="1" a="1"/>
  <c r="H92" i="2" s="1"/>
  <c r="F91" i="2"/>
  <c r="B91" i="2"/>
  <c r="H91" i="2" s="1" a="1"/>
  <c r="H91" i="2" s="1"/>
  <c r="F90" i="2"/>
  <c r="B90" i="2"/>
  <c r="H90" i="2" s="1" a="1"/>
  <c r="H90" i="2" s="1"/>
  <c r="F89" i="2"/>
  <c r="B89" i="2"/>
  <c r="H89" i="2" s="1" a="1"/>
  <c r="H89" i="2" s="1"/>
  <c r="F88" i="2"/>
  <c r="B88" i="2"/>
  <c r="H88" i="2" s="1" a="1"/>
  <c r="H88" i="2" s="1"/>
  <c r="F87" i="2"/>
  <c r="B87" i="2"/>
  <c r="H87" i="2" s="1" a="1"/>
  <c r="H87" i="2" s="1"/>
  <c r="F86" i="2"/>
  <c r="B86" i="2"/>
  <c r="H86" i="2" s="1" a="1"/>
  <c r="H86" i="2" s="1"/>
  <c r="F85" i="2"/>
  <c r="B85" i="2"/>
  <c r="H85" i="2" s="1" a="1"/>
  <c r="H85" i="2" s="1"/>
  <c r="F84" i="2"/>
  <c r="B84" i="2"/>
  <c r="H84" i="2" s="1" a="1"/>
  <c r="H84" i="2" s="1"/>
  <c r="F83" i="2"/>
  <c r="B83" i="2"/>
  <c r="H83" i="2" s="1" a="1"/>
  <c r="H83" i="2" s="1"/>
  <c r="F82" i="2"/>
  <c r="B82" i="2"/>
  <c r="H82" i="2" s="1" a="1"/>
  <c r="H82" i="2" s="1"/>
  <c r="F81" i="2"/>
  <c r="B81" i="2"/>
  <c r="H81" i="2" s="1" a="1"/>
  <c r="H81" i="2" s="1"/>
  <c r="F80" i="2"/>
  <c r="B80" i="2"/>
  <c r="H80" i="2" s="1" a="1"/>
  <c r="H80" i="2" s="1"/>
  <c r="F79" i="2"/>
  <c r="B79" i="2"/>
  <c r="H79" i="2" s="1" a="1"/>
  <c r="H79" i="2" s="1"/>
  <c r="F77" i="2"/>
  <c r="B77" i="2"/>
  <c r="H77" i="2" s="1" a="1"/>
  <c r="H77" i="2" s="1"/>
  <c r="F76" i="2"/>
  <c r="B76" i="2"/>
  <c r="H76" i="2" s="1" a="1"/>
  <c r="H76" i="2" s="1"/>
  <c r="F75" i="2"/>
  <c r="B75" i="2"/>
  <c r="H75" i="2" s="1" a="1"/>
  <c r="H75" i="2" s="1"/>
  <c r="F74" i="2"/>
  <c r="B74" i="2"/>
  <c r="H74" i="2" s="1" a="1"/>
  <c r="H74" i="2" s="1"/>
  <c r="F73" i="2"/>
  <c r="B73" i="2"/>
  <c r="H73" i="2" s="1" a="1"/>
  <c r="H73" i="2" s="1"/>
  <c r="F72" i="2"/>
  <c r="B72" i="2"/>
  <c r="H72" i="2" s="1" a="1"/>
  <c r="H72" i="2" s="1"/>
  <c r="F71" i="2"/>
  <c r="B71" i="2"/>
  <c r="H71" i="2" s="1" a="1"/>
  <c r="H71" i="2" s="1"/>
  <c r="F70" i="2"/>
  <c r="B70" i="2"/>
  <c r="H70" i="2" s="1" a="1"/>
  <c r="H70" i="2" s="1"/>
  <c r="F67" i="2"/>
  <c r="B67" i="2"/>
  <c r="H67" i="2" s="1" a="1"/>
  <c r="H67" i="2" s="1"/>
  <c r="F66" i="2"/>
  <c r="B66" i="2"/>
  <c r="H66" i="2" s="1" a="1"/>
  <c r="H66" i="2" s="1"/>
  <c r="F65" i="2"/>
  <c r="B65" i="2"/>
  <c r="H65" i="2" s="1" a="1"/>
  <c r="H65" i="2" s="1"/>
  <c r="F64" i="2"/>
  <c r="B64" i="2"/>
  <c r="H64" i="2" s="1" a="1"/>
  <c r="H64" i="2" s="1"/>
  <c r="F63" i="2"/>
  <c r="B63" i="2"/>
  <c r="H63" i="2" s="1" a="1"/>
  <c r="H63" i="2" s="1"/>
  <c r="F62" i="2"/>
  <c r="B62" i="2"/>
  <c r="H62" i="2" s="1" a="1"/>
  <c r="H62" i="2" s="1"/>
  <c r="F61" i="2"/>
  <c r="B61" i="2"/>
  <c r="H61" i="2" s="1" a="1"/>
  <c r="H61" i="2" s="1"/>
  <c r="F60" i="2"/>
  <c r="H60" i="2" a="1"/>
  <c r="H60" i="2" s="1"/>
  <c r="F59" i="2"/>
  <c r="B59" i="2"/>
  <c r="H59" i="2" s="1" a="1"/>
  <c r="H59" i="2" s="1"/>
  <c r="F58" i="2"/>
  <c r="B58" i="2"/>
  <c r="H58" i="2" s="1" a="1"/>
  <c r="H58" i="2" s="1"/>
  <c r="F57" i="2"/>
  <c r="B57" i="2"/>
  <c r="H57" i="2" s="1" a="1"/>
  <c r="H57" i="2" s="1"/>
  <c r="F56" i="2"/>
  <c r="B56" i="2"/>
  <c r="H56" i="2" s="1" a="1"/>
  <c r="H56" i="2" s="1"/>
  <c r="F55" i="2"/>
  <c r="B55" i="2"/>
  <c r="H55" i="2" s="1" a="1"/>
  <c r="H55" i="2" s="1"/>
  <c r="F54" i="2"/>
  <c r="B54" i="2"/>
  <c r="H54" i="2" s="1" a="1"/>
  <c r="H54" i="2" s="1"/>
  <c r="F53" i="2"/>
  <c r="B53" i="2"/>
  <c r="H53" i="2" s="1" a="1"/>
  <c r="H53" i="2" s="1"/>
  <c r="F52" i="2"/>
  <c r="B52" i="2"/>
  <c r="H52" i="2" s="1" a="1"/>
  <c r="H52" i="2" s="1"/>
  <c r="F51" i="2"/>
  <c r="B51" i="2"/>
  <c r="H51" i="2" s="1" a="1"/>
  <c r="H51" i="2" s="1"/>
  <c r="F50" i="2"/>
  <c r="B50" i="2"/>
  <c r="H50" i="2" s="1" a="1"/>
  <c r="H50" i="2" s="1"/>
  <c r="F49" i="2"/>
  <c r="B49" i="2"/>
  <c r="H49" i="2" s="1" a="1"/>
  <c r="H49" i="2" s="1"/>
  <c r="F48" i="2"/>
  <c r="B48" i="2"/>
  <c r="H48" i="2" s="1" a="1"/>
  <c r="H48" i="2" s="1"/>
  <c r="F47" i="2"/>
  <c r="B47" i="2"/>
  <c r="H47" i="2" s="1" a="1"/>
  <c r="H47" i="2" s="1"/>
  <c r="F46" i="2"/>
  <c r="B46" i="2"/>
  <c r="H46" i="2" s="1" a="1"/>
  <c r="H46" i="2" s="1"/>
  <c r="F44" i="2"/>
  <c r="B44" i="2"/>
  <c r="H44" i="2" s="1" a="1"/>
  <c r="H44" i="2" s="1"/>
  <c r="F43" i="2"/>
  <c r="B43" i="2"/>
  <c r="H43" i="2" s="1" a="1"/>
  <c r="H43" i="2" s="1"/>
  <c r="F42" i="2"/>
  <c r="B42" i="2"/>
  <c r="H42" i="2" s="1" a="1"/>
  <c r="H42" i="2" s="1"/>
  <c r="F41" i="2"/>
  <c r="B41" i="2"/>
  <c r="H41" i="2" s="1" a="1"/>
  <c r="H41" i="2" s="1"/>
  <c r="F40" i="2"/>
  <c r="B40" i="2"/>
  <c r="H40" i="2" s="1" a="1"/>
  <c r="H40" i="2" s="1"/>
  <c r="F39" i="2"/>
  <c r="B39" i="2"/>
  <c r="H39" i="2" s="1" a="1"/>
  <c r="H39" i="2" s="1"/>
  <c r="F38" i="2"/>
  <c r="B38" i="2"/>
  <c r="H38" i="2" s="1" a="1"/>
  <c r="H38" i="2" s="1"/>
  <c r="F37" i="2"/>
  <c r="B37" i="2"/>
  <c r="H37" i="2" s="1" a="1"/>
  <c r="H37" i="2" s="1"/>
  <c r="F36" i="2"/>
  <c r="B36" i="2"/>
  <c r="H36" i="2" s="1" a="1"/>
  <c r="H36" i="2" s="1"/>
  <c r="F35" i="2"/>
  <c r="B35" i="2"/>
  <c r="H35" i="2" s="1" a="1"/>
  <c r="H35" i="2" s="1"/>
  <c r="F34" i="2"/>
  <c r="B34" i="2"/>
  <c r="H34" i="2" s="1" a="1"/>
  <c r="H34" i="2" s="1"/>
  <c r="F33" i="2"/>
  <c r="B33" i="2"/>
  <c r="H33" i="2" s="1" a="1"/>
  <c r="H33" i="2" s="1"/>
  <c r="F32" i="2"/>
  <c r="B32" i="2"/>
  <c r="H32" i="2" s="1" a="1"/>
  <c r="H32" i="2" s="1"/>
  <c r="F31" i="2"/>
  <c r="B31" i="2"/>
  <c r="H31" i="2" s="1" a="1"/>
  <c r="H31" i="2" s="1"/>
  <c r="F30" i="2"/>
  <c r="B30" i="2"/>
  <c r="H30" i="2" s="1" a="1"/>
  <c r="H30" i="2" s="1"/>
  <c r="F29" i="2"/>
  <c r="B29" i="2"/>
  <c r="H29" i="2" s="1" a="1"/>
  <c r="H29" i="2" s="1"/>
  <c r="F28" i="2"/>
  <c r="B28" i="2"/>
  <c r="H28" i="2" s="1" a="1"/>
  <c r="H28" i="2" s="1"/>
  <c r="F27" i="2"/>
  <c r="B27" i="2"/>
  <c r="H27" i="2" s="1" a="1"/>
  <c r="H27" i="2" s="1"/>
  <c r="F26" i="2"/>
  <c r="B26" i="2"/>
  <c r="H26" i="2" s="1" a="1"/>
  <c r="H26" i="2" s="1"/>
  <c r="F25" i="2"/>
  <c r="B25" i="2"/>
  <c r="H25" i="2" s="1" a="1"/>
  <c r="H25" i="2" s="1"/>
  <c r="F23" i="2"/>
  <c r="B23" i="2"/>
  <c r="H23" i="2" s="1" a="1"/>
  <c r="H23" i="2" s="1"/>
  <c r="F22" i="2"/>
  <c r="B22" i="2"/>
  <c r="H22" i="2" s="1" a="1"/>
  <c r="H22" i="2" s="1"/>
  <c r="F21" i="2"/>
  <c r="B21" i="2"/>
  <c r="H21" i="2" s="1" a="1"/>
  <c r="H21" i="2" s="1"/>
  <c r="F20" i="2"/>
  <c r="B20" i="2"/>
  <c r="H20" i="2" s="1" a="1"/>
  <c r="H20" i="2" s="1"/>
  <c r="F19" i="2"/>
  <c r="B19" i="2"/>
  <c r="H19" i="2" s="1" a="1"/>
  <c r="H19" i="2" s="1"/>
  <c r="F18" i="2"/>
  <c r="B18" i="2"/>
  <c r="H18" i="2" s="1" a="1"/>
  <c r="H18" i="2" s="1"/>
  <c r="F17" i="2"/>
  <c r="B17" i="2"/>
  <c r="H17" i="2" s="1" a="1"/>
  <c r="H17" i="2" s="1"/>
  <c r="F16" i="2"/>
  <c r="B16" i="2"/>
  <c r="H16" i="2" s="1" a="1"/>
  <c r="H16" i="2" s="1"/>
  <c r="F15" i="2"/>
  <c r="B15" i="2"/>
  <c r="H15" i="2" s="1" a="1"/>
  <c r="H15" i="2" s="1"/>
  <c r="F14" i="2"/>
  <c r="B14" i="2"/>
  <c r="H14" i="2" s="1" a="1"/>
  <c r="H14" i="2" s="1"/>
  <c r="F13" i="2"/>
  <c r="B13" i="2"/>
  <c r="H13" i="2" s="1" a="1"/>
  <c r="H13" i="2" s="1"/>
  <c r="F12" i="2"/>
  <c r="B12" i="2"/>
  <c r="H12" i="2" s="1" a="1"/>
  <c r="H12" i="2" s="1"/>
  <c r="F11" i="2"/>
  <c r="B11" i="2"/>
  <c r="H11" i="2" s="1" a="1"/>
  <c r="H11" i="2" s="1"/>
  <c r="F99" i="23"/>
  <c r="F104" i="23"/>
  <c r="B104" i="23"/>
  <c r="H104" i="23" s="1" a="1"/>
  <c r="H104" i="23" s="1"/>
  <c r="B102" i="23"/>
  <c r="H102" i="23" s="1" a="1"/>
  <c r="H102" i="23" s="1"/>
  <c r="F102" i="23"/>
  <c r="B99" i="23"/>
  <c r="H99" i="23" s="1" a="1"/>
  <c r="H99" i="23" s="1"/>
  <c r="F103" i="23"/>
  <c r="F72" i="23"/>
  <c r="B72" i="23"/>
  <c r="H72" i="23" s="1" a="1"/>
  <c r="H72" i="23" s="1"/>
  <c r="B79" i="23"/>
  <c r="H79" i="23" s="1" a="1"/>
  <c r="H79" i="23" s="1"/>
  <c r="F79" i="23"/>
  <c r="B80" i="23"/>
  <c r="H80" i="23" s="1" a="1"/>
  <c r="H80" i="23" s="1"/>
  <c r="F80" i="23"/>
  <c r="B81" i="23"/>
  <c r="H81" i="23" s="1" a="1"/>
  <c r="H81" i="23" s="1"/>
  <c r="F81" i="23"/>
  <c r="B82" i="23"/>
  <c r="H82" i="23" s="1" a="1"/>
  <c r="H82" i="23" s="1"/>
  <c r="F82" i="23"/>
  <c r="B221" i="24"/>
  <c r="H221" i="24" s="1" a="1"/>
  <c r="H221" i="24" s="1"/>
  <c r="B222" i="24"/>
  <c r="H222" i="24" s="1" a="1"/>
  <c r="H222" i="24" s="1"/>
  <c r="B223" i="24"/>
  <c r="H223" i="24" s="1" a="1"/>
  <c r="H223" i="24" s="1"/>
  <c r="B224" i="24"/>
  <c r="H224" i="24" s="1" a="1"/>
  <c r="H224" i="24" s="1"/>
  <c r="B225" i="24"/>
  <c r="H225" i="24" s="1" a="1"/>
  <c r="H225" i="24" s="1"/>
  <c r="B226" i="24"/>
  <c r="H226" i="24" s="1" a="1"/>
  <c r="H226" i="24" s="1"/>
  <c r="B227" i="24"/>
  <c r="H227" i="24" s="1" a="1"/>
  <c r="H227" i="24" s="1"/>
  <c r="B228" i="24"/>
  <c r="H228" i="24" s="1" a="1"/>
  <c r="H228" i="24" s="1"/>
  <c r="B229" i="24"/>
  <c r="H229" i="24" s="1" a="1"/>
  <c r="H229" i="24" s="1"/>
  <c r="B230" i="24"/>
  <c r="H230" i="24" s="1" a="1"/>
  <c r="H230" i="24" s="1"/>
  <c r="N26" i="23"/>
  <c r="N27" i="23" s="1"/>
  <c r="N28" i="23" s="1"/>
  <c r="N29" i="23" s="1"/>
  <c r="N30" i="23" s="1"/>
  <c r="N31" i="23" s="1"/>
  <c r="N25" i="2" s="1"/>
  <c r="N26" i="2" s="1"/>
  <c r="N27" i="2" s="1"/>
  <c r="N28" i="2" s="1"/>
  <c r="N29" i="2" s="1"/>
  <c r="N30" i="2" s="1"/>
  <c r="N31" i="2" s="1"/>
  <c r="N40" i="24" s="1"/>
  <c r="B56" i="24"/>
  <c r="H56" i="24" s="1" a="1"/>
  <c r="H56" i="24" s="1"/>
  <c r="F34" i="15"/>
  <c r="F35" i="15"/>
  <c r="F36" i="15"/>
  <c r="F37" i="15"/>
  <c r="F38" i="15"/>
  <c r="F39" i="15"/>
  <c r="F40" i="15"/>
  <c r="F41" i="15"/>
  <c r="F42" i="15"/>
  <c r="F43" i="15"/>
  <c r="B22" i="15"/>
  <c r="H22" i="15" s="1" a="1"/>
  <c r="H22" i="15" s="1"/>
  <c r="B23" i="15"/>
  <c r="H23" i="15" s="1" a="1"/>
  <c r="H23" i="15" s="1"/>
  <c r="B24" i="15"/>
  <c r="H24" i="15" s="1" a="1"/>
  <c r="H24" i="15" s="1"/>
  <c r="B25" i="15"/>
  <c r="H25" i="15" s="1" a="1"/>
  <c r="H25" i="15" s="1"/>
  <c r="B26" i="15"/>
  <c r="H26" i="15" s="1" a="1"/>
  <c r="H26" i="15" s="1"/>
  <c r="B27" i="15"/>
  <c r="H27" i="15" s="1" a="1"/>
  <c r="H27" i="15" s="1"/>
  <c r="B28" i="15"/>
  <c r="H28" i="15" s="1" a="1"/>
  <c r="H28" i="15" s="1"/>
  <c r="B29" i="15"/>
  <c r="H29" i="15" s="1" a="1"/>
  <c r="H29" i="15" s="1"/>
  <c r="B30" i="15"/>
  <c r="H30" i="15" s="1" a="1"/>
  <c r="H30" i="15" s="1"/>
  <c r="B31" i="15"/>
  <c r="H31" i="15" s="1" a="1"/>
  <c r="H31" i="15" s="1"/>
  <c r="B32" i="15"/>
  <c r="H32" i="15" s="1" a="1"/>
  <c r="H32" i="15" s="1"/>
  <c r="B43" i="15"/>
  <c r="H43" i="15" s="1" a="1"/>
  <c r="H43" i="15" s="1"/>
  <c r="B42" i="15"/>
  <c r="H42" i="15" s="1" a="1"/>
  <c r="H42" i="15" s="1"/>
  <c r="B41" i="15"/>
  <c r="H41" i="15" s="1" a="1"/>
  <c r="H41" i="15" s="1"/>
  <c r="B40" i="15"/>
  <c r="H40" i="15" s="1" a="1"/>
  <c r="H40" i="15" s="1"/>
  <c r="B39" i="15"/>
  <c r="H39" i="15" s="1" a="1"/>
  <c r="H39" i="15" s="1"/>
  <c r="B38" i="15"/>
  <c r="H38" i="15" s="1" a="1"/>
  <c r="H38" i="15" s="1"/>
  <c r="B37" i="15"/>
  <c r="H37" i="15" s="1" a="1"/>
  <c r="H37" i="15" s="1"/>
  <c r="B36" i="15"/>
  <c r="H36" i="15" s="1" a="1"/>
  <c r="H36" i="15" s="1"/>
  <c r="B35" i="15"/>
  <c r="H35" i="15" s="1" a="1"/>
  <c r="H35" i="15" s="1"/>
  <c r="F32" i="15"/>
  <c r="F31" i="15"/>
  <c r="F30" i="15"/>
  <c r="F29" i="15"/>
  <c r="F28" i="15"/>
  <c r="F27" i="15"/>
  <c r="F26" i="15"/>
  <c r="F25" i="15"/>
  <c r="F24" i="15"/>
  <c r="B10" i="15"/>
  <c r="H10" i="15" s="1" a="1"/>
  <c r="H10" i="15" s="1"/>
  <c r="B9" i="15"/>
  <c r="H9" i="15" s="1" a="1"/>
  <c r="H9" i="15" s="1"/>
  <c r="B8" i="15"/>
  <c r="H8" i="15" s="1" a="1"/>
  <c r="H8" i="15" s="1"/>
  <c r="F21" i="15"/>
  <c r="B21" i="15"/>
  <c r="H21" i="15" s="1" a="1"/>
  <c r="H21" i="15" s="1"/>
  <c r="F20" i="15"/>
  <c r="B20" i="15"/>
  <c r="H20" i="15" s="1" a="1"/>
  <c r="H20" i="15" s="1"/>
  <c r="F19" i="15"/>
  <c r="B19" i="15"/>
  <c r="H19" i="15" s="1" a="1"/>
  <c r="H19" i="15" s="1"/>
  <c r="F18" i="15"/>
  <c r="B18" i="15"/>
  <c r="H18" i="15" s="1" a="1"/>
  <c r="H18" i="15" s="1"/>
  <c r="F17" i="15"/>
  <c r="B17" i="15"/>
  <c r="H17" i="15" s="1" a="1"/>
  <c r="H17" i="15" s="1"/>
  <c r="F16" i="15"/>
  <c r="B16" i="15"/>
  <c r="H16" i="15" s="1" a="1"/>
  <c r="H16" i="15" s="1"/>
  <c r="F15" i="15"/>
  <c r="B15" i="15"/>
  <c r="H15" i="15" s="1" a="1"/>
  <c r="H15" i="15" s="1"/>
  <c r="F14" i="15"/>
  <c r="B14" i="15"/>
  <c r="H14" i="15" s="1" a="1"/>
  <c r="H14" i="15" s="1"/>
  <c r="F13" i="15"/>
  <c r="B13" i="15"/>
  <c r="H13" i="15" s="1" a="1"/>
  <c r="H13" i="15" s="1"/>
  <c r="B76" i="39"/>
  <c r="H76" i="39" s="1" a="1"/>
  <c r="H76" i="39" s="1"/>
  <c r="F69" i="39"/>
  <c r="B69" i="39"/>
  <c r="H69" i="39" s="1" a="1"/>
  <c r="H69" i="39" s="1"/>
  <c r="F68" i="39"/>
  <c r="B68" i="39"/>
  <c r="H68" i="39" s="1" a="1"/>
  <c r="H68" i="39" s="1"/>
  <c r="B50" i="39"/>
  <c r="H50" i="39" s="1" a="1"/>
  <c r="H50" i="39" s="1"/>
  <c r="F49" i="39"/>
  <c r="B49" i="39"/>
  <c r="H49" i="39" s="1" a="1"/>
  <c r="H49" i="39" s="1"/>
  <c r="F48" i="39"/>
  <c r="B48" i="39"/>
  <c r="H48" i="39" s="1" a="1"/>
  <c r="H48" i="39" s="1"/>
  <c r="F47" i="39"/>
  <c r="B47" i="39"/>
  <c r="H47" i="39" s="1" a="1"/>
  <c r="H47" i="39" s="1"/>
  <c r="F46" i="39"/>
  <c r="B46" i="39"/>
  <c r="H46" i="39" s="1" a="1"/>
  <c r="H46" i="39" s="1"/>
  <c r="F45" i="39"/>
  <c r="B45" i="39"/>
  <c r="H45" i="39" s="1" a="1"/>
  <c r="H45" i="39" s="1"/>
  <c r="F44" i="39"/>
  <c r="B44" i="39"/>
  <c r="H44" i="39" s="1" a="1"/>
  <c r="H44" i="39" s="1"/>
  <c r="F43" i="39"/>
  <c r="B43" i="39"/>
  <c r="H43" i="39" s="1" a="1"/>
  <c r="H43" i="39" s="1"/>
  <c r="F42" i="39"/>
  <c r="B42" i="39"/>
  <c r="H42" i="39" s="1" a="1"/>
  <c r="H42" i="39" s="1"/>
  <c r="F41" i="39"/>
  <c r="B41" i="39"/>
  <c r="H41" i="39" s="1" a="1"/>
  <c r="H41" i="39" s="1"/>
  <c r="F33" i="39"/>
  <c r="B33" i="39"/>
  <c r="H33" i="39" s="1" a="1"/>
  <c r="H33" i="39" s="1"/>
  <c r="F32" i="39"/>
  <c r="B32" i="39"/>
  <c r="H32" i="39" s="1" a="1"/>
  <c r="H32" i="39" s="1"/>
  <c r="F31" i="39"/>
  <c r="B31" i="39"/>
  <c r="H31" i="39" s="1" a="1"/>
  <c r="H31" i="39" s="1"/>
  <c r="B30" i="39"/>
  <c r="H30" i="39" s="1" a="1"/>
  <c r="H30" i="39" s="1"/>
  <c r="F29" i="39"/>
  <c r="B29" i="39"/>
  <c r="H29" i="39" s="1" a="1"/>
  <c r="H29" i="39" s="1"/>
  <c r="F28" i="39"/>
  <c r="B28" i="39"/>
  <c r="H28" i="39" s="1" a="1"/>
  <c r="H28" i="39" s="1"/>
  <c r="F27" i="39"/>
  <c r="B27" i="39"/>
  <c r="H27" i="39" s="1" a="1"/>
  <c r="H27" i="39" s="1"/>
  <c r="F26" i="39"/>
  <c r="B26" i="39"/>
  <c r="H26" i="39" s="1" a="1"/>
  <c r="H26" i="39" s="1"/>
  <c r="F25" i="39"/>
  <c r="B25" i="39"/>
  <c r="H25" i="39" s="1" a="1"/>
  <c r="H25" i="39" s="1"/>
  <c r="F24" i="39"/>
  <c r="B24" i="39"/>
  <c r="H24" i="39" s="1" a="1"/>
  <c r="H24" i="39" s="1"/>
  <c r="F23" i="39"/>
  <c r="B23" i="39"/>
  <c r="H23" i="39" s="1" a="1"/>
  <c r="H23" i="39" s="1"/>
  <c r="F20" i="39"/>
  <c r="B20" i="39"/>
  <c r="H20" i="39" s="1" a="1"/>
  <c r="H20" i="39" s="1"/>
  <c r="F19" i="39"/>
  <c r="B19" i="39"/>
  <c r="H19" i="39" s="1" a="1"/>
  <c r="H19" i="39" s="1"/>
  <c r="F18" i="39"/>
  <c r="B18" i="39"/>
  <c r="H18" i="39" s="1" a="1"/>
  <c r="H18" i="39" s="1"/>
  <c r="F17" i="39"/>
  <c r="B17" i="39"/>
  <c r="H17" i="39" s="1" a="1"/>
  <c r="H17" i="39" s="1"/>
  <c r="F16" i="39"/>
  <c r="B16" i="39"/>
  <c r="H16" i="39" s="1" a="1"/>
  <c r="H16" i="39" s="1"/>
  <c r="F15" i="39"/>
  <c r="B15" i="39"/>
  <c r="H15" i="39" s="1" a="1"/>
  <c r="H15" i="39" s="1"/>
  <c r="F14" i="39"/>
  <c r="B14" i="39"/>
  <c r="H14" i="39" s="1" a="1"/>
  <c r="H14" i="39" s="1"/>
  <c r="F13" i="39"/>
  <c r="B13" i="39"/>
  <c r="H13" i="39" s="1" a="1"/>
  <c r="H13" i="39" s="1"/>
  <c r="F12" i="39"/>
  <c r="B12" i="39"/>
  <c r="H12" i="39" s="1" a="1"/>
  <c r="H12" i="39" s="1"/>
  <c r="F11" i="39"/>
  <c r="B11" i="39"/>
  <c r="H11" i="39" s="1" a="1"/>
  <c r="H11" i="39" s="1"/>
  <c r="F10" i="39"/>
  <c r="B10" i="39"/>
  <c r="H10" i="39" s="1" a="1"/>
  <c r="H10" i="39" s="1"/>
  <c r="F15" i="42"/>
  <c r="B15" i="42"/>
  <c r="H15" i="42" s="1" a="1"/>
  <c r="H15" i="42" s="1"/>
  <c r="F14" i="42"/>
  <c r="B14" i="42"/>
  <c r="H14" i="42" s="1" a="1"/>
  <c r="H14" i="42" s="1"/>
  <c r="F13" i="42"/>
  <c r="B13" i="42"/>
  <c r="H13" i="42" s="1" a="1"/>
  <c r="H13" i="42" s="1"/>
  <c r="F12" i="42"/>
  <c r="B12" i="42"/>
  <c r="H12" i="42" s="1" a="1"/>
  <c r="H12" i="42" s="1"/>
  <c r="F11" i="42"/>
  <c r="B11" i="42"/>
  <c r="H11" i="42" s="1" a="1"/>
  <c r="H11" i="42" s="1"/>
  <c r="F10" i="42"/>
  <c r="B10" i="42"/>
  <c r="H10" i="42" s="1" a="1"/>
  <c r="H10" i="42" s="1"/>
  <c r="F9" i="42"/>
  <c r="B9" i="42"/>
  <c r="H9" i="42" s="1" a="1"/>
  <c r="H9" i="42" s="1"/>
  <c r="F8" i="42"/>
  <c r="B8" i="42"/>
  <c r="H8" i="42" s="1" a="1"/>
  <c r="H8" i="42" s="1"/>
  <c r="F7" i="42"/>
  <c r="B7" i="42"/>
  <c r="H7" i="42" s="1" a="1"/>
  <c r="H7" i="42" s="1"/>
  <c r="B19" i="41"/>
  <c r="H19" i="41" s="1"/>
  <c r="B18" i="41"/>
  <c r="H18" i="41" s="1"/>
  <c r="H14" i="41" a="1"/>
  <c r="H14" i="41" s="1"/>
  <c r="F14" i="41"/>
  <c r="B14" i="41"/>
  <c r="H13" i="41" a="1"/>
  <c r="H13" i="41" s="1"/>
  <c r="B13" i="41"/>
  <c r="F12" i="41"/>
  <c r="B12" i="41"/>
  <c r="H12" i="41" s="1" a="1"/>
  <c r="H12" i="41" s="1"/>
  <c r="F11" i="41"/>
  <c r="B11" i="41"/>
  <c r="H11" i="41" s="1" a="1"/>
  <c r="H11" i="41" s="1"/>
  <c r="F10" i="41"/>
  <c r="B10" i="41"/>
  <c r="H10" i="41" s="1" a="1"/>
  <c r="H10" i="41" s="1"/>
  <c r="F9" i="41"/>
  <c r="B9" i="41"/>
  <c r="H9" i="41" s="1" a="1"/>
  <c r="H9" i="41" s="1"/>
  <c r="F8" i="41"/>
  <c r="B8" i="41"/>
  <c r="H8" i="41" s="1" a="1"/>
  <c r="H8" i="41" s="1"/>
  <c r="F7" i="41"/>
  <c r="B7" i="41"/>
  <c r="H7" i="41" s="1" a="1"/>
  <c r="H7" i="41" s="1"/>
  <c r="F6" i="41"/>
  <c r="B6" i="41"/>
  <c r="H6" i="41" s="1" a="1"/>
  <c r="H6" i="41" s="1"/>
  <c r="F52" i="32"/>
  <c r="B52" i="32"/>
  <c r="H52" i="32" s="1" a="1"/>
  <c r="H52" i="32" s="1"/>
  <c r="B78" i="32"/>
  <c r="H78" i="32" s="1" a="1"/>
  <c r="H78" i="32" s="1"/>
  <c r="F71" i="32"/>
  <c r="B71" i="32"/>
  <c r="H71" i="32" s="1" a="1"/>
  <c r="H71" i="32" s="1"/>
  <c r="F70" i="32"/>
  <c r="B70" i="32"/>
  <c r="H70" i="32" s="1" a="1"/>
  <c r="H70" i="32" s="1"/>
  <c r="F69" i="32"/>
  <c r="B69" i="32"/>
  <c r="H69" i="32" s="1" a="1"/>
  <c r="H69" i="32" s="1"/>
  <c r="F68" i="32"/>
  <c r="B68" i="32"/>
  <c r="H68" i="32" s="1" a="1"/>
  <c r="H68" i="32" s="1"/>
  <c r="F67" i="32"/>
  <c r="B67" i="32"/>
  <c r="H67" i="32" s="1" a="1"/>
  <c r="H67" i="32" s="1"/>
  <c r="F66" i="32"/>
  <c r="B66" i="32"/>
  <c r="H66" i="32" s="1" a="1"/>
  <c r="H66" i="32" s="1"/>
  <c r="F59" i="32"/>
  <c r="B59" i="32"/>
  <c r="H59" i="32" s="1" a="1"/>
  <c r="H59" i="32" s="1"/>
  <c r="F58" i="32"/>
  <c r="B58" i="32"/>
  <c r="H58" i="32" s="1" a="1"/>
  <c r="H58" i="32" s="1"/>
  <c r="F57" i="32"/>
  <c r="B57" i="32"/>
  <c r="H57" i="32" s="1" a="1"/>
  <c r="H57" i="32" s="1"/>
  <c r="F56" i="32"/>
  <c r="B56" i="32"/>
  <c r="H56" i="32" s="1" a="1"/>
  <c r="H56" i="32" s="1"/>
  <c r="F55" i="32"/>
  <c r="B55" i="32"/>
  <c r="H55" i="32" s="1" a="1"/>
  <c r="H55" i="32" s="1"/>
  <c r="F54" i="32"/>
  <c r="B54" i="32"/>
  <c r="H54" i="32" s="1" a="1"/>
  <c r="H54" i="32" s="1"/>
  <c r="F53" i="32"/>
  <c r="B53" i="32"/>
  <c r="H53" i="32" s="1" a="1"/>
  <c r="H53" i="32" s="1"/>
  <c r="B50" i="32"/>
  <c r="H50" i="32" s="1" a="1"/>
  <c r="H50" i="32" s="1"/>
  <c r="F49" i="32"/>
  <c r="B49" i="32"/>
  <c r="H49" i="32" s="1" a="1"/>
  <c r="H49" i="32" s="1"/>
  <c r="F48" i="32"/>
  <c r="B48" i="32"/>
  <c r="H48" i="32" s="1" a="1"/>
  <c r="H48" i="32" s="1"/>
  <c r="F47" i="32"/>
  <c r="B47" i="32"/>
  <c r="H47" i="32" s="1" a="1"/>
  <c r="H47" i="32" s="1"/>
  <c r="F46" i="32"/>
  <c r="B46" i="32"/>
  <c r="H46" i="32" s="1" a="1"/>
  <c r="H46" i="32" s="1"/>
  <c r="F45" i="32"/>
  <c r="B45" i="32"/>
  <c r="H45" i="32" s="1" a="1"/>
  <c r="H45" i="32" s="1"/>
  <c r="F44" i="32"/>
  <c r="B44" i="32"/>
  <c r="H44" i="32" s="1" a="1"/>
  <c r="H44" i="32" s="1"/>
  <c r="F43" i="32"/>
  <c r="B43" i="32"/>
  <c r="H43" i="32" s="1" a="1"/>
  <c r="H43" i="32" s="1"/>
  <c r="F42" i="32"/>
  <c r="B42" i="32"/>
  <c r="H42" i="32" s="1" a="1"/>
  <c r="H42" i="32" s="1"/>
  <c r="F41" i="32"/>
  <c r="B41" i="32"/>
  <c r="H41" i="32" s="1" a="1"/>
  <c r="H41" i="32" s="1"/>
  <c r="F33" i="32"/>
  <c r="B33" i="32"/>
  <c r="H33" i="32" s="1" a="1"/>
  <c r="H33" i="32" s="1"/>
  <c r="F32" i="32"/>
  <c r="B32" i="32"/>
  <c r="H32" i="32" s="1" a="1"/>
  <c r="H32" i="32" s="1"/>
  <c r="F31" i="32"/>
  <c r="B31" i="32"/>
  <c r="H31" i="32" s="1" a="1"/>
  <c r="H31" i="32" s="1"/>
  <c r="B30" i="32"/>
  <c r="H30" i="32" s="1" a="1"/>
  <c r="H30" i="32" s="1"/>
  <c r="F29" i="32"/>
  <c r="B29" i="32"/>
  <c r="H29" i="32" s="1" a="1"/>
  <c r="H29" i="32" s="1"/>
  <c r="F28" i="32"/>
  <c r="B28" i="32"/>
  <c r="H28" i="32" s="1" a="1"/>
  <c r="H28" i="32" s="1"/>
  <c r="F27" i="32"/>
  <c r="B27" i="32"/>
  <c r="H27" i="32" s="1" a="1"/>
  <c r="H27" i="32" s="1"/>
  <c r="F25" i="32"/>
  <c r="B25" i="32"/>
  <c r="H25" i="32" s="1" a="1"/>
  <c r="H25" i="32" s="1"/>
  <c r="F24" i="32"/>
  <c r="B24" i="32"/>
  <c r="H24" i="32" s="1" a="1"/>
  <c r="H24" i="32" s="1"/>
  <c r="F23" i="32"/>
  <c r="B23" i="32"/>
  <c r="H23" i="32" s="1" a="1"/>
  <c r="H23" i="32" s="1"/>
  <c r="F21" i="32"/>
  <c r="B21" i="32"/>
  <c r="H21" i="32" s="1" a="1"/>
  <c r="H21" i="32" s="1"/>
  <c r="F16" i="32"/>
  <c r="B16" i="32"/>
  <c r="H16" i="32" s="1" a="1"/>
  <c r="H16" i="32" s="1"/>
  <c r="F15" i="32"/>
  <c r="B15" i="32"/>
  <c r="H15" i="32" s="1" a="1"/>
  <c r="H15" i="32" s="1"/>
  <c r="F14" i="32"/>
  <c r="B14" i="32"/>
  <c r="H14" i="32" s="1" a="1"/>
  <c r="H14" i="32" s="1"/>
  <c r="F13" i="32"/>
  <c r="B13" i="32"/>
  <c r="H13" i="32" s="1" a="1"/>
  <c r="H13" i="32" s="1"/>
  <c r="F12" i="32"/>
  <c r="B12" i="32"/>
  <c r="H12" i="32" s="1" a="1"/>
  <c r="H12" i="32" s="1"/>
  <c r="F11" i="32"/>
  <c r="B11" i="32"/>
  <c r="H11" i="32" s="1" a="1"/>
  <c r="H11" i="32" s="1"/>
  <c r="F10" i="32"/>
  <c r="B10" i="32"/>
  <c r="H10" i="32" s="1" a="1"/>
  <c r="H10" i="32" s="1"/>
  <c r="B85" i="33"/>
  <c r="H85" i="33" s="1" a="1"/>
  <c r="H85" i="33" s="1"/>
  <c r="B84" i="33"/>
  <c r="H84" i="33" s="1" a="1"/>
  <c r="H84" i="33" s="1"/>
  <c r="F80" i="33"/>
  <c r="B80" i="33"/>
  <c r="H80" i="33" s="1" a="1"/>
  <c r="H80" i="33" s="1"/>
  <c r="F79" i="33"/>
  <c r="B79" i="33"/>
  <c r="H79" i="33" s="1" a="1"/>
  <c r="H79" i="33" s="1"/>
  <c r="H78" i="33" a="1"/>
  <c r="H78" i="33" s="1"/>
  <c r="F78" i="33"/>
  <c r="B78" i="33"/>
  <c r="F77" i="33"/>
  <c r="B77" i="33"/>
  <c r="H77" i="33" s="1" a="1"/>
  <c r="H77" i="33" s="1"/>
  <c r="F76" i="33"/>
  <c r="B76" i="33"/>
  <c r="H76" i="33" s="1" a="1"/>
  <c r="H76" i="33" s="1"/>
  <c r="F75" i="33"/>
  <c r="B75" i="33"/>
  <c r="H75" i="33" s="1" a="1"/>
  <c r="H75" i="33" s="1"/>
  <c r="F74" i="33"/>
  <c r="B74" i="33"/>
  <c r="H74" i="33" s="1" a="1"/>
  <c r="H74" i="33" s="1"/>
  <c r="F73" i="33"/>
  <c r="B73" i="33"/>
  <c r="H73" i="33" s="1" a="1"/>
  <c r="H73" i="33" s="1"/>
  <c r="F72" i="33"/>
  <c r="B72" i="33"/>
  <c r="H72" i="33" s="1" a="1"/>
  <c r="H72" i="33" s="1"/>
  <c r="F71" i="33"/>
  <c r="B71" i="33"/>
  <c r="H71" i="33" s="1" a="1"/>
  <c r="H71" i="33" s="1"/>
  <c r="F70" i="33"/>
  <c r="B70" i="33"/>
  <c r="H70" i="33" s="1" a="1"/>
  <c r="H70" i="33" s="1"/>
  <c r="F69" i="33"/>
  <c r="B69" i="33"/>
  <c r="H69" i="33" s="1" a="1"/>
  <c r="H69" i="33" s="1"/>
  <c r="F68" i="33"/>
  <c r="B68" i="33"/>
  <c r="H68" i="33" s="1" a="1"/>
  <c r="H68" i="33" s="1"/>
  <c r="F67" i="33"/>
  <c r="B67" i="33"/>
  <c r="H67" i="33" s="1" a="1"/>
  <c r="H67" i="33" s="1"/>
  <c r="F66" i="33"/>
  <c r="B66" i="33"/>
  <c r="H66" i="33" s="1" a="1"/>
  <c r="H66" i="33" s="1"/>
  <c r="F65" i="33"/>
  <c r="B65" i="33"/>
  <c r="H65" i="33" s="1" a="1"/>
  <c r="H65" i="33" s="1"/>
  <c r="F64" i="33"/>
  <c r="B64" i="33"/>
  <c r="H64" i="33" s="1" a="1"/>
  <c r="H64" i="33" s="1"/>
  <c r="F63" i="33"/>
  <c r="B63" i="33"/>
  <c r="H63" i="33" s="1" a="1"/>
  <c r="H63" i="33" s="1"/>
  <c r="F62" i="33"/>
  <c r="B62" i="33"/>
  <c r="H62" i="33" s="1" a="1"/>
  <c r="H62" i="33" s="1"/>
  <c r="F61" i="33"/>
  <c r="B61" i="33"/>
  <c r="H61" i="33" s="1" a="1"/>
  <c r="H61" i="33" s="1"/>
  <c r="F60" i="33"/>
  <c r="B60" i="33"/>
  <c r="H60" i="33" s="1" a="1"/>
  <c r="H60" i="33" s="1"/>
  <c r="F59" i="33"/>
  <c r="B59" i="33"/>
  <c r="H59" i="33" s="1" a="1"/>
  <c r="H59" i="33" s="1"/>
  <c r="F58" i="33"/>
  <c r="B58" i="33"/>
  <c r="H58" i="33" s="1" a="1"/>
  <c r="H58" i="33" s="1"/>
  <c r="H57" i="33" a="1"/>
  <c r="H57" i="33" s="1"/>
  <c r="F57" i="33"/>
  <c r="B57" i="33"/>
  <c r="F56" i="33"/>
  <c r="B56" i="33"/>
  <c r="H56" i="33" s="1" a="1"/>
  <c r="H56" i="33" s="1"/>
  <c r="F55" i="33"/>
  <c r="B55" i="33"/>
  <c r="H55" i="33" s="1" a="1"/>
  <c r="H55" i="33" s="1"/>
  <c r="F54" i="33"/>
  <c r="B54" i="33"/>
  <c r="H54" i="33" s="1" a="1"/>
  <c r="H54" i="33" s="1"/>
  <c r="F53" i="33"/>
  <c r="B53" i="33"/>
  <c r="H53" i="33" s="1" a="1"/>
  <c r="H53" i="33" s="1"/>
  <c r="B52" i="33"/>
  <c r="H52" i="33" s="1" a="1"/>
  <c r="H52" i="33" s="1"/>
  <c r="F51" i="33"/>
  <c r="B51" i="33"/>
  <c r="H51" i="33" s="1" a="1"/>
  <c r="H51" i="33" s="1"/>
  <c r="F50" i="33"/>
  <c r="B50" i="33"/>
  <c r="H50" i="33" s="1" a="1"/>
  <c r="H50" i="33" s="1"/>
  <c r="F49" i="33"/>
  <c r="B49" i="33"/>
  <c r="H49" i="33" s="1" a="1"/>
  <c r="H49" i="33" s="1"/>
  <c r="F48" i="33"/>
  <c r="B48" i="33"/>
  <c r="H48" i="33" s="1" a="1"/>
  <c r="H48" i="33" s="1"/>
  <c r="F47" i="33"/>
  <c r="B47" i="33"/>
  <c r="H47" i="33" s="1" a="1"/>
  <c r="H47" i="33" s="1"/>
  <c r="F46" i="33"/>
  <c r="B46" i="33"/>
  <c r="H46" i="33" s="1" a="1"/>
  <c r="H46" i="33" s="1"/>
  <c r="F45" i="33"/>
  <c r="B45" i="33"/>
  <c r="H45" i="33" s="1" a="1"/>
  <c r="H45" i="33" s="1"/>
  <c r="F44" i="33"/>
  <c r="B44" i="33"/>
  <c r="H44" i="33" s="1" a="1"/>
  <c r="H44" i="33" s="1"/>
  <c r="F43" i="33"/>
  <c r="B43" i="33"/>
  <c r="H43" i="33" s="1" a="1"/>
  <c r="H43" i="33" s="1"/>
  <c r="F42" i="33"/>
  <c r="B42" i="33"/>
  <c r="H42" i="33" s="1" a="1"/>
  <c r="H42" i="33" s="1"/>
  <c r="F41" i="33"/>
  <c r="B41" i="33"/>
  <c r="H41" i="33" s="1" a="1"/>
  <c r="H41" i="33" s="1"/>
  <c r="B40" i="33"/>
  <c r="H40" i="33" s="1" a="1"/>
  <c r="H40" i="33" s="1"/>
  <c r="F39" i="33"/>
  <c r="B39" i="33"/>
  <c r="H39" i="33" s="1" a="1"/>
  <c r="H39" i="33" s="1"/>
  <c r="F38" i="33"/>
  <c r="B38" i="33"/>
  <c r="H38" i="33" s="1" a="1"/>
  <c r="H38" i="33" s="1"/>
  <c r="F37" i="33"/>
  <c r="B37" i="33"/>
  <c r="H37" i="33" s="1" a="1"/>
  <c r="H37" i="33" s="1"/>
  <c r="F36" i="33"/>
  <c r="B36" i="33"/>
  <c r="H36" i="33" s="1" a="1"/>
  <c r="H36" i="33" s="1"/>
  <c r="F35" i="33"/>
  <c r="B35" i="33"/>
  <c r="H35" i="33" s="1" a="1"/>
  <c r="H35" i="33" s="1"/>
  <c r="F34" i="33"/>
  <c r="B34" i="33"/>
  <c r="H34" i="33" s="1" a="1"/>
  <c r="H34" i="33" s="1"/>
  <c r="F33" i="33"/>
  <c r="B33" i="33"/>
  <c r="H33" i="33" s="1" a="1"/>
  <c r="H33" i="33" s="1"/>
  <c r="F32" i="33"/>
  <c r="B32" i="33"/>
  <c r="H32" i="33" s="1" a="1"/>
  <c r="H32" i="33" s="1"/>
  <c r="F31" i="33"/>
  <c r="B31" i="33"/>
  <c r="H31" i="33" s="1" a="1"/>
  <c r="H31" i="33" s="1"/>
  <c r="H30" i="33" a="1"/>
  <c r="H30" i="33" s="1"/>
  <c r="B30" i="33"/>
  <c r="F29" i="33"/>
  <c r="B29" i="33"/>
  <c r="H29" i="33" s="1" a="1"/>
  <c r="H29" i="33" s="1"/>
  <c r="F28" i="33"/>
  <c r="B28" i="33"/>
  <c r="H28" i="33" s="1" a="1"/>
  <c r="H28" i="33" s="1"/>
  <c r="F27" i="33"/>
  <c r="B27" i="33"/>
  <c r="H27" i="33" s="1" a="1"/>
  <c r="H27" i="33" s="1"/>
  <c r="F26" i="33"/>
  <c r="B26" i="33"/>
  <c r="H26" i="33" s="1" a="1"/>
  <c r="H26" i="33" s="1"/>
  <c r="F25" i="33"/>
  <c r="B25" i="33"/>
  <c r="H25" i="33" s="1" a="1"/>
  <c r="H25" i="33" s="1"/>
  <c r="F24" i="33"/>
  <c r="B24" i="33"/>
  <c r="H24" i="33" s="1" a="1"/>
  <c r="H24" i="33" s="1"/>
  <c r="F23" i="33"/>
  <c r="B23" i="33"/>
  <c r="H23" i="33" s="1" a="1"/>
  <c r="H23" i="33" s="1"/>
  <c r="F22" i="33"/>
  <c r="B22" i="33"/>
  <c r="H22" i="33" s="1" a="1"/>
  <c r="H22" i="33" s="1"/>
  <c r="F21" i="33"/>
  <c r="B21" i="33"/>
  <c r="H21" i="33" s="1" a="1"/>
  <c r="H21" i="33" s="1"/>
  <c r="H20" i="33" a="1"/>
  <c r="H20" i="33" s="1"/>
  <c r="F20" i="33"/>
  <c r="B20" i="33"/>
  <c r="F19" i="33"/>
  <c r="B19" i="33"/>
  <c r="H19" i="33" s="1" a="1"/>
  <c r="H19" i="33" s="1"/>
  <c r="F18" i="33"/>
  <c r="B18" i="33"/>
  <c r="H18" i="33" s="1" a="1"/>
  <c r="H18" i="33" s="1"/>
  <c r="F17" i="33"/>
  <c r="B17" i="33"/>
  <c r="H17" i="33" s="1" a="1"/>
  <c r="H17" i="33" s="1"/>
  <c r="H16" i="33" a="1"/>
  <c r="H16" i="33" s="1"/>
  <c r="F16" i="33"/>
  <c r="B16" i="33"/>
  <c r="F15" i="33"/>
  <c r="B15" i="33"/>
  <c r="H15" i="33" s="1" a="1"/>
  <c r="H15" i="33" s="1"/>
  <c r="H14" i="33" a="1"/>
  <c r="H14" i="33" s="1"/>
  <c r="F14" i="33"/>
  <c r="B14" i="33"/>
  <c r="F13" i="33"/>
  <c r="B13" i="33"/>
  <c r="H13" i="33" s="1" a="1"/>
  <c r="H13" i="33" s="1"/>
  <c r="F12" i="33"/>
  <c r="B12" i="33"/>
  <c r="H12" i="33" s="1" a="1"/>
  <c r="H12" i="33" s="1"/>
  <c r="F11" i="33"/>
  <c r="B11" i="33"/>
  <c r="H11" i="33" s="1" a="1"/>
  <c r="H11" i="33" s="1"/>
  <c r="F10" i="33"/>
  <c r="B10" i="33"/>
  <c r="H10" i="33" s="1" a="1"/>
  <c r="H10" i="33" s="1"/>
  <c r="B85" i="27"/>
  <c r="H85" i="27" s="1" a="1"/>
  <c r="H85" i="27" s="1"/>
  <c r="B84" i="27"/>
  <c r="H84" i="27" s="1" a="1"/>
  <c r="H84" i="27" s="1"/>
  <c r="F80" i="27"/>
  <c r="B80" i="27"/>
  <c r="H80" i="27" s="1" a="1"/>
  <c r="H80" i="27" s="1"/>
  <c r="F79" i="27"/>
  <c r="B79" i="27"/>
  <c r="H79" i="27" s="1" a="1"/>
  <c r="H79" i="27" s="1"/>
  <c r="F78" i="27"/>
  <c r="B78" i="27"/>
  <c r="H78" i="27" s="1" a="1"/>
  <c r="H78" i="27" s="1"/>
  <c r="F77" i="27"/>
  <c r="B77" i="27"/>
  <c r="H77" i="27" s="1" a="1"/>
  <c r="H77" i="27" s="1"/>
  <c r="F76" i="27"/>
  <c r="B76" i="27"/>
  <c r="H76" i="27" s="1" a="1"/>
  <c r="H76" i="27" s="1"/>
  <c r="F75" i="27"/>
  <c r="B75" i="27"/>
  <c r="H75" i="27" s="1" a="1"/>
  <c r="H75" i="27" s="1"/>
  <c r="F74" i="27"/>
  <c r="B74" i="27"/>
  <c r="H74" i="27" s="1" a="1"/>
  <c r="H74" i="27" s="1"/>
  <c r="F73" i="27"/>
  <c r="B73" i="27"/>
  <c r="H73" i="27" s="1" a="1"/>
  <c r="H73" i="27" s="1"/>
  <c r="F72" i="27"/>
  <c r="B72" i="27"/>
  <c r="H72" i="27" s="1" a="1"/>
  <c r="H72" i="27" s="1"/>
  <c r="F71" i="27"/>
  <c r="B71" i="27"/>
  <c r="H71" i="27" s="1" a="1"/>
  <c r="H71" i="27" s="1"/>
  <c r="F70" i="27"/>
  <c r="B70" i="27"/>
  <c r="H70" i="27" s="1" a="1"/>
  <c r="H70" i="27" s="1"/>
  <c r="F69" i="27"/>
  <c r="B69" i="27"/>
  <c r="H69" i="27" s="1" a="1"/>
  <c r="H69" i="27" s="1"/>
  <c r="F68" i="27"/>
  <c r="B68" i="27"/>
  <c r="H68" i="27" s="1" a="1"/>
  <c r="H68" i="27" s="1"/>
  <c r="F67" i="27"/>
  <c r="B67" i="27"/>
  <c r="H67" i="27" s="1" a="1"/>
  <c r="H67" i="27" s="1"/>
  <c r="F66" i="27"/>
  <c r="B66" i="27"/>
  <c r="H66" i="27" s="1" a="1"/>
  <c r="H66" i="27" s="1"/>
  <c r="F65" i="27"/>
  <c r="B65" i="27"/>
  <c r="H65" i="27" s="1" a="1"/>
  <c r="H65" i="27" s="1"/>
  <c r="F64" i="27"/>
  <c r="B64" i="27"/>
  <c r="H64" i="27" s="1" a="1"/>
  <c r="H64" i="27" s="1"/>
  <c r="F63" i="27"/>
  <c r="B63" i="27"/>
  <c r="H63" i="27" s="1" a="1"/>
  <c r="H63" i="27" s="1"/>
  <c r="F62" i="27"/>
  <c r="B62" i="27"/>
  <c r="H62" i="27" s="1" a="1"/>
  <c r="H62" i="27" s="1"/>
  <c r="F61" i="27"/>
  <c r="B61" i="27"/>
  <c r="H61" i="27" s="1" a="1"/>
  <c r="H61" i="27" s="1"/>
  <c r="F60" i="27"/>
  <c r="B60" i="27"/>
  <c r="H60" i="27" s="1" a="1"/>
  <c r="H60" i="27" s="1"/>
  <c r="F59" i="27"/>
  <c r="B59" i="27"/>
  <c r="H59" i="27" s="1" a="1"/>
  <c r="H59" i="27" s="1"/>
  <c r="F58" i="27"/>
  <c r="B58" i="27"/>
  <c r="H58" i="27" s="1" a="1"/>
  <c r="H58" i="27" s="1"/>
  <c r="F57" i="27"/>
  <c r="B57" i="27"/>
  <c r="H57" i="27" s="1" a="1"/>
  <c r="H57" i="27" s="1"/>
  <c r="F56" i="27"/>
  <c r="B56" i="27"/>
  <c r="H56" i="27" s="1" a="1"/>
  <c r="H56" i="27" s="1"/>
  <c r="F55" i="27"/>
  <c r="B55" i="27"/>
  <c r="H55" i="27" s="1" a="1"/>
  <c r="H55" i="27" s="1"/>
  <c r="F54" i="27"/>
  <c r="B54" i="27"/>
  <c r="H54" i="27" s="1" a="1"/>
  <c r="H54" i="27" s="1"/>
  <c r="F53" i="27"/>
  <c r="B53" i="27"/>
  <c r="H53" i="27" s="1" a="1"/>
  <c r="H53" i="27" s="1"/>
  <c r="B52" i="27"/>
  <c r="H52" i="27" s="1" a="1"/>
  <c r="H52" i="27" s="1"/>
  <c r="F51" i="27"/>
  <c r="B51" i="27"/>
  <c r="H51" i="27" s="1" a="1"/>
  <c r="H51" i="27" s="1"/>
  <c r="F50" i="27"/>
  <c r="B50" i="27"/>
  <c r="H50" i="27" s="1" a="1"/>
  <c r="H50" i="27" s="1"/>
  <c r="H49" i="27" a="1"/>
  <c r="H49" i="27" s="1"/>
  <c r="F49" i="27"/>
  <c r="B49" i="27"/>
  <c r="F48" i="27"/>
  <c r="B48" i="27"/>
  <c r="H48" i="27" s="1" a="1"/>
  <c r="H48" i="27" s="1"/>
  <c r="F47" i="27"/>
  <c r="B47" i="27"/>
  <c r="H47" i="27" s="1" a="1"/>
  <c r="H47" i="27" s="1"/>
  <c r="F46" i="27"/>
  <c r="B46" i="27"/>
  <c r="H46" i="27" s="1" a="1"/>
  <c r="H46" i="27" s="1"/>
  <c r="F45" i="27"/>
  <c r="B45" i="27"/>
  <c r="H45" i="27" s="1" a="1"/>
  <c r="H45" i="27" s="1"/>
  <c r="F44" i="27"/>
  <c r="B44" i="27"/>
  <c r="H44" i="27" s="1" a="1"/>
  <c r="H44" i="27" s="1"/>
  <c r="F43" i="27"/>
  <c r="B43" i="27"/>
  <c r="H43" i="27" s="1" a="1"/>
  <c r="H43" i="27" s="1"/>
  <c r="F42" i="27"/>
  <c r="B42" i="27"/>
  <c r="H42" i="27" s="1" a="1"/>
  <c r="H42" i="27" s="1"/>
  <c r="F41" i="27"/>
  <c r="B41" i="27"/>
  <c r="H41" i="27" s="1" a="1"/>
  <c r="H41" i="27" s="1"/>
  <c r="B40" i="27"/>
  <c r="H40" i="27" s="1" a="1"/>
  <c r="H40" i="27" s="1"/>
  <c r="F39" i="27"/>
  <c r="B39" i="27"/>
  <c r="H39" i="27" s="1" a="1"/>
  <c r="H39" i="27" s="1"/>
  <c r="F38" i="27"/>
  <c r="B38" i="27"/>
  <c r="H38" i="27" s="1" a="1"/>
  <c r="H38" i="27" s="1"/>
  <c r="F37" i="27"/>
  <c r="B37" i="27"/>
  <c r="H37" i="27" s="1" a="1"/>
  <c r="H37" i="27" s="1"/>
  <c r="F36" i="27"/>
  <c r="B36" i="27"/>
  <c r="H36" i="27" s="1" a="1"/>
  <c r="H36" i="27" s="1"/>
  <c r="F35" i="27"/>
  <c r="B35" i="27"/>
  <c r="H35" i="27" s="1" a="1"/>
  <c r="H35" i="27" s="1"/>
  <c r="F34" i="27"/>
  <c r="B34" i="27"/>
  <c r="H34" i="27" s="1" a="1"/>
  <c r="H34" i="27" s="1"/>
  <c r="F33" i="27"/>
  <c r="B33" i="27"/>
  <c r="H33" i="27" s="1" a="1"/>
  <c r="H33" i="27" s="1"/>
  <c r="F32" i="27"/>
  <c r="B32" i="27"/>
  <c r="H32" i="27" s="1" a="1"/>
  <c r="H32" i="27" s="1"/>
  <c r="F31" i="27"/>
  <c r="B31" i="27"/>
  <c r="H31" i="27" s="1" a="1"/>
  <c r="H31" i="27" s="1"/>
  <c r="H30" i="27" a="1"/>
  <c r="H30" i="27" s="1"/>
  <c r="B30" i="27"/>
  <c r="F29" i="27"/>
  <c r="B29" i="27"/>
  <c r="H29" i="27" s="1" a="1"/>
  <c r="H29" i="27" s="1"/>
  <c r="F28" i="27"/>
  <c r="B28" i="27"/>
  <c r="H28" i="27" s="1" a="1"/>
  <c r="H28" i="27" s="1"/>
  <c r="F27" i="27"/>
  <c r="B27" i="27"/>
  <c r="H27" i="27" s="1" a="1"/>
  <c r="H27" i="27" s="1"/>
  <c r="F26" i="27"/>
  <c r="B26" i="27"/>
  <c r="H26" i="27" s="1" a="1"/>
  <c r="H26" i="27" s="1"/>
  <c r="F25" i="27"/>
  <c r="B25" i="27"/>
  <c r="H25" i="27" s="1" a="1"/>
  <c r="H25" i="27" s="1"/>
  <c r="F24" i="27"/>
  <c r="B24" i="27"/>
  <c r="H24" i="27" s="1" a="1"/>
  <c r="H24" i="27" s="1"/>
  <c r="F23" i="27"/>
  <c r="B23" i="27"/>
  <c r="H23" i="27" s="1" a="1"/>
  <c r="H23" i="27" s="1"/>
  <c r="F22" i="27"/>
  <c r="B22" i="27"/>
  <c r="H22" i="27" s="1" a="1"/>
  <c r="H22" i="27" s="1"/>
  <c r="F21" i="27"/>
  <c r="B21" i="27"/>
  <c r="H21" i="27" s="1" a="1"/>
  <c r="H21" i="27" s="1"/>
  <c r="F20" i="27"/>
  <c r="B20" i="27"/>
  <c r="H20" i="27" s="1" a="1"/>
  <c r="H20" i="27" s="1"/>
  <c r="F19" i="27"/>
  <c r="B19" i="27"/>
  <c r="H19" i="27" s="1" a="1"/>
  <c r="H19" i="27" s="1"/>
  <c r="F18" i="27"/>
  <c r="B18" i="27"/>
  <c r="H18" i="27" s="1" a="1"/>
  <c r="H18" i="27" s="1"/>
  <c r="F17" i="27"/>
  <c r="B17" i="27"/>
  <c r="H17" i="27" s="1" a="1"/>
  <c r="H17" i="27" s="1"/>
  <c r="F16" i="27"/>
  <c r="B16" i="27"/>
  <c r="H16" i="27" s="1" a="1"/>
  <c r="H16" i="27" s="1"/>
  <c r="F15" i="27"/>
  <c r="B15" i="27"/>
  <c r="H15" i="27" s="1" a="1"/>
  <c r="H15" i="27" s="1"/>
  <c r="F14" i="27"/>
  <c r="B14" i="27"/>
  <c r="H14" i="27" s="1" a="1"/>
  <c r="H14" i="27" s="1"/>
  <c r="F13" i="27"/>
  <c r="B13" i="27"/>
  <c r="H13" i="27" s="1" a="1"/>
  <c r="H13" i="27" s="1"/>
  <c r="H12" i="27" a="1"/>
  <c r="H12" i="27" s="1"/>
  <c r="F12" i="27"/>
  <c r="B12" i="27"/>
  <c r="F11" i="27"/>
  <c r="B11" i="27"/>
  <c r="H11" i="27" s="1" a="1"/>
  <c r="H11" i="27" s="1"/>
  <c r="F10" i="27"/>
  <c r="B10" i="27"/>
  <c r="H10" i="27" s="1" a="1"/>
  <c r="H10" i="27" s="1"/>
  <c r="B85" i="28"/>
  <c r="H85" i="28" s="1" a="1"/>
  <c r="H85" i="28" s="1"/>
  <c r="B84" i="28"/>
  <c r="H84" i="28" s="1" a="1"/>
  <c r="H84" i="28" s="1"/>
  <c r="F80" i="28"/>
  <c r="B80" i="28"/>
  <c r="H80" i="28" s="1" a="1"/>
  <c r="H80" i="28" s="1"/>
  <c r="H79" i="28" a="1"/>
  <c r="H79" i="28" s="1"/>
  <c r="F79" i="28"/>
  <c r="B79" i="28"/>
  <c r="F78" i="28"/>
  <c r="B78" i="28"/>
  <c r="H78" i="28" s="1" a="1"/>
  <c r="H78" i="28" s="1"/>
  <c r="F77" i="28"/>
  <c r="B77" i="28"/>
  <c r="H77" i="28" s="1" a="1"/>
  <c r="H77" i="28" s="1"/>
  <c r="F76" i="28"/>
  <c r="B76" i="28"/>
  <c r="H76" i="28" s="1" a="1"/>
  <c r="H76" i="28" s="1"/>
  <c r="F75" i="28"/>
  <c r="B75" i="28"/>
  <c r="H75" i="28" s="1" a="1"/>
  <c r="H75" i="28" s="1"/>
  <c r="F74" i="28"/>
  <c r="B74" i="28"/>
  <c r="H74" i="28" s="1" a="1"/>
  <c r="H74" i="28" s="1"/>
  <c r="F73" i="28"/>
  <c r="B73" i="28"/>
  <c r="H73" i="28" s="1" a="1"/>
  <c r="H73" i="28" s="1"/>
  <c r="F72" i="28"/>
  <c r="B72" i="28"/>
  <c r="H72" i="28" s="1" a="1"/>
  <c r="H72" i="28" s="1"/>
  <c r="F71" i="28"/>
  <c r="B71" i="28"/>
  <c r="H71" i="28" s="1" a="1"/>
  <c r="H71" i="28" s="1"/>
  <c r="F70" i="28"/>
  <c r="B70" i="28"/>
  <c r="H70" i="28" s="1" a="1"/>
  <c r="H70" i="28" s="1"/>
  <c r="F69" i="28"/>
  <c r="B69" i="28"/>
  <c r="H69" i="28" s="1" a="1"/>
  <c r="H69" i="28" s="1"/>
  <c r="F68" i="28"/>
  <c r="B68" i="28"/>
  <c r="H68" i="28" s="1" a="1"/>
  <c r="H68" i="28" s="1"/>
  <c r="F67" i="28"/>
  <c r="B67" i="28"/>
  <c r="H67" i="28" s="1" a="1"/>
  <c r="H67" i="28" s="1"/>
  <c r="F66" i="28"/>
  <c r="B66" i="28"/>
  <c r="H66" i="28" s="1" a="1"/>
  <c r="H66" i="28" s="1"/>
  <c r="F65" i="28"/>
  <c r="B65" i="28"/>
  <c r="H65" i="28" s="1" a="1"/>
  <c r="H65" i="28" s="1"/>
  <c r="F64" i="28"/>
  <c r="B64" i="28"/>
  <c r="H64" i="28" s="1" a="1"/>
  <c r="H64" i="28" s="1"/>
  <c r="F63" i="28"/>
  <c r="B63" i="28"/>
  <c r="H63" i="28" s="1" a="1"/>
  <c r="H63" i="28" s="1"/>
  <c r="F62" i="28"/>
  <c r="B62" i="28"/>
  <c r="H62" i="28" s="1" a="1"/>
  <c r="H62" i="28" s="1"/>
  <c r="F61" i="28"/>
  <c r="B61" i="28"/>
  <c r="H61" i="28" s="1" a="1"/>
  <c r="H61" i="28" s="1"/>
  <c r="F60" i="28"/>
  <c r="B60" i="28"/>
  <c r="H60" i="28" s="1" a="1"/>
  <c r="H60" i="28" s="1"/>
  <c r="F59" i="28"/>
  <c r="B59" i="28"/>
  <c r="H59" i="28" s="1" a="1"/>
  <c r="H59" i="28" s="1"/>
  <c r="F58" i="28"/>
  <c r="B58" i="28"/>
  <c r="H58" i="28" s="1" a="1"/>
  <c r="H58" i="28" s="1"/>
  <c r="F57" i="28"/>
  <c r="B57" i="28"/>
  <c r="H57" i="28" s="1" a="1"/>
  <c r="H57" i="28" s="1"/>
  <c r="F56" i="28"/>
  <c r="B56" i="28"/>
  <c r="H56" i="28" s="1" a="1"/>
  <c r="H56" i="28" s="1"/>
  <c r="F55" i="28"/>
  <c r="B55" i="28"/>
  <c r="H55" i="28" s="1" a="1"/>
  <c r="H55" i="28" s="1"/>
  <c r="F54" i="28"/>
  <c r="B54" i="28"/>
  <c r="H54" i="28" s="1" a="1"/>
  <c r="H54" i="28" s="1"/>
  <c r="F53" i="28"/>
  <c r="B53" i="28"/>
  <c r="H53" i="28" s="1" a="1"/>
  <c r="H53" i="28" s="1"/>
  <c r="B52" i="28"/>
  <c r="H52" i="28" s="1" a="1"/>
  <c r="H52" i="28" s="1"/>
  <c r="F51" i="28"/>
  <c r="B51" i="28"/>
  <c r="H51" i="28" s="1" a="1"/>
  <c r="H51" i="28" s="1"/>
  <c r="H50" i="28" a="1"/>
  <c r="H50" i="28" s="1"/>
  <c r="F50" i="28"/>
  <c r="B50" i="28"/>
  <c r="F49" i="28"/>
  <c r="B49" i="28"/>
  <c r="H49" i="28" s="1" a="1"/>
  <c r="H49" i="28" s="1"/>
  <c r="F48" i="28"/>
  <c r="B48" i="28"/>
  <c r="H48" i="28" s="1" a="1"/>
  <c r="H48" i="28" s="1"/>
  <c r="F47" i="28"/>
  <c r="B47" i="28"/>
  <c r="H47" i="28" s="1" a="1"/>
  <c r="H47" i="28" s="1"/>
  <c r="F46" i="28"/>
  <c r="B46" i="28"/>
  <c r="H46" i="28" s="1" a="1"/>
  <c r="H46" i="28" s="1"/>
  <c r="F45" i="28"/>
  <c r="B45" i="28"/>
  <c r="H45" i="28" s="1" a="1"/>
  <c r="H45" i="28" s="1"/>
  <c r="F44" i="28"/>
  <c r="B44" i="28"/>
  <c r="H44" i="28" s="1" a="1"/>
  <c r="H44" i="28" s="1"/>
  <c r="F43" i="28"/>
  <c r="B43" i="28"/>
  <c r="H43" i="28" s="1" a="1"/>
  <c r="H43" i="28" s="1"/>
  <c r="F42" i="28"/>
  <c r="B42" i="28"/>
  <c r="H42" i="28" s="1" a="1"/>
  <c r="H42" i="28" s="1"/>
  <c r="F41" i="28"/>
  <c r="B41" i="28"/>
  <c r="H41" i="28" s="1" a="1"/>
  <c r="H41" i="28" s="1"/>
  <c r="B40" i="28"/>
  <c r="H40" i="28" s="1" a="1"/>
  <c r="H40" i="28" s="1"/>
  <c r="F39" i="28"/>
  <c r="B39" i="28"/>
  <c r="H39" i="28" s="1" a="1"/>
  <c r="H39" i="28" s="1"/>
  <c r="F38" i="28"/>
  <c r="B38" i="28"/>
  <c r="H38" i="28" s="1" a="1"/>
  <c r="H38" i="28" s="1"/>
  <c r="F37" i="28"/>
  <c r="B37" i="28"/>
  <c r="H37" i="28" s="1" a="1"/>
  <c r="H37" i="28" s="1"/>
  <c r="F36" i="28"/>
  <c r="B36" i="28"/>
  <c r="H36" i="28" s="1" a="1"/>
  <c r="H36" i="28" s="1"/>
  <c r="F35" i="28"/>
  <c r="B35" i="28"/>
  <c r="H35" i="28" s="1" a="1"/>
  <c r="H35" i="28" s="1"/>
  <c r="F34" i="28"/>
  <c r="B34" i="28"/>
  <c r="H34" i="28" s="1" a="1"/>
  <c r="H34" i="28" s="1"/>
  <c r="F33" i="28"/>
  <c r="B33" i="28"/>
  <c r="H33" i="28" s="1" a="1"/>
  <c r="H33" i="28" s="1"/>
  <c r="F32" i="28"/>
  <c r="B32" i="28"/>
  <c r="H32" i="28" s="1" a="1"/>
  <c r="H32" i="28" s="1"/>
  <c r="F31" i="28"/>
  <c r="B31" i="28"/>
  <c r="H31" i="28" s="1" a="1"/>
  <c r="H31" i="28" s="1"/>
  <c r="B30" i="28"/>
  <c r="H30" i="28" s="1" a="1"/>
  <c r="H30" i="28" s="1"/>
  <c r="H29" i="28" a="1"/>
  <c r="H29" i="28" s="1"/>
  <c r="F29" i="28"/>
  <c r="B29" i="28"/>
  <c r="F28" i="28"/>
  <c r="B28" i="28"/>
  <c r="H28" i="28" s="1" a="1"/>
  <c r="H28" i="28" s="1"/>
  <c r="F27" i="28"/>
  <c r="B27" i="28"/>
  <c r="H27" i="28" s="1" a="1"/>
  <c r="H27" i="28" s="1"/>
  <c r="F26" i="28"/>
  <c r="B26" i="28"/>
  <c r="H26" i="28" s="1" a="1"/>
  <c r="H26" i="28" s="1"/>
  <c r="F25" i="28"/>
  <c r="B25" i="28"/>
  <c r="H25" i="28" s="1" a="1"/>
  <c r="H25" i="28" s="1"/>
  <c r="F24" i="28"/>
  <c r="B24" i="28"/>
  <c r="H24" i="28" s="1" a="1"/>
  <c r="H24" i="28" s="1"/>
  <c r="F23" i="28"/>
  <c r="B23" i="28"/>
  <c r="H23" i="28" s="1" a="1"/>
  <c r="H23" i="28" s="1"/>
  <c r="F22" i="28"/>
  <c r="B22" i="28"/>
  <c r="H22" i="28" s="1" a="1"/>
  <c r="H22" i="28" s="1"/>
  <c r="F21" i="28"/>
  <c r="B21" i="28"/>
  <c r="H21" i="28" s="1" a="1"/>
  <c r="H21" i="28" s="1"/>
  <c r="F20" i="28"/>
  <c r="B20" i="28"/>
  <c r="H20" i="28" s="1" a="1"/>
  <c r="H20" i="28" s="1"/>
  <c r="F19" i="28"/>
  <c r="B19" i="28"/>
  <c r="H19" i="28" s="1" a="1"/>
  <c r="H19" i="28" s="1"/>
  <c r="F18" i="28"/>
  <c r="B18" i="28"/>
  <c r="H18" i="28" s="1" a="1"/>
  <c r="H18" i="28" s="1"/>
  <c r="F17" i="28"/>
  <c r="B17" i="28"/>
  <c r="H17" i="28" s="1" a="1"/>
  <c r="H17" i="28" s="1"/>
  <c r="F16" i="28"/>
  <c r="B16" i="28"/>
  <c r="H16" i="28" s="1" a="1"/>
  <c r="H16" i="28" s="1"/>
  <c r="F15" i="28"/>
  <c r="B15" i="28"/>
  <c r="H15" i="28" s="1" a="1"/>
  <c r="H15" i="28" s="1"/>
  <c r="F14" i="28"/>
  <c r="B14" i="28"/>
  <c r="H14" i="28" s="1" a="1"/>
  <c r="H14" i="28" s="1"/>
  <c r="H13" i="28" a="1"/>
  <c r="H13" i="28" s="1"/>
  <c r="F13" i="28"/>
  <c r="B13" i="28"/>
  <c r="F12" i="28"/>
  <c r="B12" i="28"/>
  <c r="H12" i="28" s="1" a="1"/>
  <c r="H12" i="28" s="1"/>
  <c r="F11" i="28"/>
  <c r="B11" i="28"/>
  <c r="H11" i="28" s="1" a="1"/>
  <c r="H11" i="28" s="1"/>
  <c r="F10" i="28"/>
  <c r="B10" i="28"/>
  <c r="H10" i="28" s="1" a="1"/>
  <c r="H10" i="28" s="1"/>
  <c r="H85" i="29" a="1"/>
  <c r="H85" i="29" s="1"/>
  <c r="B85" i="29"/>
  <c r="H84" i="29" a="1"/>
  <c r="H84" i="29" s="1"/>
  <c r="B84" i="29"/>
  <c r="H80" i="29" a="1"/>
  <c r="H80" i="29" s="1"/>
  <c r="F80" i="29"/>
  <c r="B80" i="29"/>
  <c r="H79" i="29" a="1"/>
  <c r="H79" i="29" s="1"/>
  <c r="F79" i="29"/>
  <c r="B79" i="29"/>
  <c r="F78" i="29"/>
  <c r="B78" i="29"/>
  <c r="H78" i="29" s="1" a="1"/>
  <c r="H78" i="29" s="1"/>
  <c r="F77" i="29"/>
  <c r="B77" i="29"/>
  <c r="H77" i="29" s="1" a="1"/>
  <c r="H77" i="29" s="1"/>
  <c r="F76" i="29"/>
  <c r="B76" i="29"/>
  <c r="H76" i="29" s="1" a="1"/>
  <c r="H76" i="29" s="1"/>
  <c r="F75" i="29"/>
  <c r="B75" i="29"/>
  <c r="H75" i="29" s="1" a="1"/>
  <c r="H75" i="29" s="1"/>
  <c r="F74" i="29"/>
  <c r="B74" i="29"/>
  <c r="H74" i="29" s="1" a="1"/>
  <c r="H74" i="29" s="1"/>
  <c r="F73" i="29"/>
  <c r="B73" i="29"/>
  <c r="H73" i="29" s="1" a="1"/>
  <c r="H73" i="29" s="1"/>
  <c r="F72" i="29"/>
  <c r="B72" i="29"/>
  <c r="H72" i="29" s="1" a="1"/>
  <c r="H72" i="29" s="1"/>
  <c r="F71" i="29"/>
  <c r="B71" i="29"/>
  <c r="H71" i="29" s="1" a="1"/>
  <c r="H71" i="29" s="1"/>
  <c r="F70" i="29"/>
  <c r="B70" i="29"/>
  <c r="H70" i="29" s="1" a="1"/>
  <c r="H70" i="29" s="1"/>
  <c r="F69" i="29"/>
  <c r="B69" i="29"/>
  <c r="H69" i="29" s="1" a="1"/>
  <c r="H69" i="29" s="1"/>
  <c r="F68" i="29"/>
  <c r="B68" i="29"/>
  <c r="H68" i="29" s="1" a="1"/>
  <c r="H68" i="29" s="1"/>
  <c r="F67" i="29"/>
  <c r="B67" i="29"/>
  <c r="H67" i="29" s="1" a="1"/>
  <c r="H67" i="29" s="1"/>
  <c r="F66" i="29"/>
  <c r="B66" i="29"/>
  <c r="H66" i="29" s="1" a="1"/>
  <c r="H66" i="29" s="1"/>
  <c r="F65" i="29"/>
  <c r="B65" i="29"/>
  <c r="H65" i="29" s="1" a="1"/>
  <c r="H65" i="29" s="1"/>
  <c r="H64" i="29" a="1"/>
  <c r="H64" i="29" s="1"/>
  <c r="F64" i="29"/>
  <c r="B64" i="29"/>
  <c r="F63" i="29"/>
  <c r="B63" i="29"/>
  <c r="H63" i="29" s="1" a="1"/>
  <c r="H63" i="29" s="1"/>
  <c r="F62" i="29"/>
  <c r="B62" i="29"/>
  <c r="H62" i="29" s="1" a="1"/>
  <c r="H62" i="29" s="1"/>
  <c r="F61" i="29"/>
  <c r="B61" i="29"/>
  <c r="H61" i="29" s="1" a="1"/>
  <c r="H61" i="29" s="1"/>
  <c r="F60" i="29"/>
  <c r="B60" i="29"/>
  <c r="H60" i="29" s="1" a="1"/>
  <c r="H60" i="29" s="1"/>
  <c r="F59" i="29"/>
  <c r="B59" i="29"/>
  <c r="H59" i="29" s="1" a="1"/>
  <c r="H59" i="29" s="1"/>
  <c r="F58" i="29"/>
  <c r="B58" i="29"/>
  <c r="H58" i="29" s="1" a="1"/>
  <c r="H58" i="29" s="1"/>
  <c r="F57" i="29"/>
  <c r="B57" i="29"/>
  <c r="H57" i="29" s="1" a="1"/>
  <c r="H57" i="29" s="1"/>
  <c r="F56" i="29"/>
  <c r="B56" i="29"/>
  <c r="H56" i="29" s="1" a="1"/>
  <c r="H56" i="29" s="1"/>
  <c r="F55" i="29"/>
  <c r="B55" i="29"/>
  <c r="H55" i="29" s="1" a="1"/>
  <c r="H55" i="29" s="1"/>
  <c r="F54" i="29"/>
  <c r="B54" i="29"/>
  <c r="H54" i="29" s="1" a="1"/>
  <c r="H54" i="29" s="1"/>
  <c r="F53" i="29"/>
  <c r="B53" i="29"/>
  <c r="H53" i="29" s="1" a="1"/>
  <c r="H53" i="29" s="1"/>
  <c r="B52" i="29"/>
  <c r="H52" i="29" s="1" a="1"/>
  <c r="H52" i="29" s="1"/>
  <c r="F51" i="29"/>
  <c r="B51" i="29"/>
  <c r="H51" i="29" s="1" a="1"/>
  <c r="H51" i="29" s="1"/>
  <c r="F50" i="29"/>
  <c r="B50" i="29"/>
  <c r="H50" i="29" s="1" a="1"/>
  <c r="H50" i="29" s="1"/>
  <c r="F49" i="29"/>
  <c r="B49" i="29"/>
  <c r="H49" i="29" s="1" a="1"/>
  <c r="H49" i="29" s="1"/>
  <c r="F48" i="29"/>
  <c r="B48" i="29"/>
  <c r="H48" i="29" s="1" a="1"/>
  <c r="H48" i="29" s="1"/>
  <c r="H47" i="29" a="1"/>
  <c r="H47" i="29" s="1"/>
  <c r="F47" i="29"/>
  <c r="B47" i="29"/>
  <c r="F46" i="29"/>
  <c r="B46" i="29"/>
  <c r="H46" i="29" s="1" a="1"/>
  <c r="H46" i="29" s="1"/>
  <c r="F45" i="29"/>
  <c r="B45" i="29"/>
  <c r="H45" i="29" s="1" a="1"/>
  <c r="H45" i="29" s="1"/>
  <c r="F44" i="29"/>
  <c r="B44" i="29"/>
  <c r="H44" i="29" s="1" a="1"/>
  <c r="H44" i="29" s="1"/>
  <c r="F43" i="29"/>
  <c r="B43" i="29"/>
  <c r="H43" i="29" s="1" a="1"/>
  <c r="H43" i="29" s="1"/>
  <c r="F42" i="29"/>
  <c r="B42" i="29"/>
  <c r="H42" i="29" s="1" a="1"/>
  <c r="H42" i="29" s="1"/>
  <c r="F41" i="29"/>
  <c r="B41" i="29"/>
  <c r="H41" i="29" s="1" a="1"/>
  <c r="H41" i="29" s="1"/>
  <c r="H40" i="29" a="1"/>
  <c r="H40" i="29" s="1"/>
  <c r="B40" i="29"/>
  <c r="F39" i="29"/>
  <c r="B39" i="29"/>
  <c r="H39" i="29" s="1" a="1"/>
  <c r="H39" i="29" s="1"/>
  <c r="F38" i="29"/>
  <c r="B38" i="29"/>
  <c r="H38" i="29" s="1" a="1"/>
  <c r="H38" i="29" s="1"/>
  <c r="F37" i="29"/>
  <c r="B37" i="29"/>
  <c r="H37" i="29" s="1" a="1"/>
  <c r="H37" i="29" s="1"/>
  <c r="F36" i="29"/>
  <c r="B36" i="29"/>
  <c r="H36" i="29" s="1" a="1"/>
  <c r="H36" i="29" s="1"/>
  <c r="F35" i="29"/>
  <c r="B35" i="29"/>
  <c r="H35" i="29" s="1" a="1"/>
  <c r="H35" i="29" s="1"/>
  <c r="F34" i="29"/>
  <c r="B34" i="29"/>
  <c r="H34" i="29" s="1" a="1"/>
  <c r="H34" i="29" s="1"/>
  <c r="F33" i="29"/>
  <c r="B33" i="29"/>
  <c r="H33" i="29" s="1" a="1"/>
  <c r="H33" i="29" s="1"/>
  <c r="F32" i="29"/>
  <c r="B32" i="29"/>
  <c r="H32" i="29" s="1" a="1"/>
  <c r="H32" i="29" s="1"/>
  <c r="F31" i="29"/>
  <c r="B31" i="29"/>
  <c r="H31" i="29" s="1" a="1"/>
  <c r="H31" i="29" s="1"/>
  <c r="B30" i="29"/>
  <c r="H30" i="29" s="1" a="1"/>
  <c r="H30" i="29" s="1"/>
  <c r="F29" i="29"/>
  <c r="B29" i="29"/>
  <c r="H29" i="29" s="1" a="1"/>
  <c r="H29" i="29" s="1"/>
  <c r="F28" i="29"/>
  <c r="B28" i="29"/>
  <c r="H28" i="29" s="1" a="1"/>
  <c r="H28" i="29" s="1"/>
  <c r="F27" i="29"/>
  <c r="B27" i="29"/>
  <c r="H27" i="29" s="1" a="1"/>
  <c r="H27" i="29" s="1"/>
  <c r="F26" i="29"/>
  <c r="B26" i="29"/>
  <c r="H26" i="29" s="1" a="1"/>
  <c r="H26" i="29" s="1"/>
  <c r="F25" i="29"/>
  <c r="B25" i="29"/>
  <c r="H25" i="29" s="1" a="1"/>
  <c r="H25" i="29" s="1"/>
  <c r="F24" i="29"/>
  <c r="B24" i="29"/>
  <c r="H24" i="29" s="1" a="1"/>
  <c r="H24" i="29" s="1"/>
  <c r="F23" i="29"/>
  <c r="B23" i="29"/>
  <c r="H23" i="29" s="1" a="1"/>
  <c r="H23" i="29" s="1"/>
  <c r="F22" i="29"/>
  <c r="B22" i="29"/>
  <c r="H22" i="29" s="1" a="1"/>
  <c r="H22" i="29" s="1"/>
  <c r="F21" i="29"/>
  <c r="B21" i="29"/>
  <c r="H21" i="29" s="1" a="1"/>
  <c r="H21" i="29" s="1"/>
  <c r="F20" i="29"/>
  <c r="B20" i="29"/>
  <c r="H20" i="29" s="1" a="1"/>
  <c r="H20" i="29" s="1"/>
  <c r="F19" i="29"/>
  <c r="B19" i="29"/>
  <c r="H19" i="29" s="1" a="1"/>
  <c r="H19" i="29" s="1"/>
  <c r="H18" i="29" a="1"/>
  <c r="H18" i="29" s="1"/>
  <c r="F18" i="29"/>
  <c r="B18" i="29"/>
  <c r="F17" i="29"/>
  <c r="B17" i="29"/>
  <c r="H17" i="29" s="1" a="1"/>
  <c r="H17" i="29" s="1"/>
  <c r="F16" i="29"/>
  <c r="B16" i="29"/>
  <c r="H16" i="29" s="1" a="1"/>
  <c r="H16" i="29" s="1"/>
  <c r="F15" i="29"/>
  <c r="B15" i="29"/>
  <c r="H15" i="29" s="1" a="1"/>
  <c r="H15" i="29" s="1"/>
  <c r="F14" i="29"/>
  <c r="B14" i="29"/>
  <c r="H14" i="29" s="1" a="1"/>
  <c r="H14" i="29" s="1"/>
  <c r="F13" i="29"/>
  <c r="B13" i="29"/>
  <c r="H13" i="29" s="1" a="1"/>
  <c r="H13" i="29" s="1"/>
  <c r="H12" i="29" a="1"/>
  <c r="H12" i="29" s="1"/>
  <c r="F12" i="29"/>
  <c r="B12" i="29"/>
  <c r="F11" i="29"/>
  <c r="B11" i="29"/>
  <c r="H11" i="29" s="1" a="1"/>
  <c r="H11" i="29" s="1"/>
  <c r="F10" i="29"/>
  <c r="B10" i="29"/>
  <c r="H10" i="29" s="1" a="1"/>
  <c r="H10" i="29" s="1"/>
  <c r="B85" i="30"/>
  <c r="H85" i="30" s="1" a="1"/>
  <c r="H85" i="30" s="1"/>
  <c r="B84" i="30"/>
  <c r="H84" i="30" s="1" a="1"/>
  <c r="H84" i="30" s="1"/>
  <c r="F80" i="30"/>
  <c r="B80" i="30"/>
  <c r="H80" i="30" s="1" a="1"/>
  <c r="H80" i="30" s="1"/>
  <c r="F79" i="30"/>
  <c r="B79" i="30"/>
  <c r="H79" i="30" s="1" a="1"/>
  <c r="H79" i="30" s="1"/>
  <c r="F78" i="30"/>
  <c r="B78" i="30"/>
  <c r="H78" i="30" s="1" a="1"/>
  <c r="H78" i="30" s="1"/>
  <c r="F77" i="30"/>
  <c r="B77" i="30"/>
  <c r="H77" i="30" s="1" a="1"/>
  <c r="H77" i="30" s="1"/>
  <c r="F76" i="30"/>
  <c r="B76" i="30"/>
  <c r="H76" i="30" s="1" a="1"/>
  <c r="H76" i="30" s="1"/>
  <c r="F75" i="30"/>
  <c r="B75" i="30"/>
  <c r="H75" i="30" s="1" a="1"/>
  <c r="H75" i="30" s="1"/>
  <c r="F74" i="30"/>
  <c r="B74" i="30"/>
  <c r="H74" i="30" s="1" a="1"/>
  <c r="H74" i="30" s="1"/>
  <c r="F73" i="30"/>
  <c r="B73" i="30"/>
  <c r="H73" i="30" s="1" a="1"/>
  <c r="H73" i="30" s="1"/>
  <c r="F72" i="30"/>
  <c r="B72" i="30"/>
  <c r="H72" i="30" s="1" a="1"/>
  <c r="H72" i="30" s="1"/>
  <c r="F71" i="30"/>
  <c r="B71" i="30"/>
  <c r="H71" i="30" s="1" a="1"/>
  <c r="H71" i="30" s="1"/>
  <c r="F70" i="30"/>
  <c r="B70" i="30"/>
  <c r="H70" i="30" s="1" a="1"/>
  <c r="H70" i="30" s="1"/>
  <c r="F69" i="30"/>
  <c r="B69" i="30"/>
  <c r="H69" i="30" s="1" a="1"/>
  <c r="H69" i="30" s="1"/>
  <c r="F68" i="30"/>
  <c r="B68" i="30"/>
  <c r="H68" i="30" s="1" a="1"/>
  <c r="H68" i="30" s="1"/>
  <c r="F67" i="30"/>
  <c r="B67" i="30"/>
  <c r="H67" i="30" s="1" a="1"/>
  <c r="H67" i="30" s="1"/>
  <c r="F66" i="30"/>
  <c r="B66" i="30"/>
  <c r="H66" i="30" s="1" a="1"/>
  <c r="H66" i="30" s="1"/>
  <c r="F65" i="30"/>
  <c r="B65" i="30"/>
  <c r="H65" i="30" s="1" a="1"/>
  <c r="H65" i="30" s="1"/>
  <c r="F64" i="30"/>
  <c r="B64" i="30"/>
  <c r="H64" i="30" s="1" a="1"/>
  <c r="H64" i="30" s="1"/>
  <c r="F63" i="30"/>
  <c r="B63" i="30"/>
  <c r="H63" i="30" s="1" a="1"/>
  <c r="H63" i="30" s="1"/>
  <c r="F62" i="30"/>
  <c r="B62" i="30"/>
  <c r="H62" i="30" s="1" a="1"/>
  <c r="H62" i="30" s="1"/>
  <c r="H61" i="30" a="1"/>
  <c r="H61" i="30" s="1"/>
  <c r="F61" i="30"/>
  <c r="B61" i="30"/>
  <c r="H60" i="30" a="1"/>
  <c r="H60" i="30" s="1"/>
  <c r="F60" i="30"/>
  <c r="B60" i="30"/>
  <c r="F59" i="30"/>
  <c r="B59" i="30"/>
  <c r="H59" i="30" s="1" a="1"/>
  <c r="H59" i="30" s="1"/>
  <c r="F58" i="30"/>
  <c r="B58" i="30"/>
  <c r="H58" i="30" s="1" a="1"/>
  <c r="H58" i="30" s="1"/>
  <c r="F57" i="30"/>
  <c r="B57" i="30"/>
  <c r="H57" i="30" s="1" a="1"/>
  <c r="H57" i="30" s="1"/>
  <c r="F56" i="30"/>
  <c r="B56" i="30"/>
  <c r="H56" i="30" s="1" a="1"/>
  <c r="H56" i="30" s="1"/>
  <c r="F55" i="30"/>
  <c r="B55" i="30"/>
  <c r="H55" i="30" s="1" a="1"/>
  <c r="H55" i="30" s="1"/>
  <c r="F54" i="30"/>
  <c r="B54" i="30"/>
  <c r="H54" i="30" s="1" a="1"/>
  <c r="H54" i="30" s="1"/>
  <c r="H53" i="30" a="1"/>
  <c r="H53" i="30" s="1"/>
  <c r="F53" i="30"/>
  <c r="B53" i="30"/>
  <c r="B52" i="30"/>
  <c r="H52" i="30" s="1" a="1"/>
  <c r="H52" i="30" s="1"/>
  <c r="F51" i="30"/>
  <c r="B51" i="30"/>
  <c r="H51" i="30" s="1" a="1"/>
  <c r="H51" i="30" s="1"/>
  <c r="F50" i="30"/>
  <c r="B50" i="30"/>
  <c r="H50" i="30" s="1" a="1"/>
  <c r="H50" i="30" s="1"/>
  <c r="F49" i="30"/>
  <c r="B49" i="30"/>
  <c r="H49" i="30" s="1" a="1"/>
  <c r="H49" i="30" s="1"/>
  <c r="F48" i="30"/>
  <c r="B48" i="30"/>
  <c r="H48" i="30" s="1" a="1"/>
  <c r="H48" i="30" s="1"/>
  <c r="H47" i="30" a="1"/>
  <c r="H47" i="30" s="1"/>
  <c r="F47" i="30"/>
  <c r="B47" i="30"/>
  <c r="F46" i="30"/>
  <c r="B46" i="30"/>
  <c r="H46" i="30" s="1" a="1"/>
  <c r="H46" i="30" s="1"/>
  <c r="F45" i="30"/>
  <c r="B45" i="30"/>
  <c r="H45" i="30" s="1" a="1"/>
  <c r="H45" i="30" s="1"/>
  <c r="F44" i="30"/>
  <c r="B44" i="30"/>
  <c r="H44" i="30" s="1" a="1"/>
  <c r="H44" i="30" s="1"/>
  <c r="F43" i="30"/>
  <c r="B43" i="30"/>
  <c r="H43" i="30" s="1" a="1"/>
  <c r="H43" i="30" s="1"/>
  <c r="F42" i="30"/>
  <c r="B42" i="30"/>
  <c r="H42" i="30" s="1" a="1"/>
  <c r="H42" i="30" s="1"/>
  <c r="F41" i="30"/>
  <c r="B41" i="30"/>
  <c r="H41" i="30" s="1" a="1"/>
  <c r="H41" i="30" s="1"/>
  <c r="B40" i="30"/>
  <c r="H40" i="30" s="1" a="1"/>
  <c r="H40" i="30" s="1"/>
  <c r="F39" i="30"/>
  <c r="B39" i="30"/>
  <c r="H39" i="30" s="1" a="1"/>
  <c r="H39" i="30" s="1"/>
  <c r="F38" i="30"/>
  <c r="B38" i="30"/>
  <c r="H38" i="30" s="1" a="1"/>
  <c r="H38" i="30" s="1"/>
  <c r="F37" i="30"/>
  <c r="B37" i="30"/>
  <c r="H37" i="30" s="1" a="1"/>
  <c r="H37" i="30" s="1"/>
  <c r="F36" i="30"/>
  <c r="B36" i="30"/>
  <c r="H36" i="30" s="1" a="1"/>
  <c r="H36" i="30" s="1"/>
  <c r="F35" i="30"/>
  <c r="B35" i="30"/>
  <c r="H35" i="30" s="1" a="1"/>
  <c r="H35" i="30" s="1"/>
  <c r="F34" i="30"/>
  <c r="B34" i="30"/>
  <c r="H34" i="30" s="1" a="1"/>
  <c r="H34" i="30" s="1"/>
  <c r="F33" i="30"/>
  <c r="B33" i="30"/>
  <c r="H33" i="30" s="1" a="1"/>
  <c r="H33" i="30" s="1"/>
  <c r="F32" i="30"/>
  <c r="B32" i="30"/>
  <c r="H32" i="30" s="1" a="1"/>
  <c r="H32" i="30" s="1"/>
  <c r="F31" i="30"/>
  <c r="B31" i="30"/>
  <c r="H31" i="30" s="1" a="1"/>
  <c r="H31" i="30" s="1"/>
  <c r="H30" i="30" a="1"/>
  <c r="H30" i="30" s="1"/>
  <c r="B30" i="30"/>
  <c r="H29" i="30" a="1"/>
  <c r="H29" i="30" s="1"/>
  <c r="F29" i="30"/>
  <c r="B29" i="30"/>
  <c r="F28" i="30"/>
  <c r="B28" i="30"/>
  <c r="H28" i="30" s="1" a="1"/>
  <c r="H28" i="30" s="1"/>
  <c r="F27" i="30"/>
  <c r="B27" i="30"/>
  <c r="H27" i="30" s="1" a="1"/>
  <c r="H27" i="30" s="1"/>
  <c r="F26" i="30"/>
  <c r="B26" i="30"/>
  <c r="H26" i="30" s="1" a="1"/>
  <c r="H26" i="30" s="1"/>
  <c r="F25" i="30"/>
  <c r="B25" i="30"/>
  <c r="H25" i="30" s="1" a="1"/>
  <c r="H25" i="30" s="1"/>
  <c r="F24" i="30"/>
  <c r="B24" i="30"/>
  <c r="H24" i="30" s="1" a="1"/>
  <c r="H24" i="30" s="1"/>
  <c r="F23" i="30"/>
  <c r="B23" i="30"/>
  <c r="H23" i="30" s="1" a="1"/>
  <c r="H23" i="30" s="1"/>
  <c r="F22" i="30"/>
  <c r="B22" i="30"/>
  <c r="H22" i="30" s="1" a="1"/>
  <c r="H22" i="30" s="1"/>
  <c r="F21" i="30"/>
  <c r="B21" i="30"/>
  <c r="H21" i="30" s="1" a="1"/>
  <c r="H21" i="30" s="1"/>
  <c r="F20" i="30"/>
  <c r="B20" i="30"/>
  <c r="H20" i="30" s="1" a="1"/>
  <c r="H20" i="30" s="1"/>
  <c r="F19" i="30"/>
  <c r="B19" i="30"/>
  <c r="H19" i="30" s="1" a="1"/>
  <c r="H19" i="30" s="1"/>
  <c r="F18" i="30"/>
  <c r="B18" i="30"/>
  <c r="H18" i="30" s="1" a="1"/>
  <c r="H18" i="30" s="1"/>
  <c r="H17" i="30" a="1"/>
  <c r="H17" i="30" s="1"/>
  <c r="F17" i="30"/>
  <c r="B17" i="30"/>
  <c r="F16" i="30"/>
  <c r="B16" i="30"/>
  <c r="H16" i="30" s="1" a="1"/>
  <c r="H16" i="30" s="1"/>
  <c r="H15" i="30" a="1"/>
  <c r="H15" i="30" s="1"/>
  <c r="F15" i="30"/>
  <c r="B15" i="30"/>
  <c r="F14" i="30"/>
  <c r="B14" i="30"/>
  <c r="H14" i="30" s="1" a="1"/>
  <c r="H14" i="30" s="1"/>
  <c r="F13" i="30"/>
  <c r="B13" i="30"/>
  <c r="H13" i="30" s="1" a="1"/>
  <c r="H13" i="30" s="1"/>
  <c r="H12" i="30" a="1"/>
  <c r="H12" i="30" s="1"/>
  <c r="F12" i="30"/>
  <c r="B12" i="30"/>
  <c r="F11" i="30"/>
  <c r="B11" i="30"/>
  <c r="H11" i="30" s="1" a="1"/>
  <c r="H11" i="30" s="1"/>
  <c r="F10" i="30"/>
  <c r="B10" i="30"/>
  <c r="H10" i="30" s="1" a="1"/>
  <c r="H10" i="30" s="1"/>
  <c r="B200" i="40"/>
  <c r="H200" i="40" s="1" a="1"/>
  <c r="H200" i="40" s="1"/>
  <c r="B199" i="40"/>
  <c r="H199" i="40" s="1" a="1"/>
  <c r="H199" i="40" s="1"/>
  <c r="B198" i="40"/>
  <c r="H198" i="40" s="1" a="1"/>
  <c r="H198" i="40" s="1"/>
  <c r="B197" i="40"/>
  <c r="H197" i="40" s="1" a="1"/>
  <c r="H197" i="40" s="1"/>
  <c r="B196" i="40"/>
  <c r="H196" i="40" s="1" a="1"/>
  <c r="H196" i="40" s="1"/>
  <c r="B195" i="40"/>
  <c r="H195" i="40" s="1" a="1"/>
  <c r="H195" i="40" s="1"/>
  <c r="B194" i="40"/>
  <c r="H194" i="40" s="1" a="1"/>
  <c r="H194" i="40" s="1"/>
  <c r="B193" i="40"/>
  <c r="H193" i="40" s="1" a="1"/>
  <c r="H193" i="40" s="1"/>
  <c r="B192" i="40"/>
  <c r="H192" i="40" s="1" a="1"/>
  <c r="H192" i="40" s="1"/>
  <c r="B191" i="40"/>
  <c r="H191" i="40" s="1" a="1"/>
  <c r="H191" i="40" s="1"/>
  <c r="H190" i="40" a="1"/>
  <c r="H190" i="40" s="1"/>
  <c r="B190" i="40"/>
  <c r="H189" i="40" a="1"/>
  <c r="H189" i="40" s="1"/>
  <c r="B189" i="40"/>
  <c r="H188" i="40" a="1"/>
  <c r="H188" i="40" s="1"/>
  <c r="B188" i="40"/>
  <c r="H187" i="40" a="1"/>
  <c r="H187" i="40" s="1"/>
  <c r="B187" i="40"/>
  <c r="H183" i="40" a="1"/>
  <c r="H183" i="40" s="1"/>
  <c r="B183" i="40"/>
  <c r="H182" i="40" a="1"/>
  <c r="H182" i="40" s="1"/>
  <c r="B182" i="40"/>
  <c r="H181" i="40" a="1"/>
  <c r="H181" i="40" s="1"/>
  <c r="B181" i="40"/>
  <c r="H177" i="40" a="1"/>
  <c r="H177" i="40" s="1"/>
  <c r="F177" i="40"/>
  <c r="B177" i="40"/>
  <c r="F176" i="40"/>
  <c r="B176" i="40"/>
  <c r="H176" i="40" s="1" a="1"/>
  <c r="H176" i="40" s="1"/>
  <c r="F175" i="40"/>
  <c r="B175" i="40"/>
  <c r="H175" i="40" s="1" a="1"/>
  <c r="H175" i="40" s="1"/>
  <c r="F174" i="40"/>
  <c r="B174" i="40"/>
  <c r="H174" i="40" s="1" a="1"/>
  <c r="H174" i="40" s="1"/>
  <c r="F173" i="40"/>
  <c r="B173" i="40"/>
  <c r="H173" i="40" s="1" a="1"/>
  <c r="H173" i="40" s="1"/>
  <c r="H172" i="40" a="1"/>
  <c r="H172" i="40" s="1"/>
  <c r="F172" i="40"/>
  <c r="B172" i="40"/>
  <c r="F171" i="40"/>
  <c r="B171" i="40"/>
  <c r="H171" i="40" s="1" a="1"/>
  <c r="H171" i="40" s="1"/>
  <c r="F170" i="40"/>
  <c r="B170" i="40"/>
  <c r="H170" i="40" s="1" a="1"/>
  <c r="H170" i="40" s="1"/>
  <c r="F169" i="40"/>
  <c r="B169" i="40"/>
  <c r="H169" i="40" s="1" a="1"/>
  <c r="H169" i="40" s="1"/>
  <c r="F168" i="40"/>
  <c r="B168" i="40"/>
  <c r="H168" i="40" s="1" a="1"/>
  <c r="H168" i="40" s="1"/>
  <c r="F167" i="40"/>
  <c r="B167" i="40"/>
  <c r="H167" i="40" s="1" a="1"/>
  <c r="H167" i="40" s="1"/>
  <c r="H166" i="40" a="1"/>
  <c r="H166" i="40" s="1"/>
  <c r="F166" i="40"/>
  <c r="B166" i="40"/>
  <c r="H165" i="40" a="1"/>
  <c r="H165" i="40" s="1"/>
  <c r="F165" i="40"/>
  <c r="B165" i="40"/>
  <c r="F164" i="40"/>
  <c r="B164" i="40"/>
  <c r="H164" i="40" s="1" a="1"/>
  <c r="H164" i="40" s="1"/>
  <c r="F163" i="40"/>
  <c r="B163" i="40"/>
  <c r="H163" i="40" s="1" a="1"/>
  <c r="H163" i="40" s="1"/>
  <c r="H162" i="40" a="1"/>
  <c r="H162" i="40" s="1"/>
  <c r="F162" i="40"/>
  <c r="B162" i="40"/>
  <c r="F161" i="40"/>
  <c r="B161" i="40"/>
  <c r="H161" i="40" s="1" a="1"/>
  <c r="H161" i="40" s="1"/>
  <c r="F160" i="40"/>
  <c r="B160" i="40"/>
  <c r="H160" i="40" s="1" a="1"/>
  <c r="H160" i="40" s="1"/>
  <c r="H159" i="40" a="1"/>
  <c r="H159" i="40" s="1"/>
  <c r="F159" i="40"/>
  <c r="B159" i="40"/>
  <c r="F158" i="40"/>
  <c r="B158" i="40"/>
  <c r="H158" i="40" s="1" a="1"/>
  <c r="H158" i="40" s="1"/>
  <c r="F157" i="40"/>
  <c r="B157" i="40"/>
  <c r="H157" i="40" s="1" a="1"/>
  <c r="H157" i="40" s="1"/>
  <c r="F156" i="40"/>
  <c r="B156" i="40"/>
  <c r="H156" i="40" s="1" a="1"/>
  <c r="H156" i="40" s="1"/>
  <c r="F155" i="40"/>
  <c r="B155" i="40"/>
  <c r="H155" i="40" s="1" a="1"/>
  <c r="H155" i="40" s="1"/>
  <c r="F154" i="40"/>
  <c r="B154" i="40"/>
  <c r="H154" i="40" s="1" a="1"/>
  <c r="H154" i="40" s="1"/>
  <c r="F153" i="40"/>
  <c r="B153" i="40"/>
  <c r="H153" i="40" s="1" a="1"/>
  <c r="H153" i="40" s="1"/>
  <c r="H152" i="40" a="1"/>
  <c r="H152" i="40" s="1"/>
  <c r="F152" i="40"/>
  <c r="B152" i="40"/>
  <c r="F151" i="40"/>
  <c r="B151" i="40"/>
  <c r="H151" i="40" s="1" a="1"/>
  <c r="H151" i="40" s="1"/>
  <c r="F150" i="40"/>
  <c r="B150" i="40"/>
  <c r="H150" i="40" s="1" a="1"/>
  <c r="H150" i="40" s="1"/>
  <c r="F149" i="40"/>
  <c r="B149" i="40"/>
  <c r="H149" i="40" s="1" a="1"/>
  <c r="H149" i="40" s="1"/>
  <c r="F148" i="40"/>
  <c r="B148" i="40"/>
  <c r="H148" i="40" s="1" a="1"/>
  <c r="H148" i="40" s="1"/>
  <c r="H147" i="40" a="1"/>
  <c r="H147" i="40" s="1"/>
  <c r="F147" i="40"/>
  <c r="B147" i="40"/>
  <c r="F146" i="40"/>
  <c r="B146" i="40"/>
  <c r="H146" i="40" s="1" a="1"/>
  <c r="H146" i="40" s="1"/>
  <c r="F145" i="40"/>
  <c r="B145" i="40"/>
  <c r="H145" i="40" s="1" a="1"/>
  <c r="H145" i="40" s="1"/>
  <c r="F144" i="40"/>
  <c r="B144" i="40"/>
  <c r="H144" i="40" s="1" a="1"/>
  <c r="H144" i="40" s="1"/>
  <c r="F143" i="40"/>
  <c r="B143" i="40"/>
  <c r="H143" i="40" s="1" a="1"/>
  <c r="H143" i="40" s="1"/>
  <c r="F142" i="40"/>
  <c r="B142" i="40"/>
  <c r="H142" i="40" s="1" a="1"/>
  <c r="H142" i="40" s="1"/>
  <c r="F141" i="40"/>
  <c r="B141" i="40"/>
  <c r="H141" i="40" s="1" a="1"/>
  <c r="H141" i="40" s="1"/>
  <c r="F140" i="40"/>
  <c r="B140" i="40"/>
  <c r="H140" i="40" s="1" a="1"/>
  <c r="H140" i="40" s="1"/>
  <c r="F139" i="40"/>
  <c r="B139" i="40"/>
  <c r="H139" i="40" s="1" a="1"/>
  <c r="H139" i="40" s="1"/>
  <c r="F138" i="40"/>
  <c r="B138" i="40"/>
  <c r="H138" i="40" s="1" a="1"/>
  <c r="H138" i="40" s="1"/>
  <c r="F137" i="40"/>
  <c r="B137" i="40"/>
  <c r="H137" i="40" s="1" a="1"/>
  <c r="H137" i="40" s="1"/>
  <c r="F136" i="40"/>
  <c r="B136" i="40"/>
  <c r="H136" i="40" s="1" a="1"/>
  <c r="H136" i="40" s="1"/>
  <c r="F135" i="40"/>
  <c r="B135" i="40"/>
  <c r="H135" i="40" s="1" a="1"/>
  <c r="H135" i="40" s="1"/>
  <c r="F134" i="40"/>
  <c r="B134" i="40"/>
  <c r="H134" i="40" s="1" a="1"/>
  <c r="H134" i="40" s="1"/>
  <c r="B133" i="40"/>
  <c r="H133" i="40" s="1" a="1"/>
  <c r="H133" i="40" s="1"/>
  <c r="F132" i="40"/>
  <c r="B132" i="40"/>
  <c r="H132" i="40" s="1" a="1"/>
  <c r="H132" i="40" s="1"/>
  <c r="F131" i="40"/>
  <c r="B131" i="40"/>
  <c r="H131" i="40" s="1" a="1"/>
  <c r="H131" i="40" s="1"/>
  <c r="F130" i="40"/>
  <c r="B130" i="40"/>
  <c r="H130" i="40" s="1" a="1"/>
  <c r="H130" i="40" s="1"/>
  <c r="F129" i="40"/>
  <c r="B129" i="40"/>
  <c r="H129" i="40" s="1" a="1"/>
  <c r="H129" i="40" s="1"/>
  <c r="F128" i="40"/>
  <c r="B128" i="40"/>
  <c r="H128" i="40" s="1" a="1"/>
  <c r="H128" i="40" s="1"/>
  <c r="H127" i="40" a="1"/>
  <c r="H127" i="40" s="1"/>
  <c r="B127" i="40"/>
  <c r="F126" i="40"/>
  <c r="B126" i="40"/>
  <c r="H126" i="40" s="1" a="1"/>
  <c r="H126" i="40" s="1"/>
  <c r="F125" i="40"/>
  <c r="B125" i="40"/>
  <c r="H125" i="40" s="1" a="1"/>
  <c r="H125" i="40" s="1"/>
  <c r="F124" i="40"/>
  <c r="B124" i="40"/>
  <c r="H124" i="40" s="1" a="1"/>
  <c r="H124" i="40" s="1"/>
  <c r="F123" i="40"/>
  <c r="B123" i="40"/>
  <c r="H123" i="40" s="1" a="1"/>
  <c r="H123" i="40" s="1"/>
  <c r="H122" i="40" a="1"/>
  <c r="H122" i="40" s="1"/>
  <c r="F122" i="40"/>
  <c r="B122" i="40"/>
  <c r="F121" i="40"/>
  <c r="B121" i="40"/>
  <c r="H121" i="40" s="1" a="1"/>
  <c r="H121" i="40" s="1"/>
  <c r="F120" i="40"/>
  <c r="B120" i="40"/>
  <c r="H120" i="40" s="1" a="1"/>
  <c r="H120" i="40" s="1"/>
  <c r="F119" i="40"/>
  <c r="B119" i="40"/>
  <c r="H119" i="40" s="1" a="1"/>
  <c r="H119" i="40" s="1"/>
  <c r="F118" i="40"/>
  <c r="B118" i="40"/>
  <c r="H118" i="40" s="1" a="1"/>
  <c r="H118" i="40" s="1"/>
  <c r="H117" i="40" a="1"/>
  <c r="H117" i="40" s="1"/>
  <c r="F117" i="40"/>
  <c r="B117" i="40"/>
  <c r="F116" i="40"/>
  <c r="B116" i="40"/>
  <c r="H116" i="40" s="1" a="1"/>
  <c r="H116" i="40" s="1"/>
  <c r="F115" i="40"/>
  <c r="B115" i="40"/>
  <c r="H115" i="40" s="1" a="1"/>
  <c r="H115" i="40" s="1"/>
  <c r="F114" i="40"/>
  <c r="B114" i="40"/>
  <c r="H114" i="40" s="1" a="1"/>
  <c r="H114" i="40" s="1"/>
  <c r="F113" i="40"/>
  <c r="B113" i="40"/>
  <c r="H113" i="40" s="1" a="1"/>
  <c r="H113" i="40" s="1"/>
  <c r="F112" i="40"/>
  <c r="B112" i="40"/>
  <c r="H112" i="40" s="1" a="1"/>
  <c r="H112" i="40" s="1"/>
  <c r="H111" i="40" a="1"/>
  <c r="H111" i="40" s="1"/>
  <c r="F111" i="40"/>
  <c r="B111" i="40"/>
  <c r="H110" i="40" a="1"/>
  <c r="H110" i="40" s="1"/>
  <c r="F110" i="40"/>
  <c r="B110" i="40"/>
  <c r="H109" i="40" a="1"/>
  <c r="H109" i="40" s="1"/>
  <c r="F109" i="40"/>
  <c r="B109" i="40"/>
  <c r="F108" i="40"/>
  <c r="B108" i="40"/>
  <c r="H108" i="40" s="1" a="1"/>
  <c r="H108" i="40" s="1"/>
  <c r="H107" i="40" a="1"/>
  <c r="H107" i="40" s="1"/>
  <c r="F107" i="40"/>
  <c r="B107" i="40"/>
  <c r="F106" i="40"/>
  <c r="B106" i="40"/>
  <c r="H106" i="40" s="1" a="1"/>
  <c r="H106" i="40" s="1"/>
  <c r="H105" i="40" a="1"/>
  <c r="H105" i="40" s="1"/>
  <c r="F105" i="40"/>
  <c r="B105" i="40"/>
  <c r="H104" i="40" a="1"/>
  <c r="H104" i="40" s="1"/>
  <c r="F104" i="40"/>
  <c r="B104" i="40"/>
  <c r="F103" i="40"/>
  <c r="B103" i="40"/>
  <c r="H103" i="40" s="1" a="1"/>
  <c r="H103" i="40" s="1"/>
  <c r="H102" i="40" a="1"/>
  <c r="H102" i="40" s="1"/>
  <c r="F102" i="40"/>
  <c r="B102" i="40"/>
  <c r="F101" i="40"/>
  <c r="B101" i="40"/>
  <c r="H101" i="40" s="1" a="1"/>
  <c r="H101" i="40" s="1"/>
  <c r="F100" i="40"/>
  <c r="B100" i="40"/>
  <c r="H100" i="40" s="1" a="1"/>
  <c r="H100" i="40" s="1"/>
  <c r="F99" i="40"/>
  <c r="B99" i="40"/>
  <c r="H99" i="40" s="1" a="1"/>
  <c r="H99" i="40" s="1"/>
  <c r="F98" i="40"/>
  <c r="B98" i="40"/>
  <c r="H98" i="40" s="1" a="1"/>
  <c r="H98" i="40" s="1"/>
  <c r="F97" i="40"/>
  <c r="B97" i="40"/>
  <c r="H97" i="40" s="1" a="1"/>
  <c r="H97" i="40" s="1"/>
  <c r="F96" i="40"/>
  <c r="B96" i="40"/>
  <c r="H96" i="40" s="1" a="1"/>
  <c r="H96" i="40" s="1"/>
  <c r="F95" i="40"/>
  <c r="B95" i="40"/>
  <c r="H95" i="40" s="1" a="1"/>
  <c r="H95" i="40" s="1"/>
  <c r="F94" i="40"/>
  <c r="B94" i="40"/>
  <c r="H94" i="40" s="1" a="1"/>
  <c r="H94" i="40" s="1"/>
  <c r="F93" i="40"/>
  <c r="B93" i="40"/>
  <c r="H93" i="40" s="1" a="1"/>
  <c r="H93" i="40" s="1"/>
  <c r="F92" i="40"/>
  <c r="B92" i="40"/>
  <c r="H92" i="40" s="1" a="1"/>
  <c r="H92" i="40" s="1"/>
  <c r="F91" i="40"/>
  <c r="B91" i="40"/>
  <c r="H91" i="40" s="1" a="1"/>
  <c r="H91" i="40" s="1"/>
  <c r="F90" i="40"/>
  <c r="B90" i="40"/>
  <c r="H90" i="40" s="1" a="1"/>
  <c r="H90" i="40" s="1"/>
  <c r="F89" i="40"/>
  <c r="B89" i="40"/>
  <c r="H89" i="40" s="1" a="1"/>
  <c r="H89" i="40" s="1"/>
  <c r="F88" i="40"/>
  <c r="B88" i="40"/>
  <c r="H88" i="40" s="1" a="1"/>
  <c r="H88" i="40" s="1"/>
  <c r="F87" i="40"/>
  <c r="B87" i="40"/>
  <c r="H87" i="40" s="1" a="1"/>
  <c r="H87" i="40" s="1"/>
  <c r="H86" i="40" a="1"/>
  <c r="H86" i="40" s="1"/>
  <c r="F86" i="40"/>
  <c r="B86" i="40"/>
  <c r="F85" i="40"/>
  <c r="B85" i="40"/>
  <c r="H85" i="40" s="1" a="1"/>
  <c r="H85" i="40" s="1"/>
  <c r="F84" i="40"/>
  <c r="B84" i="40"/>
  <c r="H84" i="40" s="1" a="1"/>
  <c r="H84" i="40" s="1"/>
  <c r="F83" i="40"/>
  <c r="B83" i="40"/>
  <c r="H83" i="40" s="1" a="1"/>
  <c r="H83" i="40" s="1"/>
  <c r="F82" i="40"/>
  <c r="B82" i="40"/>
  <c r="H82" i="40" s="1" a="1"/>
  <c r="H82" i="40" s="1"/>
  <c r="F81" i="40"/>
  <c r="B81" i="40"/>
  <c r="H81" i="40" s="1" a="1"/>
  <c r="H81" i="40" s="1"/>
  <c r="F80" i="40"/>
  <c r="B80" i="40"/>
  <c r="H80" i="40" s="1" a="1"/>
  <c r="H80" i="40" s="1"/>
  <c r="F79" i="40"/>
  <c r="B79" i="40"/>
  <c r="H79" i="40" s="1" a="1"/>
  <c r="H79" i="40" s="1"/>
  <c r="F78" i="40"/>
  <c r="B78" i="40"/>
  <c r="H78" i="40" s="1" a="1"/>
  <c r="H78" i="40" s="1"/>
  <c r="F77" i="40"/>
  <c r="B77" i="40"/>
  <c r="H77" i="40" s="1" a="1"/>
  <c r="H77" i="40" s="1"/>
  <c r="F76" i="40"/>
  <c r="B76" i="40"/>
  <c r="H76" i="40" s="1" a="1"/>
  <c r="H76" i="40" s="1"/>
  <c r="F75" i="40"/>
  <c r="B75" i="40"/>
  <c r="H75" i="40" s="1" a="1"/>
  <c r="H75" i="40" s="1"/>
  <c r="F74" i="40"/>
  <c r="B74" i="40"/>
  <c r="H74" i="40" s="1" a="1"/>
  <c r="H74" i="40" s="1"/>
  <c r="H73" i="40" a="1"/>
  <c r="H73" i="40" s="1"/>
  <c r="B73" i="40"/>
  <c r="F72" i="40"/>
  <c r="B72" i="40"/>
  <c r="H72" i="40" s="1" a="1"/>
  <c r="H72" i="40" s="1"/>
  <c r="F71" i="40"/>
  <c r="B71" i="40"/>
  <c r="H71" i="40" s="1" a="1"/>
  <c r="H71" i="40" s="1"/>
  <c r="F70" i="40"/>
  <c r="B70" i="40"/>
  <c r="H70" i="40" s="1" a="1"/>
  <c r="H70" i="40" s="1"/>
  <c r="F69" i="40"/>
  <c r="B69" i="40"/>
  <c r="H69" i="40" s="1" a="1"/>
  <c r="H69" i="40" s="1"/>
  <c r="F68" i="40"/>
  <c r="B68" i="40"/>
  <c r="H68" i="40" s="1" a="1"/>
  <c r="H68" i="40" s="1"/>
  <c r="F67" i="40"/>
  <c r="B67" i="40"/>
  <c r="H67" i="40" s="1" a="1"/>
  <c r="H67" i="40" s="1"/>
  <c r="F66" i="40"/>
  <c r="B66" i="40"/>
  <c r="H66" i="40" s="1" a="1"/>
  <c r="H66" i="40" s="1"/>
  <c r="F65" i="40"/>
  <c r="B65" i="40"/>
  <c r="H65" i="40" s="1" a="1"/>
  <c r="H65" i="40" s="1"/>
  <c r="F64" i="40"/>
  <c r="B64" i="40"/>
  <c r="H64" i="40" s="1" a="1"/>
  <c r="H64" i="40" s="1"/>
  <c r="F63" i="40"/>
  <c r="B63" i="40"/>
  <c r="H63" i="40" s="1" a="1"/>
  <c r="H63" i="40" s="1"/>
  <c r="F62" i="40"/>
  <c r="B62" i="40"/>
  <c r="H62" i="40" s="1" a="1"/>
  <c r="H62" i="40" s="1"/>
  <c r="F61" i="40"/>
  <c r="B61" i="40"/>
  <c r="H61" i="40" s="1" a="1"/>
  <c r="H61" i="40" s="1"/>
  <c r="F60" i="40"/>
  <c r="B60" i="40"/>
  <c r="H60" i="40" s="1" a="1"/>
  <c r="H60" i="40" s="1"/>
  <c r="F59" i="40"/>
  <c r="B59" i="40"/>
  <c r="H59" i="40" s="1" a="1"/>
  <c r="H59" i="40" s="1"/>
  <c r="H58" i="40" a="1"/>
  <c r="H58" i="40" s="1"/>
  <c r="F58" i="40"/>
  <c r="B58" i="40"/>
  <c r="F57" i="40"/>
  <c r="B57" i="40"/>
  <c r="H57" i="40" s="1" a="1"/>
  <c r="H57" i="40" s="1"/>
  <c r="F56" i="40"/>
  <c r="B56" i="40"/>
  <c r="H56" i="40" s="1" a="1"/>
  <c r="H56" i="40" s="1"/>
  <c r="F55" i="40"/>
  <c r="B55" i="40"/>
  <c r="H55" i="40" s="1" a="1"/>
  <c r="H55" i="40" s="1"/>
  <c r="F54" i="40"/>
  <c r="B54" i="40"/>
  <c r="H54" i="40" s="1" a="1"/>
  <c r="H54" i="40" s="1"/>
  <c r="F53" i="40"/>
  <c r="B53" i="40"/>
  <c r="H53" i="40" s="1" a="1"/>
  <c r="H53" i="40" s="1"/>
  <c r="F52" i="40"/>
  <c r="B52" i="40"/>
  <c r="H52" i="40" s="1" a="1"/>
  <c r="H52" i="40" s="1"/>
  <c r="F51" i="40"/>
  <c r="B51" i="40"/>
  <c r="H51" i="40" s="1" a="1"/>
  <c r="H51" i="40" s="1"/>
  <c r="F50" i="40"/>
  <c r="B50" i="40"/>
  <c r="H50" i="40" s="1" a="1"/>
  <c r="H50" i="40" s="1"/>
  <c r="F49" i="40"/>
  <c r="B49" i="40"/>
  <c r="H49" i="40" s="1" a="1"/>
  <c r="H49" i="40" s="1"/>
  <c r="F48" i="40"/>
  <c r="B48" i="40"/>
  <c r="H48" i="40" s="1" a="1"/>
  <c r="H48" i="40" s="1"/>
  <c r="F47" i="40"/>
  <c r="B47" i="40"/>
  <c r="H47" i="40" s="1" a="1"/>
  <c r="H47" i="40" s="1"/>
  <c r="F46" i="40"/>
  <c r="B46" i="40"/>
  <c r="H46" i="40" s="1" a="1"/>
  <c r="H46" i="40" s="1"/>
  <c r="F45" i="40"/>
  <c r="B45" i="40"/>
  <c r="H45" i="40" s="1" a="1"/>
  <c r="H45" i="40" s="1"/>
  <c r="F44" i="40"/>
  <c r="B44" i="40"/>
  <c r="H44" i="40" s="1" a="1"/>
  <c r="H44" i="40" s="1"/>
  <c r="F43" i="40"/>
  <c r="B43" i="40"/>
  <c r="H43" i="40" s="1" a="1"/>
  <c r="H43" i="40" s="1"/>
  <c r="F42" i="40"/>
  <c r="B42" i="40"/>
  <c r="H42" i="40" s="1" a="1"/>
  <c r="H42" i="40" s="1"/>
  <c r="F41" i="40"/>
  <c r="B41" i="40"/>
  <c r="H41" i="40" s="1" a="1"/>
  <c r="H41" i="40" s="1"/>
  <c r="F40" i="40"/>
  <c r="B40" i="40"/>
  <c r="H40" i="40" s="1" a="1"/>
  <c r="H40" i="40" s="1"/>
  <c r="B39" i="40"/>
  <c r="H39" i="40" s="1" a="1"/>
  <c r="H39" i="40" s="1"/>
  <c r="H38" i="40" a="1"/>
  <c r="H38" i="40" s="1"/>
  <c r="F38" i="40"/>
  <c r="B38" i="40"/>
  <c r="F37" i="40"/>
  <c r="B37" i="40"/>
  <c r="H37" i="40" s="1" a="1"/>
  <c r="H37" i="40" s="1"/>
  <c r="F36" i="40"/>
  <c r="B36" i="40"/>
  <c r="H36" i="40" s="1" a="1"/>
  <c r="H36" i="40" s="1"/>
  <c r="F35" i="40"/>
  <c r="B35" i="40"/>
  <c r="H35" i="40" s="1" a="1"/>
  <c r="H35" i="40" s="1"/>
  <c r="F34" i="40"/>
  <c r="B34" i="40"/>
  <c r="H34" i="40" s="1" a="1"/>
  <c r="H34" i="40" s="1"/>
  <c r="F33" i="40"/>
  <c r="B33" i="40"/>
  <c r="H33" i="40" s="1" a="1"/>
  <c r="H33" i="40" s="1"/>
  <c r="F32" i="40"/>
  <c r="B32" i="40"/>
  <c r="H32" i="40" s="1" a="1"/>
  <c r="H32" i="40" s="1"/>
  <c r="F31" i="40"/>
  <c r="B31" i="40"/>
  <c r="H31" i="40" s="1" a="1"/>
  <c r="H31" i="40" s="1"/>
  <c r="H30" i="40" a="1"/>
  <c r="H30" i="40" s="1"/>
  <c r="F30" i="40"/>
  <c r="B30" i="40"/>
  <c r="F29" i="40"/>
  <c r="B29" i="40"/>
  <c r="H29" i="40" s="1" a="1"/>
  <c r="H29" i="40" s="1"/>
  <c r="F28" i="40"/>
  <c r="B28" i="40"/>
  <c r="H28" i="40" s="1" a="1"/>
  <c r="H28" i="40" s="1"/>
  <c r="F27" i="40"/>
  <c r="B27" i="40"/>
  <c r="H27" i="40" s="1" a="1"/>
  <c r="H27" i="40" s="1"/>
  <c r="H26" i="40" a="1"/>
  <c r="H26" i="40" s="1"/>
  <c r="F26" i="40"/>
  <c r="B26" i="40"/>
  <c r="F25" i="40"/>
  <c r="B25" i="40"/>
  <c r="H25" i="40" s="1" a="1"/>
  <c r="H25" i="40" s="1"/>
  <c r="F24" i="40"/>
  <c r="B24" i="40"/>
  <c r="H24" i="40" s="1" a="1"/>
  <c r="H24" i="40" s="1"/>
  <c r="F23" i="40"/>
  <c r="B23" i="40"/>
  <c r="H23" i="40" s="1" a="1"/>
  <c r="H23" i="40" s="1"/>
  <c r="F22" i="40"/>
  <c r="B22" i="40"/>
  <c r="H22" i="40" s="1" a="1"/>
  <c r="H22" i="40" s="1"/>
  <c r="F21" i="40"/>
  <c r="B21" i="40"/>
  <c r="H21" i="40" s="1" a="1"/>
  <c r="H21" i="40" s="1"/>
  <c r="H20" i="40" a="1"/>
  <c r="H20" i="40" s="1"/>
  <c r="F20" i="40"/>
  <c r="B20" i="40"/>
  <c r="F19" i="40"/>
  <c r="B19" i="40"/>
  <c r="H19" i="40" s="1" a="1"/>
  <c r="H19" i="40" s="1"/>
  <c r="F18" i="40"/>
  <c r="B18" i="40"/>
  <c r="H18" i="40" s="1" a="1"/>
  <c r="H18" i="40" s="1"/>
  <c r="F17" i="40"/>
  <c r="B17" i="40"/>
  <c r="H17" i="40" s="1" a="1"/>
  <c r="H17" i="40" s="1"/>
  <c r="F16" i="40"/>
  <c r="B16" i="40"/>
  <c r="H16" i="40" s="1" a="1"/>
  <c r="H16" i="40" s="1"/>
  <c r="F15" i="40"/>
  <c r="B15" i="40"/>
  <c r="H15" i="40" s="1" a="1"/>
  <c r="H15" i="40" s="1"/>
  <c r="F14" i="40"/>
  <c r="B14" i="40"/>
  <c r="H14" i="40" s="1" a="1"/>
  <c r="H14" i="40" s="1"/>
  <c r="F13" i="40"/>
  <c r="B13" i="40"/>
  <c r="H13" i="40" s="1" a="1"/>
  <c r="H13" i="40" s="1"/>
  <c r="F12" i="40"/>
  <c r="B12" i="40"/>
  <c r="H12" i="40" s="1" a="1"/>
  <c r="H12" i="40" s="1"/>
  <c r="H11" i="40" a="1"/>
  <c r="H11" i="40" s="1"/>
  <c r="F11" i="40"/>
  <c r="B11" i="40"/>
  <c r="F10" i="40"/>
  <c r="B10" i="40"/>
  <c r="H10" i="40" s="1" a="1"/>
  <c r="H10" i="40" s="1"/>
  <c r="F9" i="40"/>
  <c r="B9" i="40"/>
  <c r="H9" i="40" s="1" a="1"/>
  <c r="H9" i="40" s="1"/>
  <c r="B202" i="22"/>
  <c r="H202" i="22" s="1" a="1"/>
  <c r="H202" i="22" s="1"/>
  <c r="B201" i="22"/>
  <c r="H201" i="22" s="1" a="1"/>
  <c r="H201" i="22" s="1"/>
  <c r="B200" i="22"/>
  <c r="H200" i="22" s="1" a="1"/>
  <c r="H200" i="22" s="1"/>
  <c r="B199" i="22"/>
  <c r="H199" i="22" s="1" a="1"/>
  <c r="H199" i="22" s="1"/>
  <c r="B198" i="22"/>
  <c r="H198" i="22" s="1" a="1"/>
  <c r="H198" i="22" s="1"/>
  <c r="B197" i="22"/>
  <c r="H197" i="22" s="1" a="1"/>
  <c r="H197" i="22" s="1"/>
  <c r="H196" i="22" a="1"/>
  <c r="H196" i="22" s="1"/>
  <c r="B196" i="22"/>
  <c r="H195" i="22" a="1"/>
  <c r="H195" i="22" s="1"/>
  <c r="B195" i="22"/>
  <c r="H194" i="22" a="1"/>
  <c r="H194" i="22" s="1"/>
  <c r="B194" i="22"/>
  <c r="B193" i="22"/>
  <c r="H193" i="22" s="1" a="1"/>
  <c r="H193" i="22" s="1"/>
  <c r="B192" i="22"/>
  <c r="H192" i="22" s="1" a="1"/>
  <c r="H192" i="22" s="1"/>
  <c r="B191" i="22"/>
  <c r="H191" i="22" s="1" a="1"/>
  <c r="H191" i="22" s="1"/>
  <c r="B190" i="22"/>
  <c r="H190" i="22" s="1" a="1"/>
  <c r="H190" i="22" s="1"/>
  <c r="H189" i="22" a="1"/>
  <c r="H189" i="22" s="1"/>
  <c r="B189" i="22"/>
  <c r="B185" i="22"/>
  <c r="H185" i="22" s="1" a="1"/>
  <c r="H185" i="22" s="1"/>
  <c r="B184" i="22"/>
  <c r="H184" i="22" s="1" a="1"/>
  <c r="H184" i="22" s="1"/>
  <c r="B183" i="22"/>
  <c r="H183" i="22" s="1" a="1"/>
  <c r="H183" i="22" s="1"/>
  <c r="F179" i="22"/>
  <c r="B179" i="22"/>
  <c r="H179" i="22" s="1" a="1"/>
  <c r="H179" i="22" s="1"/>
  <c r="F178" i="22"/>
  <c r="B178" i="22"/>
  <c r="H178" i="22" s="1" a="1"/>
  <c r="H178" i="22" s="1"/>
  <c r="F177" i="22"/>
  <c r="B177" i="22"/>
  <c r="H177" i="22" s="1" a="1"/>
  <c r="H177" i="22" s="1"/>
  <c r="H176" i="22" a="1"/>
  <c r="H176" i="22" s="1"/>
  <c r="F176" i="22"/>
  <c r="B176" i="22"/>
  <c r="F175" i="22"/>
  <c r="B175" i="22"/>
  <c r="H175" i="22" s="1" a="1"/>
  <c r="H175" i="22" s="1"/>
  <c r="F174" i="22"/>
  <c r="B174" i="22"/>
  <c r="H174" i="22" s="1" a="1"/>
  <c r="H174" i="22" s="1"/>
  <c r="F173" i="22"/>
  <c r="B173" i="22"/>
  <c r="H173" i="22" s="1" a="1"/>
  <c r="H173" i="22" s="1"/>
  <c r="F172" i="22"/>
  <c r="B172" i="22"/>
  <c r="H172" i="22" s="1" a="1"/>
  <c r="H172" i="22" s="1"/>
  <c r="F171" i="22"/>
  <c r="B171" i="22"/>
  <c r="H171" i="22" s="1" a="1"/>
  <c r="H171" i="22" s="1"/>
  <c r="F170" i="22"/>
  <c r="B170" i="22"/>
  <c r="H170" i="22" s="1" a="1"/>
  <c r="H170" i="22" s="1"/>
  <c r="F169" i="22"/>
  <c r="B169" i="22"/>
  <c r="H169" i="22" s="1" a="1"/>
  <c r="H169" i="22" s="1"/>
  <c r="H168" i="22" a="1"/>
  <c r="H168" i="22" s="1"/>
  <c r="F168" i="22"/>
  <c r="B168" i="22"/>
  <c r="F167" i="22"/>
  <c r="B167" i="22"/>
  <c r="H167" i="22" s="1" a="1"/>
  <c r="H167" i="22" s="1"/>
  <c r="F166" i="22"/>
  <c r="B166" i="22"/>
  <c r="H166" i="22" s="1" a="1"/>
  <c r="H166" i="22" s="1"/>
  <c r="F165" i="22"/>
  <c r="B165" i="22"/>
  <c r="H165" i="22" s="1" a="1"/>
  <c r="H165" i="22" s="1"/>
  <c r="F164" i="22"/>
  <c r="B164" i="22"/>
  <c r="H164" i="22" s="1" a="1"/>
  <c r="H164" i="22" s="1"/>
  <c r="F163" i="22"/>
  <c r="B163" i="22"/>
  <c r="H163" i="22" s="1" a="1"/>
  <c r="H163" i="22" s="1"/>
  <c r="F162" i="22"/>
  <c r="B162" i="22"/>
  <c r="H162" i="22" s="1" a="1"/>
  <c r="H162" i="22" s="1"/>
  <c r="H161" i="22" a="1"/>
  <c r="H161" i="22" s="1"/>
  <c r="F161" i="22"/>
  <c r="B161" i="22"/>
  <c r="F160" i="22"/>
  <c r="B160" i="22"/>
  <c r="H160" i="22" s="1" a="1"/>
  <c r="H160" i="22" s="1"/>
  <c r="F159" i="22"/>
  <c r="B159" i="22"/>
  <c r="H159" i="22" s="1" a="1"/>
  <c r="H159" i="22" s="1"/>
  <c r="F158" i="22"/>
  <c r="B158" i="22"/>
  <c r="H158" i="22" s="1" a="1"/>
  <c r="H158" i="22" s="1"/>
  <c r="F157" i="22"/>
  <c r="B157" i="22"/>
  <c r="H157" i="22" s="1" a="1"/>
  <c r="H157" i="22" s="1"/>
  <c r="F156" i="22"/>
  <c r="B156" i="22"/>
  <c r="H156" i="22" s="1" a="1"/>
  <c r="H156" i="22" s="1"/>
  <c r="F155" i="22"/>
  <c r="B155" i="22"/>
  <c r="H155" i="22" s="1" a="1"/>
  <c r="H155" i="22" s="1"/>
  <c r="F154" i="22"/>
  <c r="B154" i="22"/>
  <c r="H154" i="22" s="1" a="1"/>
  <c r="H154" i="22" s="1"/>
  <c r="F153" i="22"/>
  <c r="B153" i="22"/>
  <c r="H153" i="22" s="1" a="1"/>
  <c r="H153" i="22" s="1"/>
  <c r="F152" i="22"/>
  <c r="B152" i="22"/>
  <c r="H152" i="22" s="1" a="1"/>
  <c r="H152" i="22" s="1"/>
  <c r="F151" i="22"/>
  <c r="B151" i="22"/>
  <c r="H151" i="22" s="1" a="1"/>
  <c r="H151" i="22" s="1"/>
  <c r="F150" i="22"/>
  <c r="B150" i="22"/>
  <c r="H150" i="22" s="1" a="1"/>
  <c r="H150" i="22" s="1"/>
  <c r="F149" i="22"/>
  <c r="B149" i="22"/>
  <c r="H149" i="22" s="1" a="1"/>
  <c r="H149" i="22" s="1"/>
  <c r="F148" i="22"/>
  <c r="B148" i="22"/>
  <c r="H148" i="22" s="1" a="1"/>
  <c r="H148" i="22" s="1"/>
  <c r="F147" i="22"/>
  <c r="B147" i="22"/>
  <c r="H147" i="22" s="1" a="1"/>
  <c r="H147" i="22" s="1"/>
  <c r="F146" i="22"/>
  <c r="B146" i="22"/>
  <c r="H146" i="22" s="1" a="1"/>
  <c r="H146" i="22" s="1"/>
  <c r="F145" i="22"/>
  <c r="B145" i="22"/>
  <c r="H145" i="22" s="1" a="1"/>
  <c r="H145" i="22" s="1"/>
  <c r="F144" i="22"/>
  <c r="B144" i="22"/>
  <c r="H144" i="22" s="1" a="1"/>
  <c r="H144" i="22" s="1"/>
  <c r="F143" i="22"/>
  <c r="B143" i="22"/>
  <c r="H143" i="22" s="1" a="1"/>
  <c r="H143" i="22" s="1"/>
  <c r="F142" i="22"/>
  <c r="B142" i="22"/>
  <c r="H142" i="22" s="1" a="1"/>
  <c r="H142" i="22" s="1"/>
  <c r="F141" i="22"/>
  <c r="B141" i="22"/>
  <c r="H141" i="22" s="1" a="1"/>
  <c r="H141" i="22" s="1"/>
  <c r="F140" i="22"/>
  <c r="B140" i="22"/>
  <c r="H140" i="22" s="1" a="1"/>
  <c r="H140" i="22" s="1"/>
  <c r="F139" i="22"/>
  <c r="B139" i="22"/>
  <c r="H139" i="22" s="1" a="1"/>
  <c r="H139" i="22" s="1"/>
  <c r="F138" i="22"/>
  <c r="B138" i="22"/>
  <c r="H138" i="22" s="1" a="1"/>
  <c r="H138" i="22" s="1"/>
  <c r="F137" i="22"/>
  <c r="B137" i="22"/>
  <c r="H137" i="22" s="1" a="1"/>
  <c r="H137" i="22" s="1"/>
  <c r="F136" i="22"/>
  <c r="B136" i="22"/>
  <c r="H136" i="22" s="1" a="1"/>
  <c r="H136" i="22" s="1"/>
  <c r="B135" i="22"/>
  <c r="H135" i="22" s="1" a="1"/>
  <c r="H135" i="22" s="1"/>
  <c r="F134" i="22"/>
  <c r="B134" i="22"/>
  <c r="H134" i="22" s="1" a="1"/>
  <c r="H134" i="22" s="1"/>
  <c r="F133" i="22"/>
  <c r="B133" i="22"/>
  <c r="H133" i="22" s="1" a="1"/>
  <c r="H133" i="22" s="1"/>
  <c r="F132" i="22"/>
  <c r="B132" i="22"/>
  <c r="H132" i="22" s="1" a="1"/>
  <c r="H132" i="22" s="1"/>
  <c r="F131" i="22"/>
  <c r="B131" i="22"/>
  <c r="H131" i="22" s="1" a="1"/>
  <c r="H131" i="22" s="1"/>
  <c r="F130" i="22"/>
  <c r="B130" i="22"/>
  <c r="H130" i="22" s="1" a="1"/>
  <c r="H130" i="22" s="1"/>
  <c r="H129" i="22" a="1"/>
  <c r="H129" i="22" s="1"/>
  <c r="B129" i="22"/>
  <c r="F128" i="22"/>
  <c r="B128" i="22"/>
  <c r="H128" i="22" s="1" a="1"/>
  <c r="H128" i="22" s="1"/>
  <c r="F127" i="22"/>
  <c r="B127" i="22"/>
  <c r="H127" i="22" s="1" a="1"/>
  <c r="H127" i="22" s="1"/>
  <c r="F126" i="22"/>
  <c r="B126" i="22"/>
  <c r="H126" i="22" s="1" a="1"/>
  <c r="H126" i="22" s="1"/>
  <c r="F125" i="22"/>
  <c r="B125" i="22"/>
  <c r="H125" i="22" s="1" a="1"/>
  <c r="H125" i="22" s="1"/>
  <c r="F124" i="22"/>
  <c r="B124" i="22"/>
  <c r="H124" i="22" s="1" a="1"/>
  <c r="H124" i="22" s="1"/>
  <c r="F123" i="22"/>
  <c r="B123" i="22"/>
  <c r="H123" i="22" s="1" a="1"/>
  <c r="H123" i="22" s="1"/>
  <c r="F122" i="22"/>
  <c r="B122" i="22"/>
  <c r="H122" i="22" s="1" a="1"/>
  <c r="H122" i="22" s="1"/>
  <c r="F121" i="22"/>
  <c r="B121" i="22"/>
  <c r="H121" i="22" s="1" a="1"/>
  <c r="H121" i="22" s="1"/>
  <c r="F120" i="22"/>
  <c r="B120" i="22"/>
  <c r="H120" i="22" s="1" a="1"/>
  <c r="H120" i="22" s="1"/>
  <c r="F119" i="22"/>
  <c r="B119" i="22"/>
  <c r="H119" i="22" s="1" a="1"/>
  <c r="H119" i="22" s="1"/>
  <c r="F118" i="22"/>
  <c r="B118" i="22"/>
  <c r="H118" i="22" s="1" a="1"/>
  <c r="H118" i="22" s="1"/>
  <c r="F117" i="22"/>
  <c r="B117" i="22"/>
  <c r="H117" i="22" s="1" a="1"/>
  <c r="H117" i="22" s="1"/>
  <c r="F116" i="22"/>
  <c r="B116" i="22"/>
  <c r="H116" i="22" s="1" a="1"/>
  <c r="H116" i="22" s="1"/>
  <c r="H115" i="22" a="1"/>
  <c r="H115" i="22" s="1"/>
  <c r="F115" i="22"/>
  <c r="B115" i="22"/>
  <c r="F114" i="22"/>
  <c r="B114" i="22"/>
  <c r="H114" i="22" s="1" a="1"/>
  <c r="H114" i="22" s="1"/>
  <c r="F113" i="22"/>
  <c r="B113" i="22"/>
  <c r="H113" i="22" s="1" a="1"/>
  <c r="H113" i="22" s="1"/>
  <c r="F112" i="22"/>
  <c r="B112" i="22"/>
  <c r="H112" i="22" s="1" a="1"/>
  <c r="H112" i="22" s="1"/>
  <c r="F111" i="22"/>
  <c r="B111" i="22"/>
  <c r="H111" i="22" s="1" a="1"/>
  <c r="H111" i="22" s="1"/>
  <c r="H110" i="22" a="1"/>
  <c r="H110" i="22" s="1"/>
  <c r="F110" i="22"/>
  <c r="B110" i="22"/>
  <c r="F109" i="22"/>
  <c r="B109" i="22"/>
  <c r="H109" i="22" s="1" a="1"/>
  <c r="H109" i="22" s="1"/>
  <c r="F108" i="22"/>
  <c r="B108" i="22"/>
  <c r="H108" i="22" s="1" a="1"/>
  <c r="H108" i="22" s="1"/>
  <c r="F107" i="22"/>
  <c r="B107" i="22"/>
  <c r="H107" i="22" s="1" a="1"/>
  <c r="H107" i="22" s="1"/>
  <c r="F106" i="22"/>
  <c r="B106" i="22"/>
  <c r="H106" i="22" s="1" a="1"/>
  <c r="H106" i="22" s="1"/>
  <c r="F105" i="22"/>
  <c r="B105" i="22"/>
  <c r="H105" i="22" s="1" a="1"/>
  <c r="H105" i="22" s="1"/>
  <c r="F104" i="22"/>
  <c r="B104" i="22"/>
  <c r="H104" i="22" s="1" a="1"/>
  <c r="H104" i="22" s="1"/>
  <c r="F103" i="22"/>
  <c r="B103" i="22"/>
  <c r="H103" i="22" s="1" a="1"/>
  <c r="H103" i="22" s="1"/>
  <c r="F102" i="22"/>
  <c r="B102" i="22"/>
  <c r="H102" i="22" s="1" a="1"/>
  <c r="H102" i="22" s="1"/>
  <c r="F101" i="22"/>
  <c r="B101" i="22"/>
  <c r="H101" i="22" s="1" a="1"/>
  <c r="H101" i="22" s="1"/>
  <c r="H100" i="22" a="1"/>
  <c r="H100" i="22" s="1"/>
  <c r="F100" i="22"/>
  <c r="B100" i="22"/>
  <c r="F99" i="22"/>
  <c r="B99" i="22"/>
  <c r="H99" i="22" s="1" a="1"/>
  <c r="H99" i="22" s="1"/>
  <c r="F98" i="22"/>
  <c r="B98" i="22"/>
  <c r="H98" i="22" s="1" a="1"/>
  <c r="H98" i="22" s="1"/>
  <c r="F97" i="22"/>
  <c r="B97" i="22"/>
  <c r="H97" i="22" s="1" a="1"/>
  <c r="H97" i="22" s="1"/>
  <c r="F96" i="22"/>
  <c r="B96" i="22"/>
  <c r="H96" i="22" s="1" a="1"/>
  <c r="H96" i="22" s="1"/>
  <c r="F95" i="22"/>
  <c r="B95" i="22"/>
  <c r="H95" i="22" s="1" a="1"/>
  <c r="H95" i="22" s="1"/>
  <c r="F94" i="22"/>
  <c r="B94" i="22"/>
  <c r="H94" i="22" s="1" a="1"/>
  <c r="H94" i="22" s="1"/>
  <c r="F93" i="22"/>
  <c r="B93" i="22"/>
  <c r="H93" i="22" s="1" a="1"/>
  <c r="H93" i="22" s="1"/>
  <c r="F92" i="22"/>
  <c r="B92" i="22"/>
  <c r="H92" i="22" s="1" a="1"/>
  <c r="H92" i="22" s="1"/>
  <c r="F91" i="22"/>
  <c r="B91" i="22"/>
  <c r="H91" i="22" s="1" a="1"/>
  <c r="H91" i="22" s="1"/>
  <c r="F90" i="22"/>
  <c r="B90" i="22"/>
  <c r="H90" i="22" s="1" a="1"/>
  <c r="H90" i="22" s="1"/>
  <c r="F89" i="22"/>
  <c r="B89" i="22"/>
  <c r="H89" i="22" s="1" a="1"/>
  <c r="H89" i="22" s="1"/>
  <c r="F88" i="22"/>
  <c r="B88" i="22"/>
  <c r="H88" i="22" s="1" a="1"/>
  <c r="H88" i="22" s="1"/>
  <c r="F87" i="22"/>
  <c r="B87" i="22"/>
  <c r="H87" i="22" s="1" a="1"/>
  <c r="H87" i="22" s="1"/>
  <c r="F86" i="22"/>
  <c r="B86" i="22"/>
  <c r="H86" i="22" s="1" a="1"/>
  <c r="H86" i="22" s="1"/>
  <c r="F85" i="22"/>
  <c r="B85" i="22"/>
  <c r="H85" i="22" s="1" a="1"/>
  <c r="H85" i="22" s="1"/>
  <c r="F84" i="22"/>
  <c r="B84" i="22"/>
  <c r="H84" i="22" s="1" a="1"/>
  <c r="H84" i="22" s="1"/>
  <c r="F83" i="22"/>
  <c r="B83" i="22"/>
  <c r="H83" i="22" s="1" a="1"/>
  <c r="H83" i="22" s="1"/>
  <c r="F82" i="22"/>
  <c r="B82" i="22"/>
  <c r="H82" i="22" s="1" a="1"/>
  <c r="H82" i="22" s="1"/>
  <c r="F81" i="22"/>
  <c r="B81" i="22"/>
  <c r="H81" i="22" s="1" a="1"/>
  <c r="H81" i="22" s="1"/>
  <c r="F80" i="22"/>
  <c r="B80" i="22"/>
  <c r="H80" i="22" s="1" a="1"/>
  <c r="H80" i="22" s="1"/>
  <c r="F79" i="22"/>
  <c r="B79" i="22"/>
  <c r="H79" i="22" s="1" a="1"/>
  <c r="H79" i="22" s="1"/>
  <c r="F78" i="22"/>
  <c r="B78" i="22"/>
  <c r="H78" i="22" s="1" a="1"/>
  <c r="H78" i="22" s="1"/>
  <c r="F77" i="22"/>
  <c r="B77" i="22"/>
  <c r="H77" i="22" s="1" a="1"/>
  <c r="H77" i="22" s="1"/>
  <c r="F76" i="22"/>
  <c r="B76" i="22"/>
  <c r="H76" i="22" s="1" a="1"/>
  <c r="H76" i="22" s="1"/>
  <c r="B75" i="22"/>
  <c r="H75" i="22" s="1" a="1"/>
  <c r="H75" i="22" s="1"/>
  <c r="F74" i="22"/>
  <c r="B74" i="22"/>
  <c r="H74" i="22" s="1" a="1"/>
  <c r="H74" i="22" s="1"/>
  <c r="F73" i="22"/>
  <c r="B73" i="22"/>
  <c r="H73" i="22" s="1" a="1"/>
  <c r="H73" i="22" s="1"/>
  <c r="F72" i="22"/>
  <c r="B72" i="22"/>
  <c r="H72" i="22" s="1" a="1"/>
  <c r="H72" i="22" s="1"/>
  <c r="F71" i="22"/>
  <c r="B71" i="22"/>
  <c r="H71" i="22" s="1" a="1"/>
  <c r="H71" i="22" s="1"/>
  <c r="F70" i="22"/>
  <c r="B70" i="22"/>
  <c r="H70" i="22" s="1" a="1"/>
  <c r="H70" i="22" s="1"/>
  <c r="F69" i="22"/>
  <c r="B69" i="22"/>
  <c r="H69" i="22" s="1" a="1"/>
  <c r="H69" i="22" s="1"/>
  <c r="F68" i="22"/>
  <c r="B68" i="22"/>
  <c r="H68" i="22" s="1" a="1"/>
  <c r="H68" i="22" s="1"/>
  <c r="F67" i="22"/>
  <c r="B67" i="22"/>
  <c r="H67" i="22" s="1" a="1"/>
  <c r="H67" i="22" s="1"/>
  <c r="F66" i="22"/>
  <c r="B66" i="22"/>
  <c r="H66" i="22" s="1" a="1"/>
  <c r="H66" i="22" s="1"/>
  <c r="F65" i="22"/>
  <c r="B65" i="22"/>
  <c r="H65" i="22" s="1" a="1"/>
  <c r="H65" i="22" s="1"/>
  <c r="F64" i="22"/>
  <c r="B64" i="22"/>
  <c r="H64" i="22" s="1" a="1"/>
  <c r="H64" i="22" s="1"/>
  <c r="F63" i="22"/>
  <c r="B63" i="22"/>
  <c r="H63" i="22" s="1" a="1"/>
  <c r="H63" i="22" s="1"/>
  <c r="F62" i="22"/>
  <c r="B62" i="22"/>
  <c r="H62" i="22" s="1" a="1"/>
  <c r="H62" i="22" s="1"/>
  <c r="F61" i="22"/>
  <c r="B61" i="22"/>
  <c r="H61" i="22" s="1" a="1"/>
  <c r="H61" i="22" s="1"/>
  <c r="F60" i="22"/>
  <c r="B60" i="22"/>
  <c r="H60" i="22" s="1" a="1"/>
  <c r="H60" i="22" s="1"/>
  <c r="F59" i="22"/>
  <c r="B59" i="22"/>
  <c r="H59" i="22" s="1" a="1"/>
  <c r="H59" i="22" s="1"/>
  <c r="F58" i="22"/>
  <c r="B58" i="22"/>
  <c r="H58" i="22" s="1" a="1"/>
  <c r="H58" i="22" s="1"/>
  <c r="F57" i="22"/>
  <c r="B57" i="22"/>
  <c r="H57" i="22" s="1" a="1"/>
  <c r="H57" i="22" s="1"/>
  <c r="F56" i="22"/>
  <c r="B56" i="22"/>
  <c r="H56" i="22" s="1" a="1"/>
  <c r="H56" i="22" s="1"/>
  <c r="F55" i="22"/>
  <c r="B55" i="22"/>
  <c r="H55" i="22" s="1" a="1"/>
  <c r="H55" i="22" s="1"/>
  <c r="F54" i="22"/>
  <c r="B54" i="22"/>
  <c r="H54" i="22" s="1" a="1"/>
  <c r="H54" i="22" s="1"/>
  <c r="F53" i="22"/>
  <c r="B53" i="22"/>
  <c r="H53" i="22" s="1" a="1"/>
  <c r="H53" i="22" s="1"/>
  <c r="F52" i="22"/>
  <c r="B52" i="22"/>
  <c r="H52" i="22" s="1" a="1"/>
  <c r="H52" i="22" s="1"/>
  <c r="F51" i="22"/>
  <c r="B51" i="22"/>
  <c r="H51" i="22" s="1" a="1"/>
  <c r="H51" i="22" s="1"/>
  <c r="F50" i="22"/>
  <c r="B50" i="22"/>
  <c r="H50" i="22" s="1" a="1"/>
  <c r="H50" i="22" s="1"/>
  <c r="F49" i="22"/>
  <c r="B49" i="22"/>
  <c r="H49" i="22" s="1" a="1"/>
  <c r="H49" i="22" s="1"/>
  <c r="F48" i="22"/>
  <c r="B48" i="22"/>
  <c r="H48" i="22" s="1" a="1"/>
  <c r="H48" i="22" s="1"/>
  <c r="F47" i="22"/>
  <c r="B47" i="22"/>
  <c r="H47" i="22" s="1" a="1"/>
  <c r="H47" i="22" s="1"/>
  <c r="F46" i="22"/>
  <c r="B46" i="22"/>
  <c r="H46" i="22" s="1" a="1"/>
  <c r="H46" i="22" s="1"/>
  <c r="F45" i="22"/>
  <c r="B45" i="22"/>
  <c r="H45" i="22" s="1" a="1"/>
  <c r="H45" i="22" s="1"/>
  <c r="F44" i="22"/>
  <c r="B44" i="22"/>
  <c r="H44" i="22" s="1" a="1"/>
  <c r="H44" i="22" s="1"/>
  <c r="F43" i="22"/>
  <c r="B43" i="22"/>
  <c r="H43" i="22" s="1" a="1"/>
  <c r="H43" i="22" s="1"/>
  <c r="F42" i="22"/>
  <c r="B42" i="22"/>
  <c r="H42" i="22" s="1" a="1"/>
  <c r="H42" i="22" s="1"/>
  <c r="H41" i="22" a="1"/>
  <c r="H41" i="22" s="1"/>
  <c r="B41" i="22"/>
  <c r="F40" i="22"/>
  <c r="B40" i="22"/>
  <c r="H40" i="22" s="1" a="1"/>
  <c r="H40" i="22" s="1"/>
  <c r="F39" i="22"/>
  <c r="B39" i="22"/>
  <c r="H39" i="22" s="1" a="1"/>
  <c r="H39" i="22" s="1"/>
  <c r="F38" i="22"/>
  <c r="B38" i="22"/>
  <c r="H38" i="22" s="1" a="1"/>
  <c r="H38" i="22" s="1"/>
  <c r="F37" i="22"/>
  <c r="B37" i="22"/>
  <c r="H37" i="22" s="1" a="1"/>
  <c r="H37" i="22" s="1"/>
  <c r="F36" i="22"/>
  <c r="B36" i="22"/>
  <c r="H36" i="22" s="1" a="1"/>
  <c r="H36" i="22" s="1"/>
  <c r="F35" i="22"/>
  <c r="B35" i="22"/>
  <c r="H35" i="22" s="1" a="1"/>
  <c r="H35" i="22" s="1"/>
  <c r="F34" i="22"/>
  <c r="B34" i="22"/>
  <c r="H34" i="22" s="1" a="1"/>
  <c r="H34" i="22" s="1"/>
  <c r="F33" i="22"/>
  <c r="B33" i="22"/>
  <c r="H33" i="22" s="1" a="1"/>
  <c r="H33" i="22" s="1"/>
  <c r="F32" i="22"/>
  <c r="B32" i="22"/>
  <c r="H32" i="22" s="1" a="1"/>
  <c r="H32" i="22" s="1"/>
  <c r="F31" i="22"/>
  <c r="B31" i="22"/>
  <c r="H31" i="22" s="1" a="1"/>
  <c r="H31" i="22" s="1"/>
  <c r="F30" i="22"/>
  <c r="B30" i="22"/>
  <c r="H30" i="22" s="1" a="1"/>
  <c r="H30" i="22" s="1"/>
  <c r="F29" i="22"/>
  <c r="B29" i="22"/>
  <c r="H29" i="22" s="1" a="1"/>
  <c r="H29" i="22" s="1"/>
  <c r="F28" i="22"/>
  <c r="B28" i="22"/>
  <c r="H28" i="22" s="1" a="1"/>
  <c r="H28" i="22" s="1"/>
  <c r="F27" i="22"/>
  <c r="B27" i="22"/>
  <c r="H27" i="22" s="1" a="1"/>
  <c r="H27" i="22" s="1"/>
  <c r="F26" i="22"/>
  <c r="B26" i="22"/>
  <c r="H26" i="22" s="1" a="1"/>
  <c r="H26" i="22" s="1"/>
  <c r="F25" i="22"/>
  <c r="B25" i="22"/>
  <c r="H25" i="22" s="1" a="1"/>
  <c r="H25" i="22" s="1"/>
  <c r="F24" i="22"/>
  <c r="B24" i="22"/>
  <c r="H24" i="22" s="1" a="1"/>
  <c r="H24" i="22" s="1"/>
  <c r="F23" i="22"/>
  <c r="B23" i="22"/>
  <c r="H23" i="22" s="1" a="1"/>
  <c r="H23" i="22" s="1"/>
  <c r="F22" i="22"/>
  <c r="B22" i="22"/>
  <c r="H22" i="22" s="1" a="1"/>
  <c r="H22" i="22" s="1"/>
  <c r="F21" i="22"/>
  <c r="B21" i="22"/>
  <c r="H21" i="22" s="1" a="1"/>
  <c r="H21" i="22" s="1"/>
  <c r="F20" i="22"/>
  <c r="B20" i="22"/>
  <c r="H20" i="22" s="1" a="1"/>
  <c r="H20" i="22" s="1"/>
  <c r="F19" i="22"/>
  <c r="B19" i="22"/>
  <c r="H19" i="22" s="1" a="1"/>
  <c r="H19" i="22" s="1"/>
  <c r="F18" i="22"/>
  <c r="B18" i="22"/>
  <c r="H18" i="22" s="1" a="1"/>
  <c r="H18" i="22" s="1"/>
  <c r="F17" i="22"/>
  <c r="B17" i="22"/>
  <c r="H17" i="22" s="1" a="1"/>
  <c r="H17" i="22" s="1"/>
  <c r="H16" i="22" a="1"/>
  <c r="H16" i="22" s="1"/>
  <c r="F16" i="22"/>
  <c r="B16" i="22"/>
  <c r="F15" i="22"/>
  <c r="B15" i="22"/>
  <c r="H15" i="22" s="1" a="1"/>
  <c r="H15" i="22" s="1"/>
  <c r="F14" i="22"/>
  <c r="B14" i="22"/>
  <c r="H14" i="22" s="1" a="1"/>
  <c r="H14" i="22" s="1"/>
  <c r="F13" i="22"/>
  <c r="B13" i="22"/>
  <c r="H13" i="22" s="1" a="1"/>
  <c r="H13" i="22" s="1"/>
  <c r="F12" i="22"/>
  <c r="B12" i="22"/>
  <c r="H12" i="22" s="1" a="1"/>
  <c r="H12" i="22" s="1"/>
  <c r="F11" i="22"/>
  <c r="B11" i="22"/>
  <c r="H11" i="22" s="1" a="1"/>
  <c r="H11" i="22" s="1"/>
  <c r="B178" i="21"/>
  <c r="B179" i="21"/>
  <c r="B202" i="21"/>
  <c r="H202" i="21" s="1" a="1"/>
  <c r="H202" i="21" s="1"/>
  <c r="B201" i="21"/>
  <c r="H201" i="21" s="1" a="1"/>
  <c r="H201" i="21" s="1"/>
  <c r="B200" i="21"/>
  <c r="H200" i="21" s="1" a="1"/>
  <c r="H200" i="21" s="1"/>
  <c r="B199" i="21"/>
  <c r="H199" i="21" s="1" a="1"/>
  <c r="H199" i="21" s="1"/>
  <c r="B198" i="21"/>
  <c r="H198" i="21" s="1" a="1"/>
  <c r="H198" i="21" s="1"/>
  <c r="B197" i="21"/>
  <c r="H197" i="21" s="1" a="1"/>
  <c r="H197" i="21" s="1"/>
  <c r="B196" i="21"/>
  <c r="H196" i="21" s="1" a="1"/>
  <c r="H196" i="21" s="1"/>
  <c r="B195" i="21"/>
  <c r="H195" i="21" s="1" a="1"/>
  <c r="H195" i="21" s="1"/>
  <c r="B194" i="21"/>
  <c r="H194" i="21" s="1" a="1"/>
  <c r="H194" i="21" s="1"/>
  <c r="B193" i="21"/>
  <c r="H193" i="21" s="1" a="1"/>
  <c r="H193" i="21" s="1"/>
  <c r="H192" i="21" a="1"/>
  <c r="H192" i="21" s="1"/>
  <c r="B192" i="21"/>
  <c r="H191" i="21" a="1"/>
  <c r="H191" i="21" s="1"/>
  <c r="B191" i="21"/>
  <c r="H190" i="21" a="1"/>
  <c r="H190" i="21" s="1"/>
  <c r="B190" i="21"/>
  <c r="B189" i="21"/>
  <c r="H189" i="21" s="1" a="1"/>
  <c r="H189" i="21" s="1"/>
  <c r="H185" i="21" a="1"/>
  <c r="H185" i="21" s="1"/>
  <c r="B185" i="21"/>
  <c r="H184" i="21" a="1"/>
  <c r="H184" i="21" s="1"/>
  <c r="B184" i="21"/>
  <c r="H183" i="21" a="1"/>
  <c r="H183" i="21" s="1"/>
  <c r="B183" i="21"/>
  <c r="H179" i="21" a="1"/>
  <c r="H179" i="21" s="1"/>
  <c r="F179" i="21"/>
  <c r="H178" i="21" a="1"/>
  <c r="H178" i="21" s="1"/>
  <c r="F178" i="21"/>
  <c r="F177" i="21"/>
  <c r="B177" i="21"/>
  <c r="H177" i="21" s="1" a="1"/>
  <c r="H177" i="21" s="1"/>
  <c r="F176" i="21"/>
  <c r="B176" i="21"/>
  <c r="H176" i="21" s="1" a="1"/>
  <c r="H176" i="21" s="1"/>
  <c r="H175" i="21" a="1"/>
  <c r="H175" i="21" s="1"/>
  <c r="F175" i="21"/>
  <c r="B175" i="21"/>
  <c r="F174" i="21"/>
  <c r="B174" i="21"/>
  <c r="H174" i="21" s="1" a="1"/>
  <c r="H174" i="21" s="1"/>
  <c r="F173" i="21"/>
  <c r="B173" i="21"/>
  <c r="H173" i="21" s="1" a="1"/>
  <c r="H173" i="21" s="1"/>
  <c r="F172" i="21"/>
  <c r="B172" i="21"/>
  <c r="H172" i="21" s="1" a="1"/>
  <c r="H172" i="21" s="1"/>
  <c r="F171" i="21"/>
  <c r="B171" i="21"/>
  <c r="H171" i="21" s="1" a="1"/>
  <c r="H171" i="21" s="1"/>
  <c r="F170" i="21"/>
  <c r="B170" i="21"/>
  <c r="H170" i="21" s="1" a="1"/>
  <c r="H170" i="21" s="1"/>
  <c r="F169" i="21"/>
  <c r="B169" i="21"/>
  <c r="H169" i="21" s="1" a="1"/>
  <c r="H169" i="21" s="1"/>
  <c r="H168" i="21" a="1"/>
  <c r="H168" i="21" s="1"/>
  <c r="F168" i="21"/>
  <c r="B168" i="21"/>
  <c r="H167" i="21" a="1"/>
  <c r="H167" i="21" s="1"/>
  <c r="F167" i="21"/>
  <c r="B167" i="21"/>
  <c r="F166" i="21"/>
  <c r="B166" i="21"/>
  <c r="H166" i="21" s="1" a="1"/>
  <c r="H166" i="21" s="1"/>
  <c r="F165" i="21"/>
  <c r="B165" i="21"/>
  <c r="H165" i="21" s="1" a="1"/>
  <c r="H165" i="21" s="1"/>
  <c r="F164" i="21"/>
  <c r="B164" i="21"/>
  <c r="H164" i="21" s="1" a="1"/>
  <c r="H164" i="21" s="1"/>
  <c r="F163" i="21"/>
  <c r="B163" i="21"/>
  <c r="H163" i="21" s="1" a="1"/>
  <c r="H163" i="21" s="1"/>
  <c r="F162" i="21"/>
  <c r="B162" i="21"/>
  <c r="H162" i="21" s="1" a="1"/>
  <c r="H162" i="21" s="1"/>
  <c r="F161" i="21"/>
  <c r="B161" i="21"/>
  <c r="H161" i="21" s="1" a="1"/>
  <c r="H161" i="21" s="1"/>
  <c r="H160" i="21" a="1"/>
  <c r="H160" i="21" s="1"/>
  <c r="F160" i="21"/>
  <c r="B160" i="21"/>
  <c r="F159" i="21"/>
  <c r="B159" i="21"/>
  <c r="H159" i="21" s="1" a="1"/>
  <c r="H159" i="21" s="1"/>
  <c r="F158" i="21"/>
  <c r="B158" i="21"/>
  <c r="H158" i="21" s="1" a="1"/>
  <c r="H158" i="21" s="1"/>
  <c r="H157" i="21" a="1"/>
  <c r="H157" i="21" s="1"/>
  <c r="F157" i="21"/>
  <c r="B157" i="21"/>
  <c r="F156" i="21"/>
  <c r="B156" i="21"/>
  <c r="H156" i="21" s="1" a="1"/>
  <c r="H156" i="21" s="1"/>
  <c r="F155" i="21"/>
  <c r="B155" i="21"/>
  <c r="H155" i="21" s="1" a="1"/>
  <c r="H155" i="21" s="1"/>
  <c r="F154" i="21"/>
  <c r="B154" i="21"/>
  <c r="H154" i="21" s="1" a="1"/>
  <c r="H154" i="21" s="1"/>
  <c r="F153" i="21"/>
  <c r="B153" i="21"/>
  <c r="H153" i="21" s="1" a="1"/>
  <c r="H153" i="21" s="1"/>
  <c r="F152" i="21"/>
  <c r="B152" i="21"/>
  <c r="H152" i="21" s="1" a="1"/>
  <c r="H152" i="21" s="1"/>
  <c r="F151" i="21"/>
  <c r="B151" i="21"/>
  <c r="H151" i="21" s="1" a="1"/>
  <c r="H151" i="21" s="1"/>
  <c r="F150" i="21"/>
  <c r="B150" i="21"/>
  <c r="H150" i="21" s="1" a="1"/>
  <c r="H150" i="21" s="1"/>
  <c r="F149" i="21"/>
  <c r="B149" i="21"/>
  <c r="H149" i="21" s="1" a="1"/>
  <c r="H149" i="21" s="1"/>
  <c r="F148" i="21"/>
  <c r="B148" i="21"/>
  <c r="H148" i="21" s="1" a="1"/>
  <c r="H148" i="21" s="1"/>
  <c r="F147" i="21"/>
  <c r="B147" i="21"/>
  <c r="H147" i="21" s="1" a="1"/>
  <c r="H147" i="21" s="1"/>
  <c r="F146" i="21"/>
  <c r="B146" i="21"/>
  <c r="H146" i="21" s="1" a="1"/>
  <c r="H146" i="21" s="1"/>
  <c r="F145" i="21"/>
  <c r="B145" i="21"/>
  <c r="H145" i="21" s="1" a="1"/>
  <c r="H145" i="21" s="1"/>
  <c r="F144" i="21"/>
  <c r="B144" i="21"/>
  <c r="H144" i="21" s="1" a="1"/>
  <c r="H144" i="21" s="1"/>
  <c r="F143" i="21"/>
  <c r="B143" i="21"/>
  <c r="H143" i="21" s="1" a="1"/>
  <c r="H143" i="21" s="1"/>
  <c r="F142" i="21"/>
  <c r="B142" i="21"/>
  <c r="H142" i="21" s="1" a="1"/>
  <c r="H142" i="21" s="1"/>
  <c r="F141" i="21"/>
  <c r="B141" i="21"/>
  <c r="H141" i="21" s="1" a="1"/>
  <c r="H141" i="21" s="1"/>
  <c r="F140" i="21"/>
  <c r="B140" i="21"/>
  <c r="H140" i="21" s="1" a="1"/>
  <c r="H140" i="21" s="1"/>
  <c r="F139" i="21"/>
  <c r="B139" i="21"/>
  <c r="H139" i="21" s="1" a="1"/>
  <c r="H139" i="21" s="1"/>
  <c r="F138" i="21"/>
  <c r="B138" i="21"/>
  <c r="H138" i="21" s="1" a="1"/>
  <c r="H138" i="21" s="1"/>
  <c r="F137" i="21"/>
  <c r="B137" i="21"/>
  <c r="H137" i="21" s="1" a="1"/>
  <c r="H137" i="21" s="1"/>
  <c r="F136" i="21"/>
  <c r="B136" i="21"/>
  <c r="H136" i="21" s="1" a="1"/>
  <c r="H136" i="21" s="1"/>
  <c r="H135" i="21" a="1"/>
  <c r="H135" i="21" s="1"/>
  <c r="B135" i="21"/>
  <c r="F134" i="21"/>
  <c r="B134" i="21"/>
  <c r="H134" i="21" s="1" a="1"/>
  <c r="H134" i="21" s="1"/>
  <c r="F133" i="21"/>
  <c r="B133" i="21"/>
  <c r="H133" i="21" s="1" a="1"/>
  <c r="H133" i="21" s="1"/>
  <c r="F132" i="21"/>
  <c r="B132" i="21"/>
  <c r="H132" i="21" s="1" a="1"/>
  <c r="H132" i="21" s="1"/>
  <c r="F131" i="21"/>
  <c r="B131" i="21"/>
  <c r="H131" i="21" s="1" a="1"/>
  <c r="H131" i="21" s="1"/>
  <c r="H130" i="21" a="1"/>
  <c r="H130" i="21" s="1"/>
  <c r="F130" i="21"/>
  <c r="B130" i="21"/>
  <c r="B129" i="21"/>
  <c r="H129" i="21" s="1" a="1"/>
  <c r="H129" i="21" s="1"/>
  <c r="F128" i="21"/>
  <c r="B128" i="21"/>
  <c r="H128" i="21" s="1" a="1"/>
  <c r="H128" i="21" s="1"/>
  <c r="F127" i="21"/>
  <c r="B127" i="21"/>
  <c r="H127" i="21" s="1" a="1"/>
  <c r="H127" i="21" s="1"/>
  <c r="F126" i="21"/>
  <c r="B126" i="21"/>
  <c r="H126" i="21" s="1" a="1"/>
  <c r="H126" i="21" s="1"/>
  <c r="F125" i="21"/>
  <c r="B125" i="21"/>
  <c r="H125" i="21" s="1" a="1"/>
  <c r="H125" i="21" s="1"/>
  <c r="H124" i="21" a="1"/>
  <c r="H124" i="21" s="1"/>
  <c r="F124" i="21"/>
  <c r="B124" i="21"/>
  <c r="F123" i="21"/>
  <c r="B123" i="21"/>
  <c r="H123" i="21" s="1" a="1"/>
  <c r="H123" i="21" s="1"/>
  <c r="H122" i="21" a="1"/>
  <c r="H122" i="21" s="1"/>
  <c r="F122" i="21"/>
  <c r="B122" i="21"/>
  <c r="F121" i="21"/>
  <c r="B121" i="21"/>
  <c r="H121" i="21" s="1" a="1"/>
  <c r="H121" i="21" s="1"/>
  <c r="F120" i="21"/>
  <c r="B120" i="21"/>
  <c r="H120" i="21" s="1" a="1"/>
  <c r="H120" i="21" s="1"/>
  <c r="F119" i="21"/>
  <c r="B119" i="21"/>
  <c r="H119" i="21" s="1" a="1"/>
  <c r="H119" i="21" s="1"/>
  <c r="H118" i="21" a="1"/>
  <c r="H118" i="21" s="1"/>
  <c r="F118" i="21"/>
  <c r="B118" i="21"/>
  <c r="H117" i="21" a="1"/>
  <c r="H117" i="21" s="1"/>
  <c r="F117" i="21"/>
  <c r="B117" i="21"/>
  <c r="F116" i="21"/>
  <c r="B116" i="21"/>
  <c r="H116" i="21" s="1" a="1"/>
  <c r="H116" i="21" s="1"/>
  <c r="F115" i="21"/>
  <c r="B115" i="21"/>
  <c r="H115" i="21" s="1" a="1"/>
  <c r="H115" i="21" s="1"/>
  <c r="F114" i="21"/>
  <c r="B114" i="21"/>
  <c r="H114" i="21" s="1" a="1"/>
  <c r="H114" i="21" s="1"/>
  <c r="F113" i="21"/>
  <c r="B113" i="21"/>
  <c r="H113" i="21" s="1" a="1"/>
  <c r="H113" i="21" s="1"/>
  <c r="H112" i="21" a="1"/>
  <c r="H112" i="21" s="1"/>
  <c r="F112" i="21"/>
  <c r="B112" i="21"/>
  <c r="H111" i="21" a="1"/>
  <c r="H111" i="21" s="1"/>
  <c r="F111" i="21"/>
  <c r="B111" i="21"/>
  <c r="F110" i="21"/>
  <c r="B110" i="21"/>
  <c r="H110" i="21" s="1" a="1"/>
  <c r="H110" i="21" s="1"/>
  <c r="H109" i="21" a="1"/>
  <c r="H109" i="21" s="1"/>
  <c r="F109" i="21"/>
  <c r="B109" i="21"/>
  <c r="H108" i="21" a="1"/>
  <c r="H108" i="21" s="1"/>
  <c r="F108" i="21"/>
  <c r="B108" i="21"/>
  <c r="F107" i="21"/>
  <c r="B107" i="21"/>
  <c r="H107" i="21" s="1" a="1"/>
  <c r="H107" i="21" s="1"/>
  <c r="F106" i="21"/>
  <c r="B106" i="21"/>
  <c r="H106" i="21" s="1" a="1"/>
  <c r="H106" i="21" s="1"/>
  <c r="F105" i="21"/>
  <c r="B105" i="21"/>
  <c r="H105" i="21" s="1" a="1"/>
  <c r="H105" i="21" s="1"/>
  <c r="F104" i="21"/>
  <c r="B104" i="21"/>
  <c r="H104" i="21" s="1" a="1"/>
  <c r="H104" i="21" s="1"/>
  <c r="F103" i="21"/>
  <c r="B103" i="21"/>
  <c r="H103" i="21" s="1" a="1"/>
  <c r="H103" i="21" s="1"/>
  <c r="F102" i="21"/>
  <c r="B102" i="21"/>
  <c r="H102" i="21" s="1" a="1"/>
  <c r="H102" i="21" s="1"/>
  <c r="F101" i="21"/>
  <c r="B101" i="21"/>
  <c r="H101" i="21" s="1" a="1"/>
  <c r="H101" i="21" s="1"/>
  <c r="F100" i="21"/>
  <c r="B100" i="21"/>
  <c r="H100" i="21" s="1" a="1"/>
  <c r="H100" i="21" s="1"/>
  <c r="F99" i="21"/>
  <c r="B99" i="21"/>
  <c r="H99" i="21" s="1" a="1"/>
  <c r="H99" i="21" s="1"/>
  <c r="F98" i="21"/>
  <c r="B98" i="21"/>
  <c r="H98" i="21" s="1" a="1"/>
  <c r="H98" i="21" s="1"/>
  <c r="F97" i="21"/>
  <c r="B97" i="21"/>
  <c r="H97" i="21" s="1" a="1"/>
  <c r="H97" i="21" s="1"/>
  <c r="H96" i="21" a="1"/>
  <c r="H96" i="21" s="1"/>
  <c r="F96" i="21"/>
  <c r="B96" i="21"/>
  <c r="H95" i="21" a="1"/>
  <c r="H95" i="21" s="1"/>
  <c r="F95" i="21"/>
  <c r="B95" i="21"/>
  <c r="F94" i="21"/>
  <c r="B94" i="21"/>
  <c r="H94" i="21" s="1" a="1"/>
  <c r="H94" i="21" s="1"/>
  <c r="F93" i="21"/>
  <c r="B93" i="21"/>
  <c r="H93" i="21" s="1" a="1"/>
  <c r="H93" i="21" s="1"/>
  <c r="H92" i="21" a="1"/>
  <c r="H92" i="21" s="1"/>
  <c r="F92" i="21"/>
  <c r="B92" i="21"/>
  <c r="F91" i="21"/>
  <c r="B91" i="21"/>
  <c r="H91" i="21" s="1" a="1"/>
  <c r="H91" i="21" s="1"/>
  <c r="F90" i="21"/>
  <c r="B90" i="21"/>
  <c r="H90" i="21" s="1" a="1"/>
  <c r="H90" i="21" s="1"/>
  <c r="H89" i="21" a="1"/>
  <c r="H89" i="21" s="1"/>
  <c r="F89" i="21"/>
  <c r="B89" i="21"/>
  <c r="H88" i="21" a="1"/>
  <c r="H88" i="21" s="1"/>
  <c r="F88" i="21"/>
  <c r="B88" i="21"/>
  <c r="F87" i="21"/>
  <c r="B87" i="21"/>
  <c r="H87" i="21" s="1" a="1"/>
  <c r="H87" i="21" s="1"/>
  <c r="F86" i="21"/>
  <c r="B86" i="21"/>
  <c r="H86" i="21" s="1" a="1"/>
  <c r="H86" i="21" s="1"/>
  <c r="F85" i="21"/>
  <c r="B85" i="21"/>
  <c r="H85" i="21" s="1" a="1"/>
  <c r="H85" i="21" s="1"/>
  <c r="F84" i="21"/>
  <c r="B84" i="21"/>
  <c r="H84" i="21" s="1" a="1"/>
  <c r="H84" i="21" s="1"/>
  <c r="F83" i="21"/>
  <c r="B83" i="21"/>
  <c r="H83" i="21" s="1" a="1"/>
  <c r="H83" i="21" s="1"/>
  <c r="F82" i="21"/>
  <c r="B82" i="21"/>
  <c r="H82" i="21" s="1" a="1"/>
  <c r="H82" i="21" s="1"/>
  <c r="F81" i="21"/>
  <c r="B81" i="21"/>
  <c r="H81" i="21" s="1" a="1"/>
  <c r="H81" i="21" s="1"/>
  <c r="F80" i="21"/>
  <c r="B80" i="21"/>
  <c r="H80" i="21" s="1" a="1"/>
  <c r="H80" i="21" s="1"/>
  <c r="F79" i="21"/>
  <c r="B79" i="21"/>
  <c r="H79" i="21" s="1" a="1"/>
  <c r="H79" i="21" s="1"/>
  <c r="F78" i="21"/>
  <c r="B78" i="21"/>
  <c r="H78" i="21" s="1" a="1"/>
  <c r="H78" i="21" s="1"/>
  <c r="F77" i="21"/>
  <c r="B77" i="21"/>
  <c r="H77" i="21" s="1" a="1"/>
  <c r="H77" i="21" s="1"/>
  <c r="F76" i="21"/>
  <c r="B76" i="21"/>
  <c r="H76" i="21" s="1" a="1"/>
  <c r="H76" i="21" s="1"/>
  <c r="B75" i="21"/>
  <c r="H75" i="21" s="1" a="1"/>
  <c r="H75" i="21" s="1"/>
  <c r="F74" i="21"/>
  <c r="B74" i="21"/>
  <c r="H74" i="21" s="1" a="1"/>
  <c r="H74" i="21" s="1"/>
  <c r="F73" i="21"/>
  <c r="B73" i="21"/>
  <c r="H73" i="21" s="1" a="1"/>
  <c r="H73" i="21" s="1"/>
  <c r="F72" i="21"/>
  <c r="B72" i="21"/>
  <c r="H72" i="21" s="1" a="1"/>
  <c r="H72" i="21" s="1"/>
  <c r="F71" i="21"/>
  <c r="B71" i="21"/>
  <c r="H71" i="21" s="1" a="1"/>
  <c r="H71" i="21" s="1"/>
  <c r="F70" i="21"/>
  <c r="B70" i="21"/>
  <c r="H70" i="21" s="1" a="1"/>
  <c r="H70" i="21" s="1"/>
  <c r="F69" i="21"/>
  <c r="B69" i="21"/>
  <c r="H69" i="21" s="1" a="1"/>
  <c r="H69" i="21" s="1"/>
  <c r="F68" i="21"/>
  <c r="B68" i="21"/>
  <c r="H68" i="21" s="1" a="1"/>
  <c r="H68" i="21" s="1"/>
  <c r="F67" i="21"/>
  <c r="B67" i="21"/>
  <c r="H67" i="21" s="1" a="1"/>
  <c r="H67" i="21" s="1"/>
  <c r="F66" i="21"/>
  <c r="B66" i="21"/>
  <c r="H66" i="21" s="1" a="1"/>
  <c r="H66" i="21" s="1"/>
  <c r="F65" i="21"/>
  <c r="B65" i="21"/>
  <c r="H65" i="21" s="1" a="1"/>
  <c r="H65" i="21" s="1"/>
  <c r="F64" i="21"/>
  <c r="B64" i="21"/>
  <c r="H64" i="21" s="1" a="1"/>
  <c r="H64" i="21" s="1"/>
  <c r="F63" i="21"/>
  <c r="B63" i="21"/>
  <c r="H63" i="21" s="1" a="1"/>
  <c r="H63" i="21" s="1"/>
  <c r="F62" i="21"/>
  <c r="B62" i="21"/>
  <c r="H62" i="21" s="1" a="1"/>
  <c r="H62" i="21" s="1"/>
  <c r="F61" i="21"/>
  <c r="B61" i="21"/>
  <c r="H61" i="21" s="1" a="1"/>
  <c r="H61" i="21" s="1"/>
  <c r="F60" i="21"/>
  <c r="B60" i="21"/>
  <c r="H60" i="21" s="1" a="1"/>
  <c r="H60" i="21" s="1"/>
  <c r="F59" i="21"/>
  <c r="B59" i="21"/>
  <c r="H59" i="21" s="1" a="1"/>
  <c r="H59" i="21" s="1"/>
  <c r="F58" i="21"/>
  <c r="B58" i="21"/>
  <c r="H58" i="21" s="1" a="1"/>
  <c r="H58" i="21" s="1"/>
  <c r="F57" i="21"/>
  <c r="B57" i="21"/>
  <c r="H57" i="21" s="1" a="1"/>
  <c r="H57" i="21" s="1"/>
  <c r="F56" i="21"/>
  <c r="B56" i="21"/>
  <c r="H56" i="21" s="1" a="1"/>
  <c r="H56" i="21" s="1"/>
  <c r="F55" i="21"/>
  <c r="B55" i="21"/>
  <c r="H55" i="21" s="1" a="1"/>
  <c r="H55" i="21" s="1"/>
  <c r="F54" i="21"/>
  <c r="B54" i="21"/>
  <c r="H54" i="21" s="1" a="1"/>
  <c r="H54" i="21" s="1"/>
  <c r="F53" i="21"/>
  <c r="B53" i="21"/>
  <c r="H53" i="21" s="1" a="1"/>
  <c r="H53" i="21" s="1"/>
  <c r="F52" i="21"/>
  <c r="B52" i="21"/>
  <c r="H52" i="21" s="1" a="1"/>
  <c r="H52" i="21" s="1"/>
  <c r="F51" i="21"/>
  <c r="B51" i="21"/>
  <c r="H51" i="21" s="1" a="1"/>
  <c r="H51" i="21" s="1"/>
  <c r="F50" i="21"/>
  <c r="B50" i="21"/>
  <c r="H50" i="21" s="1" a="1"/>
  <c r="H50" i="21" s="1"/>
  <c r="F49" i="21"/>
  <c r="B49" i="21"/>
  <c r="H49" i="21" s="1" a="1"/>
  <c r="H49" i="21" s="1"/>
  <c r="F48" i="21"/>
  <c r="B48" i="21"/>
  <c r="H48" i="21" s="1" a="1"/>
  <c r="H48" i="21" s="1"/>
  <c r="F47" i="21"/>
  <c r="B47" i="21"/>
  <c r="H47" i="21" s="1" a="1"/>
  <c r="H47" i="21" s="1"/>
  <c r="F46" i="21"/>
  <c r="B46" i="21"/>
  <c r="H46" i="21" s="1" a="1"/>
  <c r="H46" i="21" s="1"/>
  <c r="F45" i="21"/>
  <c r="B45" i="21"/>
  <c r="H45" i="21" s="1" a="1"/>
  <c r="H45" i="21" s="1"/>
  <c r="F44" i="21"/>
  <c r="B44" i="21"/>
  <c r="H44" i="21" s="1" a="1"/>
  <c r="H44" i="21" s="1"/>
  <c r="F43" i="21"/>
  <c r="B43" i="21"/>
  <c r="H43" i="21" s="1" a="1"/>
  <c r="H43" i="21" s="1"/>
  <c r="F42" i="21"/>
  <c r="B42" i="21"/>
  <c r="H42" i="21" s="1" a="1"/>
  <c r="H42" i="21" s="1"/>
  <c r="B41" i="21"/>
  <c r="H41" i="21" s="1" a="1"/>
  <c r="H41" i="21" s="1"/>
  <c r="F40" i="21"/>
  <c r="B40" i="21"/>
  <c r="H40" i="21" s="1" a="1"/>
  <c r="H40" i="21" s="1"/>
  <c r="F39" i="21"/>
  <c r="B39" i="21"/>
  <c r="H39" i="21" s="1" a="1"/>
  <c r="H39" i="21" s="1"/>
  <c r="F38" i="21"/>
  <c r="B38" i="21"/>
  <c r="H38" i="21" s="1" a="1"/>
  <c r="H38" i="21" s="1"/>
  <c r="F37" i="21"/>
  <c r="B37" i="21"/>
  <c r="H37" i="21" s="1" a="1"/>
  <c r="H37" i="21" s="1"/>
  <c r="F36" i="21"/>
  <c r="B36" i="21"/>
  <c r="H36" i="21" s="1" a="1"/>
  <c r="H36" i="21" s="1"/>
  <c r="F35" i="21"/>
  <c r="B35" i="21"/>
  <c r="H35" i="21" s="1" a="1"/>
  <c r="H35" i="21" s="1"/>
  <c r="F34" i="21"/>
  <c r="B34" i="21"/>
  <c r="H34" i="21" s="1" a="1"/>
  <c r="H34" i="21" s="1"/>
  <c r="F33" i="21"/>
  <c r="B33" i="21"/>
  <c r="H33" i="21" s="1" a="1"/>
  <c r="H33" i="21" s="1"/>
  <c r="F32" i="21"/>
  <c r="B32" i="21"/>
  <c r="H32" i="21" s="1" a="1"/>
  <c r="H32" i="21" s="1"/>
  <c r="F31" i="21"/>
  <c r="B31" i="21"/>
  <c r="H31" i="21" s="1" a="1"/>
  <c r="H31" i="21" s="1"/>
  <c r="F30" i="21"/>
  <c r="B30" i="21"/>
  <c r="H30" i="21" s="1" a="1"/>
  <c r="H30" i="21" s="1"/>
  <c r="F29" i="21"/>
  <c r="B29" i="21"/>
  <c r="H29" i="21" s="1" a="1"/>
  <c r="H29" i="21" s="1"/>
  <c r="F28" i="21"/>
  <c r="B28" i="21"/>
  <c r="H28" i="21" s="1" a="1"/>
  <c r="H28" i="21" s="1"/>
  <c r="F27" i="21"/>
  <c r="B27" i="21"/>
  <c r="H27" i="21" s="1" a="1"/>
  <c r="H27" i="21" s="1"/>
  <c r="F26" i="21"/>
  <c r="B26" i="21"/>
  <c r="H26" i="21" s="1" a="1"/>
  <c r="H26" i="21" s="1"/>
  <c r="F25" i="21"/>
  <c r="B25" i="21"/>
  <c r="H25" i="21" s="1" a="1"/>
  <c r="H25" i="21" s="1"/>
  <c r="F24" i="21"/>
  <c r="B24" i="21"/>
  <c r="H24" i="21" s="1" a="1"/>
  <c r="H24" i="21" s="1"/>
  <c r="F23" i="21"/>
  <c r="B23" i="21"/>
  <c r="H23" i="21" s="1" a="1"/>
  <c r="H23" i="21" s="1"/>
  <c r="F22" i="21"/>
  <c r="B22" i="21"/>
  <c r="H22" i="21" s="1" a="1"/>
  <c r="H22" i="21" s="1"/>
  <c r="F21" i="21"/>
  <c r="B21" i="21"/>
  <c r="H21" i="21" s="1" a="1"/>
  <c r="H21" i="21" s="1"/>
  <c r="F20" i="21"/>
  <c r="B20" i="21"/>
  <c r="H20" i="21" s="1" a="1"/>
  <c r="H20" i="21" s="1"/>
  <c r="F19" i="21"/>
  <c r="B19" i="21"/>
  <c r="H19" i="21" s="1" a="1"/>
  <c r="H19" i="21" s="1"/>
  <c r="F18" i="21"/>
  <c r="B18" i="21"/>
  <c r="H18" i="21" s="1" a="1"/>
  <c r="H18" i="21" s="1"/>
  <c r="F17" i="21"/>
  <c r="B17" i="21"/>
  <c r="H17" i="21" s="1" a="1"/>
  <c r="H17" i="21" s="1"/>
  <c r="H16" i="21" a="1"/>
  <c r="H16" i="21" s="1"/>
  <c r="F16" i="21"/>
  <c r="B16" i="21"/>
  <c r="F15" i="21"/>
  <c r="B15" i="21"/>
  <c r="H15" i="21" s="1" a="1"/>
  <c r="H15" i="21" s="1"/>
  <c r="F14" i="21"/>
  <c r="B14" i="21"/>
  <c r="H14" i="21" s="1" a="1"/>
  <c r="H14" i="21" s="1"/>
  <c r="F13" i="21"/>
  <c r="B13" i="21"/>
  <c r="H13" i="21" s="1" a="1"/>
  <c r="H13" i="21" s="1"/>
  <c r="F12" i="21"/>
  <c r="B12" i="21"/>
  <c r="H12" i="21" s="1" a="1"/>
  <c r="H12" i="21" s="1"/>
  <c r="F11" i="21"/>
  <c r="B11" i="21"/>
  <c r="H11" i="21" s="1" a="1"/>
  <c r="H11" i="21" s="1"/>
  <c r="F101" i="23"/>
  <c r="B101" i="23"/>
  <c r="H101" i="23" s="1" a="1"/>
  <c r="H101" i="23" s="1"/>
  <c r="F100" i="23"/>
  <c r="B100" i="23"/>
  <c r="H100" i="23" s="1" a="1"/>
  <c r="H100" i="23" s="1"/>
  <c r="F98" i="23"/>
  <c r="B98" i="23"/>
  <c r="H98" i="23" s="1" a="1"/>
  <c r="H98" i="23" s="1"/>
  <c r="F77" i="23"/>
  <c r="B77" i="23"/>
  <c r="H77" i="23" s="1" a="1"/>
  <c r="H77" i="23" s="1"/>
  <c r="F73" i="23"/>
  <c r="B73" i="23"/>
  <c r="H73" i="23" s="1" a="1"/>
  <c r="H73" i="23" s="1"/>
  <c r="F101" i="24"/>
  <c r="B101" i="24"/>
  <c r="H101" i="24" s="1" a="1"/>
  <c r="H101" i="24" s="1"/>
  <c r="F100" i="24"/>
  <c r="B100" i="24"/>
  <c r="H100" i="24" s="1" a="1"/>
  <c r="H100" i="24" s="1"/>
  <c r="F99" i="24"/>
  <c r="B99" i="24"/>
  <c r="H99" i="24" s="1" a="1"/>
  <c r="H99" i="24" s="1"/>
  <c r="F98" i="24"/>
  <c r="B98" i="24"/>
  <c r="H98" i="24" s="1" a="1"/>
  <c r="H98" i="24" s="1"/>
  <c r="F45" i="5"/>
  <c r="B45" i="5"/>
  <c r="H45" i="5" s="1" a="1"/>
  <c r="H45" i="5" s="1"/>
  <c r="F91" i="24"/>
  <c r="B91" i="24"/>
  <c r="H91" i="24" s="1" a="1"/>
  <c r="H91" i="24" s="1"/>
  <c r="F87" i="24"/>
  <c r="B87" i="24"/>
  <c r="H87" i="24" s="1" a="1"/>
  <c r="H87" i="24" s="1"/>
  <c r="F90" i="24"/>
  <c r="B90" i="24"/>
  <c r="H90" i="24" s="1" a="1"/>
  <c r="H90" i="24" s="1"/>
  <c r="F89" i="24"/>
  <c r="B89" i="24"/>
  <c r="H89" i="24" s="1" a="1"/>
  <c r="H89" i="24" s="1"/>
  <c r="F107" i="24"/>
  <c r="B107" i="24"/>
  <c r="H107" i="24" s="1" a="1"/>
  <c r="H107" i="24" s="1"/>
  <c r="F106" i="24"/>
  <c r="B106" i="24"/>
  <c r="H106" i="24" s="1" a="1"/>
  <c r="H106" i="24" s="1"/>
  <c r="F97" i="24"/>
  <c r="B97" i="24"/>
  <c r="H97" i="24" s="1" a="1"/>
  <c r="H97" i="24" s="1"/>
  <c r="F96" i="24"/>
  <c r="B96" i="24"/>
  <c r="H96" i="24" s="1" a="1"/>
  <c r="H96" i="24" s="1"/>
  <c r="F95" i="24"/>
  <c r="B95" i="24"/>
  <c r="H95" i="24" s="1" a="1"/>
  <c r="H95" i="24" s="1"/>
  <c r="F94" i="24"/>
  <c r="B94" i="24"/>
  <c r="H94" i="24" s="1" a="1"/>
  <c r="H94" i="24" s="1"/>
  <c r="F22" i="5"/>
  <c r="B22" i="5"/>
  <c r="H22" i="5" s="1" a="1"/>
  <c r="H22" i="5" s="1"/>
  <c r="F57" i="5"/>
  <c r="B57" i="5"/>
  <c r="H57" i="5" s="1" a="1"/>
  <c r="H57" i="5" s="1"/>
  <c r="F55" i="5"/>
  <c r="B55" i="5"/>
  <c r="H55" i="5" s="1" a="1"/>
  <c r="H55" i="5" s="1"/>
  <c r="F54" i="5"/>
  <c r="B54" i="5"/>
  <c r="H54" i="5" s="1" a="1"/>
  <c r="H54" i="5" s="1"/>
  <c r="F113" i="24"/>
  <c r="B113" i="24"/>
  <c r="H113" i="24" s="1" a="1"/>
  <c r="H113" i="24" s="1"/>
  <c r="F112" i="24"/>
  <c r="B112" i="24"/>
  <c r="H112" i="24" s="1" a="1"/>
  <c r="H112" i="24" s="1"/>
  <c r="F111" i="24"/>
  <c r="B111" i="24"/>
  <c r="H111" i="24" s="1" a="1"/>
  <c r="H111" i="24" s="1"/>
  <c r="F110" i="24"/>
  <c r="B110" i="24"/>
  <c r="H110" i="24" s="1" a="1"/>
  <c r="H110" i="24" s="1"/>
  <c r="F164" i="24"/>
  <c r="B164" i="24"/>
  <c r="H164" i="24" s="1" a="1"/>
  <c r="H164" i="24" s="1"/>
  <c r="F163" i="24"/>
  <c r="B163" i="24"/>
  <c r="H163" i="24" s="1" a="1"/>
  <c r="H163" i="24" s="1"/>
  <c r="F162" i="24"/>
  <c r="B162" i="24"/>
  <c r="H162" i="24" s="1" a="1"/>
  <c r="H162" i="24" s="1"/>
  <c r="F160" i="24"/>
  <c r="B160" i="24"/>
  <c r="H160" i="24" s="1" a="1"/>
  <c r="H160" i="24" s="1"/>
  <c r="F159" i="24"/>
  <c r="B159" i="24"/>
  <c r="H159" i="24" s="1" a="1"/>
  <c r="H159" i="24" s="1"/>
  <c r="F158" i="24"/>
  <c r="B158" i="24"/>
  <c r="H158" i="24" s="1" a="1"/>
  <c r="H158" i="24" s="1"/>
  <c r="F161" i="24"/>
  <c r="B161" i="24"/>
  <c r="H161" i="24" s="1" a="1"/>
  <c r="H161" i="24" s="1"/>
  <c r="F157" i="24"/>
  <c r="B157" i="24"/>
  <c r="H157" i="24" s="1" a="1"/>
  <c r="H157" i="24" s="1"/>
  <c r="F35" i="5"/>
  <c r="B35" i="5"/>
  <c r="H35" i="5" s="1" a="1"/>
  <c r="H35" i="5" s="1"/>
  <c r="F121" i="24"/>
  <c r="B121" i="24"/>
  <c r="H121" i="24" s="1" a="1"/>
  <c r="H121" i="24" s="1"/>
  <c r="B40" i="5"/>
  <c r="H40" i="5" s="1" a="1"/>
  <c r="H40" i="5" s="1"/>
  <c r="F39" i="5"/>
  <c r="B39" i="5"/>
  <c r="H39" i="5" s="1" a="1"/>
  <c r="H39" i="5" s="1"/>
  <c r="F38" i="5"/>
  <c r="B38" i="5"/>
  <c r="H38" i="5" s="1" a="1"/>
  <c r="H38" i="5" s="1"/>
  <c r="F37" i="5"/>
  <c r="B37" i="5"/>
  <c r="H37" i="5" s="1" a="1"/>
  <c r="H37" i="5" s="1"/>
  <c r="F36" i="5"/>
  <c r="B36" i="5"/>
  <c r="H36" i="5" s="1" a="1"/>
  <c r="H36" i="5" s="1"/>
  <c r="B136" i="24"/>
  <c r="H136" i="24" s="1" a="1"/>
  <c r="H136" i="24" s="1"/>
  <c r="F136" i="24"/>
  <c r="F46" i="5"/>
  <c r="B46" i="5"/>
  <c r="H46" i="5" s="1" a="1"/>
  <c r="H46" i="5" s="1"/>
  <c r="B126" i="24"/>
  <c r="H126" i="24" s="1" a="1"/>
  <c r="H126" i="24" s="1"/>
  <c r="F125" i="24"/>
  <c r="B125" i="24"/>
  <c r="H125" i="24" s="1" a="1"/>
  <c r="H125" i="24" s="1"/>
  <c r="F124" i="24"/>
  <c r="B124" i="24"/>
  <c r="H124" i="24" s="1" a="1"/>
  <c r="H124" i="24" s="1"/>
  <c r="F123" i="24"/>
  <c r="B123" i="24"/>
  <c r="H123" i="24" s="1" a="1"/>
  <c r="H123" i="24" s="1"/>
  <c r="F122" i="24"/>
  <c r="B122" i="24"/>
  <c r="H122" i="24" s="1" a="1"/>
  <c r="H122" i="24" s="1"/>
  <c r="B51" i="5"/>
  <c r="H51" i="5" s="1" a="1"/>
  <c r="H51" i="5" s="1"/>
  <c r="F50" i="5"/>
  <c r="B50" i="5"/>
  <c r="H50" i="5" s="1" a="1"/>
  <c r="H50" i="5" s="1"/>
  <c r="F49" i="5"/>
  <c r="B49" i="5"/>
  <c r="H49" i="5" s="1" a="1"/>
  <c r="H49" i="5" s="1"/>
  <c r="F48" i="5"/>
  <c r="B48" i="5"/>
  <c r="H48" i="5" s="1" a="1"/>
  <c r="H48" i="5" s="1"/>
  <c r="F47" i="5"/>
  <c r="B47" i="5"/>
  <c r="H47" i="5" s="1" a="1"/>
  <c r="H47" i="5" s="1"/>
  <c r="B30" i="5"/>
  <c r="H30" i="5" s="1" a="1"/>
  <c r="H30" i="5" s="1"/>
  <c r="F29" i="5"/>
  <c r="B29" i="5"/>
  <c r="H29" i="5" s="1" a="1"/>
  <c r="H29" i="5" s="1"/>
  <c r="F28" i="5"/>
  <c r="B28" i="5"/>
  <c r="H28" i="5" s="1" a="1"/>
  <c r="H28" i="5" s="1"/>
  <c r="F27" i="5"/>
  <c r="B27" i="5"/>
  <c r="H27" i="5" s="1" a="1"/>
  <c r="H27" i="5" s="1"/>
  <c r="F26" i="5"/>
  <c r="B26" i="5"/>
  <c r="H26" i="5" s="1" a="1"/>
  <c r="H26" i="5" s="1"/>
  <c r="F25" i="5"/>
  <c r="B25" i="5"/>
  <c r="H25" i="5" s="1" a="1"/>
  <c r="H25" i="5" s="1"/>
  <c r="F74" i="24"/>
  <c r="B74" i="24"/>
  <c r="H74" i="24" s="1" a="1"/>
  <c r="H74" i="24" s="1"/>
  <c r="F48" i="24"/>
  <c r="B48" i="24"/>
  <c r="H48" i="24" s="1" a="1"/>
  <c r="H48" i="24" s="1"/>
  <c r="B55" i="24"/>
  <c r="H55" i="24" s="1" a="1"/>
  <c r="H55" i="24" s="1"/>
  <c r="F54" i="24"/>
  <c r="B54" i="24"/>
  <c r="H54" i="24" s="1" a="1"/>
  <c r="H54" i="24" s="1"/>
  <c r="F53" i="24"/>
  <c r="B53" i="24"/>
  <c r="H53" i="24" s="1" a="1"/>
  <c r="H53" i="24" s="1"/>
  <c r="F52" i="24"/>
  <c r="B52" i="24"/>
  <c r="H52" i="24" s="1" a="1"/>
  <c r="H52" i="24" s="1"/>
  <c r="F51" i="24"/>
  <c r="B51" i="24"/>
  <c r="H51" i="24" s="1" a="1"/>
  <c r="H51" i="24" s="1"/>
  <c r="F172" i="24"/>
  <c r="B172" i="24"/>
  <c r="H172" i="24" s="1" a="1"/>
  <c r="H172" i="24" s="1"/>
  <c r="F85" i="24"/>
  <c r="B85" i="24"/>
  <c r="H85" i="24" s="1" a="1"/>
  <c r="H85" i="24" s="1"/>
  <c r="F84" i="24"/>
  <c r="B84" i="24"/>
  <c r="H84" i="24" s="1" a="1"/>
  <c r="H84" i="24" s="1"/>
  <c r="F70" i="24"/>
  <c r="B70" i="24"/>
  <c r="H70" i="24" s="1" a="1"/>
  <c r="H70" i="24" s="1"/>
  <c r="F69" i="24"/>
  <c r="B69" i="24"/>
  <c r="H69" i="24" s="1" a="1"/>
  <c r="H69" i="24" s="1"/>
  <c r="F66" i="24"/>
  <c r="B66" i="24"/>
  <c r="H66" i="24" s="1" a="1"/>
  <c r="H66" i="24" s="1"/>
  <c r="F65" i="24"/>
  <c r="B65" i="24"/>
  <c r="H65" i="24" s="1" a="1"/>
  <c r="H65" i="24" s="1"/>
  <c r="F64" i="24"/>
  <c r="B64" i="24"/>
  <c r="H64" i="24" s="1" a="1"/>
  <c r="H64" i="24" s="1"/>
  <c r="F61" i="24"/>
  <c r="B61" i="24"/>
  <c r="H61" i="24" s="1" a="1"/>
  <c r="H61" i="24" s="1"/>
  <c r="F60" i="24"/>
  <c r="B60" i="24"/>
  <c r="H60" i="24" s="1" a="1"/>
  <c r="H60" i="24" s="1"/>
  <c r="F59" i="24"/>
  <c r="B59" i="24"/>
  <c r="H59" i="24" s="1" a="1"/>
  <c r="H59" i="24" s="1"/>
  <c r="B52" i="15"/>
  <c r="H52" i="15" s="1" a="1"/>
  <c r="H52" i="15" s="1"/>
  <c r="B51" i="15"/>
  <c r="H51" i="15" s="1" a="1"/>
  <c r="H51" i="15" s="1"/>
  <c r="B34" i="15"/>
  <c r="H34" i="15" s="1" a="1"/>
  <c r="H34" i="15" s="1"/>
  <c r="F33" i="15"/>
  <c r="B33" i="15"/>
  <c r="H33" i="15" s="1" a="1"/>
  <c r="H33" i="15" s="1"/>
  <c r="B217" i="24"/>
  <c r="H217" i="24" s="1" a="1"/>
  <c r="H217" i="24" s="1"/>
  <c r="B216" i="24"/>
  <c r="H216" i="24" s="1" a="1"/>
  <c r="H216" i="24" s="1"/>
  <c r="F171" i="24"/>
  <c r="B171" i="24"/>
  <c r="H171" i="24" s="1" a="1"/>
  <c r="H171" i="24" s="1"/>
  <c r="F170" i="24"/>
  <c r="B170" i="24"/>
  <c r="H170" i="24" s="1" a="1"/>
  <c r="H170" i="24" s="1"/>
  <c r="F169" i="24"/>
  <c r="B169" i="24"/>
  <c r="H169" i="24" s="1" a="1"/>
  <c r="H169" i="24" s="1"/>
  <c r="F168" i="24"/>
  <c r="B168" i="24"/>
  <c r="H168" i="24" s="1" a="1"/>
  <c r="H168" i="24" s="1"/>
  <c r="F167" i="24"/>
  <c r="B167" i="24"/>
  <c r="H167" i="24" s="1" a="1"/>
  <c r="H167" i="24" s="1"/>
  <c r="F166" i="24"/>
  <c r="B166" i="24"/>
  <c r="H166" i="24" s="1" a="1"/>
  <c r="H166" i="24" s="1"/>
  <c r="F165" i="24"/>
  <c r="B165" i="24"/>
  <c r="H165" i="24" s="1" a="1"/>
  <c r="H165" i="24" s="1"/>
  <c r="F155" i="24"/>
  <c r="B155" i="24"/>
  <c r="H155" i="24" s="1" a="1"/>
  <c r="H155" i="24" s="1"/>
  <c r="F154" i="24"/>
  <c r="B154" i="24"/>
  <c r="H154" i="24" s="1" a="1"/>
  <c r="H154" i="24" s="1"/>
  <c r="F153" i="24"/>
  <c r="B153" i="24"/>
  <c r="H153" i="24" s="1" a="1"/>
  <c r="H153" i="24" s="1"/>
  <c r="F152" i="24"/>
  <c r="B152" i="24"/>
  <c r="H152" i="24" s="1" a="1"/>
  <c r="H152" i="24" s="1"/>
  <c r="F151" i="24"/>
  <c r="B151" i="24"/>
  <c r="H151" i="24" s="1" a="1"/>
  <c r="H151" i="24" s="1"/>
  <c r="F150" i="24"/>
  <c r="B150" i="24"/>
  <c r="H150" i="24" s="1" a="1"/>
  <c r="H150" i="24" s="1"/>
  <c r="F149" i="24"/>
  <c r="B149" i="24"/>
  <c r="H149" i="24" s="1" a="1"/>
  <c r="H149" i="24" s="1"/>
  <c r="F148" i="24"/>
  <c r="B148" i="24"/>
  <c r="H148" i="24" s="1" a="1"/>
  <c r="H148" i="24" s="1"/>
  <c r="B147" i="24"/>
  <c r="H147" i="24" s="1" a="1"/>
  <c r="H147" i="24" s="1"/>
  <c r="B146" i="24"/>
  <c r="H146" i="24" s="1" a="1"/>
  <c r="H146" i="24" s="1"/>
  <c r="B145" i="24"/>
  <c r="H145" i="24" s="1" a="1"/>
  <c r="H145" i="24" s="1"/>
  <c r="B141" i="24"/>
  <c r="H141" i="24" s="1" a="1"/>
  <c r="H141" i="24" s="1"/>
  <c r="F140" i="24"/>
  <c r="B140" i="24"/>
  <c r="H140" i="24" s="1" a="1"/>
  <c r="H140" i="24" s="1"/>
  <c r="F139" i="24"/>
  <c r="B139" i="24"/>
  <c r="H139" i="24" s="1" a="1"/>
  <c r="H139" i="24" s="1"/>
  <c r="F138" i="24"/>
  <c r="B138" i="24"/>
  <c r="H138" i="24" s="1" a="1"/>
  <c r="H138" i="24" s="1"/>
  <c r="F137" i="24"/>
  <c r="B137" i="24"/>
  <c r="H137" i="24" s="1" a="1"/>
  <c r="H137" i="24" s="1"/>
  <c r="F135" i="24"/>
  <c r="B135" i="24"/>
  <c r="H135" i="24" s="1" a="1"/>
  <c r="H135" i="24" s="1"/>
  <c r="F134" i="24"/>
  <c r="B134" i="24"/>
  <c r="H134" i="24" s="1" a="1"/>
  <c r="H134" i="24" s="1"/>
  <c r="F133" i="24"/>
  <c r="B133" i="24"/>
  <c r="H133" i="24" s="1" a="1"/>
  <c r="H133" i="24" s="1"/>
  <c r="F130" i="24"/>
  <c r="B130" i="24"/>
  <c r="H130" i="24" s="1" a="1"/>
  <c r="H130" i="24" s="1"/>
  <c r="F129" i="24"/>
  <c r="B129" i="24"/>
  <c r="H129" i="24" s="1" a="1"/>
  <c r="H129" i="24" s="1"/>
  <c r="F132" i="24"/>
  <c r="B132" i="24"/>
  <c r="H132" i="24" s="1" a="1"/>
  <c r="H132" i="24" s="1"/>
  <c r="F131" i="24"/>
  <c r="B131" i="24"/>
  <c r="H131" i="24" s="1" a="1"/>
  <c r="H131" i="24" s="1"/>
  <c r="F128" i="24"/>
  <c r="B128" i="24"/>
  <c r="H128" i="24" s="1" a="1"/>
  <c r="H128" i="24" s="1"/>
  <c r="F127" i="24"/>
  <c r="B127" i="24"/>
  <c r="H127" i="24" s="1" a="1"/>
  <c r="H127" i="24" s="1"/>
  <c r="F120" i="24"/>
  <c r="B120" i="24"/>
  <c r="H120" i="24" s="1" a="1"/>
  <c r="H120" i="24" s="1"/>
  <c r="F119" i="24"/>
  <c r="B119" i="24"/>
  <c r="H119" i="24" s="1" a="1"/>
  <c r="H119" i="24" s="1"/>
  <c r="F118" i="24"/>
  <c r="B118" i="24"/>
  <c r="H118" i="24" s="1" a="1"/>
  <c r="H118" i="24" s="1"/>
  <c r="F117" i="24"/>
  <c r="B117" i="24"/>
  <c r="H117" i="24" s="1" a="1"/>
  <c r="H117" i="24" s="1"/>
  <c r="F116" i="24"/>
  <c r="B116" i="24"/>
  <c r="H116" i="24" s="1" a="1"/>
  <c r="H116" i="24" s="1"/>
  <c r="F115" i="24"/>
  <c r="B115" i="24"/>
  <c r="H115" i="24" s="1" a="1"/>
  <c r="H115" i="24" s="1"/>
  <c r="F114" i="24"/>
  <c r="B114" i="24"/>
  <c r="H114" i="24" s="1" a="1"/>
  <c r="H114" i="24" s="1"/>
  <c r="B109" i="24"/>
  <c r="H109" i="24" s="1" a="1"/>
  <c r="H109" i="24" s="1"/>
  <c r="B108" i="24"/>
  <c r="H108" i="24" s="1" a="1"/>
  <c r="H108" i="24" s="1"/>
  <c r="F105" i="24"/>
  <c r="B105" i="24"/>
  <c r="H105" i="24" s="1" a="1"/>
  <c r="H105" i="24" s="1"/>
  <c r="F104" i="24"/>
  <c r="B104" i="24"/>
  <c r="H104" i="24" s="1" a="1"/>
  <c r="H104" i="24" s="1"/>
  <c r="F103" i="24"/>
  <c r="B103" i="24"/>
  <c r="H103" i="24" s="1" a="1"/>
  <c r="H103" i="24" s="1"/>
  <c r="F102" i="24"/>
  <c r="B102" i="24"/>
  <c r="H102" i="24" s="1" a="1"/>
  <c r="H102" i="24" s="1"/>
  <c r="F93" i="24"/>
  <c r="B93" i="24"/>
  <c r="H93" i="24" s="1" a="1"/>
  <c r="H93" i="24" s="1"/>
  <c r="F92" i="24"/>
  <c r="B92" i="24"/>
  <c r="H92" i="24" s="1" a="1"/>
  <c r="H92" i="24" s="1"/>
  <c r="F88" i="24"/>
  <c r="B88" i="24"/>
  <c r="H88" i="24" s="1" a="1"/>
  <c r="H88" i="24" s="1"/>
  <c r="F86" i="24"/>
  <c r="B86" i="24"/>
  <c r="H86" i="24" s="1" a="1"/>
  <c r="H86" i="24" s="1"/>
  <c r="F83" i="24"/>
  <c r="B83" i="24"/>
  <c r="H83" i="24" s="1" a="1"/>
  <c r="H83" i="24" s="1"/>
  <c r="F82" i="24"/>
  <c r="B82" i="24"/>
  <c r="H82" i="24" s="1" a="1"/>
  <c r="H82" i="24" s="1"/>
  <c r="F81" i="24"/>
  <c r="B81" i="24"/>
  <c r="H81" i="24" s="1" a="1"/>
  <c r="H81" i="24" s="1"/>
  <c r="F80" i="24"/>
  <c r="B80" i="24"/>
  <c r="H80" i="24" s="1" a="1"/>
  <c r="H80" i="24" s="1"/>
  <c r="F79" i="24"/>
  <c r="B79" i="24"/>
  <c r="H79" i="24" s="1" a="1"/>
  <c r="H79" i="24" s="1"/>
  <c r="F78" i="24"/>
  <c r="B78" i="24"/>
  <c r="H78" i="24" s="1" a="1"/>
  <c r="H78" i="24" s="1"/>
  <c r="F77" i="24"/>
  <c r="B77" i="24"/>
  <c r="H77" i="24" s="1" a="1"/>
  <c r="H77" i="24" s="1"/>
  <c r="F76" i="24"/>
  <c r="B76" i="24"/>
  <c r="H76" i="24" s="1" a="1"/>
  <c r="H76" i="24" s="1"/>
  <c r="F75" i="24"/>
  <c r="B75" i="24"/>
  <c r="H75" i="24" s="1" a="1"/>
  <c r="H75" i="24" s="1"/>
  <c r="F73" i="24"/>
  <c r="B73" i="24"/>
  <c r="H73" i="24" s="1" a="1"/>
  <c r="H73" i="24" s="1"/>
  <c r="F72" i="24"/>
  <c r="B72" i="24"/>
  <c r="H72" i="24" s="1" a="1"/>
  <c r="H72" i="24" s="1"/>
  <c r="F71" i="24"/>
  <c r="B71" i="24"/>
  <c r="H71" i="24" s="1" a="1"/>
  <c r="H71" i="24" s="1"/>
  <c r="F68" i="24"/>
  <c r="B68" i="24"/>
  <c r="H68" i="24" s="1" a="1"/>
  <c r="H68" i="24" s="1"/>
  <c r="F67" i="24"/>
  <c r="B67" i="24"/>
  <c r="H67" i="24" s="1" a="1"/>
  <c r="H67" i="24" s="1"/>
  <c r="F63" i="24"/>
  <c r="B63" i="24"/>
  <c r="H63" i="24" s="1" a="1"/>
  <c r="H63" i="24" s="1"/>
  <c r="F62" i="24"/>
  <c r="B62" i="24"/>
  <c r="H62" i="24" s="1" a="1"/>
  <c r="H62" i="24" s="1"/>
  <c r="F58" i="24"/>
  <c r="B58" i="24"/>
  <c r="H58" i="24" s="1" a="1"/>
  <c r="H58" i="24" s="1"/>
  <c r="F57" i="24"/>
  <c r="B57" i="24"/>
  <c r="H57" i="24" s="1" a="1"/>
  <c r="H57" i="24" s="1"/>
  <c r="F50" i="24"/>
  <c r="B50" i="24"/>
  <c r="H50" i="24" s="1" a="1"/>
  <c r="H50" i="24" s="1"/>
  <c r="F49" i="24"/>
  <c r="B49" i="24"/>
  <c r="H49" i="24" s="1" a="1"/>
  <c r="H49" i="24" s="1"/>
  <c r="F47" i="24"/>
  <c r="B47" i="24"/>
  <c r="H47" i="24" s="1" a="1"/>
  <c r="H47" i="24" s="1"/>
  <c r="F46" i="24"/>
  <c r="B46" i="24"/>
  <c r="H46" i="24" s="1" a="1"/>
  <c r="H46" i="24" s="1"/>
  <c r="F45" i="24"/>
  <c r="B45" i="24"/>
  <c r="H45" i="24" s="1" a="1"/>
  <c r="H45" i="24" s="1"/>
  <c r="F44" i="24"/>
  <c r="B44" i="24"/>
  <c r="H44" i="24" s="1" a="1"/>
  <c r="H44" i="24" s="1"/>
  <c r="F43" i="24"/>
  <c r="B43" i="24"/>
  <c r="H43" i="24" s="1" a="1"/>
  <c r="H43" i="24" s="1"/>
  <c r="F42" i="24"/>
  <c r="B42" i="24"/>
  <c r="H42" i="24" s="1" a="1"/>
  <c r="H42" i="24" s="1"/>
  <c r="F41" i="24"/>
  <c r="B41" i="24"/>
  <c r="H41" i="24" s="1" a="1"/>
  <c r="H41" i="24" s="1"/>
  <c r="F40" i="24"/>
  <c r="B40" i="24"/>
  <c r="H40" i="24" s="1" a="1"/>
  <c r="H40" i="24" s="1"/>
  <c r="B39" i="24"/>
  <c r="H39" i="24" s="1" a="1"/>
  <c r="H39" i="24" s="1"/>
  <c r="F34" i="24"/>
  <c r="B34" i="24"/>
  <c r="H34" i="24" s="1" a="1"/>
  <c r="H34" i="24" s="1"/>
  <c r="F33" i="24"/>
  <c r="B33" i="24"/>
  <c r="H33" i="24" s="1" a="1"/>
  <c r="H33" i="24" s="1"/>
  <c r="F32" i="24"/>
  <c r="B32" i="24"/>
  <c r="H32" i="24" s="1" a="1"/>
  <c r="H32" i="24" s="1"/>
  <c r="F31" i="24"/>
  <c r="B31" i="24"/>
  <c r="H31" i="24" s="1" a="1"/>
  <c r="H31" i="24" s="1"/>
  <c r="F30" i="24"/>
  <c r="B30" i="24"/>
  <c r="H30" i="24" s="1" a="1"/>
  <c r="H30" i="24" s="1"/>
  <c r="F29" i="24"/>
  <c r="B29" i="24"/>
  <c r="H29" i="24" s="1" a="1"/>
  <c r="H29" i="24" s="1"/>
  <c r="F28" i="24"/>
  <c r="B28" i="24"/>
  <c r="H28" i="24" s="1" a="1"/>
  <c r="H28" i="24" s="1"/>
  <c r="F27" i="24"/>
  <c r="B27" i="24"/>
  <c r="H27" i="24" s="1" a="1"/>
  <c r="H27" i="24" s="1"/>
  <c r="F26" i="24"/>
  <c r="B26" i="24"/>
  <c r="H26" i="24" s="1" a="1"/>
  <c r="H26" i="24" s="1"/>
  <c r="F25" i="24"/>
  <c r="B25" i="24"/>
  <c r="H25" i="24" s="1" a="1"/>
  <c r="H25" i="24" s="1"/>
  <c r="F24" i="24"/>
  <c r="B24" i="24"/>
  <c r="H24" i="24" s="1" a="1"/>
  <c r="H24" i="24" s="1"/>
  <c r="F23" i="24"/>
  <c r="B23" i="24"/>
  <c r="H23" i="24" s="1" a="1"/>
  <c r="H23" i="24" s="1"/>
  <c r="F22" i="24"/>
  <c r="B22" i="24"/>
  <c r="H22" i="24" s="1" a="1"/>
  <c r="H22" i="24" s="1"/>
  <c r="F21" i="24"/>
  <c r="B21" i="24"/>
  <c r="H21" i="24" s="1" a="1"/>
  <c r="H21" i="24" s="1"/>
  <c r="F20" i="24"/>
  <c r="B20" i="24"/>
  <c r="H20" i="24" s="1" a="1"/>
  <c r="H20" i="24" s="1"/>
  <c r="F19" i="24"/>
  <c r="B19" i="24"/>
  <c r="H19" i="24" s="1" a="1"/>
  <c r="H19" i="24" s="1"/>
  <c r="F18" i="24"/>
  <c r="B18" i="24"/>
  <c r="H18" i="24" s="1" a="1"/>
  <c r="H18" i="24" s="1"/>
  <c r="F17" i="24"/>
  <c r="B17" i="24"/>
  <c r="H17" i="24" s="1" a="1"/>
  <c r="H17" i="24" s="1"/>
  <c r="F16" i="24"/>
  <c r="B16" i="24"/>
  <c r="H16" i="24" s="1" a="1"/>
  <c r="H16" i="24" s="1"/>
  <c r="F15" i="24"/>
  <c r="B15" i="24"/>
  <c r="H15" i="24" s="1" a="1"/>
  <c r="H15" i="24" s="1"/>
  <c r="F14" i="24"/>
  <c r="B14" i="24"/>
  <c r="H14" i="24" s="1" a="1"/>
  <c r="H14" i="24" s="1"/>
  <c r="B123" i="23"/>
  <c r="H123" i="23" s="1" a="1"/>
  <c r="H123" i="23" s="1"/>
  <c r="B122" i="23"/>
  <c r="H122" i="23" s="1" a="1"/>
  <c r="H122" i="23" s="1"/>
  <c r="B121" i="23"/>
  <c r="H121" i="23" s="1" a="1"/>
  <c r="H121" i="23" s="1"/>
  <c r="B120" i="23"/>
  <c r="H120" i="23" s="1" a="1"/>
  <c r="H120" i="23" s="1"/>
  <c r="B119" i="23"/>
  <c r="H119" i="23" s="1" a="1"/>
  <c r="H119" i="23" s="1"/>
  <c r="B118" i="23"/>
  <c r="H118" i="23" s="1" a="1"/>
  <c r="H118" i="23" s="1"/>
  <c r="B117" i="23"/>
  <c r="H117" i="23" s="1" a="1"/>
  <c r="H117" i="23" s="1"/>
  <c r="B116" i="23"/>
  <c r="H116" i="23" s="1" a="1"/>
  <c r="H116" i="23" s="1"/>
  <c r="B115" i="23"/>
  <c r="H115" i="23" s="1" a="1"/>
  <c r="H115" i="23" s="1"/>
  <c r="B114" i="23"/>
  <c r="H114" i="23" s="1" a="1"/>
  <c r="H114" i="23" s="1"/>
  <c r="B110" i="23"/>
  <c r="H110" i="23" s="1" a="1"/>
  <c r="H110" i="23" s="1"/>
  <c r="B109" i="23"/>
  <c r="H109" i="23" s="1" a="1"/>
  <c r="H109" i="23" s="1"/>
  <c r="F97" i="23"/>
  <c r="B97" i="23"/>
  <c r="H97" i="23" s="1" a="1"/>
  <c r="H97" i="23" s="1"/>
  <c r="F96" i="23"/>
  <c r="B96" i="23"/>
  <c r="H96" i="23" s="1" a="1"/>
  <c r="H96" i="23" s="1"/>
  <c r="F95" i="23"/>
  <c r="B95" i="23"/>
  <c r="H95" i="23" s="1" a="1"/>
  <c r="H95" i="23" s="1"/>
  <c r="F94" i="23"/>
  <c r="B94" i="23"/>
  <c r="H94" i="23" s="1" a="1"/>
  <c r="H94" i="23" s="1"/>
  <c r="F93" i="23"/>
  <c r="B93" i="23"/>
  <c r="H93" i="23" s="1" a="1"/>
  <c r="H93" i="23" s="1"/>
  <c r="F92" i="23"/>
  <c r="B92" i="23"/>
  <c r="H92" i="23" s="1" a="1"/>
  <c r="H92" i="23" s="1"/>
  <c r="F91" i="23"/>
  <c r="B91" i="23"/>
  <c r="H91" i="23" s="1" a="1"/>
  <c r="H91" i="23" s="1"/>
  <c r="F90" i="23"/>
  <c r="B90" i="23"/>
  <c r="H90" i="23" s="1" a="1"/>
  <c r="H90" i="23" s="1"/>
  <c r="F89" i="23"/>
  <c r="B89" i="23"/>
  <c r="H89" i="23" s="1" a="1"/>
  <c r="H89" i="23" s="1"/>
  <c r="F88" i="23"/>
  <c r="B88" i="23"/>
  <c r="H88" i="23" s="1" a="1"/>
  <c r="H88" i="23" s="1"/>
  <c r="F87" i="23"/>
  <c r="B87" i="23"/>
  <c r="H87" i="23" s="1" a="1"/>
  <c r="H87" i="23" s="1"/>
  <c r="F86" i="23"/>
  <c r="B86" i="23"/>
  <c r="H86" i="23" s="1" a="1"/>
  <c r="H86" i="23" s="1"/>
  <c r="F85" i="23"/>
  <c r="B85" i="23"/>
  <c r="H85" i="23" s="1" a="1"/>
  <c r="H85" i="23" s="1"/>
  <c r="F84" i="23"/>
  <c r="B84" i="23"/>
  <c r="H84" i="23" s="1" a="1"/>
  <c r="H84" i="23" s="1"/>
  <c r="F83" i="23"/>
  <c r="B83" i="23"/>
  <c r="H83" i="23" s="1" a="1"/>
  <c r="H83" i="23" s="1"/>
  <c r="F78" i="23"/>
  <c r="B78" i="23"/>
  <c r="H78" i="23" s="1" a="1"/>
  <c r="H78" i="23" s="1"/>
  <c r="F76" i="23"/>
  <c r="B76" i="23"/>
  <c r="H76" i="23" s="1" a="1"/>
  <c r="H76" i="23" s="1"/>
  <c r="F75" i="23"/>
  <c r="B75" i="23"/>
  <c r="H75" i="23" s="1" a="1"/>
  <c r="H75" i="23" s="1"/>
  <c r="F74" i="23"/>
  <c r="B74" i="23"/>
  <c r="H74" i="23" s="1" a="1"/>
  <c r="H74" i="23" s="1"/>
  <c r="F71" i="23"/>
  <c r="B71" i="23"/>
  <c r="H71" i="23" s="1" a="1"/>
  <c r="H71" i="23" s="1"/>
  <c r="F70" i="23"/>
  <c r="B70" i="23"/>
  <c r="H70" i="23" s="1" a="1"/>
  <c r="H70" i="23" s="1"/>
  <c r="F67" i="23"/>
  <c r="B67" i="23"/>
  <c r="H67" i="23" s="1" a="1"/>
  <c r="H67" i="23" s="1"/>
  <c r="F59" i="23"/>
  <c r="B59" i="23"/>
  <c r="H59" i="23" s="1" a="1"/>
  <c r="H59" i="23" s="1"/>
  <c r="F58" i="23"/>
  <c r="B58" i="23"/>
  <c r="H58" i="23" s="1" a="1"/>
  <c r="H58" i="23" s="1"/>
  <c r="F57" i="23"/>
  <c r="B57" i="23"/>
  <c r="H57" i="23" s="1" a="1"/>
  <c r="H57" i="23" s="1"/>
  <c r="F56" i="23"/>
  <c r="B56" i="23"/>
  <c r="H56" i="23" s="1" a="1"/>
  <c r="H56" i="23" s="1"/>
  <c r="F55" i="23"/>
  <c r="B55" i="23"/>
  <c r="H55" i="23" s="1" a="1"/>
  <c r="H55" i="23" s="1"/>
  <c r="F54" i="23"/>
  <c r="B54" i="23"/>
  <c r="H54" i="23" s="1" a="1"/>
  <c r="H54" i="23" s="1"/>
  <c r="F53" i="23"/>
  <c r="B53" i="23"/>
  <c r="H53" i="23" s="1" a="1"/>
  <c r="H53" i="23" s="1"/>
  <c r="F52" i="23"/>
  <c r="B52" i="23"/>
  <c r="H52" i="23" s="1" a="1"/>
  <c r="H52" i="23" s="1"/>
  <c r="F51" i="23"/>
  <c r="B51" i="23"/>
  <c r="H51" i="23" s="1" a="1"/>
  <c r="H51" i="23" s="1"/>
  <c r="F50" i="23"/>
  <c r="B50" i="23"/>
  <c r="H50" i="23" s="1" a="1"/>
  <c r="H50" i="23" s="1"/>
  <c r="F49" i="23"/>
  <c r="B49" i="23"/>
  <c r="H49" i="23" s="1" a="1"/>
  <c r="H49" i="23" s="1"/>
  <c r="F48" i="23"/>
  <c r="B48" i="23"/>
  <c r="H48" i="23" s="1" a="1"/>
  <c r="H48" i="23" s="1"/>
  <c r="F47" i="23"/>
  <c r="B47" i="23"/>
  <c r="H47" i="23" s="1" a="1"/>
  <c r="H47" i="23" s="1"/>
  <c r="F46" i="23"/>
  <c r="B46" i="23"/>
  <c r="H46" i="23" s="1" a="1"/>
  <c r="H46" i="23" s="1"/>
  <c r="F45" i="23"/>
  <c r="B45" i="23"/>
  <c r="H45" i="23" s="1" a="1"/>
  <c r="H45" i="23" s="1"/>
  <c r="F44" i="23"/>
  <c r="B44" i="23"/>
  <c r="H44" i="23" s="1" a="1"/>
  <c r="H44" i="23" s="1"/>
  <c r="F43" i="23"/>
  <c r="B43" i="23"/>
  <c r="H43" i="23" s="1" a="1"/>
  <c r="H43" i="23" s="1"/>
  <c r="F42" i="23"/>
  <c r="B42" i="23"/>
  <c r="H42" i="23" s="1" a="1"/>
  <c r="H42" i="23" s="1"/>
  <c r="F41" i="23"/>
  <c r="B41" i="23"/>
  <c r="H41" i="23" s="1" a="1"/>
  <c r="H41" i="23" s="1"/>
  <c r="F40" i="23"/>
  <c r="B40" i="23"/>
  <c r="H40" i="23" s="1" a="1"/>
  <c r="H40" i="23" s="1"/>
  <c r="F39" i="23"/>
  <c r="B39" i="23"/>
  <c r="H39" i="23" s="1" a="1"/>
  <c r="H39" i="23" s="1"/>
  <c r="F38" i="23"/>
  <c r="B38" i="23"/>
  <c r="H38" i="23" s="1" a="1"/>
  <c r="H38" i="23" s="1"/>
  <c r="F37" i="23"/>
  <c r="B37" i="23"/>
  <c r="H37" i="23" s="1" a="1"/>
  <c r="H37" i="23" s="1"/>
  <c r="F36" i="23"/>
  <c r="B36" i="23"/>
  <c r="H36" i="23" s="1" a="1"/>
  <c r="H36" i="23" s="1"/>
  <c r="F35" i="23"/>
  <c r="B35" i="23"/>
  <c r="H35" i="23" s="1" a="1"/>
  <c r="H35" i="23" s="1"/>
  <c r="F34" i="23"/>
  <c r="B34" i="23"/>
  <c r="H34" i="23" s="1" a="1"/>
  <c r="H34" i="23" s="1"/>
  <c r="F33" i="23"/>
  <c r="B33" i="23"/>
  <c r="H33" i="23" s="1" a="1"/>
  <c r="H33" i="23" s="1"/>
  <c r="F32" i="23"/>
  <c r="B32" i="23"/>
  <c r="H32" i="23" s="1" a="1"/>
  <c r="H32" i="23" s="1"/>
  <c r="F31" i="23"/>
  <c r="B31" i="23"/>
  <c r="H31" i="23" s="1" a="1"/>
  <c r="H31" i="23" s="1"/>
  <c r="F30" i="23"/>
  <c r="B30" i="23"/>
  <c r="H30" i="23" s="1" a="1"/>
  <c r="H30" i="23" s="1"/>
  <c r="F29" i="23"/>
  <c r="B29" i="23"/>
  <c r="H29" i="23" s="1" a="1"/>
  <c r="H29" i="23" s="1"/>
  <c r="F28" i="23"/>
  <c r="B28" i="23"/>
  <c r="H28" i="23" s="1" a="1"/>
  <c r="H28" i="23" s="1"/>
  <c r="F27" i="23"/>
  <c r="B27" i="23"/>
  <c r="H27" i="23" s="1" a="1"/>
  <c r="H27" i="23" s="1"/>
  <c r="F26" i="23"/>
  <c r="B26" i="23"/>
  <c r="H26" i="23" s="1" a="1"/>
  <c r="H26" i="23" s="1"/>
  <c r="F25" i="23"/>
  <c r="B25" i="23"/>
  <c r="H25" i="23" s="1" a="1"/>
  <c r="H25" i="23" s="1"/>
  <c r="F23" i="23"/>
  <c r="B23" i="23"/>
  <c r="H23" i="23" s="1" a="1"/>
  <c r="H23" i="23" s="1"/>
  <c r="F22" i="23"/>
  <c r="B22" i="23"/>
  <c r="H22" i="23" s="1" a="1"/>
  <c r="H22" i="23" s="1"/>
  <c r="F21" i="23"/>
  <c r="B21" i="23"/>
  <c r="H21" i="23" s="1" a="1"/>
  <c r="H21" i="23" s="1"/>
  <c r="F20" i="23"/>
  <c r="B20" i="23"/>
  <c r="H20" i="23" s="1" a="1"/>
  <c r="H20" i="23" s="1"/>
  <c r="F19" i="23"/>
  <c r="B19" i="23"/>
  <c r="H19" i="23" s="1" a="1"/>
  <c r="H19" i="23" s="1"/>
  <c r="F18" i="23"/>
  <c r="B18" i="23"/>
  <c r="H18" i="23" s="1" a="1"/>
  <c r="H18" i="23" s="1"/>
  <c r="F17" i="23"/>
  <c r="B17" i="23"/>
  <c r="H17" i="23" s="1" a="1"/>
  <c r="H17" i="23" s="1"/>
  <c r="F16" i="23"/>
  <c r="B16" i="23"/>
  <c r="H16" i="23" s="1" a="1"/>
  <c r="H16" i="23" s="1"/>
  <c r="F15" i="23"/>
  <c r="B15" i="23"/>
  <c r="H15" i="23" s="1" a="1"/>
  <c r="H15" i="23" s="1"/>
  <c r="F14" i="23"/>
  <c r="B14" i="23"/>
  <c r="H14" i="23" s="1" a="1"/>
  <c r="H14" i="23" s="1"/>
  <c r="F13" i="23"/>
  <c r="B13" i="23"/>
  <c r="H13" i="23" s="1" a="1"/>
  <c r="H13" i="23" s="1"/>
  <c r="F12" i="23"/>
  <c r="B12" i="23"/>
  <c r="H12" i="23" s="1" a="1"/>
  <c r="H12" i="23" s="1"/>
  <c r="F11" i="23"/>
  <c r="B11" i="23"/>
  <c r="H11" i="23" s="1" a="1"/>
  <c r="H11" i="23" s="1"/>
  <c r="B50" i="15"/>
  <c r="H50" i="15" s="1" a="1"/>
  <c r="H50" i="15" s="1"/>
  <c r="N60" i="23" l="1"/>
  <c r="N61" i="23" s="1"/>
  <c r="N62" i="23" s="1"/>
  <c r="N63" i="23" s="1"/>
  <c r="N64" i="23" s="1"/>
  <c r="N65" i="23" s="1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9" i="23" s="1"/>
  <c r="N110" i="23" s="1"/>
  <c r="N34" i="2" s="1"/>
  <c r="N35" i="2" s="1"/>
  <c r="N36" i="2" s="1"/>
  <c r="N39" i="2" s="1"/>
  <c r="N40" i="2" s="1"/>
  <c r="N41" i="2" s="1"/>
  <c r="N44" i="2" s="1"/>
  <c r="N39" i="24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N24" i="43" s="1"/>
  <c r="N25" i="43" s="1"/>
  <c r="N26" i="43" s="1"/>
  <c r="N27" i="43" s="1"/>
  <c r="N28" i="43" s="1"/>
  <c r="N29" i="43" s="1"/>
  <c r="N30" i="43" s="1"/>
  <c r="N31" i="43" s="1"/>
  <c r="N32" i="43" s="1"/>
  <c r="N33" i="43" s="1"/>
  <c r="N34" i="43" s="1"/>
  <c r="N39" i="43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10" i="25" s="1"/>
  <c r="N11" i="25" s="1"/>
  <c r="N12" i="25" s="1"/>
  <c r="N13" i="25" s="1"/>
  <c r="N14" i="25" s="1"/>
  <c r="N15" i="25" s="1"/>
  <c r="N16" i="25" s="1"/>
  <c r="N17" i="25" s="1"/>
  <c r="N18" i="25" s="1"/>
  <c r="N19" i="25" s="1"/>
  <c r="N20" i="25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10" i="39" s="1"/>
  <c r="N11" i="39" s="1"/>
  <c r="N12" i="39" s="1"/>
  <c r="N13" i="39" s="1"/>
  <c r="N14" i="39" s="1"/>
  <c r="N15" i="39" s="1"/>
  <c r="N16" i="39" s="1"/>
  <c r="N17" i="39" s="1"/>
  <c r="N18" i="39" s="1"/>
  <c r="N19" i="39" s="1"/>
  <c r="N20" i="39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10" i="32" s="1"/>
  <c r="N11" i="32" s="1"/>
  <c r="N12" i="32" s="1"/>
  <c r="N13" i="32" s="1"/>
  <c r="N14" i="32" s="1"/>
  <c r="N15" i="32" s="1"/>
  <c r="N16" i="32" s="1"/>
  <c r="N10" i="7" s="1"/>
  <c r="N11" i="7" s="1"/>
  <c r="N12" i="7" s="1"/>
  <c r="N13" i="7" s="1"/>
  <c r="N14" i="7" s="1"/>
  <c r="N15" i="7" s="1"/>
  <c r="N16" i="7" s="1"/>
  <c r="N7" i="9" s="1"/>
  <c r="N8" i="9" s="1"/>
  <c r="N7" i="42" s="1"/>
  <c r="N8" i="42" s="1"/>
  <c r="N24" i="23" s="1"/>
  <c r="N24" i="2" s="1"/>
  <c r="N35" i="24" s="1"/>
  <c r="N36" i="24" s="1"/>
  <c r="N37" i="24" s="1"/>
  <c r="N38" i="24" s="1"/>
  <c r="N35" i="43" s="1"/>
  <c r="N36" i="43" s="1"/>
  <c r="N37" i="43" s="1"/>
  <c r="N38" i="43" s="1"/>
  <c r="N17" i="32" s="1"/>
  <c r="N18" i="32" s="1"/>
  <c r="N19" i="32" s="1"/>
  <c r="N20" i="32" s="1"/>
  <c r="N17" i="7" s="1"/>
  <c r="N18" i="7" s="1"/>
  <c r="N19" i="7" s="1"/>
  <c r="N20" i="7" s="1"/>
  <c r="N41" i="24"/>
  <c r="N42" i="24" s="1"/>
  <c r="N43" i="24" s="1"/>
  <c r="N44" i="24" s="1"/>
  <c r="N45" i="24" s="1"/>
  <c r="N46" i="24" s="1"/>
  <c r="N47" i="24" s="1"/>
  <c r="N48" i="24" s="1"/>
  <c r="N49" i="24" s="1"/>
  <c r="N50" i="24" s="1"/>
  <c r="N51" i="24" s="1"/>
  <c r="N52" i="24" s="1"/>
  <c r="N53" i="24" s="1"/>
  <c r="N54" i="24" s="1"/>
  <c r="N55" i="24" s="1"/>
  <c r="N56" i="24" s="1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21" i="25" s="1"/>
  <c r="B78" i="5"/>
  <c r="H78" i="5" s="1" a="1"/>
  <c r="H78" i="5" s="1"/>
  <c r="N45" i="2" l="1"/>
  <c r="N46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9" i="2" s="1"/>
  <c r="N110" i="2" s="1"/>
  <c r="N59" i="24" s="1"/>
  <c r="N60" i="24" s="1"/>
  <c r="N61" i="24" s="1"/>
  <c r="N64" i="24" s="1"/>
  <c r="N65" i="24" s="1"/>
  <c r="N66" i="24" s="1"/>
  <c r="N69" i="24" s="1"/>
  <c r="N70" i="24" s="1"/>
  <c r="N75" i="24" s="1"/>
  <c r="N76" i="24" s="1"/>
  <c r="N77" i="24" s="1"/>
  <c r="N22" i="25"/>
  <c r="N23" i="25" s="1"/>
  <c r="N24" i="25" s="1"/>
  <c r="N25" i="25" s="1"/>
  <c r="N26" i="25" s="1"/>
  <c r="N27" i="25" s="1"/>
  <c r="N28" i="25" s="1"/>
  <c r="N29" i="25" s="1"/>
  <c r="N30" i="25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21" i="37" s="1"/>
  <c r="N22" i="37" s="1"/>
  <c r="C7" i="1"/>
  <c r="C6" i="1"/>
  <c r="N23" i="37" l="1"/>
  <c r="N24" i="37" s="1"/>
  <c r="N25" i="37" s="1"/>
  <c r="N26" i="37" s="1"/>
  <c r="N27" i="37" s="1"/>
  <c r="N28" i="37" s="1"/>
  <c r="N29" i="37" s="1"/>
  <c r="N30" i="37" s="1"/>
  <c r="N78" i="24"/>
  <c r="N79" i="24" s="1"/>
  <c r="N80" i="24" s="1"/>
  <c r="N81" i="24" s="1"/>
  <c r="N82" i="24" s="1"/>
  <c r="N83" i="24" s="1"/>
  <c r="N84" i="24" s="1"/>
  <c r="N85" i="24" s="1"/>
  <c r="N86" i="24" s="1"/>
  <c r="N87" i="24" s="1"/>
  <c r="N88" i="24" s="1"/>
  <c r="N89" i="24" s="1"/>
  <c r="N90" i="24" s="1"/>
  <c r="N91" i="24" s="1"/>
  <c r="N92" i="24" s="1"/>
  <c r="N93" i="24" s="1"/>
  <c r="N94" i="24" s="1"/>
  <c r="N95" i="24" s="1"/>
  <c r="N96" i="24" s="1"/>
  <c r="N97" i="24" s="1"/>
  <c r="N98" i="24" s="1"/>
  <c r="N99" i="24" s="1"/>
  <c r="N100" i="24" s="1"/>
  <c r="N101" i="24" s="1"/>
  <c r="N102" i="24" s="1"/>
  <c r="N103" i="24" s="1"/>
  <c r="N104" i="24" s="1"/>
  <c r="N105" i="24" s="1"/>
  <c r="N106" i="24" s="1"/>
  <c r="N107" i="24" s="1"/>
  <c r="N108" i="24" s="1"/>
  <c r="N109" i="24" s="1"/>
  <c r="N110" i="24" s="1"/>
  <c r="N111" i="24" s="1"/>
  <c r="N112" i="24" s="1"/>
  <c r="N113" i="24" s="1"/>
  <c r="N114" i="24" s="1"/>
  <c r="N115" i="24" s="1"/>
  <c r="N116" i="24" s="1"/>
  <c r="N117" i="24" s="1"/>
  <c r="N118" i="24" s="1"/>
  <c r="N119" i="24" s="1"/>
  <c r="N120" i="24" s="1"/>
  <c r="N121" i="24" s="1"/>
  <c r="N122" i="24" s="1"/>
  <c r="N123" i="24" s="1"/>
  <c r="N124" i="24" s="1"/>
  <c r="N125" i="24" s="1"/>
  <c r="N126" i="24" s="1"/>
  <c r="N127" i="24" s="1"/>
  <c r="N128" i="24" s="1"/>
  <c r="N129" i="24" s="1"/>
  <c r="N130" i="24" s="1"/>
  <c r="N131" i="24" s="1"/>
  <c r="N132" i="24" s="1"/>
  <c r="N133" i="24" s="1"/>
  <c r="N134" i="24" s="1"/>
  <c r="N135" i="24" s="1"/>
  <c r="N136" i="24" s="1"/>
  <c r="N137" i="24" s="1"/>
  <c r="N138" i="24" s="1"/>
  <c r="N139" i="24" s="1"/>
  <c r="N140" i="24" s="1"/>
  <c r="N21" i="39" l="1"/>
  <c r="N22" i="39" s="1"/>
  <c r="N23" i="39" s="1"/>
  <c r="N24" i="39" s="1"/>
  <c r="N25" i="39" s="1"/>
  <c r="N26" i="39" s="1"/>
  <c r="N27" i="39" s="1"/>
  <c r="N28" i="39" s="1"/>
  <c r="N29" i="39" s="1"/>
  <c r="N30" i="39" s="1"/>
  <c r="N21" i="31" s="1"/>
  <c r="N141" i="24"/>
  <c r="F11" i="15"/>
  <c r="F23" i="15"/>
  <c r="F22" i="15"/>
  <c r="F12" i="15"/>
  <c r="B12" i="15"/>
  <c r="H12" i="15" s="1" a="1"/>
  <c r="H12" i="15" s="1"/>
  <c r="B11" i="15"/>
  <c r="F6" i="11"/>
  <c r="N22" i="31" l="1"/>
  <c r="N23" i="31" s="1"/>
  <c r="N24" i="31" s="1"/>
  <c r="N25" i="31" s="1"/>
  <c r="N26" i="31" s="1"/>
  <c r="N27" i="31" s="1"/>
  <c r="N28" i="31" s="1"/>
  <c r="N29" i="31" s="1"/>
  <c r="N30" i="31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21" i="35" s="1"/>
  <c r="N142" i="24"/>
  <c r="N143" i="24" s="1"/>
  <c r="N144" i="24" s="1"/>
  <c r="N145" i="24" s="1"/>
  <c r="N146" i="24" s="1"/>
  <c r="N147" i="24" s="1"/>
  <c r="N148" i="24" s="1"/>
  <c r="N149" i="24" s="1"/>
  <c r="N150" i="24" s="1"/>
  <c r="N151" i="24" s="1"/>
  <c r="N152" i="24" s="1"/>
  <c r="N153" i="24" s="1"/>
  <c r="N154" i="24" s="1"/>
  <c r="N155" i="24" s="1"/>
  <c r="N156" i="24" s="1"/>
  <c r="N157" i="24" s="1"/>
  <c r="N158" i="24" s="1"/>
  <c r="N159" i="24" s="1"/>
  <c r="N160" i="24" s="1"/>
  <c r="N161" i="24" s="1"/>
  <c r="N162" i="24" s="1"/>
  <c r="N163" i="24" s="1"/>
  <c r="N164" i="24" s="1"/>
  <c r="N165" i="24" s="1"/>
  <c r="N166" i="24" s="1"/>
  <c r="N167" i="24" s="1"/>
  <c r="N168" i="24" s="1"/>
  <c r="N169" i="24" s="1"/>
  <c r="N170" i="24" s="1"/>
  <c r="N171" i="24" s="1"/>
  <c r="N172" i="24" s="1"/>
  <c r="N216" i="24" s="1"/>
  <c r="N217" i="24" s="1"/>
  <c r="N59" i="43" s="1"/>
  <c r="N60" i="43" s="1"/>
  <c r="N61" i="43" s="1"/>
  <c r="N64" i="43" s="1"/>
  <c r="N65" i="43" s="1"/>
  <c r="N66" i="43" s="1"/>
  <c r="N69" i="43" s="1"/>
  <c r="N70" i="43" s="1"/>
  <c r="N75" i="43" s="1"/>
  <c r="N76" i="43" s="1"/>
  <c r="N77" i="43" s="1"/>
  <c r="N78" i="43" s="1"/>
  <c r="N79" i="43" s="1"/>
  <c r="N80" i="43" s="1"/>
  <c r="N81" i="43" s="1"/>
  <c r="N82" i="43" s="1"/>
  <c r="N83" i="43" s="1"/>
  <c r="H11" i="15" a="1"/>
  <c r="H11" i="15" s="1"/>
  <c r="F69" i="5"/>
  <c r="F41" i="5"/>
  <c r="F14" i="9"/>
  <c r="F12" i="11"/>
  <c r="F68" i="5"/>
  <c r="F60" i="5"/>
  <c r="F34" i="5"/>
  <c r="F24" i="5"/>
  <c r="F13" i="9"/>
  <c r="F11" i="11"/>
  <c r="F67" i="5"/>
  <c r="F59" i="5"/>
  <c r="F23" i="5"/>
  <c r="F66" i="5"/>
  <c r="F58" i="5"/>
  <c r="F52" i="5"/>
  <c r="F32" i="5"/>
  <c r="F21" i="5"/>
  <c r="F10" i="11"/>
  <c r="F12" i="9"/>
  <c r="F65" i="5"/>
  <c r="F44" i="5"/>
  <c r="F11" i="9"/>
  <c r="F9" i="11"/>
  <c r="F53" i="5"/>
  <c r="F64" i="5"/>
  <c r="F56" i="5"/>
  <c r="F43" i="5"/>
  <c r="F14" i="8"/>
  <c r="F10" i="9"/>
  <c r="F8" i="11"/>
  <c r="F63" i="5"/>
  <c r="F42" i="5"/>
  <c r="F9" i="9"/>
  <c r="F5" i="11"/>
  <c r="F7" i="11"/>
  <c r="F33" i="5"/>
  <c r="F70" i="5"/>
  <c r="F62" i="5"/>
  <c r="F15" i="9"/>
  <c r="F13" i="11"/>
  <c r="N22" i="35" l="1"/>
  <c r="N23" i="35" s="1"/>
  <c r="N24" i="35" s="1"/>
  <c r="N25" i="35" s="1"/>
  <c r="N26" i="35" s="1"/>
  <c r="N27" i="35" s="1"/>
  <c r="N28" i="35" s="1"/>
  <c r="N29" i="35" s="1"/>
  <c r="N30" i="35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21" i="38" s="1"/>
  <c r="N22" i="38" s="1"/>
  <c r="N84" i="43"/>
  <c r="N85" i="43" s="1"/>
  <c r="N86" i="43" s="1"/>
  <c r="N87" i="43" s="1"/>
  <c r="N88" i="43" s="1"/>
  <c r="N89" i="43" s="1"/>
  <c r="N90" i="43" s="1"/>
  <c r="N91" i="43" s="1"/>
  <c r="N92" i="43" s="1"/>
  <c r="N93" i="43" s="1"/>
  <c r="N94" i="43" s="1"/>
  <c r="N95" i="43" s="1"/>
  <c r="N96" i="43" s="1"/>
  <c r="N97" i="43" s="1"/>
  <c r="N98" i="43" s="1"/>
  <c r="N99" i="43" s="1"/>
  <c r="N100" i="43" s="1"/>
  <c r="N101" i="43" s="1"/>
  <c r="B13" i="11"/>
  <c r="H13" i="11" s="1"/>
  <c r="B12" i="11"/>
  <c r="H12" i="11" s="1"/>
  <c r="B11" i="11"/>
  <c r="H11" i="11" s="1"/>
  <c r="B10" i="11"/>
  <c r="H10" i="11" s="1"/>
  <c r="B9" i="11"/>
  <c r="H9" i="11" s="1"/>
  <c r="B8" i="11"/>
  <c r="H8" i="11" s="1"/>
  <c r="B7" i="11"/>
  <c r="H7" i="11" s="1"/>
  <c r="B6" i="11"/>
  <c r="H6" i="11" s="1"/>
  <c r="B5" i="11"/>
  <c r="H5" i="11" s="1"/>
  <c r="F4" i="11"/>
  <c r="B4" i="11"/>
  <c r="H4" i="11" s="1"/>
  <c r="B14" i="8"/>
  <c r="H14" i="8" s="1" a="1"/>
  <c r="H14" i="8" s="1"/>
  <c r="N102" i="43" l="1"/>
  <c r="N103" i="43" s="1"/>
  <c r="N104" i="43" s="1"/>
  <c r="N105" i="43" s="1"/>
  <c r="N106" i="43" s="1"/>
  <c r="N107" i="43" s="1"/>
  <c r="N108" i="43" s="1"/>
  <c r="N109" i="43" s="1"/>
  <c r="N110" i="43" s="1"/>
  <c r="N111" i="43" s="1"/>
  <c r="N112" i="43" s="1"/>
  <c r="N113" i="43" s="1"/>
  <c r="N114" i="43" s="1"/>
  <c r="N115" i="43" s="1"/>
  <c r="N116" i="43" s="1"/>
  <c r="N117" i="43" s="1"/>
  <c r="N118" i="43" s="1"/>
  <c r="N119" i="43" s="1"/>
  <c r="N120" i="43" s="1"/>
  <c r="N121" i="43" s="1"/>
  <c r="N122" i="43" s="1"/>
  <c r="N123" i="43" s="1"/>
  <c r="N124" i="43" s="1"/>
  <c r="N125" i="43" s="1"/>
  <c r="N126" i="43" s="1"/>
  <c r="N127" i="43" s="1"/>
  <c r="N128" i="43" s="1"/>
  <c r="N129" i="43" s="1"/>
  <c r="N130" i="43" s="1"/>
  <c r="N131" i="43" s="1"/>
  <c r="N132" i="43" s="1"/>
  <c r="N23" i="38"/>
  <c r="N24" i="38" s="1"/>
  <c r="N25" i="38" s="1"/>
  <c r="N26" i="38" s="1"/>
  <c r="N27" i="38" s="1"/>
  <c r="N28" i="38" s="1"/>
  <c r="N29" i="38" s="1"/>
  <c r="N30" i="38" s="1"/>
  <c r="N21" i="32" s="1"/>
  <c r="B15" i="9"/>
  <c r="B14" i="9"/>
  <c r="B13" i="9"/>
  <c r="H13" i="9" s="1" a="1"/>
  <c r="H13" i="9" s="1"/>
  <c r="B12" i="9"/>
  <c r="H12" i="9" s="1" a="1"/>
  <c r="H12" i="9" s="1"/>
  <c r="B11" i="9"/>
  <c r="H11" i="9" s="1" a="1"/>
  <c r="H11" i="9" s="1"/>
  <c r="B10" i="9"/>
  <c r="H10" i="9" s="1" a="1"/>
  <c r="H10" i="9" s="1"/>
  <c r="B9" i="9"/>
  <c r="H9" i="9" s="1" a="1"/>
  <c r="H9" i="9" s="1"/>
  <c r="F8" i="9"/>
  <c r="B8" i="9"/>
  <c r="H8" i="9" s="1" a="1"/>
  <c r="H8" i="9" s="1"/>
  <c r="F7" i="9"/>
  <c r="B7" i="9"/>
  <c r="H7" i="9" s="1" a="1"/>
  <c r="H7" i="9" s="1"/>
  <c r="B13" i="8"/>
  <c r="H13" i="8" s="1" a="1"/>
  <c r="H13" i="8" s="1"/>
  <c r="F12" i="8"/>
  <c r="B12" i="8"/>
  <c r="H12" i="8" s="1" a="1"/>
  <c r="H12" i="8" s="1"/>
  <c r="F11" i="8"/>
  <c r="B11" i="8"/>
  <c r="H11" i="8" s="1" a="1"/>
  <c r="H11" i="8" s="1"/>
  <c r="F10" i="8"/>
  <c r="B10" i="8"/>
  <c r="H10" i="8" s="1" a="1"/>
  <c r="H10" i="8" s="1"/>
  <c r="F9" i="8"/>
  <c r="B9" i="8"/>
  <c r="H9" i="8" s="1" a="1"/>
  <c r="H9" i="8" s="1"/>
  <c r="F8" i="8"/>
  <c r="B8" i="8"/>
  <c r="H8" i="8" s="1" a="1"/>
  <c r="H8" i="8" s="1"/>
  <c r="F7" i="8"/>
  <c r="B7" i="8"/>
  <c r="H7" i="8" s="1" a="1"/>
  <c r="H7" i="8" s="1"/>
  <c r="F6" i="8"/>
  <c r="B6" i="8"/>
  <c r="H6" i="8" s="1" a="1"/>
  <c r="H6" i="8" s="1"/>
  <c r="N133" i="43" l="1"/>
  <c r="N134" i="43" s="1"/>
  <c r="N135" i="43" s="1"/>
  <c r="N136" i="43" s="1"/>
  <c r="N137" i="43" s="1"/>
  <c r="N138" i="43" s="1"/>
  <c r="N139" i="43" s="1"/>
  <c r="N140" i="43" s="1"/>
  <c r="N141" i="43" s="1"/>
  <c r="N142" i="43" s="1"/>
  <c r="N143" i="43" s="1"/>
  <c r="N144" i="43" s="1"/>
  <c r="N145" i="43" s="1"/>
  <c r="N146" i="43" s="1"/>
  <c r="N147" i="43" s="1"/>
  <c r="N148" i="43" s="1"/>
  <c r="N149" i="43" s="1"/>
  <c r="N150" i="43" s="1"/>
  <c r="N151" i="43" s="1"/>
  <c r="N152" i="43" s="1"/>
  <c r="N153" i="43" s="1"/>
  <c r="N154" i="43" s="1"/>
  <c r="N155" i="43" s="1"/>
  <c r="N156" i="43" s="1"/>
  <c r="N157" i="43" s="1"/>
  <c r="N158" i="43" s="1"/>
  <c r="N159" i="43" s="1"/>
  <c r="N160" i="43" s="1"/>
  <c r="N161" i="43" s="1"/>
  <c r="N162" i="43" s="1"/>
  <c r="N163" i="43" s="1"/>
  <c r="N164" i="43" s="1"/>
  <c r="N165" i="43" s="1"/>
  <c r="N166" i="43" s="1"/>
  <c r="N167" i="43" s="1"/>
  <c r="N168" i="43" s="1"/>
  <c r="N169" i="43" s="1"/>
  <c r="N170" i="43" s="1"/>
  <c r="N171" i="43" s="1"/>
  <c r="N172" i="43" s="1"/>
  <c r="N216" i="43" s="1"/>
  <c r="N217" i="43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22" i="32"/>
  <c r="N23" i="32" s="1"/>
  <c r="N24" i="32" s="1"/>
  <c r="N25" i="32" s="1"/>
  <c r="N26" i="32" s="1"/>
  <c r="N27" i="32" s="1"/>
  <c r="N28" i="32" s="1"/>
  <c r="N29" i="32" s="1"/>
  <c r="N30" i="32" s="1"/>
  <c r="N21" i="7" s="1"/>
  <c r="B44" i="5"/>
  <c r="H44" i="5" s="1" a="1"/>
  <c r="H44" i="5" s="1"/>
  <c r="N61" i="5" l="1"/>
  <c r="N62" i="5" s="1"/>
  <c r="N63" i="5" s="1"/>
  <c r="N64" i="5" s="1"/>
  <c r="N65" i="5" s="1"/>
  <c r="N66" i="5" s="1"/>
  <c r="N67" i="5" s="1"/>
  <c r="N68" i="5" s="1"/>
  <c r="N69" i="5" s="1"/>
  <c r="N70" i="5" s="1"/>
  <c r="N78" i="5" s="1"/>
  <c r="N34" i="25" s="1"/>
  <c r="N35" i="25" s="1"/>
  <c r="N36" i="25" s="1"/>
  <c r="N37" i="25" s="1"/>
  <c r="N38" i="25" s="1"/>
  <c r="N39" i="25" s="1"/>
  <c r="N40" i="25" s="1"/>
  <c r="N22" i="7"/>
  <c r="N23" i="7" s="1"/>
  <c r="N24" i="7" s="1"/>
  <c r="N25" i="7" s="1"/>
  <c r="N26" i="7" s="1"/>
  <c r="N27" i="7" s="1"/>
  <c r="N28" i="7" s="1"/>
  <c r="N29" i="7" s="1"/>
  <c r="N30" i="7" s="1"/>
  <c r="N8" i="15" s="1"/>
  <c r="N9" i="15" s="1"/>
  <c r="N10" i="15" s="1"/>
  <c r="B13" i="5"/>
  <c r="H13" i="5" s="1" a="1"/>
  <c r="H13" i="5" s="1"/>
  <c r="B20" i="5"/>
  <c r="H20" i="5" s="1" a="1"/>
  <c r="H20" i="5" s="1"/>
  <c r="F20" i="5"/>
  <c r="F13" i="5"/>
  <c r="N41" i="25" l="1"/>
  <c r="N42" i="25" s="1"/>
  <c r="N43" i="25" s="1"/>
  <c r="N44" i="25" s="1"/>
  <c r="N45" i="25" s="1"/>
  <c r="N46" i="25" s="1"/>
  <c r="N47" i="25" s="1"/>
  <c r="N48" i="25" s="1"/>
  <c r="N49" i="25" s="1"/>
  <c r="N50" i="25" s="1"/>
  <c r="N51" i="25" s="1"/>
  <c r="N52" i="25" s="1"/>
  <c r="N53" i="25" s="1"/>
  <c r="N54" i="25" s="1"/>
  <c r="N55" i="25" s="1"/>
  <c r="N56" i="25" s="1"/>
  <c r="N57" i="25" s="1"/>
  <c r="N58" i="25" s="1"/>
  <c r="N59" i="25" s="1"/>
  <c r="N60" i="25" s="1"/>
  <c r="N61" i="25" s="1"/>
  <c r="N62" i="25" s="1"/>
  <c r="N63" i="25" s="1"/>
  <c r="N64" i="25" s="1"/>
  <c r="N65" i="25" s="1"/>
  <c r="N66" i="25" s="1"/>
  <c r="N67" i="25" s="1"/>
  <c r="N68" i="25" s="1"/>
  <c r="N69" i="25" s="1"/>
  <c r="N70" i="25" s="1"/>
  <c r="N78" i="25" s="1"/>
  <c r="N34" i="26" s="1"/>
  <c r="N35" i="26" s="1"/>
  <c r="N36" i="26" s="1"/>
  <c r="N37" i="26" s="1"/>
  <c r="N38" i="26" s="1"/>
  <c r="N39" i="26" s="1"/>
  <c r="N40" i="26" s="1"/>
  <c r="B70" i="5"/>
  <c r="H70" i="5" s="1" a="1"/>
  <c r="H70" i="5" s="1"/>
  <c r="B69" i="5"/>
  <c r="H69" i="5" s="1" a="1"/>
  <c r="H69" i="5" s="1"/>
  <c r="B68" i="5"/>
  <c r="H68" i="5" s="1" a="1"/>
  <c r="H68" i="5" s="1"/>
  <c r="B67" i="5"/>
  <c r="H67" i="5" s="1" a="1"/>
  <c r="H67" i="5" s="1"/>
  <c r="B66" i="5"/>
  <c r="H66" i="5" s="1" a="1"/>
  <c r="H66" i="5" s="1"/>
  <c r="B65" i="5"/>
  <c r="H65" i="5" s="1" a="1"/>
  <c r="H65" i="5" s="1"/>
  <c r="B64" i="5"/>
  <c r="H64" i="5" s="1" a="1"/>
  <c r="H64" i="5" s="1"/>
  <c r="B63" i="5"/>
  <c r="H63" i="5" s="1" a="1"/>
  <c r="H63" i="5" s="1"/>
  <c r="B62" i="5"/>
  <c r="H62" i="5" s="1" a="1"/>
  <c r="H62" i="5" s="1"/>
  <c r="B60" i="5"/>
  <c r="H60" i="5" s="1" a="1"/>
  <c r="H60" i="5" s="1"/>
  <c r="B59" i="5"/>
  <c r="H59" i="5" s="1" a="1"/>
  <c r="H59" i="5" s="1"/>
  <c r="B58" i="5"/>
  <c r="H58" i="5" s="1" a="1"/>
  <c r="H58" i="5" s="1"/>
  <c r="B56" i="5"/>
  <c r="H56" i="5" s="1" a="1"/>
  <c r="H56" i="5" s="1"/>
  <c r="B53" i="5"/>
  <c r="H53" i="5" s="1" a="1"/>
  <c r="H53" i="5" s="1"/>
  <c r="B52" i="5"/>
  <c r="H52" i="5" s="1" a="1"/>
  <c r="H52" i="5" s="1"/>
  <c r="B43" i="5"/>
  <c r="H43" i="5" s="1" a="1"/>
  <c r="H43" i="5" s="1"/>
  <c r="B42" i="5"/>
  <c r="H42" i="5" s="1" a="1"/>
  <c r="H42" i="5" s="1"/>
  <c r="B41" i="5"/>
  <c r="H41" i="5" s="1" a="1"/>
  <c r="H41" i="5" s="1"/>
  <c r="B34" i="5"/>
  <c r="H34" i="5" s="1" a="1"/>
  <c r="H34" i="5" s="1"/>
  <c r="B33" i="5"/>
  <c r="H33" i="5" s="1" a="1"/>
  <c r="H33" i="5" s="1"/>
  <c r="B32" i="5"/>
  <c r="H32" i="5" s="1" a="1"/>
  <c r="H32" i="5" s="1"/>
  <c r="B24" i="5"/>
  <c r="H24" i="5" s="1" a="1"/>
  <c r="H24" i="5" s="1"/>
  <c r="B23" i="5"/>
  <c r="H23" i="5" s="1" a="1"/>
  <c r="H23" i="5" s="1"/>
  <c r="B21" i="5"/>
  <c r="H21" i="5" s="1" a="1"/>
  <c r="H21" i="5" s="1"/>
  <c r="F19" i="5"/>
  <c r="B19" i="5"/>
  <c r="H19" i="5" s="1" a="1"/>
  <c r="H19" i="5" s="1"/>
  <c r="F18" i="5"/>
  <c r="B18" i="5"/>
  <c r="H18" i="5" s="1" a="1"/>
  <c r="H18" i="5" s="1"/>
  <c r="F17" i="5"/>
  <c r="B17" i="5"/>
  <c r="H17" i="5" s="1" a="1"/>
  <c r="H17" i="5" s="1"/>
  <c r="F16" i="5"/>
  <c r="B16" i="5"/>
  <c r="H16" i="5" s="1" a="1"/>
  <c r="H16" i="5" s="1"/>
  <c r="F15" i="5"/>
  <c r="B15" i="5"/>
  <c r="H15" i="5" s="1" a="1"/>
  <c r="H15" i="5" s="1"/>
  <c r="F14" i="5"/>
  <c r="B14" i="5"/>
  <c r="H14" i="5" s="1" a="1"/>
  <c r="H14" i="5" s="1"/>
  <c r="F12" i="5"/>
  <c r="B12" i="5"/>
  <c r="H12" i="5" s="1" a="1"/>
  <c r="H12" i="5" s="1"/>
  <c r="F11" i="5"/>
  <c r="B11" i="5"/>
  <c r="H11" i="5" s="1" a="1"/>
  <c r="H11" i="5" s="1"/>
  <c r="F10" i="5"/>
  <c r="B10" i="5"/>
  <c r="H10" i="5" s="1" a="1"/>
  <c r="H10" i="5" s="1"/>
  <c r="N41" i="26" l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8" i="26" s="1"/>
  <c r="N34" i="37" s="1"/>
  <c r="N35" i="37" s="1"/>
  <c r="N36" i="37" s="1"/>
  <c r="N37" i="37" s="1"/>
  <c r="N38" i="37" s="1"/>
  <c r="N39" i="37" s="1"/>
  <c r="N40" i="37" s="1"/>
  <c r="N41" i="37" l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l="1"/>
  <c r="N63" i="37" s="1"/>
  <c r="N64" i="37" s="1"/>
  <c r="N65" i="37" s="1"/>
  <c r="N66" i="37" s="1"/>
  <c r="N67" i="37" s="1"/>
  <c r="N68" i="37" s="1"/>
  <c r="N69" i="37" s="1"/>
  <c r="N70" i="37" s="1"/>
  <c r="N78" i="37" s="1"/>
  <c r="N33" i="39" s="1"/>
  <c r="N34" i="39" s="1"/>
  <c r="N35" i="39" s="1"/>
  <c r="N36" i="39" s="1"/>
  <c r="N37" i="39" s="1"/>
  <c r="N38" i="39" s="1"/>
  <c r="N39" i="39" s="1"/>
  <c r="N40" i="39" s="1"/>
  <c r="N41" i="39" s="1"/>
  <c r="N42" i="39" s="1"/>
  <c r="N43" i="39" s="1"/>
  <c r="N44" i="39" s="1"/>
  <c r="N45" i="39" s="1"/>
  <c r="N46" i="39" s="1"/>
  <c r="N47" i="39" s="1"/>
  <c r="N48" i="39" s="1"/>
  <c r="N49" i="39" s="1"/>
  <c r="N50" i="39" s="1"/>
  <c r="N51" i="39" s="1"/>
  <c r="N52" i="39" l="1"/>
  <c r="N53" i="39" s="1"/>
  <c r="N54" i="39" s="1"/>
  <c r="N55" i="39" s="1"/>
  <c r="N56" i="39" s="1"/>
  <c r="N57" i="39" s="1"/>
  <c r="N58" i="39" s="1"/>
  <c r="N59" i="39" s="1"/>
  <c r="N60" i="39" l="1"/>
  <c r="N61" i="39" s="1"/>
  <c r="N62" i="39" s="1"/>
  <c r="N63" i="39" s="1"/>
  <c r="N64" i="39" s="1"/>
  <c r="N65" i="39" s="1"/>
  <c r="N66" i="39" s="1"/>
  <c r="N67" i="39" s="1"/>
  <c r="N68" i="39" s="1"/>
  <c r="N69" i="39" s="1"/>
  <c r="N76" i="39" s="1"/>
  <c r="N34" i="31" l="1"/>
  <c r="N35" i="31" s="1"/>
  <c r="N36" i="31" s="1"/>
  <c r="N37" i="31" s="1"/>
  <c r="N38" i="31" s="1"/>
  <c r="N39" i="31" s="1"/>
  <c r="N40" i="31" s="1"/>
  <c r="N41" i="31" l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67" i="31" s="1"/>
  <c r="N68" i="31" s="1"/>
  <c r="N69" i="31" s="1"/>
  <c r="N70" i="31" s="1"/>
  <c r="N78" i="31" s="1"/>
  <c r="N34" i="34" s="1"/>
  <c r="N35" i="34" s="1"/>
  <c r="N36" i="34" s="1"/>
  <c r="N37" i="34" s="1"/>
  <c r="N38" i="34" s="1"/>
  <c r="N39" i="34" s="1"/>
  <c r="N40" i="34" s="1"/>
  <c r="N41" i="34" l="1"/>
  <c r="N42" i="34" s="1"/>
  <c r="N43" i="34" s="1"/>
  <c r="N44" i="34" s="1"/>
  <c r="N45" i="34" s="1"/>
  <c r="N46" i="34" s="1"/>
  <c r="N47" i="34" s="1"/>
  <c r="N48" i="34" s="1"/>
  <c r="N49" i="34" s="1"/>
  <c r="N50" i="34" s="1"/>
  <c r="N51" i="34" s="1"/>
  <c r="N52" i="34" s="1"/>
  <c r="N53" i="34" s="1"/>
  <c r="N54" i="34" s="1"/>
  <c r="N55" i="34" s="1"/>
  <c r="N56" i="34" s="1"/>
  <c r="N57" i="34" s="1"/>
  <c r="N58" i="34" s="1"/>
  <c r="N59" i="34" s="1"/>
  <c r="N60" i="34" s="1"/>
  <c r="N61" i="34" l="1"/>
  <c r="N62" i="34" s="1"/>
  <c r="N63" i="34" s="1"/>
  <c r="N64" i="34" s="1"/>
  <c r="N65" i="34" s="1"/>
  <c r="N66" i="34" s="1"/>
  <c r="N67" i="34" s="1"/>
  <c r="N68" i="34" s="1"/>
  <c r="N69" i="34" s="1"/>
  <c r="N70" i="34" s="1"/>
  <c r="N78" i="34" s="1"/>
  <c r="N34" i="35" s="1"/>
  <c r="N35" i="35" s="1"/>
  <c r="N36" i="35" s="1"/>
  <c r="N37" i="35" s="1"/>
  <c r="N38" i="35" s="1"/>
  <c r="N39" i="35" s="1"/>
  <c r="N40" i="35" s="1"/>
  <c r="N41" i="35" l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l="1"/>
  <c r="N63" i="35" s="1"/>
  <c r="N64" i="35" s="1"/>
  <c r="N65" i="35" s="1"/>
  <c r="N66" i="35" s="1"/>
  <c r="N67" i="35" s="1"/>
  <c r="N68" i="35" s="1"/>
  <c r="N69" i="35" s="1"/>
  <c r="N70" i="35" s="1"/>
  <c r="N78" i="35" s="1"/>
  <c r="N34" i="36" s="1"/>
  <c r="N35" i="36" s="1"/>
  <c r="N36" i="36" s="1"/>
  <c r="N37" i="36" s="1"/>
  <c r="N38" i="36" s="1"/>
  <c r="N39" i="36" s="1"/>
  <c r="N40" i="36" s="1"/>
  <c r="N41" i="36" l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8" i="36" s="1"/>
  <c r="N34" i="38" s="1"/>
  <c r="N35" i="38" s="1"/>
  <c r="N36" i="38" s="1"/>
  <c r="N37" i="38" s="1"/>
  <c r="N38" i="38" s="1"/>
  <c r="N39" i="38" s="1"/>
  <c r="N40" i="38" s="1"/>
  <c r="N41" i="38" l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8" i="38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l="1"/>
  <c r="N52" i="32" s="1"/>
  <c r="N53" i="32" s="1"/>
  <c r="N54" i="32" s="1"/>
  <c r="N55" i="32" s="1"/>
  <c r="N56" i="32" s="1"/>
  <c r="N57" i="32" s="1"/>
  <c r="N58" i="32" s="1"/>
  <c r="N59" i="32" s="1"/>
  <c r="N60" i="32" l="1"/>
  <c r="N61" i="32" s="1"/>
  <c r="N62" i="32" s="1"/>
  <c r="N63" i="32" s="1"/>
  <c r="N64" i="32" s="1"/>
  <c r="N65" i="32" l="1"/>
  <c r="N66" i="32" s="1"/>
  <c r="N67" i="32" s="1"/>
  <c r="N68" i="32" s="1"/>
  <c r="N69" i="32" s="1"/>
  <c r="N70" i="32" s="1"/>
  <c r="N71" i="32" s="1"/>
  <c r="N78" i="32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8" i="7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50" i="15" s="1"/>
  <c r="N51" i="15" s="1"/>
  <c r="N52" i="15" s="1"/>
  <c r="N9" i="9" s="1"/>
  <c r="N10" i="9" s="1"/>
  <c r="N11" i="9" s="1"/>
  <c r="N12" i="9" s="1"/>
  <c r="N13" i="9" s="1"/>
  <c r="N14" i="9" s="1"/>
  <c r="N15" i="9" s="1"/>
  <c r="N9" i="42" s="1"/>
  <c r="N10" i="42" s="1"/>
  <c r="N11" i="42" s="1"/>
  <c r="N12" i="42" s="1"/>
  <c r="N13" i="42" s="1"/>
  <c r="N14" i="42" s="1"/>
  <c r="N15" i="42" s="1"/>
  <c r="N117" i="23" s="1"/>
  <c r="N118" i="23" s="1"/>
  <c r="N119" i="23" s="1"/>
  <c r="N120" i="23" s="1"/>
  <c r="N121" i="23" s="1"/>
  <c r="N122" i="23" s="1"/>
  <c r="N123" i="23" s="1"/>
  <c r="N223" i="24" s="1"/>
  <c r="N224" i="24" s="1"/>
  <c r="N225" i="24" s="1"/>
  <c r="N226" i="24" s="1"/>
  <c r="N227" i="24" s="1"/>
  <c r="N228" i="24" s="1"/>
  <c r="N229" i="24" s="1"/>
  <c r="N230" i="24" s="1"/>
  <c r="N105" i="23" s="1"/>
  <c r="N105" i="2" s="1"/>
  <c r="N173" i="24" s="1"/>
  <c r="N174" i="24" s="1"/>
  <c r="N175" i="24" s="1"/>
  <c r="N176" i="24" s="1"/>
  <c r="N177" i="24" s="1"/>
  <c r="N178" i="24" s="1"/>
  <c r="N179" i="24" s="1"/>
  <c r="N180" i="24" s="1"/>
  <c r="N181" i="24" s="1"/>
  <c r="N182" i="24" s="1"/>
  <c r="N183" i="24" s="1"/>
  <c r="N184" i="24" s="1"/>
  <c r="N185" i="24" s="1"/>
  <c r="N186" i="24" s="1"/>
  <c r="N187" i="24" s="1"/>
  <c r="N188" i="24" s="1"/>
  <c r="N189" i="24" s="1"/>
  <c r="N190" i="24" s="1"/>
  <c r="N191" i="24" s="1"/>
  <c r="N192" i="24" s="1"/>
  <c r="N193" i="24" s="1"/>
  <c r="N194" i="24" s="1"/>
  <c r="N195" i="24" s="1"/>
  <c r="N196" i="24" s="1"/>
  <c r="N197" i="24" s="1"/>
  <c r="N198" i="24" s="1"/>
  <c r="N199" i="24" s="1"/>
  <c r="N200" i="24" s="1"/>
  <c r="N201" i="24" s="1"/>
  <c r="N202" i="24" s="1"/>
  <c r="N203" i="24" s="1"/>
  <c r="N204" i="24" s="1"/>
  <c r="N205" i="24" s="1"/>
  <c r="N206" i="24" l="1"/>
  <c r="N207" i="24" s="1"/>
  <c r="N208" i="24" s="1"/>
  <c r="N209" i="24" s="1"/>
  <c r="N210" i="24" s="1"/>
  <c r="N211" i="24" s="1"/>
  <c r="N212" i="24" s="1"/>
  <c r="N173" i="43" s="1"/>
  <c r="N174" i="43" s="1"/>
  <c r="N175" i="43" s="1"/>
  <c r="N176" i="43" s="1"/>
  <c r="N177" i="43" s="1"/>
  <c r="N178" i="43" s="1"/>
  <c r="N179" i="43" s="1"/>
  <c r="N180" i="43" s="1"/>
  <c r="N181" i="43" s="1"/>
  <c r="N182" i="43" s="1"/>
  <c r="N183" i="43" s="1"/>
  <c r="N184" i="43" s="1"/>
  <c r="N185" i="43" s="1"/>
  <c r="N186" i="43" s="1"/>
  <c r="N187" i="43" s="1"/>
  <c r="N188" i="43" s="1"/>
  <c r="N189" i="43" s="1"/>
  <c r="N190" i="43" s="1"/>
  <c r="N191" i="43" s="1"/>
  <c r="N192" i="43" s="1"/>
  <c r="N193" i="43" s="1"/>
  <c r="N194" i="43" s="1"/>
  <c r="N195" i="43" s="1"/>
  <c r="N196" i="43" s="1"/>
  <c r="N197" i="43" s="1"/>
  <c r="N198" i="43" s="1"/>
  <c r="N199" i="43" s="1"/>
  <c r="N200" i="43" s="1"/>
  <c r="N201" i="43" s="1"/>
  <c r="N202" i="43" s="1"/>
  <c r="N203" i="43" s="1"/>
  <c r="N204" i="43" s="1"/>
  <c r="N205" i="43" s="1"/>
  <c r="N206" i="43" s="1"/>
  <c r="N207" i="43" s="1"/>
  <c r="N208" i="43" s="1"/>
  <c r="N209" i="43" s="1"/>
  <c r="N210" i="43" s="1"/>
  <c r="N211" i="43" s="1"/>
  <c r="N212" i="43" s="1"/>
  <c r="N71" i="5" s="1"/>
  <c r="N72" i="5" s="1"/>
  <c r="N73" i="5" s="1"/>
  <c r="N74" i="5" l="1"/>
  <c r="N71" i="25" s="1"/>
  <c r="N72" i="25" s="1"/>
  <c r="N73" i="25" s="1"/>
  <c r="N74" i="25" l="1"/>
  <c r="N71" i="26" s="1"/>
  <c r="N72" i="26" l="1"/>
  <c r="N73" i="26" s="1"/>
  <c r="N74" i="26" s="1"/>
  <c r="N71" i="37" s="1"/>
  <c r="N72" i="37" l="1"/>
  <c r="N73" i="37" s="1"/>
  <c r="N74" i="37" s="1"/>
  <c r="N70" i="39" s="1"/>
  <c r="N71" i="39" s="1"/>
  <c r="N72" i="39" s="1"/>
  <c r="N71" i="31" s="1"/>
  <c r="N72" i="31" l="1"/>
  <c r="N73" i="31" s="1"/>
  <c r="N74" i="31" s="1"/>
  <c r="N71" i="34" s="1"/>
  <c r="N72" i="34" l="1"/>
  <c r="N73" i="34" s="1"/>
  <c r="N74" i="34" s="1"/>
  <c r="N71" i="35" s="1"/>
  <c r="N72" i="35" l="1"/>
  <c r="N73" i="35" s="1"/>
  <c r="N74" i="35" s="1"/>
  <c r="N71" i="36" s="1"/>
  <c r="N72" i="36" l="1"/>
  <c r="N73" i="36" s="1"/>
  <c r="N74" i="36" s="1"/>
  <c r="N71" i="38" s="1"/>
  <c r="N72" i="38" l="1"/>
  <c r="N73" i="38" s="1"/>
  <c r="N74" i="38" s="1"/>
  <c r="N72" i="32" s="1"/>
  <c r="N73" i="32" l="1"/>
  <c r="N74" i="32" s="1"/>
  <c r="N72" i="7" s="1"/>
  <c r="N73" i="7" s="1"/>
  <c r="N74" i="7" s="1"/>
  <c r="N44" i="15" s="1"/>
  <c r="N45" i="15" s="1"/>
  <c r="N46" i="15" s="1"/>
  <c r="N31" i="5" s="1"/>
  <c r="N31" i="25" s="1"/>
  <c r="N31" i="26" s="1"/>
  <c r="N31" i="37" s="1"/>
  <c r="N31" i="31" s="1"/>
  <c r="N31" i="34" s="1"/>
  <c r="N31" i="35" s="1"/>
  <c r="N31" i="36" s="1"/>
  <c r="N31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tc={50B5305A-99B8-49C0-9DB0-87EC22C5EE65}</author>
    <author>tc={53D28EF0-F3DD-404C-8CCC-2975E4EF79F7}</author>
    <author>tc={3BC5E7EB-776C-43F6-A31B-72A976E48F6A}</author>
    <author>tc={D18F219C-CCB0-4A4C-87A0-C370202B7D35}</author>
    <author>tc={982E56A5-03FE-475D-9DF9-2813A7F0E5EF}</author>
    <author>tc={3E360BCA-F7ED-4AAA-A3DA-1949FFA83082}</author>
    <author>tc={5D0636BF-2DFC-407A-A813-36D650C61E0B}</author>
  </authors>
  <commentList>
    <comment ref="F75" authorId="0" shapeId="0" xr:uid="{50B5305A-99B8-49C0-9DB0-87EC22C5EE65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AUTOMATICO</t>
        </r>
      </text>
    </comment>
    <comment ref="F76" authorId="1" shapeId="0" xr:uid="{53D28EF0-F3DD-404C-8CCC-2975E4EF79F7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LIGADA</t>
        </r>
      </text>
    </comment>
    <comment ref="F108" authorId="2" shapeId="0" xr:uid="{3BC5E7EB-776C-43F6-A31B-72A976E48F6A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  </r>
      </text>
    </comment>
    <comment ref="F109" authorId="3" shapeId="0" xr:uid="{D18F219C-CCB0-4A4C-87A0-C370202B7D35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  </r>
      </text>
    </comment>
    <comment ref="F183" authorId="4" shapeId="0" xr:uid="{982E56A5-03FE-475D-9DF9-2813A7F0E5EF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FALHA + DEFEITO</t>
        </r>
      </text>
    </comment>
    <comment ref="F184" authorId="5" shapeId="0" xr:uid="{3E360BCA-F7ED-4AAA-A3DA-1949FFA83082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  </r>
      </text>
    </comment>
    <comment ref="F185" authorId="6" shapeId="0" xr:uid="{5D0636BF-2DFC-407A-A813-36D650C61E0B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tc={BCC85AE6-891A-4B75-A420-E2C953E3685E}</author>
    <author>tc={E8675B35-08A8-46C9-853E-A1B978CF7838}</author>
    <author>tc={005DDCCD-20AC-4C73-B527-7034FD711561}</author>
    <author>tc={650E9D43-6DF9-47E0-8826-EBECBF2578D2}</author>
    <author>tc={AED00019-78A0-4FB8-894C-EF9C5AF7C2C2}</author>
    <author>tc={B1CE8B7F-35AC-4312-88F7-0EA65DC74906}</author>
    <author>tc={FBD95894-075C-4CA4-B63E-0A6B0832FE68}</author>
  </authors>
  <commentList>
    <comment ref="F75" authorId="0" shapeId="0" xr:uid="{BCC85AE6-891A-4B75-A420-E2C953E3685E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AUTOMATICO</t>
        </r>
      </text>
    </comment>
    <comment ref="F76" authorId="1" shapeId="0" xr:uid="{E8675B35-08A8-46C9-853E-A1B978CF7838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LIGADA</t>
        </r>
      </text>
    </comment>
    <comment ref="F108" authorId="2" shapeId="0" xr:uid="{005DDCCD-20AC-4C73-B527-7034FD711561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  </r>
      </text>
    </comment>
    <comment ref="F109" authorId="3" shapeId="0" xr:uid="{650E9D43-6DF9-47E0-8826-EBECBF2578D2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</t>
        </r>
      </text>
    </comment>
    <comment ref="F183" authorId="4" shapeId="0" xr:uid="{AED00019-78A0-4FB8-894C-EF9C5AF7C2C2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VF FALHA + DEFEITO</t>
        </r>
      </text>
    </comment>
    <comment ref="F184" authorId="5" shapeId="0" xr:uid="{B1CE8B7F-35AC-4312-88F7-0EA65DC74906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  </r>
      </text>
    </comment>
    <comment ref="F185" authorId="6" shapeId="0" xr:uid="{FBD95894-075C-4CA4-B63E-0A6B0832FE68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tc={F4914ED4-7CD1-465F-A52D-E6EA1ACBB394}</author>
  </authors>
  <commentList>
    <comment ref="F61" authorId="0" shapeId="0" xr:uid="{F4914ED4-7CD1-465F-A52D-E6EA1ACBB394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tc={4ED5C974-0572-45D0-9B0F-BD7C118F437F}</author>
  </authors>
  <commentList>
    <comment ref="F61" authorId="0" shapeId="0" xr:uid="{4ED5C974-0572-45D0-9B0F-BD7C118F437F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tc={99A3D32B-7796-46C7-8E53-F18F628A5A3C}</author>
  </authors>
  <commentList>
    <comment ref="F61" authorId="0" shapeId="0" xr:uid="{99A3D32B-7796-46C7-8E53-F18F628A5A3C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tc={3C9081F8-9F07-490F-92C6-1C032D39E1D0}</author>
  </authors>
  <commentList>
    <comment ref="F61" authorId="0" shapeId="0" xr:uid="{3C9081F8-9F07-490F-92C6-1C032D39E1D0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tc={9B62AF65-509C-4402-B868-CFEBE48CF299}</author>
  </authors>
  <commentList>
    <comment ref="F60" authorId="0" shapeId="0" xr:uid="{9B62AF65-509C-4402-B868-CFEBE48CF299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tc={79001269-1FBE-4583-B52F-2EAA53F69B72}</author>
  </authors>
  <commentList>
    <comment ref="F61" authorId="0" shapeId="0" xr:uid="{79001269-1FBE-4583-B52F-2EAA53F69B72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tc={17714C48-9E0F-4161-A2C0-C60AA01F68E2}</author>
  </authors>
  <commentList>
    <comment ref="F61" authorId="0" shapeId="0" xr:uid="{17714C48-9E0F-4161-A2C0-C60AA01F68E2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tc={ACAC7FF2-F376-4001-AEFA-34D873B46AEB}</author>
  </authors>
  <commentList>
    <comment ref="F61" authorId="0" shapeId="0" xr:uid="{ACAC7FF2-F376-4001-AEFA-34D873B46AEB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tc={CDE9EEB9-4341-4058-BE29-5C7576A46BF9}</author>
  </authors>
  <commentList>
    <comment ref="F61" authorId="0" shapeId="0" xr:uid="{CDE9EEB9-4341-4058-BE29-5C7576A46BF9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tc={4268F051-A67F-49FB-9ED4-C75EBB3198C6}</author>
  </authors>
  <commentList>
    <comment ref="F61" authorId="0" shapeId="0" xr:uid="{4268F051-A67F-49FB-9ED4-C75EBB3198C6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tc={152295DE-4CB7-435F-9536-685600FD1E09}</author>
  </authors>
  <commentList>
    <comment ref="F60" authorId="0" shapeId="0" xr:uid="{152295DE-4CB7-435F-9536-685600FD1E09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tc={EDD4AC4F-A385-42E2-B8B0-222B9269B7FE}</author>
  </authors>
  <commentList>
    <comment ref="F60" authorId="0" shapeId="0" xr:uid="{EDD4AC4F-A385-42E2-B8B0-222B9269B7FE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50BF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tc={7ADE5354-8F90-472D-B8AE-F6BEACD211D6}</author>
  </authors>
  <commentList>
    <comment ref="N46" authorId="0" shapeId="0" xr:uid="{7ADE5354-8F90-472D-B8AE-F6BEACD211D6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partir do index 1100 estão sendo considerados a adequação dos estados consistidos dos equipamentos.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<sst xmlns="http://schemas.openxmlformats.org/spreadsheetml/2006/main" count="24323" uniqueCount="743">
  <si>
    <t>Nome SE</t>
  </si>
  <si>
    <t>SUBESTAÇÃO</t>
  </si>
  <si>
    <t>Sigla SE</t>
  </si>
  <si>
    <t>DNP3</t>
  </si>
  <si>
    <t>IEC101</t>
  </si>
  <si>
    <t>IEC104</t>
  </si>
  <si>
    <t>OBSERVAÇÃO</t>
  </si>
  <si>
    <t>TIPO</t>
  </si>
  <si>
    <t>A</t>
  </si>
  <si>
    <t>IA</t>
  </si>
  <si>
    <t>IB</t>
  </si>
  <si>
    <t>IC</t>
  </si>
  <si>
    <t>VA_B</t>
  </si>
  <si>
    <t>VB_B</t>
  </si>
  <si>
    <t>VC_B</t>
  </si>
  <si>
    <t>VA_L</t>
  </si>
  <si>
    <t>VB_L</t>
  </si>
  <si>
    <t>VC_L</t>
  </si>
  <si>
    <t>P</t>
  </si>
  <si>
    <t>Q</t>
  </si>
  <si>
    <t>KMDF</t>
  </si>
  <si>
    <t>IACC</t>
  </si>
  <si>
    <t>IBCC</t>
  </si>
  <si>
    <t>ICCC</t>
  </si>
  <si>
    <t>C</t>
  </si>
  <si>
    <t>D</t>
  </si>
  <si>
    <t>EQUIPAMENTO</t>
  </si>
  <si>
    <t>TC</t>
  </si>
  <si>
    <t>TP</t>
  </si>
  <si>
    <t>LT</t>
  </si>
  <si>
    <t>DJ</t>
  </si>
  <si>
    <t>SECC</t>
  </si>
  <si>
    <t>SECF</t>
  </si>
  <si>
    <t>SECT</t>
  </si>
  <si>
    <t>DJF1</t>
  </si>
  <si>
    <t>51N</t>
  </si>
  <si>
    <t>25IE</t>
  </si>
  <si>
    <t>SF6A</t>
  </si>
  <si>
    <t>MOLA</t>
  </si>
  <si>
    <t>43LR</t>
  </si>
  <si>
    <t>43TC</t>
  </si>
  <si>
    <t>BBAB</t>
  </si>
  <si>
    <t>CCFL</t>
  </si>
  <si>
    <t>CAFL</t>
  </si>
  <si>
    <t>62BF</t>
  </si>
  <si>
    <t>79LO</t>
  </si>
  <si>
    <t>79OK</t>
  </si>
  <si>
    <t>79RE</t>
  </si>
  <si>
    <t>79_1</t>
  </si>
  <si>
    <t>SF6B</t>
  </si>
  <si>
    <t>BBFC</t>
  </si>
  <si>
    <t>DR</t>
  </si>
  <si>
    <t>MDLT</t>
  </si>
  <si>
    <t>MDBC</t>
  </si>
  <si>
    <t>FA</t>
  </si>
  <si>
    <t>FB</t>
  </si>
  <si>
    <t>FC</t>
  </si>
  <si>
    <t>86BF</t>
  </si>
  <si>
    <t>67N1</t>
  </si>
  <si>
    <t>67N2</t>
  </si>
  <si>
    <t>67FT</t>
  </si>
  <si>
    <t>67F1</t>
  </si>
  <si>
    <t>67F2</t>
  </si>
  <si>
    <t>67NT</t>
  </si>
  <si>
    <t>21Z1</t>
  </si>
  <si>
    <t>21Z2</t>
  </si>
  <si>
    <t>21Z3</t>
  </si>
  <si>
    <t>21Z4</t>
  </si>
  <si>
    <t>21Z5</t>
  </si>
  <si>
    <t>27_T</t>
  </si>
  <si>
    <t>59_T</t>
  </si>
  <si>
    <t>81SU</t>
  </si>
  <si>
    <t>81U1</t>
  </si>
  <si>
    <t>81U2</t>
  </si>
  <si>
    <t>81U3</t>
  </si>
  <si>
    <t>81U4</t>
  </si>
  <si>
    <t>81U5</t>
  </si>
  <si>
    <t>81AJST</t>
  </si>
  <si>
    <t>FCOM</t>
  </si>
  <si>
    <t>CCCO</t>
  </si>
  <si>
    <t>CCMO</t>
  </si>
  <si>
    <t>FUTP</t>
  </si>
  <si>
    <t>SECG</t>
  </si>
  <si>
    <t>MÓDULO</t>
  </si>
  <si>
    <t>DESCRIÇÃO DO PONTO</t>
  </si>
  <si>
    <t>SIGLA SINAL</t>
  </si>
  <si>
    <t>NOME</t>
  </si>
  <si>
    <t xml:space="preserve">MÓDULO  </t>
  </si>
  <si>
    <t>MÓDULO - ALIMENTADOR</t>
  </si>
  <si>
    <t>AL</t>
  </si>
  <si>
    <t>V</t>
  </si>
  <si>
    <t>IN</t>
  </si>
  <si>
    <t>INCC</t>
  </si>
  <si>
    <t>TOED</t>
  </si>
  <si>
    <t>50F1</t>
  </si>
  <si>
    <t>50F2</t>
  </si>
  <si>
    <t>50N1</t>
  </si>
  <si>
    <t>50N2</t>
  </si>
  <si>
    <t>51F</t>
  </si>
  <si>
    <t>SGFT</t>
  </si>
  <si>
    <t>AT</t>
  </si>
  <si>
    <t>BT</t>
  </si>
  <si>
    <t>TR</t>
  </si>
  <si>
    <t>R90</t>
  </si>
  <si>
    <t>CDC</t>
  </si>
  <si>
    <t>VF</t>
  </si>
  <si>
    <t>TOLE</t>
  </si>
  <si>
    <t>TENR</t>
  </si>
  <si>
    <t>MÓDULO - TRANSFORMADOR</t>
  </si>
  <si>
    <t>TAP</t>
  </si>
  <si>
    <t>CAAQ</t>
  </si>
  <si>
    <t>51N1</t>
  </si>
  <si>
    <t>LIBM</t>
  </si>
  <si>
    <t>20TA</t>
  </si>
  <si>
    <t>20TD</t>
  </si>
  <si>
    <t>20CA</t>
  </si>
  <si>
    <t>20CD</t>
  </si>
  <si>
    <t>MÓDULO - SERVIÇO AUXILIAR</t>
  </si>
  <si>
    <t>MÓDULO - RETIFICADOR</t>
  </si>
  <si>
    <t>TEA</t>
  </si>
  <si>
    <t>TED</t>
  </si>
  <si>
    <t>TOA</t>
  </si>
  <si>
    <t>TOD</t>
  </si>
  <si>
    <t>63CA</t>
  </si>
  <si>
    <t>63C</t>
  </si>
  <si>
    <t>63TA</t>
  </si>
  <si>
    <t>63T</t>
  </si>
  <si>
    <t>MÓDULO - BANCO CAPACITOR</t>
  </si>
  <si>
    <t>TSA</t>
  </si>
  <si>
    <t>VAB</t>
  </si>
  <si>
    <t>VBC</t>
  </si>
  <si>
    <t>VCA</t>
  </si>
  <si>
    <t>TENSAO FASES AC</t>
  </si>
  <si>
    <t>VCC</t>
  </si>
  <si>
    <t>VBAT</t>
  </si>
  <si>
    <t>RET</t>
  </si>
  <si>
    <t>BATA</t>
  </si>
  <si>
    <t>BADC</t>
  </si>
  <si>
    <t>DRET</t>
  </si>
  <si>
    <t>FGTE</t>
  </si>
  <si>
    <t>NEGT</t>
  </si>
  <si>
    <t>POST</t>
  </si>
  <si>
    <t>MÓDULO - SUBESTAÇÃO</t>
  </si>
  <si>
    <t>PRES</t>
  </si>
  <si>
    <t>PREX</t>
  </si>
  <si>
    <t>PRIN</t>
  </si>
  <si>
    <t>DEFC</t>
  </si>
  <si>
    <t>CMD</t>
  </si>
  <si>
    <t>FSIN</t>
  </si>
  <si>
    <t>PORT</t>
  </si>
  <si>
    <t>DSEX</t>
  </si>
  <si>
    <t>FUMA</t>
  </si>
  <si>
    <t>TPAM</t>
  </si>
  <si>
    <t>SE</t>
  </si>
  <si>
    <t>A/D</t>
  </si>
  <si>
    <t>25ER</t>
  </si>
  <si>
    <t>25AT</t>
  </si>
  <si>
    <t>25FT</t>
  </si>
  <si>
    <t>25VT</t>
  </si>
  <si>
    <t>SOFT</t>
  </si>
  <si>
    <t>87LT</t>
  </si>
  <si>
    <t>87BL</t>
  </si>
  <si>
    <t>FSIH</t>
  </si>
  <si>
    <t>MÓDULO - BARRAS</t>
  </si>
  <si>
    <t>BP</t>
  </si>
  <si>
    <t>BP AT</t>
  </si>
  <si>
    <t>NÚMERO OPERATIVO / MNEMNICO</t>
  </si>
  <si>
    <t>CLASSE DE TENSÃO</t>
  </si>
  <si>
    <t>NÚMERO</t>
  </si>
  <si>
    <t>DJ AT</t>
  </si>
  <si>
    <t>SECC AT</t>
  </si>
  <si>
    <t>SECF AT</t>
  </si>
  <si>
    <t>SECT AT</t>
  </si>
  <si>
    <t>DJ BT</t>
  </si>
  <si>
    <t>SECC BT</t>
  </si>
  <si>
    <t>SECF BT</t>
  </si>
  <si>
    <t>SECT BT</t>
  </si>
  <si>
    <t>Nível Lógico 0</t>
  </si>
  <si>
    <t>Nível Lógico 1</t>
  </si>
  <si>
    <t>ATUADO</t>
  </si>
  <si>
    <t>FALHA</t>
  </si>
  <si>
    <t>DEFEITO</t>
  </si>
  <si>
    <t>NORMAL</t>
  </si>
  <si>
    <t>INCLUIDO</t>
  </si>
  <si>
    <t>EXCLUIDO</t>
  </si>
  <si>
    <t>LOCAL</t>
  </si>
  <si>
    <t>REMOTO</t>
  </si>
  <si>
    <t>FALTA</t>
  </si>
  <si>
    <t>-</t>
  </si>
  <si>
    <t>Utilizado?</t>
  </si>
  <si>
    <t>SIM</t>
  </si>
  <si>
    <t>NÃO</t>
  </si>
  <si>
    <t>INDEX DNP3</t>
  </si>
  <si>
    <t>TCTI</t>
  </si>
  <si>
    <t>TCTF</t>
  </si>
  <si>
    <t>TCT</t>
  </si>
  <si>
    <t>TAL</t>
  </si>
  <si>
    <t>TPPM</t>
  </si>
  <si>
    <t>TPPF</t>
  </si>
  <si>
    <t>81P</t>
  </si>
  <si>
    <t>81F</t>
  </si>
  <si>
    <t>81A</t>
  </si>
  <si>
    <t>ETH</t>
  </si>
  <si>
    <t>CZA</t>
  </si>
  <si>
    <t>DJ_A</t>
  </si>
  <si>
    <t>DJ_P</t>
  </si>
  <si>
    <t>LT_P</t>
  </si>
  <si>
    <t>LT_A</t>
  </si>
  <si>
    <t>PPOT</t>
  </si>
  <si>
    <t>BLOQUEADA</t>
  </si>
  <si>
    <t>LIBERADA</t>
  </si>
  <si>
    <t>TR_A</t>
  </si>
  <si>
    <t>TR_P</t>
  </si>
  <si>
    <t>13.8</t>
  </si>
  <si>
    <t>LÓGICAS</t>
  </si>
  <si>
    <t>IEC 61850</t>
  </si>
  <si>
    <t>FUNCAO TRANSFERENCIA COM PARALELISMO MOMENTANEO</t>
  </si>
  <si>
    <t>FUNCAO TRANSFERENCIA AUTOMATICA DE LINHA</t>
  </si>
  <si>
    <t>TRANSFERENCIA AUTOMATICA DE LINHA COM SUCESSO</t>
  </si>
  <si>
    <t>TRANSFERENCIA AUTOMATICA DE LINHA COM FALHA</t>
  </si>
  <si>
    <t>FUNCAO  TCT</t>
  </si>
  <si>
    <t>TCT INICIADA</t>
  </si>
  <si>
    <t>TCT COM SUCESSO</t>
  </si>
  <si>
    <t>TCT COM FALHA</t>
  </si>
  <si>
    <t>TRANSFERENCIA COM PARALELISMO MOMENTANEO COM SUCESSO</t>
  </si>
  <si>
    <t>TRANSFERENCIA COM PARALELISMO MOMENTANEO COM FALHA</t>
  </si>
  <si>
    <t>81 - RECOMPOSICAO ERAC PREPARADO</t>
  </si>
  <si>
    <t>81 - FUNCAO RECOMPOSICAO ERAC</t>
  </si>
  <si>
    <t>81C</t>
  </si>
  <si>
    <t>81 - RECOMPOSICAO ERAC FECHAMENTO</t>
  </si>
  <si>
    <t>81 - FALHA RECOMPOSICAO ERAC</t>
  </si>
  <si>
    <t>TALF</t>
  </si>
  <si>
    <t>TALB</t>
  </si>
  <si>
    <t>TRANSFERENCIA AUTOMATICA DE LINHA BLOQUEADA</t>
  </si>
  <si>
    <t>TALS</t>
  </si>
  <si>
    <t>TPPS</t>
  </si>
  <si>
    <t>TCTS</t>
  </si>
  <si>
    <t>FALHA PORTA ETHERNET</t>
  </si>
  <si>
    <t>FALHA GOOSE</t>
  </si>
  <si>
    <t>FGOO</t>
  </si>
  <si>
    <t>Mnemônico RTU</t>
  </si>
  <si>
    <t>Nível Lógico</t>
  </si>
  <si>
    <t>FABRICANTE_MODELO</t>
  </si>
  <si>
    <t>SEL_SEL-2240</t>
  </si>
  <si>
    <t>FOXBORO_RTU50</t>
  </si>
  <si>
    <t>SEL_SEL-2241</t>
  </si>
  <si>
    <t>SEL_SEL-3355</t>
  </si>
  <si>
    <t>FOXBORO_SCD6000</t>
  </si>
  <si>
    <t>SIEMENS_SICAM</t>
  </si>
  <si>
    <t>SAGE_N2</t>
  </si>
  <si>
    <t>GE_</t>
  </si>
  <si>
    <t>FOXBORO_SCD5200</t>
  </si>
  <si>
    <t>ALTUS_</t>
  </si>
  <si>
    <t>AOR</t>
  </si>
  <si>
    <t>Tipo</t>
  </si>
  <si>
    <t>Protocolo</t>
  </si>
  <si>
    <t>IP Canal Principal</t>
  </si>
  <si>
    <t>IP Canal Starlink (8)</t>
  </si>
  <si>
    <t>IP Canal Starlink (9)</t>
  </si>
  <si>
    <t>Fabricante da UTR</t>
  </si>
  <si>
    <t>Escala</t>
  </si>
  <si>
    <t>Analógicos</t>
  </si>
  <si>
    <t>Estampa de tempo</t>
  </si>
  <si>
    <t>X</t>
  </si>
  <si>
    <t>Modo de Comando</t>
  </si>
  <si>
    <t>Control Code</t>
  </si>
  <si>
    <t>Control Code / Qualificador</t>
  </si>
  <si>
    <t>Ponto Simples</t>
  </si>
  <si>
    <t>Multi Coord</t>
  </si>
  <si>
    <t>Porta TCP</t>
  </si>
  <si>
    <t>Adress Source</t>
  </si>
  <si>
    <t>Adress Destination</t>
  </si>
  <si>
    <t>Tipo UTR</t>
  </si>
  <si>
    <t>UTR</t>
  </si>
  <si>
    <t>IED</t>
  </si>
  <si>
    <t>XXXX</t>
  </si>
  <si>
    <r>
      <t xml:space="preserve">A estampa de tempo deve ser enviada em </t>
    </r>
    <r>
      <rPr>
        <b/>
        <sz val="11"/>
        <rFont val="Aptos Narrow"/>
        <family val="2"/>
        <scheme val="minor"/>
      </rPr>
      <t>todos</t>
    </r>
    <r>
      <rPr>
        <sz val="11"/>
        <rFont val="Aptos Narrow"/>
        <family val="2"/>
        <scheme val="minor"/>
      </rPr>
      <t xml:space="preserve"> os pontos digitais</t>
    </r>
  </si>
  <si>
    <r>
      <t xml:space="preserve">Como padrão, o modo de comando deve ser configurado como </t>
    </r>
    <r>
      <rPr>
        <b/>
        <sz val="11"/>
        <rFont val="Aptos Narrow"/>
        <family val="2"/>
        <scheme val="minor"/>
      </rPr>
      <t>Direto</t>
    </r>
    <r>
      <rPr>
        <sz val="11"/>
        <rFont val="Aptos Narrow"/>
        <family val="2"/>
        <scheme val="minor"/>
      </rPr>
      <t>. Caso haja alguma divergência, deve ser sinalizado.</t>
    </r>
  </si>
  <si>
    <r>
      <t xml:space="preserve">Como padrão, analógicos devem ser configurados como </t>
    </r>
    <r>
      <rPr>
        <b/>
        <sz val="11"/>
        <rFont val="Aptos Narrow"/>
        <family val="2"/>
        <scheme val="minor"/>
      </rPr>
      <t>float</t>
    </r>
    <r>
      <rPr>
        <sz val="11"/>
        <rFont val="Aptos Narrow"/>
        <family val="2"/>
        <scheme val="minor"/>
      </rPr>
      <t>. Caso não seja possível, deve ser utilizada escala conforme</t>
    </r>
    <r>
      <rPr>
        <b/>
        <sz val="11"/>
        <rFont val="Aptos Narrow"/>
        <family val="2"/>
        <scheme val="minor"/>
      </rPr>
      <t xml:space="preserve"> coluna L</t>
    </r>
    <r>
      <rPr>
        <sz val="11"/>
        <rFont val="Aptos Narrow"/>
        <family val="2"/>
        <scheme val="minor"/>
      </rPr>
      <t xml:space="preserve"> presente nas abas da lista de ponto ou informada qual escala deverá ser configurada.</t>
    </r>
  </si>
  <si>
    <t>0 - Trip/Pulse-On // 1 - Close/Pulse-On</t>
  </si>
  <si>
    <t>0 - Close/Pulse-On // 1 - Trip/Pulse-On</t>
  </si>
  <si>
    <t>ABERTA</t>
  </si>
  <si>
    <t>CARREGADA</t>
  </si>
  <si>
    <t>DESCARREGADA</t>
  </si>
  <si>
    <t>DESLIGADO</t>
  </si>
  <si>
    <t>FECHADA</t>
  </si>
  <si>
    <t>LIGADO</t>
  </si>
  <si>
    <t>29-XX</t>
  </si>
  <si>
    <t>IMIGRANTE</t>
  </si>
  <si>
    <t>IMA</t>
  </si>
  <si>
    <t>89-16</t>
  </si>
  <si>
    <t>89-14</t>
  </si>
  <si>
    <t>89-18</t>
  </si>
  <si>
    <t>29-5</t>
  </si>
  <si>
    <t>52-3</t>
  </si>
  <si>
    <t>OI</t>
  </si>
  <si>
    <t>AJUSTE PARA 81 ESTAGIO 5</t>
  </si>
  <si>
    <t>52-1</t>
  </si>
  <si>
    <t>29-1</t>
  </si>
  <si>
    <t>89-4</t>
  </si>
  <si>
    <t>89-6</t>
  </si>
  <si>
    <t>89-20</t>
  </si>
  <si>
    <t>89-22</t>
  </si>
  <si>
    <t>89-24</t>
  </si>
  <si>
    <t>29-7</t>
  </si>
  <si>
    <t>52-4</t>
  </si>
  <si>
    <t>52-2</t>
  </si>
  <si>
    <t>89-2</t>
  </si>
  <si>
    <t>89-8</t>
  </si>
  <si>
    <t>89-10</t>
  </si>
  <si>
    <t>89-12</t>
  </si>
  <si>
    <t>29-3</t>
  </si>
  <si>
    <t>MÓDULO - LINHA DE TRANSMISSÃO - LT 69KV (FUTURO) - 02F1/02F2</t>
  </si>
  <si>
    <t>MÓDULO - LINHA DE TRANSMISSÃO - LT 69KV (FUTURO) - 01F1/01F2</t>
  </si>
  <si>
    <t>52-6</t>
  </si>
  <si>
    <t>52-7</t>
  </si>
  <si>
    <t>52-19</t>
  </si>
  <si>
    <t>89-26</t>
  </si>
  <si>
    <t>89-28</t>
  </si>
  <si>
    <t>89-30</t>
  </si>
  <si>
    <t>89-38</t>
  </si>
  <si>
    <t>29-24</t>
  </si>
  <si>
    <t>29-26</t>
  </si>
  <si>
    <t>BP1</t>
  </si>
  <si>
    <t>BP2</t>
  </si>
  <si>
    <t>BP BT1</t>
  </si>
  <si>
    <t>BP BT2</t>
  </si>
  <si>
    <t>24-3</t>
  </si>
  <si>
    <t>89-42</t>
  </si>
  <si>
    <t>89-44</t>
  </si>
  <si>
    <t>52-11</t>
  </si>
  <si>
    <t>29-6</t>
  </si>
  <si>
    <t>29-8</t>
  </si>
  <si>
    <t>29-10</t>
  </si>
  <si>
    <t>52-12</t>
  </si>
  <si>
    <t>52-13</t>
  </si>
  <si>
    <t>52-14</t>
  </si>
  <si>
    <t>52-15</t>
  </si>
  <si>
    <t>52-16</t>
  </si>
  <si>
    <t>52-20</t>
  </si>
  <si>
    <t>52-21</t>
  </si>
  <si>
    <t>52-22</t>
  </si>
  <si>
    <t>52-23</t>
  </si>
  <si>
    <t>52-24</t>
  </si>
  <si>
    <t>52-25</t>
  </si>
  <si>
    <t>52-26</t>
  </si>
  <si>
    <t>89-32</t>
  </si>
  <si>
    <t>89-34</t>
  </si>
  <si>
    <t>89-36</t>
  </si>
  <si>
    <t>52-29</t>
  </si>
  <si>
    <t>89-40</t>
  </si>
  <si>
    <t>29-52</t>
  </si>
  <si>
    <t>29-50</t>
  </si>
  <si>
    <t>81E1</t>
  </si>
  <si>
    <t>81E2</t>
  </si>
  <si>
    <t>81E3</t>
  </si>
  <si>
    <t>81E4</t>
  </si>
  <si>
    <t>81E5</t>
  </si>
  <si>
    <t>81 - TRIP SUB/SOBRE FREQUENCIA ESTAGIO 5</t>
  </si>
  <si>
    <t>87_T</t>
  </si>
  <si>
    <t>87B</t>
  </si>
  <si>
    <t>87A</t>
  </si>
  <si>
    <t>87C</t>
  </si>
  <si>
    <t>59N</t>
  </si>
  <si>
    <t>TRF</t>
  </si>
  <si>
    <t>24-1</t>
  </si>
  <si>
    <t>29-30</t>
  </si>
  <si>
    <t>29-28</t>
  </si>
  <si>
    <t>29-32</t>
  </si>
  <si>
    <t>29-90</t>
  </si>
  <si>
    <t>29-92</t>
  </si>
  <si>
    <t>29-94</t>
  </si>
  <si>
    <t>29-96</t>
  </si>
  <si>
    <t>29-98</t>
  </si>
  <si>
    <t>29-100</t>
  </si>
  <si>
    <t>29-104</t>
  </si>
  <si>
    <t>29-102</t>
  </si>
  <si>
    <t>29-108</t>
  </si>
  <si>
    <t>29-40</t>
  </si>
  <si>
    <t>29-42</t>
  </si>
  <si>
    <t>29-110</t>
  </si>
  <si>
    <t>29-112</t>
  </si>
  <si>
    <t>29-114</t>
  </si>
  <si>
    <t>29-116</t>
  </si>
  <si>
    <t>29-118</t>
  </si>
  <si>
    <t>29-60</t>
  </si>
  <si>
    <t>29-62</t>
  </si>
  <si>
    <t>29-64</t>
  </si>
  <si>
    <t>29-66</t>
  </si>
  <si>
    <t>29-68</t>
  </si>
  <si>
    <t>29-70</t>
  </si>
  <si>
    <t>29-72</t>
  </si>
  <si>
    <t>29-74</t>
  </si>
  <si>
    <t>29-76</t>
  </si>
  <si>
    <t>29-78</t>
  </si>
  <si>
    <t>29-80</t>
  </si>
  <si>
    <t>29-82</t>
  </si>
  <si>
    <t>24-2</t>
  </si>
  <si>
    <t>29-54</t>
  </si>
  <si>
    <t>29-56</t>
  </si>
  <si>
    <t>29-58</t>
  </si>
  <si>
    <t>52-28</t>
  </si>
  <si>
    <t>29-84</t>
  </si>
  <si>
    <t>29-86</t>
  </si>
  <si>
    <t>29-88</t>
  </si>
  <si>
    <t>29-34</t>
  </si>
  <si>
    <t>29-36</t>
  </si>
  <si>
    <t>29-38</t>
  </si>
  <si>
    <t>TSA_P1</t>
  </si>
  <si>
    <t>29-14</t>
  </si>
  <si>
    <t>29-16</t>
  </si>
  <si>
    <t>29-12</t>
  </si>
  <si>
    <t>29-18</t>
  </si>
  <si>
    <t>29-20</t>
  </si>
  <si>
    <t>29-22</t>
  </si>
  <si>
    <t>51N2</t>
  </si>
  <si>
    <t>50F</t>
  </si>
  <si>
    <t>50N</t>
  </si>
  <si>
    <t>51F1</t>
  </si>
  <si>
    <t>51F2</t>
  </si>
  <si>
    <t>N</t>
  </si>
  <si>
    <t>TSA_P2</t>
  </si>
  <si>
    <t>86RM</t>
  </si>
  <si>
    <t>REARME 86</t>
  </si>
  <si>
    <t>0;0</t>
  </si>
  <si>
    <t>COMTAP</t>
  </si>
  <si>
    <t>COMANDO TAP</t>
  </si>
  <si>
    <t>51FN</t>
  </si>
  <si>
    <t>50FN</t>
  </si>
  <si>
    <t>MÓDULO - LINHA DE TRANSMISSÃO - LT 69KV  - 03F1/03F2</t>
  </si>
  <si>
    <t>200;200</t>
  </si>
  <si>
    <t>Rede Proteção</t>
  </si>
  <si>
    <t>Site</t>
  </si>
  <si>
    <t>PAINEL</t>
  </si>
  <si>
    <t>TAG</t>
  </si>
  <si>
    <t>DESCRIÇÃO</t>
  </si>
  <si>
    <t>IP</t>
  </si>
  <si>
    <t>MASCARA</t>
  </si>
  <si>
    <t>GATEWAY</t>
  </si>
  <si>
    <t>GOOSE MAC</t>
  </si>
  <si>
    <t>GOOSE ID</t>
  </si>
  <si>
    <t>APP ID</t>
  </si>
  <si>
    <t>VLANID HEX</t>
  </si>
  <si>
    <t>VLAN ID (DEC)</t>
  </si>
  <si>
    <t>SSD - PNL 0</t>
  </si>
  <si>
    <t>SICAM</t>
  </si>
  <si>
    <t>CTR ETH1/ETH2</t>
  </si>
  <si>
    <t>CTR</t>
  </si>
  <si>
    <t>SOL/SMAL</t>
  </si>
  <si>
    <t>SOL ETH1/ETH2</t>
  </si>
  <si>
    <t>SOL</t>
  </si>
  <si>
    <t>MSK</t>
  </si>
  <si>
    <t>GTW Proteção</t>
  </si>
  <si>
    <t>UAC1</t>
  </si>
  <si>
    <t>UAC ETH1/ETH2</t>
  </si>
  <si>
    <t>UAC</t>
  </si>
  <si>
    <t>R_52_1</t>
  </si>
  <si>
    <t>0x03</t>
  </si>
  <si>
    <t>UAC2</t>
  </si>
  <si>
    <t>0x04</t>
  </si>
  <si>
    <t>GPS</t>
  </si>
  <si>
    <t>GPS ETH1/ETH2</t>
  </si>
  <si>
    <t>R_52_2</t>
  </si>
  <si>
    <t>0x05</t>
  </si>
  <si>
    <t>Rede Automação</t>
  </si>
  <si>
    <t>GTW Automação</t>
  </si>
  <si>
    <t>SW1</t>
  </si>
  <si>
    <t>0x06</t>
  </si>
  <si>
    <t>SW2</t>
  </si>
  <si>
    <t>R_52_3</t>
  </si>
  <si>
    <t>0x07</t>
  </si>
  <si>
    <t>SW3</t>
  </si>
  <si>
    <t>R_52_4</t>
  </si>
  <si>
    <t>0x08</t>
  </si>
  <si>
    <t>Rede Medição</t>
  </si>
  <si>
    <t>GTW Medição</t>
  </si>
  <si>
    <t>SMA</t>
  </si>
  <si>
    <t>SMA ETH1/ETH2</t>
  </si>
  <si>
    <t>R_52_5</t>
  </si>
  <si>
    <t>0x09</t>
  </si>
  <si>
    <t>PNL 8</t>
  </si>
  <si>
    <t>11F1</t>
  </si>
  <si>
    <t>ALIMENTADOR 11</t>
  </si>
  <si>
    <t>R_52_6</t>
  </si>
  <si>
    <t>0x0A</t>
  </si>
  <si>
    <t>12F1</t>
  </si>
  <si>
    <t>ALIMENTADOR 12</t>
  </si>
  <si>
    <t>R_52_11</t>
  </si>
  <si>
    <t>0x0B</t>
  </si>
  <si>
    <t>13F1</t>
  </si>
  <si>
    <t>ALIMENTADOR 13</t>
  </si>
  <si>
    <t>R_52_12</t>
  </si>
  <si>
    <t>0x0C</t>
  </si>
  <si>
    <t>FUTURO</t>
  </si>
  <si>
    <t>14F1</t>
  </si>
  <si>
    <t>ALIMENTADOR 14</t>
  </si>
  <si>
    <t>R_52_13</t>
  </si>
  <si>
    <t>0x0D</t>
  </si>
  <si>
    <t>15F1</t>
  </si>
  <si>
    <t>ALIMENTADOR 15</t>
  </si>
  <si>
    <t>R_52_14</t>
  </si>
  <si>
    <t>0x0E</t>
  </si>
  <si>
    <t>16F1</t>
  </si>
  <si>
    <t>ALIMENTADOR 16</t>
  </si>
  <si>
    <t>R_52_15</t>
  </si>
  <si>
    <t>0x0F</t>
  </si>
  <si>
    <t>DISPONIVEL</t>
  </si>
  <si>
    <t>R_52_16</t>
  </si>
  <si>
    <t>0x10</t>
  </si>
  <si>
    <t>18F1</t>
  </si>
  <si>
    <t>TRANSF. BARRA 1 BT</t>
  </si>
  <si>
    <t>R_52_17</t>
  </si>
  <si>
    <t>0x11</t>
  </si>
  <si>
    <t>PNL 16</t>
  </si>
  <si>
    <t>19F1</t>
  </si>
  <si>
    <t>52-18</t>
  </si>
  <si>
    <t>BANCO DE CAPACITOR 1</t>
  </si>
  <si>
    <t>R_24_1</t>
  </si>
  <si>
    <t>0x12</t>
  </si>
  <si>
    <t>PNL 12</t>
  </si>
  <si>
    <t>20F1</t>
  </si>
  <si>
    <t>INTERBARRAS BT</t>
  </si>
  <si>
    <t>R_DIF_T1</t>
  </si>
  <si>
    <t>0x13</t>
  </si>
  <si>
    <t>FUTURO - PNL 12</t>
  </si>
  <si>
    <t>21F1</t>
  </si>
  <si>
    <t>ALIMENTADOR 21</t>
  </si>
  <si>
    <t>R_DIF_T2</t>
  </si>
  <si>
    <t>0x14</t>
  </si>
  <si>
    <t>22F1</t>
  </si>
  <si>
    <t>ALIMENTADOR 22</t>
  </si>
  <si>
    <t>R_52_21</t>
  </si>
  <si>
    <t>0x15</t>
  </si>
  <si>
    <t>23F1</t>
  </si>
  <si>
    <t>ALIMENTADOR 23</t>
  </si>
  <si>
    <t>R_52_22</t>
  </si>
  <si>
    <t>0x16</t>
  </si>
  <si>
    <t>PNL 14</t>
  </si>
  <si>
    <t>24F1</t>
  </si>
  <si>
    <t>ALIMENTADOR 24</t>
  </si>
  <si>
    <t>R_52_23</t>
  </si>
  <si>
    <t>0x17</t>
  </si>
  <si>
    <t>25F1</t>
  </si>
  <si>
    <t>ALIMENTADOR 25</t>
  </si>
  <si>
    <t>R_52_24</t>
  </si>
  <si>
    <t>0x18</t>
  </si>
  <si>
    <t>26F1</t>
  </si>
  <si>
    <t>ALIMENTADOR 26</t>
  </si>
  <si>
    <t>R_52_25</t>
  </si>
  <si>
    <t>0x19</t>
  </si>
  <si>
    <t>R_52_26</t>
  </si>
  <si>
    <t>0x1A</t>
  </si>
  <si>
    <t>28F1</t>
  </si>
  <si>
    <t>TRANSF. BARRA 2 BT</t>
  </si>
  <si>
    <t>R_52_27</t>
  </si>
  <si>
    <t>0x1B</t>
  </si>
  <si>
    <t>29F1</t>
  </si>
  <si>
    <t>BANCO DE CAPACITOR 2</t>
  </si>
  <si>
    <t>R_24_2</t>
  </si>
  <si>
    <t>0x1C</t>
  </si>
  <si>
    <t>R_52_7</t>
  </si>
  <si>
    <t>0x1D</t>
  </si>
  <si>
    <t>R_BCO</t>
  </si>
  <si>
    <t>0x1E</t>
  </si>
  <si>
    <t>PNL 9</t>
  </si>
  <si>
    <t>34F1</t>
  </si>
  <si>
    <t>BARRA AT</t>
  </si>
  <si>
    <t>DIFERÊNCIAL BARRA AT</t>
  </si>
  <si>
    <t>PNL 18</t>
  </si>
  <si>
    <t>35F1</t>
  </si>
  <si>
    <t>BARRA 1 BT</t>
  </si>
  <si>
    <t>DIFERÊNCIAL BARRA 1 BT</t>
  </si>
  <si>
    <t>PNL 20</t>
  </si>
  <si>
    <t>36F1</t>
  </si>
  <si>
    <t>BARRA 2 MT</t>
  </si>
  <si>
    <t>DIFERÊNCIAL BARRA 2 BT</t>
  </si>
  <si>
    <t>FUTURO - PNL 1</t>
  </si>
  <si>
    <t>01F1</t>
  </si>
  <si>
    <t>LT 69KV - 1</t>
  </si>
  <si>
    <t>01F2</t>
  </si>
  <si>
    <t>FUTURO - PNL 2</t>
  </si>
  <si>
    <t>02F1</t>
  </si>
  <si>
    <t>LT 69KV - 2</t>
  </si>
  <si>
    <t>02F2</t>
  </si>
  <si>
    <t>PNL 3</t>
  </si>
  <si>
    <t>03F1</t>
  </si>
  <si>
    <t>LT ARROIO DO MEIO</t>
  </si>
  <si>
    <t>03F2</t>
  </si>
  <si>
    <t>PNL 4</t>
  </si>
  <si>
    <t>04F1</t>
  </si>
  <si>
    <t>LT ROCA SALES</t>
  </si>
  <si>
    <t>04F2</t>
  </si>
  <si>
    <t>FUTURO - PNL 5</t>
  </si>
  <si>
    <t>05F1</t>
  </si>
  <si>
    <t>TRANSF. BARRA AT</t>
  </si>
  <si>
    <t>PNL 15</t>
  </si>
  <si>
    <t>06F1</t>
  </si>
  <si>
    <t>DIF / GERAL DE AT</t>
  </si>
  <si>
    <t>06F2</t>
  </si>
  <si>
    <t>DIF / GERAL DE BT</t>
  </si>
  <si>
    <t>TR1</t>
  </si>
  <si>
    <t>06F3</t>
  </si>
  <si>
    <t>PNL 17</t>
  </si>
  <si>
    <t>07F1</t>
  </si>
  <si>
    <t>07F2</t>
  </si>
  <si>
    <t>TR2</t>
  </si>
  <si>
    <t>07F3</t>
  </si>
  <si>
    <t>Device</t>
  </si>
  <si>
    <t>PMPT1 - PNL 11</t>
  </si>
  <si>
    <t>Medidor 1</t>
  </si>
  <si>
    <t>33M01</t>
  </si>
  <si>
    <t>Medição AT TR1</t>
  </si>
  <si>
    <t>Medidor 2</t>
  </si>
  <si>
    <t>33M02</t>
  </si>
  <si>
    <t>Medição BT TR2</t>
  </si>
  <si>
    <t>Medidor 3</t>
  </si>
  <si>
    <t>33M03</t>
  </si>
  <si>
    <t>Medição Alim 11</t>
  </si>
  <si>
    <t>Medidor 4</t>
  </si>
  <si>
    <t>33M04</t>
  </si>
  <si>
    <t>Medição Alim 12</t>
  </si>
  <si>
    <t>Medidor 5</t>
  </si>
  <si>
    <t>33M05</t>
  </si>
  <si>
    <t>Medição Alim 13</t>
  </si>
  <si>
    <t>Medidor 6</t>
  </si>
  <si>
    <t>33M06</t>
  </si>
  <si>
    <t>Medição Transf. 24-1</t>
  </si>
  <si>
    <t>Futuro</t>
  </si>
  <si>
    <t>(Futuro) Medição Alim 14</t>
  </si>
  <si>
    <t>(Futuro) Medição Alim 15</t>
  </si>
  <si>
    <t>(Futuro) Medição Alim 16</t>
  </si>
  <si>
    <t>Disponível</t>
  </si>
  <si>
    <t>PMPT2 - PNL 13</t>
  </si>
  <si>
    <t>37M01</t>
  </si>
  <si>
    <t>37M02</t>
  </si>
  <si>
    <t>37M03</t>
  </si>
  <si>
    <t>Medição Alim 23</t>
  </si>
  <si>
    <t>37M04</t>
  </si>
  <si>
    <t>Medição Alim 24</t>
  </si>
  <si>
    <t>37M05</t>
  </si>
  <si>
    <t>Medição Alim 25</t>
  </si>
  <si>
    <t>37M06</t>
  </si>
  <si>
    <t>Medição Alim 26</t>
  </si>
  <si>
    <t>Medidor 7</t>
  </si>
  <si>
    <t>37M07</t>
  </si>
  <si>
    <t>Medição Transf. 24-2</t>
  </si>
  <si>
    <t>(Futuro) Medição Alim 21</t>
  </si>
  <si>
    <t>(Futuro) Medição Alim 22</t>
  </si>
  <si>
    <t>MODULO</t>
  </si>
  <si>
    <t>FUNÇÃO</t>
  </si>
  <si>
    <t>NOME / DRECRIÇÃO</t>
  </si>
  <si>
    <t>MODELO RELÉ / PN</t>
  </si>
  <si>
    <t>BAY</t>
  </si>
  <si>
    <t>Proteção de linha principal</t>
  </si>
  <si>
    <t>Proteção de linha alternada</t>
  </si>
  <si>
    <t>ARROIO DO MEIO</t>
  </si>
  <si>
    <t>SIEMENS - 7SA86 - P1A460224</t>
  </si>
  <si>
    <t>ENCANTADO</t>
  </si>
  <si>
    <t>Sobrecorrente Transf barra AT</t>
  </si>
  <si>
    <t>Proteção dif + proteção GAT</t>
  </si>
  <si>
    <t>TRANSFORMADOR 1</t>
  </si>
  <si>
    <t>SIEMENS - 7UT85 - P1F1070286</t>
  </si>
  <si>
    <t>Proteção dif + proteção GBT</t>
  </si>
  <si>
    <t>Proteção e regulação comutador</t>
  </si>
  <si>
    <t>SEL - 2414</t>
  </si>
  <si>
    <t>TRANSFORMADOR 2</t>
  </si>
  <si>
    <t>Diferencial de barras AT</t>
  </si>
  <si>
    <t>BARRA AT TR1/2</t>
  </si>
  <si>
    <t>SIEMENS - 7SS85 - P1E772365</t>
  </si>
  <si>
    <t>Diferencial de barras BT TR1</t>
  </si>
  <si>
    <t>BARRA BT TR1</t>
  </si>
  <si>
    <t>Diferencial de barras BT TR2</t>
  </si>
  <si>
    <t>BARRA BT TR2</t>
  </si>
  <si>
    <t>BARRA 2 BT</t>
  </si>
  <si>
    <t>Sobrecorrente Alim 11</t>
  </si>
  <si>
    <t>SIEMENS - 7SJ82 - P1J39905</t>
  </si>
  <si>
    <t>Sobrecorrente Alim 12</t>
  </si>
  <si>
    <t>Sobrecorrente Alim 13</t>
  </si>
  <si>
    <t>Sobrecorrente Alim 14</t>
  </si>
  <si>
    <t>Sobrecorrente Alim 15</t>
  </si>
  <si>
    <t>Sobrecorrente Alim 16</t>
  </si>
  <si>
    <t>Sobrecorrente Transf barra 1 MT</t>
  </si>
  <si>
    <t xml:space="preserve">TRANSFERENCIA </t>
  </si>
  <si>
    <t>Sobrecorrente Inter Barras MT</t>
  </si>
  <si>
    <t>INTERBARRAS</t>
  </si>
  <si>
    <t>Sobrecorrente Alim 21</t>
  </si>
  <si>
    <t>Sobrecorrente Alim 22</t>
  </si>
  <si>
    <t>Sobrecorrente Alim 23</t>
  </si>
  <si>
    <t>Sobrecorrente Alim 24</t>
  </si>
  <si>
    <t>Sobrecorrente Alim 25</t>
  </si>
  <si>
    <t>Sobrecorrente Alim 26</t>
  </si>
  <si>
    <t>Sobrecorrente Transf barra 2 MT</t>
  </si>
  <si>
    <t>Porteção Banco de capacitor - 1</t>
  </si>
  <si>
    <t>BANCO DE CAPACITOR 1 - 13,8KV</t>
  </si>
  <si>
    <t>Porteção Banco de capacitor - 2</t>
  </si>
  <si>
    <t>BANCO DE CAPACITOR 2 - 13,8KV</t>
  </si>
  <si>
    <t>32F1</t>
  </si>
  <si>
    <t>Automação / Gateway / SICAM</t>
  </si>
  <si>
    <t>SISTEMA SECUNDÁRIO DIGITAL</t>
  </si>
  <si>
    <t>SIEMENS - 6MF2802-1AA00</t>
  </si>
  <si>
    <t>SSD</t>
  </si>
  <si>
    <t>MÓDULO - LINHA DE TRANSMISSÃO - LT 69KV - 04F1/04F2</t>
  </si>
  <si>
    <t>10.34.16.2</t>
  </si>
  <si>
    <t>50BF</t>
  </si>
  <si>
    <t>DR14</t>
  </si>
  <si>
    <t>FC14</t>
  </si>
  <si>
    <t>CDLA</t>
  </si>
  <si>
    <t>CDLM</t>
  </si>
  <si>
    <t>CDRA</t>
  </si>
  <si>
    <t>CDRM</t>
  </si>
  <si>
    <t>49 - ALARME TEMPERATURA ENROLAMENTO</t>
  </si>
  <si>
    <t>49 - TRIP TEMPERATURA ENROLAMENTO</t>
  </si>
  <si>
    <t>71HI</t>
  </si>
  <si>
    <t>71LO</t>
  </si>
  <si>
    <t>SCAR</t>
  </si>
  <si>
    <t>FVF</t>
  </si>
  <si>
    <t>DCDC</t>
  </si>
  <si>
    <t>CDMT</t>
  </si>
  <si>
    <t>TEXT</t>
  </si>
  <si>
    <t>MEMB</t>
  </si>
  <si>
    <t>RUPTURA MEMBRANA</t>
  </si>
  <si>
    <t>10.68.22.2</t>
  </si>
  <si>
    <t>FVLT</t>
  </si>
  <si>
    <t>FPBR</t>
  </si>
  <si>
    <t>PNLVCA - PNL 04</t>
  </si>
  <si>
    <t>40M01</t>
  </si>
  <si>
    <t>Medição Serv Aux. TSA1/2</t>
  </si>
  <si>
    <t>PONTOS ADICIONADOS</t>
  </si>
  <si>
    <t>PONTOS EXCLUIDOS</t>
  </si>
  <si>
    <t>IMA_TSA_RET_NEGT</t>
  </si>
  <si>
    <t>IMA_TSA_RET_POST</t>
  </si>
  <si>
    <t>40F1</t>
  </si>
  <si>
    <t>PNL 04</t>
  </si>
  <si>
    <t>AUTOMATISMO CA</t>
  </si>
  <si>
    <t>PONTOS ALTERADOS</t>
  </si>
  <si>
    <t>SGF</t>
  </si>
  <si>
    <t>Wincc</t>
  </si>
  <si>
    <t>A8000</t>
  </si>
  <si>
    <t>REMOVER DA TDT</t>
  </si>
  <si>
    <t>1100;1101</t>
  </si>
  <si>
    <t>INDEX SUBISTITUIDOS - CORREÇÃO DOS ESTADOS DOS EQUIPAMENTOS  (CONSISTIDOS)</t>
  </si>
  <si>
    <t>b5m</t>
  </si>
  <si>
    <t>B5M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</si>
</sst>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1A]General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0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6" fillId="0" borderId="0"/>
  </cellStyleXfs>
  <cellXfs count="158">
    <xf numFmtId="0" fontId="0" fillId="0" borderId="0" xfId="0"/>
    <xf numFmtId="0" fontId="0" fillId="2" borderId="0" xfId="0" applyFill="1"/>
    <xf numFmtId="0" fontId="2" fillId="8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9" fillId="2" borderId="0" xfId="0" applyFont="1" applyFill="1"/>
    <xf numFmtId="0" fontId="1" fillId="3" borderId="1" xfId="0" applyFont="1" applyFill="1" applyBorder="1"/>
    <xf numFmtId="0" fontId="7" fillId="4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13" borderId="4" xfId="0" applyFont="1" applyFill="1" applyBorder="1" applyAlignment="1">
      <alignment vertical="center" wrapText="1"/>
    </xf>
    <xf numFmtId="0" fontId="1" fillId="14" borderId="4" xfId="0" applyFont="1" applyFill="1" applyBorder="1" applyAlignment="1">
      <alignment horizontal="left" vertical="center"/>
    </xf>
    <xf numFmtId="0" fontId="1" fillId="14" borderId="4" xfId="0" applyFont="1" applyFill="1" applyBorder="1"/>
    <xf numFmtId="0" fontId="1" fillId="14" borderId="1" xfId="0" applyFont="1" applyFill="1" applyBorder="1"/>
    <xf numFmtId="49" fontId="2" fillId="9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16" borderId="4" xfId="0" applyFont="1" applyFill="1" applyBorder="1" applyAlignment="1">
      <alignment horizontal="center" vertical="center" wrapText="1"/>
    </xf>
    <xf numFmtId="49" fontId="10" fillId="16" borderId="4" xfId="0" applyNumberFormat="1" applyFont="1" applyFill="1" applyBorder="1" applyAlignment="1">
      <alignment horizontal="center" vertical="center" wrapText="1"/>
    </xf>
    <xf numFmtId="0" fontId="10" fillId="16" borderId="4" xfId="0" quotePrefix="1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/>
    </xf>
    <xf numFmtId="49" fontId="9" fillId="17" borderId="4" xfId="0" applyNumberFormat="1" applyFont="1" applyFill="1" applyBorder="1" applyAlignment="1">
      <alignment horizontal="center"/>
    </xf>
    <xf numFmtId="3" fontId="9" fillId="17" borderId="4" xfId="0" applyNumberFormat="1" applyFont="1" applyFill="1" applyBorder="1" applyAlignment="1">
      <alignment horizontal="center"/>
    </xf>
    <xf numFmtId="0" fontId="9" fillId="17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/>
    </xf>
    <xf numFmtId="3" fontId="10" fillId="18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17" borderId="4" xfId="0" applyFill="1" applyBorder="1" applyAlignment="1">
      <alignment horizontal="center"/>
    </xf>
    <xf numFmtId="49" fontId="0" fillId="17" borderId="4" xfId="0" applyNumberFormat="1" applyFill="1" applyBorder="1" applyAlignment="1">
      <alignment horizontal="center"/>
    </xf>
    <xf numFmtId="3" fontId="0" fillId="17" borderId="4" xfId="0" applyNumberFormat="1" applyFill="1" applyBorder="1" applyAlignment="1">
      <alignment horizontal="center"/>
    </xf>
    <xf numFmtId="0" fontId="7" fillId="17" borderId="4" xfId="0" applyFont="1" applyFill="1" applyBorder="1" applyAlignment="1">
      <alignment horizontal="center"/>
    </xf>
    <xf numFmtId="49" fontId="7" fillId="17" borderId="4" xfId="0" applyNumberFormat="1" applyFont="1" applyFill="1" applyBorder="1" applyAlignment="1">
      <alignment horizontal="center"/>
    </xf>
    <xf numFmtId="3" fontId="7" fillId="17" borderId="4" xfId="0" applyNumberFormat="1" applyFont="1" applyFill="1" applyBorder="1" applyAlignment="1">
      <alignment horizontal="center"/>
    </xf>
    <xf numFmtId="0" fontId="12" fillId="17" borderId="4" xfId="0" applyFont="1" applyFill="1" applyBorder="1" applyAlignment="1">
      <alignment horizontal="center"/>
    </xf>
    <xf numFmtId="49" fontId="12" fillId="17" borderId="4" xfId="0" applyNumberFormat="1" applyFont="1" applyFill="1" applyBorder="1" applyAlignment="1">
      <alignment horizontal="center"/>
    </xf>
    <xf numFmtId="3" fontId="12" fillId="17" borderId="4" xfId="0" applyNumberFormat="1" applyFont="1" applyFill="1" applyBorder="1" applyAlignment="1">
      <alignment horizontal="center"/>
    </xf>
    <xf numFmtId="0" fontId="12" fillId="17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49" fontId="9" fillId="19" borderId="4" xfId="0" applyNumberFormat="1" applyFont="1" applyFill="1" applyBorder="1" applyAlignment="1">
      <alignment horizontal="center"/>
    </xf>
    <xf numFmtId="3" fontId="9" fillId="19" borderId="4" xfId="0" applyNumberFormat="1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/>
    </xf>
    <xf numFmtId="49" fontId="9" fillId="20" borderId="4" xfId="0" applyNumberFormat="1" applyFont="1" applyFill="1" applyBorder="1" applyAlignment="1">
      <alignment horizontal="center"/>
    </xf>
    <xf numFmtId="3" fontId="9" fillId="20" borderId="4" xfId="0" applyNumberFormat="1" applyFont="1" applyFill="1" applyBorder="1" applyAlignment="1">
      <alignment horizontal="center"/>
    </xf>
    <xf numFmtId="0" fontId="7" fillId="20" borderId="4" xfId="0" applyFont="1" applyFill="1" applyBorder="1" applyAlignment="1">
      <alignment horizontal="center"/>
    </xf>
    <xf numFmtId="49" fontId="7" fillId="20" borderId="4" xfId="0" applyNumberFormat="1" applyFont="1" applyFill="1" applyBorder="1" applyAlignment="1">
      <alignment horizontal="center"/>
    </xf>
    <xf numFmtId="3" fontId="7" fillId="20" borderId="4" xfId="0" applyNumberFormat="1" applyFont="1" applyFill="1" applyBorder="1" applyAlignment="1">
      <alignment horizontal="center"/>
    </xf>
    <xf numFmtId="0" fontId="12" fillId="20" borderId="4" xfId="0" applyFont="1" applyFill="1" applyBorder="1" applyAlignment="1">
      <alignment horizontal="center"/>
    </xf>
    <xf numFmtId="49" fontId="12" fillId="20" borderId="4" xfId="0" applyNumberFormat="1" applyFont="1" applyFill="1" applyBorder="1" applyAlignment="1">
      <alignment horizontal="center"/>
    </xf>
    <xf numFmtId="3" fontId="12" fillId="20" borderId="4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0" fillId="21" borderId="0" xfId="0" applyFill="1"/>
    <xf numFmtId="0" fontId="0" fillId="21" borderId="8" xfId="0" applyFill="1" applyBorder="1"/>
    <xf numFmtId="0" fontId="0" fillId="21" borderId="9" xfId="0" applyFill="1" applyBorder="1"/>
    <xf numFmtId="0" fontId="0" fillId="21" borderId="11" xfId="0" applyFill="1" applyBorder="1"/>
    <xf numFmtId="0" fontId="0" fillId="21" borderId="12" xfId="0" applyFill="1" applyBorder="1"/>
    <xf numFmtId="0" fontId="0" fillId="21" borderId="14" xfId="0" applyFill="1" applyBorder="1"/>
    <xf numFmtId="0" fontId="0" fillId="21" borderId="15" xfId="0" applyFill="1" applyBorder="1"/>
    <xf numFmtId="0" fontId="0" fillId="21" borderId="17" xfId="0" applyFill="1" applyBorder="1"/>
    <xf numFmtId="0" fontId="0" fillId="21" borderId="18" xfId="0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21" borderId="20" xfId="0" applyFill="1" applyBorder="1"/>
    <xf numFmtId="0" fontId="0" fillId="21" borderId="4" xfId="0" applyFill="1" applyBorder="1"/>
    <xf numFmtId="49" fontId="0" fillId="21" borderId="21" xfId="0" applyNumberFormat="1" applyFill="1" applyBorder="1" applyAlignment="1">
      <alignment horizontal="center" vertical="center"/>
    </xf>
    <xf numFmtId="0" fontId="0" fillId="0" borderId="20" xfId="0" applyBorder="1"/>
    <xf numFmtId="0" fontId="0" fillId="0" borderId="4" xfId="0" applyBorder="1"/>
    <xf numFmtId="49" fontId="0" fillId="0" borderId="21" xfId="0" applyNumberForma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49" fontId="0" fillId="0" borderId="24" xfId="0" applyNumberFormat="1" applyBorder="1" applyAlignment="1">
      <alignment horizontal="center" vertical="center"/>
    </xf>
    <xf numFmtId="0" fontId="2" fillId="22" borderId="4" xfId="0" applyFont="1" applyFill="1" applyBorder="1" applyAlignment="1">
      <alignment horizontal="center"/>
    </xf>
    <xf numFmtId="0" fontId="2" fillId="23" borderId="4" xfId="0" applyFont="1" applyFill="1" applyBorder="1" applyAlignment="1">
      <alignment horizontal="center"/>
    </xf>
    <xf numFmtId="0" fontId="2" fillId="2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5" borderId="4" xfId="0" applyFont="1" applyFill="1" applyBorder="1" applyAlignment="1">
      <alignment horizontal="center"/>
    </xf>
    <xf numFmtId="0" fontId="2" fillId="26" borderId="4" xfId="0" applyFont="1" applyFill="1" applyBorder="1" applyAlignment="1">
      <alignment horizontal="center"/>
    </xf>
    <xf numFmtId="0" fontId="0" fillId="26" borderId="0" xfId="0" applyFill="1"/>
    <xf numFmtId="0" fontId="0" fillId="25" borderId="0" xfId="0" applyFill="1"/>
    <xf numFmtId="0" fontId="0" fillId="27" borderId="0" xfId="0" applyFill="1"/>
    <xf numFmtId="0" fontId="2" fillId="27" borderId="4" xfId="0" applyFont="1" applyFill="1" applyBorder="1" applyAlignment="1">
      <alignment horizontal="center"/>
    </xf>
    <xf numFmtId="0" fontId="0" fillId="25" borderId="20" xfId="0" applyFill="1" applyBorder="1"/>
    <xf numFmtId="0" fontId="2" fillId="28" borderId="4" xfId="0" applyFont="1" applyFill="1" applyBorder="1" applyAlignment="1">
      <alignment horizontal="center"/>
    </xf>
    <xf numFmtId="0" fontId="0" fillId="29" borderId="0" xfId="0" applyFill="1"/>
    <xf numFmtId="0" fontId="2" fillId="30" borderId="4" xfId="0" applyFont="1" applyFill="1" applyBorder="1" applyAlignment="1">
      <alignment horizontal="center"/>
    </xf>
    <xf numFmtId="0" fontId="0" fillId="31" borderId="0" xfId="0" applyFill="1"/>
    <xf numFmtId="0" fontId="3" fillId="12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9" fillId="13" borderId="4" xfId="0" applyFont="1" applyFill="1" applyBorder="1" applyAlignment="1">
      <alignment horizontal="left" vertical="top" wrapText="1"/>
    </xf>
    <xf numFmtId="0" fontId="9" fillId="13" borderId="4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6" fontId="11" fillId="8" borderId="4" xfId="0" quotePrefix="1" applyNumberFormat="1" applyFont="1" applyFill="1" applyBorder="1" applyAlignment="1">
      <alignment horizontal="left"/>
    </xf>
    <xf numFmtId="49" fontId="0" fillId="21" borderId="10" xfId="0" applyNumberFormat="1" applyFill="1" applyBorder="1" applyAlignment="1">
      <alignment horizontal="center" vertical="center"/>
    </xf>
    <xf numFmtId="49" fontId="0" fillId="21" borderId="13" xfId="0" applyNumberFormat="1" applyFill="1" applyBorder="1" applyAlignment="1">
      <alignment horizontal="center" vertical="center"/>
    </xf>
    <xf numFmtId="49" fontId="0" fillId="21" borderId="16" xfId="0" applyNumberFormat="1" applyFill="1" applyBorder="1" applyAlignment="1">
      <alignment horizontal="center" vertical="center"/>
    </xf>
    <xf numFmtId="49" fontId="0" fillId="21" borderId="19" xfId="0" applyNumberForma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10" fillId="15" borderId="1" xfId="0" applyFont="1" applyFill="1" applyBorder="1" applyAlignment="1">
      <alignment horizontal="center"/>
    </xf>
    <xf numFmtId="0" fontId="10" fillId="15" borderId="3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3" fontId="10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/>
    </xf>
    <xf numFmtId="49" fontId="11" fillId="8" borderId="4" xfId="0" applyNumberFormat="1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11" fillId="8" borderId="3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49" fontId="11" fillId="8" borderId="1" xfId="0" applyNumberFormat="1" applyFont="1" applyFill="1" applyBorder="1" applyAlignment="1">
      <alignment horizontal="left"/>
    </xf>
    <xf numFmtId="49" fontId="11" fillId="8" borderId="3" xfId="0" applyNumberFormat="1" applyFont="1" applyFill="1" applyBorder="1" applyAlignment="1">
      <alignment horizontal="left"/>
    </xf>
    <xf numFmtId="49" fontId="11" fillId="8" borderId="2" xfId="0" applyNumberFormat="1" applyFont="1" applyFill="1" applyBorder="1" applyAlignment="1">
      <alignment horizontal="left"/>
    </xf>
    <xf numFmtId="0" fontId="11" fillId="23" borderId="4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left"/>
    </xf>
    <xf numFmtId="0" fontId="1" fillId="5" borderId="0" xfId="0" applyFont="1" applyFill="1" applyAlignment="1">
      <alignment horizontal="center"/>
    </xf>
  </cellXfs>
  <cellStyles count="2">
    <cellStyle name="Excel Built-in Normal 1" xfId="1" xr:uid="{28C8740E-324A-4A9F-8EBE-2027B455D103}"/>
    <cellStyle name="Normal" xfId="0" builtinId="0"/>
  </cellStyles>
  <dxfs count="209"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DC1FF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B89D5"/>
      <color rgb="FFCD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Rafael/Downloads/RGE%20ADMS_Lista%20Sinais%20Padr&#227;o_v1.xlsx" TargetMode="External"/><Relationship Id="rId2" Type="http://schemas.openxmlformats.org/officeDocument/2006/relationships/externalLinkPath" Target="file:///C:\Users\Rafael\Downloads\RGE%20ADMS_Lista%20Sinais%20Padr&#227;o_v1.xlsx" TargetMode="External"/><Relationship Id="rId1" Type="http://schemas.openxmlformats.org/officeDocument/2006/relationships/externalLinkPath" Target="/Users/Rafael/Downloads/RGE%20ADMS_Lista%20Sinais%20Padr&#227;o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alog"/>
      <sheetName val="Discrete"/>
      <sheetName val="Discrete Analog"/>
    </sheetNames>
    <sheetDataSet>
      <sheetData sheetId="0">
        <row r="1">
          <cell r="A1" t="str">
            <v>SINAL</v>
          </cell>
          <cell r="B1" t="str">
            <v>DESCRIÇÃO NOVA</v>
          </cell>
        </row>
        <row r="2">
          <cell r="A2" t="str">
            <v>IN61</v>
          </cell>
          <cell r="B2" t="str">
            <v xml:space="preserve">61 - CORRENTE DE DESEQUILIBRO </v>
          </cell>
        </row>
        <row r="3">
          <cell r="A3" t="str">
            <v>ANG</v>
          </cell>
          <cell r="B3" t="str">
            <v>ANGULO</v>
          </cell>
        </row>
        <row r="4">
          <cell r="A4" t="str">
            <v>OPER</v>
          </cell>
          <cell r="B4" t="str">
            <v>CONTAGEM DE OPERACOES</v>
          </cell>
        </row>
        <row r="5">
          <cell r="A5" t="str">
            <v>IOUT</v>
          </cell>
          <cell r="B5" t="str">
            <v>CORRENTE CARGA</v>
          </cell>
        </row>
        <row r="6">
          <cell r="A6" t="str">
            <v>IACC</v>
          </cell>
          <cell r="B6" t="str">
            <v>CORRENTE CURTO CIRCUITO FASE A</v>
          </cell>
        </row>
        <row r="7">
          <cell r="A7" t="str">
            <v>IBCC</v>
          </cell>
          <cell r="B7" t="str">
            <v>CORRENTE CURTO CIRCUITO FASE B</v>
          </cell>
        </row>
        <row r="8">
          <cell r="A8" t="str">
            <v>ICCC</v>
          </cell>
          <cell r="B8" t="str">
            <v>CORRENTE CURTO CIRCUITO FASE C</v>
          </cell>
        </row>
        <row r="9">
          <cell r="A9" t="str">
            <v>INCC</v>
          </cell>
          <cell r="B9" t="str">
            <v>CORRENTE CURTO CIRCUITO NEUTRO</v>
          </cell>
        </row>
        <row r="10">
          <cell r="A10" t="str">
            <v>IA</v>
          </cell>
          <cell r="B10" t="str">
            <v>CORRENTE FASE A</v>
          </cell>
        </row>
        <row r="11">
          <cell r="A11" t="str">
            <v>IB</v>
          </cell>
          <cell r="B11" t="str">
            <v>CORRENTE FASE B</v>
          </cell>
        </row>
        <row r="12">
          <cell r="A12" t="str">
            <v>IC</v>
          </cell>
          <cell r="B12" t="str">
            <v>CORRENTE FASE C</v>
          </cell>
        </row>
        <row r="13">
          <cell r="A13" t="str">
            <v>IN</v>
          </cell>
          <cell r="B13" t="str">
            <v>CORRENTE NEUTRO</v>
          </cell>
        </row>
        <row r="14">
          <cell r="A14" t="str">
            <v>KMDF</v>
          </cell>
          <cell r="B14" t="str">
            <v>DISTANCIA DEFEITO</v>
          </cell>
        </row>
        <row r="15">
          <cell r="A15" t="str">
            <v>FP</v>
          </cell>
          <cell r="B15" t="str">
            <v>FATOR DE POTENCIA</v>
          </cell>
        </row>
        <row r="16">
          <cell r="A16" t="str">
            <v>FREQ</v>
          </cell>
          <cell r="B16" t="str">
            <v>FREQUENCIA</v>
          </cell>
        </row>
        <row r="17">
          <cell r="A17" t="str">
            <v>FUGA</v>
          </cell>
          <cell r="B17" t="str">
            <v>FUGA A TERRA</v>
          </cell>
        </row>
        <row r="18">
          <cell r="A18" t="str">
            <v>S</v>
          </cell>
          <cell r="B18" t="str">
            <v>POTENCIA APARENTE</v>
          </cell>
        </row>
        <row r="19">
          <cell r="A19" t="str">
            <v>P</v>
          </cell>
          <cell r="B19" t="str">
            <v>POTENCIA ATIVA</v>
          </cell>
        </row>
        <row r="20">
          <cell r="A20" t="str">
            <v>Q</v>
          </cell>
          <cell r="B20" t="str">
            <v>POTENCIA REATIVA</v>
          </cell>
        </row>
        <row r="21">
          <cell r="A21" t="str">
            <v>TPAM</v>
          </cell>
          <cell r="B21" t="str">
            <v>TEMPERATURA AMBIENTE</v>
          </cell>
        </row>
        <row r="22">
          <cell r="A22" t="str">
            <v>TPBT</v>
          </cell>
          <cell r="B22" t="str">
            <v>TEMPERATURA BATERIAS</v>
          </cell>
        </row>
        <row r="23">
          <cell r="A23" t="str">
            <v>TENR</v>
          </cell>
          <cell r="B23" t="str">
            <v>TEMPERATURA ENROLAMENTO</v>
          </cell>
        </row>
        <row r="24">
          <cell r="A24" t="str">
            <v>TSCO</v>
          </cell>
          <cell r="B24" t="str">
            <v>TEMPERATURA SALA DE COMANDO</v>
          </cell>
        </row>
        <row r="25">
          <cell r="A25" t="str">
            <v>TOLE</v>
          </cell>
          <cell r="B25" t="str">
            <v>TEMPERATURA OLEO</v>
          </cell>
        </row>
        <row r="26">
          <cell r="A26" t="str">
            <v>TOL2</v>
          </cell>
          <cell r="B26" t="str">
            <v>TEMPERATURA OLEO 2</v>
          </cell>
        </row>
        <row r="27">
          <cell r="A27" t="str">
            <v>V</v>
          </cell>
          <cell r="B27" t="str">
            <v>TENSAO</v>
          </cell>
        </row>
        <row r="28">
          <cell r="A28" t="str">
            <v>V</v>
          </cell>
          <cell r="B28" t="str">
            <v>TENSAO</v>
          </cell>
        </row>
        <row r="29">
          <cell r="A29" t="str">
            <v>VA_B</v>
          </cell>
          <cell r="B29" t="str">
            <v>TENSAO BARRA FASE A</v>
          </cell>
        </row>
        <row r="30">
          <cell r="A30" t="str">
            <v>VB_B</v>
          </cell>
          <cell r="B30" t="str">
            <v>TENSAO BARRA FASE B</v>
          </cell>
        </row>
        <row r="31">
          <cell r="A31" t="str">
            <v>VC_B</v>
          </cell>
          <cell r="B31" t="str">
            <v>TENSAO BARRA FASE C</v>
          </cell>
        </row>
        <row r="32">
          <cell r="A32" t="str">
            <v>VBAT</v>
          </cell>
          <cell r="B32" t="str">
            <v>TENSAO BATERIAS</v>
          </cell>
        </row>
        <row r="33">
          <cell r="A33" t="str">
            <v>VCC</v>
          </cell>
          <cell r="B33" t="str">
            <v>TENSAO CORRENTE CONTINUA</v>
          </cell>
        </row>
        <row r="34">
          <cell r="A34" t="str">
            <v>VCC1</v>
          </cell>
          <cell r="B34" t="str">
            <v>TENSAO CORRENTE CONTINUA 1</v>
          </cell>
        </row>
        <row r="35">
          <cell r="A35" t="str">
            <v>VCC2</v>
          </cell>
          <cell r="B35" t="str">
            <v>TENSAO CORRENTE CONTINUA 2</v>
          </cell>
        </row>
        <row r="36">
          <cell r="A36" t="str">
            <v>VIN</v>
          </cell>
          <cell r="B36" t="str">
            <v>TENSAO DE ENTRADA</v>
          </cell>
        </row>
        <row r="37">
          <cell r="A37" t="str">
            <v>VABI</v>
          </cell>
          <cell r="B37" t="str">
            <v>TENSAO FASE AB - LADO FONTE</v>
          </cell>
        </row>
        <row r="38">
          <cell r="A38" t="str">
            <v>VBCI</v>
          </cell>
          <cell r="B38" t="str">
            <v>TENSAO FASE BC - LADO FONTE</v>
          </cell>
        </row>
        <row r="39">
          <cell r="A39" t="str">
            <v>VCAI</v>
          </cell>
          <cell r="B39" t="str">
            <v>TENSAO FASE CA - LADO FONTE</v>
          </cell>
        </row>
        <row r="40">
          <cell r="A40" t="str">
            <v>VREF</v>
          </cell>
          <cell r="B40" t="str">
            <v>TENSAO DE REFERENCIA</v>
          </cell>
        </row>
        <row r="41">
          <cell r="A41" t="str">
            <v>VOUT</v>
          </cell>
          <cell r="B41" t="str">
            <v>TENSAO DE SAIDA</v>
          </cell>
        </row>
        <row r="42">
          <cell r="A42" t="str">
            <v>VA</v>
          </cell>
          <cell r="B42" t="str">
            <v>TENSAO FASE A</v>
          </cell>
        </row>
        <row r="43">
          <cell r="A43" t="str">
            <v>VA</v>
          </cell>
          <cell r="B43" t="str">
            <v>TENSAO FASE A</v>
          </cell>
        </row>
        <row r="44">
          <cell r="A44" t="str">
            <v>VB</v>
          </cell>
          <cell r="B44" t="str">
            <v>TENSAO FASE B</v>
          </cell>
        </row>
        <row r="45">
          <cell r="A45" t="str">
            <v>VB</v>
          </cell>
          <cell r="B45" t="str">
            <v>TENSAO FASE B</v>
          </cell>
        </row>
        <row r="46">
          <cell r="A46" t="str">
            <v>VC</v>
          </cell>
          <cell r="B46" t="str">
            <v>TENSAO FASE C</v>
          </cell>
        </row>
        <row r="47">
          <cell r="A47" t="str">
            <v>VC</v>
          </cell>
          <cell r="B47" t="str">
            <v>TENSAO FASE C</v>
          </cell>
        </row>
        <row r="48">
          <cell r="A48" t="str">
            <v>VAB</v>
          </cell>
          <cell r="B48" t="str">
            <v>TENSAO FASE AB</v>
          </cell>
        </row>
        <row r="49">
          <cell r="A49" t="str">
            <v>VAB</v>
          </cell>
          <cell r="B49" t="str">
            <v>TENSAO FASE AB</v>
          </cell>
        </row>
        <row r="50">
          <cell r="A50" t="str">
            <v>VBC</v>
          </cell>
          <cell r="B50" t="str">
            <v>TENSAO FASE BC</v>
          </cell>
        </row>
        <row r="51">
          <cell r="A51" t="str">
            <v>VBC</v>
          </cell>
          <cell r="B51" t="str">
            <v>TENSAO FASE BC</v>
          </cell>
        </row>
        <row r="52">
          <cell r="A52" t="str">
            <v>VCA</v>
          </cell>
          <cell r="B52" t="str">
            <v>TENSAO FASE CA</v>
          </cell>
        </row>
        <row r="53">
          <cell r="A53" t="str">
            <v>VCA</v>
          </cell>
          <cell r="B53" t="str">
            <v>TENSAO FASE CA</v>
          </cell>
        </row>
        <row r="54">
          <cell r="A54" t="str">
            <v>VA_L</v>
          </cell>
          <cell r="B54" t="str">
            <v>TENSAO LINHA FASE A</v>
          </cell>
        </row>
        <row r="55">
          <cell r="A55" t="str">
            <v>VB_L</v>
          </cell>
          <cell r="B55" t="str">
            <v>TENSAO LINHA FASE B</v>
          </cell>
        </row>
        <row r="56">
          <cell r="A56" t="str">
            <v>VC_L</v>
          </cell>
          <cell r="B56" t="str">
            <v>TENSAO LINHA FASE C</v>
          </cell>
        </row>
        <row r="57">
          <cell r="A57" t="str">
            <v>UMID</v>
          </cell>
          <cell r="B57" t="str">
            <v>UMIDADE</v>
          </cell>
        </row>
        <row r="58">
          <cell r="A58" t="str">
            <v>ADIF</v>
          </cell>
          <cell r="B58" t="str">
            <v>25 - DIFERENCA ANGULO</v>
          </cell>
        </row>
        <row r="59">
          <cell r="A59" t="str">
            <v>VDIF</v>
          </cell>
          <cell r="B59" t="str">
            <v>25 - DIFERENCA TENSAO</v>
          </cell>
        </row>
        <row r="60">
          <cell r="A60" t="str">
            <v>FDIF</v>
          </cell>
          <cell r="B60" t="str">
            <v>25 - DIFERENCA FREQUENCIA</v>
          </cell>
        </row>
        <row r="61">
          <cell r="A61" t="str">
            <v>VABX</v>
          </cell>
          <cell r="B61" t="str">
            <v>TENSAO FASE AB - LADO CARGA</v>
          </cell>
        </row>
        <row r="62">
          <cell r="A62" t="str">
            <v>VBCX</v>
          </cell>
          <cell r="B62" t="str">
            <v>TENSAO FASE BC - LADO CARGA</v>
          </cell>
        </row>
        <row r="63">
          <cell r="A63" t="str">
            <v>VCAX</v>
          </cell>
          <cell r="B63" t="str">
            <v>TENSAO FASE CA - LADO CARGA</v>
          </cell>
        </row>
      </sheetData>
      <sheetData sheetId="1">
        <row r="1">
          <cell r="A1" t="str">
            <v>SINAL</v>
          </cell>
          <cell r="B1" t="str">
            <v>DESCRIÇÃO NOVA</v>
          </cell>
        </row>
        <row r="2">
          <cell r="A2" t="str">
            <v>CMDE</v>
          </cell>
          <cell r="B2" t="str">
            <v>PROPRIEDADE DO COMANDO</v>
          </cell>
        </row>
        <row r="3">
          <cell r="A3" t="str">
            <v>20A</v>
          </cell>
          <cell r="B3" t="str">
            <v>20 - ALARME VALVULA</v>
          </cell>
        </row>
        <row r="4">
          <cell r="A4" t="str">
            <v>20CA</v>
          </cell>
          <cell r="B4" t="str">
            <v xml:space="preserve">20 - ALARME VALVULA CDC          </v>
          </cell>
        </row>
        <row r="5">
          <cell r="A5" t="str">
            <v>20TA</v>
          </cell>
          <cell r="B5" t="str">
            <v>20 - ALARME VALVULA TRAFO</v>
          </cell>
        </row>
        <row r="6">
          <cell r="A6" t="str">
            <v>20T</v>
          </cell>
          <cell r="B6" t="str">
            <v>20 - VALVULA TRANSFORMADOR</v>
          </cell>
        </row>
        <row r="7">
          <cell r="A7" t="str">
            <v>20C</v>
          </cell>
          <cell r="B7" t="str">
            <v>20 - VALVULA COMUTADOR</v>
          </cell>
        </row>
        <row r="8">
          <cell r="A8" t="str">
            <v>20D</v>
          </cell>
          <cell r="B8" t="str">
            <v>20 - TRIP VALVULA</v>
          </cell>
        </row>
        <row r="9">
          <cell r="A9" t="str">
            <v>20CD</v>
          </cell>
          <cell r="B9" t="str">
            <v>20 - TRIP VALVULA CDC</v>
          </cell>
        </row>
        <row r="10">
          <cell r="A10" t="str">
            <v>20TD</v>
          </cell>
          <cell r="B10" t="str">
            <v xml:space="preserve">20 - TRIP VALVULA TRAFO </v>
          </cell>
        </row>
        <row r="11">
          <cell r="A11" t="str">
            <v>20T1</v>
          </cell>
          <cell r="B11" t="str">
            <v>20 - TRIP VALVULA TRAFO E1</v>
          </cell>
        </row>
        <row r="12">
          <cell r="A12" t="str">
            <v>20T2</v>
          </cell>
          <cell r="B12" t="str">
            <v>20 - TRIP VALVULA TRAFO E2</v>
          </cell>
        </row>
        <row r="13">
          <cell r="A13" t="str">
            <v>20TC</v>
          </cell>
          <cell r="B13" t="str">
            <v>20 - TRIP VALVULA TRAFO OU CDC</v>
          </cell>
        </row>
        <row r="14">
          <cell r="A14" t="str">
            <v>INTR</v>
          </cell>
          <cell r="B14" t="str">
            <v>20 63 87 - PROTECOES INTRINSECAS</v>
          </cell>
        </row>
        <row r="15">
          <cell r="A15" t="str">
            <v>2087T</v>
          </cell>
          <cell r="B15" t="str">
            <v>20 87 - TRIP VALVULA OU DIFERENCIAL TRAFO</v>
          </cell>
        </row>
        <row r="16">
          <cell r="A16" t="str">
            <v>263A</v>
          </cell>
          <cell r="B16" t="str">
            <v>20C 20T 63T - ALARME VALVULA OU BUCHHOLZ</v>
          </cell>
        </row>
        <row r="17">
          <cell r="A17" t="str">
            <v>2063</v>
          </cell>
          <cell r="B17" t="str">
            <v>20C 20T 63T - TRIP VALVULA OU BUCHHOLZ</v>
          </cell>
        </row>
        <row r="18">
          <cell r="A18" t="str">
            <v>206T</v>
          </cell>
          <cell r="B18" t="str">
            <v>20T 63T - TRIP VALVULA OU BUCHHOLZ  TRAFO</v>
          </cell>
        </row>
        <row r="19">
          <cell r="A19" t="str">
            <v>21D</v>
          </cell>
          <cell r="B19" t="str">
            <v xml:space="preserve">21 - DISPARO LOCALIZADOR DE FALTA </v>
          </cell>
        </row>
        <row r="20">
          <cell r="A20" t="str">
            <v>21</v>
          </cell>
          <cell r="B20" t="str">
            <v>21 - FUNCAO DISTANCIA</v>
          </cell>
        </row>
        <row r="21">
          <cell r="A21" t="str">
            <v>21</v>
          </cell>
          <cell r="B21" t="str">
            <v>21 - FUNCAO DISTANCIA</v>
          </cell>
        </row>
        <row r="22">
          <cell r="A22" t="str">
            <v>21_T</v>
          </cell>
          <cell r="B22" t="str">
            <v>21 - TRIP DISTANCIA</v>
          </cell>
        </row>
        <row r="23">
          <cell r="A23" t="str">
            <v>21EF</v>
          </cell>
          <cell r="B23" t="str">
            <v xml:space="preserve">21 - TRIP DISTANCIA ESTENDIDA FASES </v>
          </cell>
        </row>
        <row r="24">
          <cell r="A24" t="str">
            <v>21EM</v>
          </cell>
          <cell r="B24" t="str">
            <v xml:space="preserve">21 - TRIP DISTANCIA ESTENDIDA MONOFASICA </v>
          </cell>
        </row>
        <row r="25">
          <cell r="A25" t="str">
            <v>21FA</v>
          </cell>
          <cell r="B25" t="str">
            <v>21 - TRIP DISTANCIA FASE A</v>
          </cell>
        </row>
        <row r="26">
          <cell r="A26" t="str">
            <v>21FB</v>
          </cell>
          <cell r="B26" t="str">
            <v>21 - TRIP DISTANCIA FASE B</v>
          </cell>
        </row>
        <row r="27">
          <cell r="A27" t="str">
            <v>21FC</v>
          </cell>
          <cell r="B27" t="str">
            <v>21 - TRIP DISTANCIA FASE C</v>
          </cell>
        </row>
        <row r="28">
          <cell r="A28" t="str">
            <v>21MO</v>
          </cell>
          <cell r="B28" t="str">
            <v>21 - TRIP DISTANCIA MONOFASICO</v>
          </cell>
        </row>
        <row r="29">
          <cell r="A29" t="str">
            <v>21MF</v>
          </cell>
          <cell r="B29" t="str">
            <v>21 - TRIP DISTANCIA MULTI FASES</v>
          </cell>
        </row>
        <row r="30">
          <cell r="A30" t="str">
            <v>21N</v>
          </cell>
          <cell r="B30" t="str">
            <v>21 - TRIP DISTANCIA NEUTRO</v>
          </cell>
        </row>
        <row r="31">
          <cell r="A31" t="str">
            <v>21F1</v>
          </cell>
          <cell r="B31" t="str">
            <v>21 - TRIP FASE ZONA 1</v>
          </cell>
        </row>
        <row r="32">
          <cell r="A32" t="str">
            <v>21F2</v>
          </cell>
          <cell r="B32" t="str">
            <v>21 - TRIP FASE ZONA 2</v>
          </cell>
        </row>
        <row r="33">
          <cell r="A33" t="str">
            <v>21F3</v>
          </cell>
          <cell r="B33" t="str">
            <v>21 - TRIP FASE ZONA 3</v>
          </cell>
        </row>
        <row r="34">
          <cell r="A34" t="str">
            <v>21F4</v>
          </cell>
          <cell r="B34" t="str">
            <v>21 - TRIP FASE ZONA 4</v>
          </cell>
        </row>
        <row r="35">
          <cell r="A35" t="str">
            <v>21N1</v>
          </cell>
          <cell r="B35" t="str">
            <v>21 - TRIP NEUTRO ZONA 1</v>
          </cell>
        </row>
        <row r="36">
          <cell r="A36" t="str">
            <v>21N2</v>
          </cell>
          <cell r="B36" t="str">
            <v>21 - TRIP NEUTRO ZONA 2</v>
          </cell>
        </row>
        <row r="37">
          <cell r="A37" t="str">
            <v>21N3</v>
          </cell>
          <cell r="B37" t="str">
            <v>21 - TRIP NEUTRO ZONA 3</v>
          </cell>
        </row>
        <row r="38">
          <cell r="A38" t="str">
            <v>21N4</v>
          </cell>
          <cell r="B38" t="str">
            <v>21 - TRIP NEUTRO ZONA 4</v>
          </cell>
        </row>
        <row r="39">
          <cell r="A39" t="str">
            <v>21Z1</v>
          </cell>
          <cell r="B39" t="str">
            <v>21 - TRIP ZONA 1</v>
          </cell>
        </row>
        <row r="40">
          <cell r="A40" t="str">
            <v>21Z2</v>
          </cell>
          <cell r="B40" t="str">
            <v>21 - TRIP ZONA 2</v>
          </cell>
        </row>
        <row r="41">
          <cell r="A41" t="str">
            <v>21Z3</v>
          </cell>
          <cell r="B41" t="str">
            <v>21 - TRIP ZONA 3</v>
          </cell>
        </row>
        <row r="42">
          <cell r="A42" t="str">
            <v>21Z4</v>
          </cell>
          <cell r="B42" t="str">
            <v>21 - TRIP ZONA 4</v>
          </cell>
        </row>
        <row r="43">
          <cell r="A43" t="str">
            <v>21Z5</v>
          </cell>
          <cell r="B43" t="str">
            <v>21 - TRIP ZONA 5</v>
          </cell>
        </row>
        <row r="44">
          <cell r="A44" t="str">
            <v>24I</v>
          </cell>
          <cell r="B44" t="str">
            <v>24 - INSTANTANEA SOBREEXCITACAO (VOLTS HERTZ)</v>
          </cell>
        </row>
        <row r="45">
          <cell r="A45" t="str">
            <v>24I1</v>
          </cell>
          <cell r="B45" t="str">
            <v>24 - INSTANTANEA SOBREEXCITACAO (VOLTS HERTZ) E1</v>
          </cell>
        </row>
        <row r="46">
          <cell r="A46" t="str">
            <v>24I2</v>
          </cell>
          <cell r="B46" t="str">
            <v>24 - INSTANTANEA SOBREEXCITACAO (VOLTS HERTZ) E2</v>
          </cell>
        </row>
        <row r="47">
          <cell r="A47" t="str">
            <v>24T</v>
          </cell>
          <cell r="B47" t="str">
            <v>24 - TEMPORIZADA SOBREEXCITACAO (VOLTS HERTZ)</v>
          </cell>
        </row>
        <row r="48">
          <cell r="A48" t="str">
            <v>24T1</v>
          </cell>
          <cell r="B48" t="str">
            <v>24 - TEMPORIZADA SOBREEXCITACAO (VOLTS HERTZ) E1</v>
          </cell>
        </row>
        <row r="49">
          <cell r="A49" t="str">
            <v>24T2</v>
          </cell>
          <cell r="B49" t="str">
            <v>24 - TEMPORIZADA SOBREEXCITACAO (VOLTS HERTZ) E2</v>
          </cell>
        </row>
        <row r="50">
          <cell r="A50" t="str">
            <v>24</v>
          </cell>
          <cell r="B50" t="str">
            <v>24 - TRIP SOBREEXCITACAO (VOLTS HERTZ)</v>
          </cell>
        </row>
        <row r="51">
          <cell r="A51" t="str">
            <v>25ER</v>
          </cell>
          <cell r="B51" t="str">
            <v>25 - FALHA SINCRONISMO</v>
          </cell>
        </row>
        <row r="52">
          <cell r="A52" t="str">
            <v>25CA</v>
          </cell>
          <cell r="B52" t="str">
            <v>25 - FALTA VCA RELE SINCRONISMO</v>
          </cell>
        </row>
        <row r="53">
          <cell r="A53" t="str">
            <v>25IE</v>
          </cell>
          <cell r="B53" t="str">
            <v>25 - FUNCAO SINCRONISMO</v>
          </cell>
        </row>
        <row r="54">
          <cell r="A54" t="str">
            <v>25IE</v>
          </cell>
          <cell r="B54" t="str">
            <v>25 - FUNCAO SINCRONISMO</v>
          </cell>
        </row>
        <row r="55">
          <cell r="A55" t="str">
            <v>25AM</v>
          </cell>
          <cell r="B55" t="str">
            <v xml:space="preserve">25 - RELE 25 AUTOMATICO MANUAL </v>
          </cell>
        </row>
        <row r="56">
          <cell r="A56" t="str">
            <v>25LR</v>
          </cell>
          <cell r="B56" t="str">
            <v xml:space="preserve">25 - CHAVE LOCAL REMOTO RELE 25 </v>
          </cell>
        </row>
        <row r="57">
          <cell r="A57" t="str">
            <v>25OK</v>
          </cell>
          <cell r="B57" t="str">
            <v>25 - SINCRONISMO FONTE/CARGA</v>
          </cell>
        </row>
        <row r="58">
          <cell r="A58" t="str">
            <v>25AT</v>
          </cell>
          <cell r="B58" t="str">
            <v>25 - TRIP DIFERENCA DE ANGULO</v>
          </cell>
        </row>
        <row r="59">
          <cell r="A59" t="str">
            <v>25FT</v>
          </cell>
          <cell r="B59" t="str">
            <v>25 - TRIP DIFERENCA FREQUENCIA</v>
          </cell>
        </row>
        <row r="60">
          <cell r="A60" t="str">
            <v>25VT</v>
          </cell>
          <cell r="B60" t="str">
            <v>25 - TRIP DIFERENCA TENSAO</v>
          </cell>
        </row>
        <row r="61">
          <cell r="A61" t="str">
            <v>25_T</v>
          </cell>
          <cell r="B61" t="str">
            <v>25 - TRIP SINCRONISMO</v>
          </cell>
        </row>
        <row r="62">
          <cell r="A62" t="str">
            <v>TOA</v>
          </cell>
          <cell r="B62" t="str">
            <v>26 - ALARME TEMPERATURA OLEO</v>
          </cell>
        </row>
        <row r="63">
          <cell r="A63" t="str">
            <v>TOC</v>
          </cell>
          <cell r="B63" t="str">
            <v>26 - ALARME TEMPERATURA OLEO CDC</v>
          </cell>
        </row>
        <row r="64">
          <cell r="A64" t="str">
            <v>TOD</v>
          </cell>
          <cell r="B64" t="str">
            <v>26 - TRIP TEMPERATURA OLEO</v>
          </cell>
        </row>
        <row r="65">
          <cell r="A65" t="str">
            <v>TOEA</v>
          </cell>
          <cell r="B65" t="str">
            <v>26 49 - ALARME TEMPERATURA</v>
          </cell>
        </row>
        <row r="66">
          <cell r="A66" t="str">
            <v>2649</v>
          </cell>
          <cell r="B66" t="str">
            <v>26 49 - FUNCAO TEMPERATURA</v>
          </cell>
        </row>
        <row r="67">
          <cell r="A67" t="str">
            <v>2649</v>
          </cell>
          <cell r="B67" t="str">
            <v>26 49 - FUNCAO TEMPERATURA</v>
          </cell>
        </row>
        <row r="68">
          <cell r="A68" t="str">
            <v>TOED</v>
          </cell>
          <cell r="B68" t="str">
            <v>26 49 - TRIP TEMPERATURA</v>
          </cell>
        </row>
        <row r="69">
          <cell r="A69" t="str">
            <v>27BL</v>
          </cell>
          <cell r="B69" t="str">
            <v>27 - BLOQUEIO SUBTENSAO</v>
          </cell>
        </row>
        <row r="70">
          <cell r="A70" t="str">
            <v>27</v>
          </cell>
          <cell r="B70" t="str">
            <v>27 - FUNCAO SUBTENSAO</v>
          </cell>
        </row>
        <row r="71">
          <cell r="A71" t="str">
            <v>27</v>
          </cell>
          <cell r="B71" t="str">
            <v>27 - FUNCAO SUBTENSAO</v>
          </cell>
        </row>
        <row r="72">
          <cell r="A72" t="str">
            <v>27BR</v>
          </cell>
          <cell r="B72" t="str">
            <v>27 - SUBTENSAO BARRA</v>
          </cell>
        </row>
        <row r="73">
          <cell r="A73" t="str">
            <v>27CD</v>
          </cell>
          <cell r="B73" t="str">
            <v>27 - BLOQUEIO SUBTENSAO CDC</v>
          </cell>
        </row>
        <row r="74">
          <cell r="A74" t="str">
            <v>27E1</v>
          </cell>
          <cell r="B74" t="str">
            <v>27 - SUBTENSAO E1</v>
          </cell>
        </row>
        <row r="75">
          <cell r="A75" t="str">
            <v>27E2</v>
          </cell>
          <cell r="B75" t="str">
            <v>27 - SUBTENSAO E2</v>
          </cell>
        </row>
        <row r="76">
          <cell r="A76" t="str">
            <v>27AB</v>
          </cell>
          <cell r="B76" t="str">
            <v>27 - SUBTENSAO FASE AB</v>
          </cell>
        </row>
        <row r="77">
          <cell r="A77" t="str">
            <v>27AC</v>
          </cell>
          <cell r="B77" t="str">
            <v>27 - SUBTENSAO FASE AC</v>
          </cell>
        </row>
        <row r="78">
          <cell r="A78" t="str">
            <v>27BC</v>
          </cell>
          <cell r="B78" t="str">
            <v>27 - SUBTENSAO FASE BC</v>
          </cell>
        </row>
        <row r="79">
          <cell r="A79" t="str">
            <v>27LT</v>
          </cell>
          <cell r="B79" t="str">
            <v>27 - SUBTENSAO LINHA</v>
          </cell>
        </row>
        <row r="80">
          <cell r="A80" t="str">
            <v>27TP</v>
          </cell>
          <cell r="B80" t="str">
            <v>27 - SUBTENSAO TP</v>
          </cell>
        </row>
        <row r="81">
          <cell r="A81" t="str">
            <v>27CA</v>
          </cell>
          <cell r="B81" t="str">
            <v>27 - SUBTENSAO VCA</v>
          </cell>
        </row>
        <row r="82">
          <cell r="A82" t="str">
            <v>27CC</v>
          </cell>
          <cell r="B82" t="str">
            <v>27 - SUBTENSAO VCC</v>
          </cell>
        </row>
        <row r="83">
          <cell r="A83" t="str">
            <v>27_T</v>
          </cell>
          <cell r="B83" t="str">
            <v>27 - TRIP SUBTENSAO</v>
          </cell>
        </row>
        <row r="84">
          <cell r="A84" t="str">
            <v>2759</v>
          </cell>
          <cell r="B84" t="str">
            <v>27 59 - SUBTENSAO OU SOBRETENSAO</v>
          </cell>
        </row>
        <row r="85">
          <cell r="A85" t="str">
            <v>32</v>
          </cell>
          <cell r="B85" t="str">
            <v>32 - DIRECIONAL DE POTENCIA</v>
          </cell>
        </row>
        <row r="86">
          <cell r="A86" t="str">
            <v>43AM</v>
          </cell>
          <cell r="B86" t="str">
            <v>43 - CHAVE AUTOMATICO MANUAL</v>
          </cell>
        </row>
        <row r="87">
          <cell r="A87" t="str">
            <v>43LR</v>
          </cell>
          <cell r="B87" t="str">
            <v>43 - CHAVE LOCAL REMOTO</v>
          </cell>
        </row>
        <row r="88">
          <cell r="A88" t="str">
            <v>RLCD</v>
          </cell>
          <cell r="B88" t="str">
            <v>43 - CHAVE LOCAL REMOTO COMUTADOR</v>
          </cell>
        </row>
        <row r="89">
          <cell r="A89" t="str">
            <v>90LR</v>
          </cell>
          <cell r="B89" t="str">
            <v>43 - CHAVE LOCAL REMOTO RELE 90</v>
          </cell>
        </row>
        <row r="90">
          <cell r="A90" t="str">
            <v>PLLR</v>
          </cell>
          <cell r="B90" t="str">
            <v>43 - CHAVE LOCAL REMOTO RELE PARALELISMO</v>
          </cell>
        </row>
        <row r="91">
          <cell r="A91" t="str">
            <v>43TR</v>
          </cell>
          <cell r="B91" t="str">
            <v>43 - CHAVE LOCAL REMOTO TRANSFORMADOR</v>
          </cell>
        </row>
        <row r="92">
          <cell r="A92" t="str">
            <v>43VF</v>
          </cell>
          <cell r="B92" t="str">
            <v>43 - CHAVE LOCAL REMOTO VENTILACAO FORCADA</v>
          </cell>
        </row>
        <row r="93">
          <cell r="A93" t="str">
            <v>43EP</v>
          </cell>
          <cell r="B93" t="str">
            <v>43 - CHAVE PROTECAO</v>
          </cell>
        </row>
        <row r="94">
          <cell r="A94" t="str">
            <v>43RT</v>
          </cell>
          <cell r="B94" t="str">
            <v>43 - CHAVE REJEICAO POR TEMPERATURA</v>
          </cell>
        </row>
        <row r="95">
          <cell r="A95" t="str">
            <v>43TC</v>
          </cell>
          <cell r="B95" t="str">
            <v>43 - CHAVE TELECOMANDO</v>
          </cell>
        </row>
        <row r="96">
          <cell r="A96" t="str">
            <v>43TP</v>
          </cell>
          <cell r="B96" t="str">
            <v>43 - TRANSFERENCIA DE PROTECAO</v>
          </cell>
        </row>
        <row r="97">
          <cell r="A97" t="str">
            <v>46</v>
          </cell>
          <cell r="B97" t="str">
            <v>46 - CORRENTE DE SEQUENCIA NEGATIVA</v>
          </cell>
        </row>
        <row r="98">
          <cell r="A98" t="str">
            <v>46E1</v>
          </cell>
          <cell r="B98" t="str">
            <v>46 - CORRENTE DE SEQUENCIA NEGATIVA E1</v>
          </cell>
        </row>
        <row r="99">
          <cell r="A99" t="str">
            <v>TEA</v>
          </cell>
          <cell r="B99" t="str">
            <v>49 - ALARME TEMPERATURA ENROLAMENTO</v>
          </cell>
        </row>
        <row r="100">
          <cell r="A100" t="str">
            <v>TED</v>
          </cell>
          <cell r="B100" t="str">
            <v>49 - TRIP TEMPERATURA ENROLAMENTO</v>
          </cell>
        </row>
        <row r="101">
          <cell r="A101" t="str">
            <v>50CD</v>
          </cell>
          <cell r="B101" t="str">
            <v>50 - SOBRECORRENTE CDC</v>
          </cell>
        </row>
        <row r="102">
          <cell r="A102" t="str">
            <v>50_1</v>
          </cell>
          <cell r="B102" t="str">
            <v>50 - SOBRECORRENTE INSTANTANEA E1</v>
          </cell>
        </row>
        <row r="103">
          <cell r="A103" t="str">
            <v>50_2</v>
          </cell>
          <cell r="B103" t="str">
            <v>50 - SOBRECORRENTE INSTANTANEA E2</v>
          </cell>
        </row>
        <row r="104">
          <cell r="A104" t="str">
            <v>50BF</v>
          </cell>
          <cell r="B104" t="str">
            <v>50 - FALHA DISJUNTOR</v>
          </cell>
        </row>
        <row r="105">
          <cell r="A105" t="str">
            <v>50F</v>
          </cell>
          <cell r="B105" t="str">
            <v>50 - SOBRECORRENTE INSTANTANEA FASE</v>
          </cell>
        </row>
        <row r="106">
          <cell r="A106" t="str">
            <v>50FA</v>
          </cell>
          <cell r="B106" t="str">
            <v>50 - SOBRECORRENTE INSTANTANEA FASE A</v>
          </cell>
        </row>
        <row r="107">
          <cell r="A107" t="str">
            <v>50FB</v>
          </cell>
          <cell r="B107" t="str">
            <v>50 - SOBRECORRENTE INSTANTANEA FASE B</v>
          </cell>
        </row>
        <row r="108">
          <cell r="A108" t="str">
            <v>50FC</v>
          </cell>
          <cell r="B108" t="str">
            <v>50 - SOBRECORRENTE INSTANTANEA FASE C</v>
          </cell>
        </row>
        <row r="109">
          <cell r="A109" t="str">
            <v>50CA</v>
          </cell>
          <cell r="B109" t="str">
            <v>50 - SOBRECORRENTE INSTANTANEA FASE C OU A</v>
          </cell>
        </row>
        <row r="110">
          <cell r="A110" t="str">
            <v>50F1</v>
          </cell>
          <cell r="B110" t="str">
            <v>50 - SOBRECORRENTE INSTANTANEA FASE E1</v>
          </cell>
        </row>
        <row r="111">
          <cell r="A111" t="str">
            <v>50F2</v>
          </cell>
          <cell r="B111" t="str">
            <v>50 - SOBRECORRENTE INSTANTANEA FASE E2</v>
          </cell>
        </row>
        <row r="112">
          <cell r="A112" t="str">
            <v>50F3</v>
          </cell>
          <cell r="B112" t="str">
            <v>50 - SOBRECORRENTE INSTANTANEA FASE E3</v>
          </cell>
        </row>
        <row r="113">
          <cell r="A113" t="str">
            <v>50FN</v>
          </cell>
          <cell r="B113" t="str">
            <v>50 - SOBRECORRENTE INSTANTANEA FASE NEUTRO</v>
          </cell>
        </row>
        <row r="114">
          <cell r="A114" t="str">
            <v>50N</v>
          </cell>
          <cell r="B114" t="str">
            <v>50 - SOBRECORRENTE INSTANTANEA NEUTRO</v>
          </cell>
        </row>
        <row r="115">
          <cell r="A115" t="str">
            <v>50N1</v>
          </cell>
          <cell r="B115" t="str">
            <v>50 - SOBRECORRENTE INSTANTANEA NEUTRO E1</v>
          </cell>
        </row>
        <row r="116">
          <cell r="A116" t="str">
            <v>50N2</v>
          </cell>
          <cell r="B116" t="str">
            <v>50 - SOBRECORRENTE INSTANTANEA NEUTRO E2</v>
          </cell>
        </row>
        <row r="117">
          <cell r="A117" t="str">
            <v>50N3</v>
          </cell>
          <cell r="B117" t="str">
            <v>50 - SOBRECORRENTE INSTANTANEA NEUTRO E3</v>
          </cell>
        </row>
        <row r="118">
          <cell r="A118" t="str">
            <v>5BKP</v>
          </cell>
          <cell r="B118" t="str">
            <v>50 51 - SOBRECORRENTE BACKUP</v>
          </cell>
        </row>
        <row r="119">
          <cell r="A119" t="str">
            <v>5F</v>
          </cell>
          <cell r="B119" t="str">
            <v>50 51 - SOBRECORRENTE FASE</v>
          </cell>
        </row>
        <row r="120">
          <cell r="A120" t="str">
            <v>5FA</v>
          </cell>
          <cell r="B120" t="str">
            <v>50 51 - SOBRECORRENTE FASE A</v>
          </cell>
        </row>
        <row r="121">
          <cell r="A121" t="str">
            <v>5FB</v>
          </cell>
          <cell r="B121" t="str">
            <v>50 51 - SOBRECORRENTE FASE B</v>
          </cell>
        </row>
        <row r="122">
          <cell r="A122" t="str">
            <v>5FC</v>
          </cell>
          <cell r="B122" t="str">
            <v>50 51 - SOBRECORRENTE FASE C</v>
          </cell>
        </row>
        <row r="123">
          <cell r="A123" t="str">
            <v>5FN</v>
          </cell>
          <cell r="B123" t="str">
            <v>50 51 - SOBRECORRENTE FASE NEUTRO</v>
          </cell>
        </row>
        <row r="124">
          <cell r="A124" t="str">
            <v>5FN1</v>
          </cell>
          <cell r="B124" t="str">
            <v>50 51 - SOBRECORRENTE FASE NEUTRO 1</v>
          </cell>
        </row>
        <row r="125">
          <cell r="A125" t="str">
            <v>5FN2</v>
          </cell>
          <cell r="B125" t="str">
            <v>50 51 - SOBRECORRENTE FASE NEUTRO 2</v>
          </cell>
        </row>
        <row r="126">
          <cell r="A126" t="str">
            <v>5N</v>
          </cell>
          <cell r="B126" t="str">
            <v>50 51 - SOBRECORRENTE NEUTRO</v>
          </cell>
        </row>
        <row r="127">
          <cell r="A127" t="str">
            <v>5NBK</v>
          </cell>
          <cell r="B127" t="str">
            <v>50 51 - SOBRECORRENTE NEUTRO BACKUP</v>
          </cell>
        </row>
        <row r="128">
          <cell r="A128" t="str">
            <v>561F</v>
          </cell>
          <cell r="B128" t="str">
            <v>50 51 61 - FASE</v>
          </cell>
        </row>
        <row r="129">
          <cell r="A129" t="str">
            <v>51N</v>
          </cell>
          <cell r="B129" t="str">
            <v>51 - FUNCAO SOBRECORRENTE TEMPORIZADA NEUTRO</v>
          </cell>
        </row>
        <row r="130">
          <cell r="A130" t="str">
            <v>51N</v>
          </cell>
          <cell r="B130" t="str">
            <v>51 - FUNCAO SOBRECORRENTE TEMPORIZADA NEUTRO</v>
          </cell>
        </row>
        <row r="131">
          <cell r="A131" t="str">
            <v>51F</v>
          </cell>
          <cell r="B131" t="str">
            <v>51 - SOBRECORRENTE TEMPORIZADA FASE</v>
          </cell>
        </row>
        <row r="132">
          <cell r="A132" t="str">
            <v>51FA</v>
          </cell>
          <cell r="B132" t="str">
            <v>51 - SOBRECORRENTE TEMPORIZADA FASE A</v>
          </cell>
        </row>
        <row r="133">
          <cell r="A133" t="str">
            <v>51FB</v>
          </cell>
          <cell r="B133" t="str">
            <v>51 - SOBRECORRENTE TEMPORIZADA FASE B</v>
          </cell>
        </row>
        <row r="134">
          <cell r="A134" t="str">
            <v>51FC</v>
          </cell>
          <cell r="B134" t="str">
            <v>51 - SOBRECORRENTE TEMPORIZADA FASE C</v>
          </cell>
        </row>
        <row r="135">
          <cell r="A135" t="str">
            <v>51CA</v>
          </cell>
          <cell r="B135" t="str">
            <v>51 - SOBRECORRENTE TEMPORIZADA FASE C OU A</v>
          </cell>
        </row>
        <row r="136">
          <cell r="A136" t="str">
            <v>51F1</v>
          </cell>
          <cell r="B136" t="str">
            <v>51 - SOBRECORRENTE TEMPORIZADA FASE E1</v>
          </cell>
        </row>
        <row r="137">
          <cell r="A137" t="str">
            <v>51F2</v>
          </cell>
          <cell r="B137" t="str">
            <v>51 - SOBRECORRENTE TEMPORIZADA FASE E2</v>
          </cell>
        </row>
        <row r="138">
          <cell r="A138" t="str">
            <v>51FN</v>
          </cell>
          <cell r="B138" t="str">
            <v>51 - SOBRECORRENTE TEMPORIZADA FASE NEUTRO</v>
          </cell>
        </row>
        <row r="139">
          <cell r="A139" t="str">
            <v>51NL</v>
          </cell>
          <cell r="B139" t="str">
            <v>51 - SOBRECORRENTE TEMPORIZADA LOCAL</v>
          </cell>
        </row>
        <row r="140">
          <cell r="A140" t="str">
            <v>51N1</v>
          </cell>
          <cell r="B140" t="str">
            <v>51 - SOBRECORRENTE TEMPORIZADA NEUTRO E1</v>
          </cell>
        </row>
        <row r="141">
          <cell r="A141" t="str">
            <v>51N2</v>
          </cell>
          <cell r="B141" t="str">
            <v>51 - SOBRECORRENTE TEMPORIZADA NEUTRO E2</v>
          </cell>
        </row>
        <row r="142">
          <cell r="A142" t="str">
            <v>51V</v>
          </cell>
          <cell r="B142" t="str">
            <v>51 - SOBRECORRENTE TEMPORIZADA POR TENSAO</v>
          </cell>
        </row>
        <row r="143">
          <cell r="A143" t="str">
            <v>5161</v>
          </cell>
          <cell r="B143" t="str">
            <v>51 61 - FASE NEUTRO</v>
          </cell>
        </row>
        <row r="144">
          <cell r="A144" t="str">
            <v>59</v>
          </cell>
          <cell r="B144" t="str">
            <v>59 - FUNCAO SOBRETENSAO</v>
          </cell>
        </row>
        <row r="145">
          <cell r="A145" t="str">
            <v>59</v>
          </cell>
          <cell r="B145" t="str">
            <v>59 - FUNCAO SOBRETENSAO</v>
          </cell>
        </row>
        <row r="146">
          <cell r="A146" t="str">
            <v>59A</v>
          </cell>
          <cell r="B146" t="str">
            <v>59 - ALARME SOBRETENSAO</v>
          </cell>
        </row>
        <row r="147">
          <cell r="A147" t="str">
            <v>59CD</v>
          </cell>
          <cell r="B147" t="str">
            <v>59 - BLOQUEIO CDC SOBRETENSAO</v>
          </cell>
        </row>
        <row r="148">
          <cell r="A148" t="str">
            <v>59E1</v>
          </cell>
          <cell r="B148" t="str">
            <v>59 - SOBRETENSAO E1</v>
          </cell>
        </row>
        <row r="149">
          <cell r="A149" t="str">
            <v>59E2</v>
          </cell>
          <cell r="B149" t="str">
            <v>59 - SOBRETENSAO E2</v>
          </cell>
        </row>
        <row r="150">
          <cell r="A150" t="str">
            <v>59E3</v>
          </cell>
          <cell r="B150" t="str">
            <v>59 - SOBRETENSAO E3</v>
          </cell>
        </row>
        <row r="151">
          <cell r="A151" t="str">
            <v>59E4</v>
          </cell>
          <cell r="B151" t="str">
            <v>59 - SOBRETENSAO E4</v>
          </cell>
        </row>
        <row r="152">
          <cell r="A152" t="str">
            <v>59E5</v>
          </cell>
          <cell r="B152" t="str">
            <v>59 - SOBRETENSAO E5</v>
          </cell>
        </row>
        <row r="153">
          <cell r="A153" t="str">
            <v>59I</v>
          </cell>
          <cell r="B153" t="str">
            <v>59 - SOBRETENSAO INSTANTANEA</v>
          </cell>
        </row>
        <row r="154">
          <cell r="A154" t="str">
            <v>59N</v>
          </cell>
          <cell r="B154" t="str">
            <v>59 - SOBRETENSAO NEUTRO</v>
          </cell>
        </row>
        <row r="155">
          <cell r="A155" t="str">
            <v>59_T</v>
          </cell>
          <cell r="B155" t="str">
            <v>59 - TRIP SOBRETENSAO</v>
          </cell>
        </row>
        <row r="156">
          <cell r="A156" t="str">
            <v>61</v>
          </cell>
          <cell r="B156" t="str">
            <v>61 - DESEQUILIBRIO</v>
          </cell>
        </row>
        <row r="157">
          <cell r="A157" t="str">
            <v>61_1</v>
          </cell>
          <cell r="B157" t="str">
            <v>61 - DESEQUILIBRIO E1</v>
          </cell>
        </row>
        <row r="158">
          <cell r="A158" t="str">
            <v>61_2</v>
          </cell>
          <cell r="B158" t="str">
            <v>61 - DESEQUILIBRIO E2</v>
          </cell>
        </row>
        <row r="159">
          <cell r="A159" t="str">
            <v>61I</v>
          </cell>
          <cell r="B159" t="str">
            <v>61 - DESEQUILIBRIO INSTANTANEO</v>
          </cell>
        </row>
        <row r="160">
          <cell r="A160" t="str">
            <v>61N</v>
          </cell>
          <cell r="B160" t="str">
            <v>61 - DESEQUILIBRIO NEUTRO</v>
          </cell>
        </row>
        <row r="161">
          <cell r="A161" t="str">
            <v>61T</v>
          </cell>
          <cell r="B161" t="str">
            <v>61 - DESEQUILIBRIO TEMPORIZADO</v>
          </cell>
        </row>
        <row r="162">
          <cell r="A162" t="str">
            <v>62BF</v>
          </cell>
          <cell r="B162" t="str">
            <v>62 - FALHA DISJUNTOR BLOQUEIO</v>
          </cell>
        </row>
        <row r="163">
          <cell r="A163" t="str">
            <v>BFAT</v>
          </cell>
          <cell r="B163" t="str">
            <v>62 - FALHA DISJUNTOR BLOQUEIO AT</v>
          </cell>
        </row>
        <row r="164">
          <cell r="A164" t="str">
            <v>BFP1</v>
          </cell>
          <cell r="B164" t="str">
            <v>62 - FALHA DISJUNTOR BLOQUEIO BARRA P1</v>
          </cell>
        </row>
        <row r="165">
          <cell r="A165" t="str">
            <v>BFP2</v>
          </cell>
          <cell r="B165" t="str">
            <v>62 - FALHA DISJUNTOR BLOQUEIO BARRA P2</v>
          </cell>
        </row>
        <row r="166">
          <cell r="A166" t="str">
            <v>BFP3</v>
          </cell>
          <cell r="B166" t="str">
            <v>62 - FALHA DISJUNTOR BLOQUEIO BARRA P3</v>
          </cell>
        </row>
        <row r="167">
          <cell r="A167" t="str">
            <v>BFBT</v>
          </cell>
          <cell r="B167" t="str">
            <v>62 - FALHA DISJUNTOR BLOQUEIO ALIMENTADORES</v>
          </cell>
        </row>
        <row r="168">
          <cell r="A168" t="str">
            <v>63CA</v>
          </cell>
          <cell r="B168" t="str">
            <v xml:space="preserve">63 - ALARME BUCHHOLZ CDC  </v>
          </cell>
        </row>
        <row r="169">
          <cell r="A169" t="str">
            <v>63A</v>
          </cell>
          <cell r="B169" t="str">
            <v>63 - ALARME BUCHHOLZ</v>
          </cell>
        </row>
        <row r="170">
          <cell r="A170" t="str">
            <v>63TA</v>
          </cell>
          <cell r="B170" t="str">
            <v xml:space="preserve">63 - ALARME BUCHHOLZ TRAFO  </v>
          </cell>
        </row>
        <row r="171">
          <cell r="A171" t="str">
            <v>63TC</v>
          </cell>
          <cell r="B171" t="str">
            <v>63 - TRIP BUCHHOLZ CDC OU TRAFO</v>
          </cell>
        </row>
        <row r="172">
          <cell r="A172" t="str">
            <v>63CD</v>
          </cell>
          <cell r="B172" t="str">
            <v>63 - TRIP BUCHHOLZ CDC</v>
          </cell>
        </row>
        <row r="173">
          <cell r="A173" t="str">
            <v>63C</v>
          </cell>
          <cell r="B173" t="str">
            <v>63 - BUCHHOLZ CDC</v>
          </cell>
        </row>
        <row r="174">
          <cell r="A174" t="str">
            <v>63TD</v>
          </cell>
          <cell r="B174" t="str">
            <v xml:space="preserve">63 - TRIP BUCHHOLZ TRAFO  </v>
          </cell>
        </row>
        <row r="175">
          <cell r="A175" t="str">
            <v>63T</v>
          </cell>
          <cell r="B175" t="str">
            <v xml:space="preserve">63 - BUCHHOLZ TRAFO  </v>
          </cell>
        </row>
        <row r="176">
          <cell r="A176" t="str">
            <v>67FTD</v>
          </cell>
          <cell r="B176" t="str">
            <v>67 - DIRECIONAL SOBRECORRENTE DIRETO FASE TEMPORIZADA</v>
          </cell>
        </row>
        <row r="177">
          <cell r="A177" t="str">
            <v>67NTD</v>
          </cell>
          <cell r="B177" t="str">
            <v>67 - DIRECIONAL SOBRECORRENTE DIRETO NEUTRO TEMPORIZADA</v>
          </cell>
        </row>
        <row r="178">
          <cell r="A178" t="str">
            <v>67_1</v>
          </cell>
          <cell r="B178" t="str">
            <v>67 - DIRECIONAL SOBRECORRENTE E1</v>
          </cell>
        </row>
        <row r="179">
          <cell r="A179" t="str">
            <v>67_2</v>
          </cell>
          <cell r="B179" t="str">
            <v>67 - DIRECIONAL SOBRECORRENTE E2</v>
          </cell>
        </row>
        <row r="180">
          <cell r="A180" t="str">
            <v>67F</v>
          </cell>
          <cell r="B180" t="str">
            <v>67 - DIRECIONAL SOBRECORRENTE FASE</v>
          </cell>
        </row>
        <row r="181">
          <cell r="A181" t="str">
            <v>67FA</v>
          </cell>
          <cell r="B181" t="str">
            <v>67 - DIRECIONAL SOBRECORRENTE FASE A</v>
          </cell>
        </row>
        <row r="182">
          <cell r="A182" t="str">
            <v>67FB</v>
          </cell>
          <cell r="B182" t="str">
            <v>67 - DIRECIONAL SOBRECORRENTE FASE B</v>
          </cell>
        </row>
        <row r="183">
          <cell r="A183" t="str">
            <v>67FC</v>
          </cell>
          <cell r="B183" t="str">
            <v>67 - DIRECIONAL SOBRECORRENTE FASE C</v>
          </cell>
        </row>
        <row r="184">
          <cell r="A184" t="str">
            <v>67F1</v>
          </cell>
          <cell r="B184" t="str">
            <v>67 - DIRECIONAL SOBRECORRENTE FASE E1</v>
          </cell>
        </row>
        <row r="185">
          <cell r="A185" t="str">
            <v>67F2</v>
          </cell>
          <cell r="B185" t="str">
            <v>67 - DIRECIONAL SOBRECORRENTE FASE E2</v>
          </cell>
        </row>
        <row r="186">
          <cell r="A186" t="str">
            <v>67FT</v>
          </cell>
          <cell r="B186" t="str">
            <v>67 - DIRECIONAL SOBRECORRENTE FASE TEMPORIZADO</v>
          </cell>
        </row>
        <row r="187">
          <cell r="A187" t="str">
            <v>67P1</v>
          </cell>
          <cell r="B187" t="str">
            <v>67 - DIRECIONAL SOBRECORRENTE FASE TEMPORIZADO E1</v>
          </cell>
        </row>
        <row r="188">
          <cell r="A188" t="str">
            <v>67P2</v>
          </cell>
          <cell r="B188" t="str">
            <v>67 - DIRECIONAL SOBRECORRENTE FASE TEMPORIZADO E2</v>
          </cell>
        </row>
        <row r="189">
          <cell r="A189" t="str">
            <v>67N</v>
          </cell>
          <cell r="B189" t="str">
            <v>67 - DIRECIONAL SOBRECORRENTE NEUTRO</v>
          </cell>
        </row>
        <row r="190">
          <cell r="A190" t="str">
            <v>67N1</v>
          </cell>
          <cell r="B190" t="str">
            <v>67 - DIRECIONAL SOBRECORRENTE NEUTRO E1</v>
          </cell>
        </row>
        <row r="191">
          <cell r="A191" t="str">
            <v>67N2</v>
          </cell>
          <cell r="B191" t="str">
            <v>67 - DIRECIONAL SOBRECORRENTE NEUTRO E2</v>
          </cell>
        </row>
        <row r="192">
          <cell r="A192" t="str">
            <v>67NT</v>
          </cell>
          <cell r="B192" t="str">
            <v>67 - DIRECIONAL SOBRECORRENTE NEUTRO TEMPORIZADO</v>
          </cell>
        </row>
        <row r="193">
          <cell r="A193" t="str">
            <v>67NT1</v>
          </cell>
          <cell r="B193" t="str">
            <v>67 - DIRECIONAL SOBRECORRENTE NEUTRO TEMPORIZADO E1</v>
          </cell>
        </row>
        <row r="194">
          <cell r="A194" t="str">
            <v>67NT2</v>
          </cell>
          <cell r="B194" t="str">
            <v>67 - DIRECIONAL SOBRECORRENTE NEUTRO TEMPORIZADO E2</v>
          </cell>
        </row>
        <row r="195">
          <cell r="A195" t="str">
            <v>67FTR</v>
          </cell>
          <cell r="B195" t="str">
            <v>67 - DIRECIONAL SOBRECORRENTE REVERSO FASE TEMPORIZADA</v>
          </cell>
        </row>
        <row r="196">
          <cell r="A196" t="str">
            <v>67NTR</v>
          </cell>
          <cell r="B196" t="str">
            <v>67 - DIRECIONAL SOBRECORRENTE REVERSO NEUTRO TEMPORIZADA</v>
          </cell>
        </row>
        <row r="197">
          <cell r="A197" t="str">
            <v>67</v>
          </cell>
          <cell r="B197" t="str">
            <v>67 - FUNCAO DIRECIONAL SOBRECORRENTE</v>
          </cell>
        </row>
        <row r="198">
          <cell r="A198" t="str">
            <v>67</v>
          </cell>
          <cell r="B198" t="str">
            <v>67 - FUNCAO DIRECIONAL SOBRECORRENTE</v>
          </cell>
        </row>
        <row r="199">
          <cell r="A199" t="str">
            <v>67NX</v>
          </cell>
          <cell r="B199" t="str">
            <v>67 - FUNCAO DIRECIONAL SOBRECORRENTE NEUTRO</v>
          </cell>
        </row>
        <row r="200">
          <cell r="A200" t="str">
            <v>67NX</v>
          </cell>
          <cell r="B200" t="str">
            <v>67 - FUNCAO DIRECIONAL SOBRECORRENTE NEUTRO</v>
          </cell>
        </row>
        <row r="201">
          <cell r="A201" t="str">
            <v>67_T</v>
          </cell>
          <cell r="B201" t="str">
            <v>67 - TRIP DIRECIONAL SOBRECORRENTE</v>
          </cell>
        </row>
        <row r="202">
          <cell r="A202" t="str">
            <v>71H</v>
          </cell>
          <cell r="B202" t="str">
            <v>71 - NIVEL ALTO OLEO</v>
          </cell>
        </row>
        <row r="203">
          <cell r="A203" t="str">
            <v>71CH</v>
          </cell>
          <cell r="B203" t="str">
            <v>71 - NIVEL ALTO OLEO CDC</v>
          </cell>
        </row>
        <row r="204">
          <cell r="A204" t="str">
            <v>71HI</v>
          </cell>
          <cell r="B204" t="str">
            <v>71 - NIVEL ALTO OLEO CDC OU TRAFO</v>
          </cell>
        </row>
        <row r="205">
          <cell r="A205" t="str">
            <v>71TH</v>
          </cell>
          <cell r="B205" t="str">
            <v>71 - NIVEL ALTO OLEO TRAFO</v>
          </cell>
        </row>
        <row r="206">
          <cell r="A206" t="str">
            <v>71L</v>
          </cell>
          <cell r="B206" t="str">
            <v xml:space="preserve">71 - NIVEL BAIXO OLEO  </v>
          </cell>
        </row>
        <row r="207">
          <cell r="A207" t="str">
            <v>71CL</v>
          </cell>
          <cell r="B207" t="str">
            <v>71 - NIVEL BAIXO OLEO CDC</v>
          </cell>
        </row>
        <row r="208">
          <cell r="A208" t="str">
            <v>71LO</v>
          </cell>
          <cell r="B208" t="str">
            <v>71 - NIVEL BAIXO OLEO CDC OU TRAFO</v>
          </cell>
        </row>
        <row r="209">
          <cell r="A209" t="str">
            <v>71TL</v>
          </cell>
          <cell r="B209" t="str">
            <v>71 - NIVEL BAIXO OLEO TRAFO</v>
          </cell>
        </row>
        <row r="210">
          <cell r="A210" t="str">
            <v>71</v>
          </cell>
          <cell r="B210" t="str">
            <v>71 - NIVEL OLEO</v>
          </cell>
        </row>
        <row r="211">
          <cell r="A211" t="str">
            <v>71C</v>
          </cell>
          <cell r="B211" t="str">
            <v>71 - NIVEL OLEO CDC</v>
          </cell>
        </row>
        <row r="212">
          <cell r="A212" t="str">
            <v>71TC</v>
          </cell>
          <cell r="B212" t="str">
            <v>71 - NIVEL OLEO CDC OU TRAFO</v>
          </cell>
        </row>
        <row r="213">
          <cell r="A213" t="str">
            <v>71T</v>
          </cell>
          <cell r="B213" t="str">
            <v>71 - NIVEL OLEO TRAFO</v>
          </cell>
        </row>
        <row r="214">
          <cell r="A214" t="str">
            <v>78_T</v>
          </cell>
          <cell r="B214" t="str">
            <v>78 - DESEQUILIBRIO ANGULO FASE</v>
          </cell>
        </row>
        <row r="215">
          <cell r="A215" t="str">
            <v>78VS</v>
          </cell>
          <cell r="B215" t="str">
            <v>78 - SALTO VETOR ANTI-ILHAMENTO</v>
          </cell>
        </row>
        <row r="216">
          <cell r="A216" t="str">
            <v>79</v>
          </cell>
          <cell r="B216" t="str">
            <v>79 - FUNCAO RELIGAMENTO</v>
          </cell>
        </row>
        <row r="217">
          <cell r="A217" t="str">
            <v>79</v>
          </cell>
          <cell r="B217" t="str">
            <v>79 - FUNCAO RELIGAMENTO</v>
          </cell>
        </row>
        <row r="218">
          <cell r="A218" t="str">
            <v>79_1</v>
          </cell>
          <cell r="B218" t="str">
            <v>79 - PARTIDA RELIGAMENTO</v>
          </cell>
        </row>
        <row r="219">
          <cell r="A219" t="str">
            <v>79LO</v>
          </cell>
          <cell r="B219" t="str">
            <v>79 - RELIGAMENTO BLOQUEADO</v>
          </cell>
        </row>
        <row r="220">
          <cell r="A220" t="str">
            <v>79OK</v>
          </cell>
          <cell r="B220" t="str">
            <v>79 - RELIGAMENTO COM SUCESSO</v>
          </cell>
        </row>
        <row r="221">
          <cell r="A221" t="str">
            <v>79_EXC</v>
          </cell>
          <cell r="B221" t="str">
            <v>79 - EXCLUIR RELIGAMENTO</v>
          </cell>
        </row>
        <row r="222">
          <cell r="A222" t="str">
            <v>79_INC</v>
          </cell>
          <cell r="B222" t="str">
            <v>79 - INCLUIR RELIGAMENTO</v>
          </cell>
        </row>
        <row r="223">
          <cell r="A223" t="str">
            <v>79RE</v>
          </cell>
          <cell r="B223" t="str">
            <v>79 - RELIGAMENTO PRONTO</v>
          </cell>
        </row>
        <row r="224">
          <cell r="A224" t="str">
            <v>79TF</v>
          </cell>
          <cell r="B224" t="str">
            <v>79 - RELIGAMENTO TRANSFERIDO</v>
          </cell>
        </row>
        <row r="225">
          <cell r="A225" t="str">
            <v>81</v>
          </cell>
          <cell r="B225" t="str">
            <v xml:space="preserve">81 - FUNCAO SUB/SOB FREQUENCIA </v>
          </cell>
        </row>
        <row r="226">
          <cell r="A226" t="str">
            <v>81</v>
          </cell>
          <cell r="B226" t="str">
            <v xml:space="preserve">81 - FUNCAO SUB/SOB FREQUENCIA </v>
          </cell>
        </row>
        <row r="227">
          <cell r="A227" t="str">
            <v>81SO</v>
          </cell>
          <cell r="B227" t="str">
            <v>81 - TRIP SOBRE FREQUENCIA</v>
          </cell>
        </row>
        <row r="228">
          <cell r="A228" t="str">
            <v>81O1</v>
          </cell>
          <cell r="B228" t="str">
            <v>81 - TRIP SOBRE FREQUENCIA E1</v>
          </cell>
        </row>
        <row r="229">
          <cell r="A229" t="str">
            <v>81O2</v>
          </cell>
          <cell r="B229" t="str">
            <v>81 - TRIP SOBRE FREQUENCIA E2</v>
          </cell>
        </row>
        <row r="230">
          <cell r="A230" t="str">
            <v>81SU</v>
          </cell>
          <cell r="B230" t="str">
            <v>81 - TRIP SUB FREQUENCIA</v>
          </cell>
        </row>
        <row r="231">
          <cell r="A231" t="str">
            <v>81_T</v>
          </cell>
          <cell r="B231" t="str">
            <v xml:space="preserve">81 - TRIP SUB/SOBRE FREQUENCIA </v>
          </cell>
        </row>
        <row r="232">
          <cell r="A232" t="str">
            <v>81IE1</v>
          </cell>
          <cell r="B232" t="str">
            <v>81 - TRIP SUB/SOBRE FREQUENCIA E1</v>
          </cell>
        </row>
        <row r="233">
          <cell r="A233" t="str">
            <v>81IE2</v>
          </cell>
          <cell r="B233" t="str">
            <v>81 - TRIP SUB/SOBRE FREQUENCIA E2</v>
          </cell>
        </row>
        <row r="234">
          <cell r="A234" t="str">
            <v>81E1</v>
          </cell>
          <cell r="B234" t="str">
            <v>81 - TRIP SUB/SOBRE FREQUENCIA E1</v>
          </cell>
        </row>
        <row r="235">
          <cell r="A235" t="str">
            <v>81E2</v>
          </cell>
          <cell r="B235" t="str">
            <v>81 - TRIP SUB/SOBRE FREQUENCIA E2</v>
          </cell>
        </row>
        <row r="236">
          <cell r="A236" t="str">
            <v>81E3</v>
          </cell>
          <cell r="B236" t="str">
            <v>81 - TRIP SUB/SOBRE FREQUENCIA E3</v>
          </cell>
        </row>
        <row r="237">
          <cell r="A237" t="str">
            <v>81E4</v>
          </cell>
          <cell r="B237" t="str">
            <v>81 - TRIP SUB/SOBRE FREQUENCIA E4</v>
          </cell>
        </row>
        <row r="238">
          <cell r="A238" t="str">
            <v>43TP</v>
          </cell>
          <cell r="B238" t="str">
            <v>43 - TRANSFERENCIA DE PROTECAO</v>
          </cell>
        </row>
        <row r="239">
          <cell r="A239" t="str">
            <v>86</v>
          </cell>
          <cell r="B239" t="str">
            <v>86 - BLOQUEIO</v>
          </cell>
        </row>
        <row r="240">
          <cell r="A240" t="str">
            <v>86</v>
          </cell>
          <cell r="B240" t="str">
            <v>86 - BLOQUEIO</v>
          </cell>
        </row>
        <row r="241">
          <cell r="A241" t="str">
            <v>86BF</v>
          </cell>
          <cell r="B241" t="str">
            <v>86 - BLOQUEIO DEFEITO DISJUNTOR</v>
          </cell>
        </row>
        <row r="242">
          <cell r="A242" t="str">
            <v>86BF</v>
          </cell>
          <cell r="B242" t="str">
            <v>86 - BLOQUEIO DEFEITO DISJUNTOR</v>
          </cell>
        </row>
        <row r="243">
          <cell r="A243" t="str">
            <v>86C</v>
          </cell>
          <cell r="B243" t="str">
            <v>86 - BLOQUEIO CDC</v>
          </cell>
        </row>
        <row r="244">
          <cell r="A244" t="str">
            <v>86FL</v>
          </cell>
          <cell r="B244" t="str">
            <v>86 - FALHA CIRCUITO RELE</v>
          </cell>
        </row>
        <row r="245">
          <cell r="A245" t="str">
            <v>87BL</v>
          </cell>
          <cell r="B245" t="str">
            <v>87 - DIFERENCIAL BLOQUEIO</v>
          </cell>
        </row>
        <row r="246">
          <cell r="A246" t="str">
            <v>87A</v>
          </cell>
          <cell r="B246" t="str">
            <v>87 - DIFERENCIAL FASE A</v>
          </cell>
        </row>
        <row r="247">
          <cell r="A247" t="str">
            <v>87B</v>
          </cell>
          <cell r="B247" t="str">
            <v>87 - DIFERENCIAL FASE B</v>
          </cell>
        </row>
        <row r="248">
          <cell r="A248" t="str">
            <v>87C</v>
          </cell>
          <cell r="B248" t="str">
            <v>87 - DIFERENCIAL FASE C</v>
          </cell>
        </row>
        <row r="249">
          <cell r="A249" t="str">
            <v>87_I</v>
          </cell>
          <cell r="B249" t="str">
            <v>87 - DIFERENCIAL INSTANTANEO</v>
          </cell>
        </row>
        <row r="250">
          <cell r="A250" t="str">
            <v>87U</v>
          </cell>
          <cell r="B250" t="str">
            <v>87 - DIFERENCIAL NAO RESTRITO</v>
          </cell>
        </row>
        <row r="251">
          <cell r="A251" t="str">
            <v>87U1</v>
          </cell>
          <cell r="B251" t="str">
            <v>87 - DIFERENCIAL NAO RESTRITO E1</v>
          </cell>
        </row>
        <row r="252">
          <cell r="A252" t="str">
            <v>87U2</v>
          </cell>
          <cell r="B252" t="str">
            <v>87 - DIFERENCIAL NAO RESTRITO E2</v>
          </cell>
        </row>
        <row r="253">
          <cell r="A253" t="str">
            <v>87R</v>
          </cell>
          <cell r="B253" t="str">
            <v>87 - DIFERENCIAL RESTRITO</v>
          </cell>
        </row>
        <row r="254">
          <cell r="A254" t="str">
            <v>87R1</v>
          </cell>
          <cell r="B254" t="str">
            <v>87 - DIFERENCIAL RESTRITO E1</v>
          </cell>
        </row>
        <row r="255">
          <cell r="A255" t="str">
            <v>87R2</v>
          </cell>
          <cell r="B255" t="str">
            <v>87 - DIFERENCIAL RESTRITO E2</v>
          </cell>
        </row>
        <row r="256">
          <cell r="A256" t="str">
            <v>87EF</v>
          </cell>
          <cell r="B256" t="str">
            <v>87 - DIFERENCIAL RESTRITO FALTA A TERRA</v>
          </cell>
        </row>
        <row r="257">
          <cell r="A257" t="str">
            <v>87RA</v>
          </cell>
          <cell r="B257" t="str">
            <v>87 - DIFERENCIAL RESTRITO FASE A</v>
          </cell>
        </row>
        <row r="258">
          <cell r="A258" t="str">
            <v>87RB</v>
          </cell>
          <cell r="B258" t="str">
            <v>87 - DIFERENCIAL RESTRITO FASE B</v>
          </cell>
        </row>
        <row r="259">
          <cell r="A259" t="str">
            <v>87RC</v>
          </cell>
          <cell r="B259" t="str">
            <v>87 - DIFERENCIAL RESTRITO FASE C</v>
          </cell>
        </row>
        <row r="260">
          <cell r="A260" t="str">
            <v>87Q</v>
          </cell>
          <cell r="B260" t="str">
            <v>87 - DIFERENCIAL SEQUENCIA NEGATIVA</v>
          </cell>
        </row>
        <row r="261">
          <cell r="A261" t="str">
            <v>87Q1</v>
          </cell>
          <cell r="B261" t="str">
            <v>87 - DIFERENCIAL SEQUENCIA NEGATIVA E1</v>
          </cell>
        </row>
        <row r="262">
          <cell r="A262" t="str">
            <v>87Q2</v>
          </cell>
          <cell r="B262" t="str">
            <v>87 - DIFERENCIAL SEQUENCIA NEGATIVA E2</v>
          </cell>
        </row>
        <row r="263">
          <cell r="A263" t="str">
            <v>8751</v>
          </cell>
          <cell r="B263" t="str">
            <v>87 - DIFERENCIAL TEMPORIZADO</v>
          </cell>
        </row>
        <row r="264">
          <cell r="A264" t="str">
            <v>87TA</v>
          </cell>
          <cell r="B264" t="str">
            <v>87 - DIFERENCIAL TEMPORIZADO FASE A</v>
          </cell>
        </row>
        <row r="265">
          <cell r="A265" t="str">
            <v>87TB</v>
          </cell>
          <cell r="B265" t="str">
            <v>87 - DIFERENCIAL TEMPORIZADO FASE B</v>
          </cell>
        </row>
        <row r="266">
          <cell r="A266" t="str">
            <v>87TC</v>
          </cell>
          <cell r="B266" t="str">
            <v>87 - DIFERENCIAL TEMPORIZADO FASE C</v>
          </cell>
        </row>
        <row r="267">
          <cell r="A267" t="str">
            <v>87G</v>
          </cell>
          <cell r="B267" t="str">
            <v>87 - DIFERENCIAL TERRA</v>
          </cell>
        </row>
        <row r="268">
          <cell r="A268" t="str">
            <v>87</v>
          </cell>
          <cell r="B268" t="str">
            <v>87 - FUNCAO DIFERENCIAL</v>
          </cell>
        </row>
        <row r="269">
          <cell r="A269" t="str">
            <v>87</v>
          </cell>
          <cell r="B269" t="str">
            <v>87 - FUNCAO DIFERENCIAL</v>
          </cell>
        </row>
        <row r="270">
          <cell r="A270" t="str">
            <v>87_T</v>
          </cell>
          <cell r="B270" t="str">
            <v>87 - TRIP DIFERENCIAL</v>
          </cell>
        </row>
        <row r="271">
          <cell r="A271" t="str">
            <v>87TT</v>
          </cell>
          <cell r="B271" t="str">
            <v>87 - TRIP DIFERENCIAL TRIFASICO</v>
          </cell>
        </row>
        <row r="272">
          <cell r="A272" t="str">
            <v>87LT</v>
          </cell>
          <cell r="B272" t="str">
            <v>87 - TRIP DIFERENCIAL LINHA</v>
          </cell>
        </row>
        <row r="273">
          <cell r="A273" t="str">
            <v>8750</v>
          </cell>
          <cell r="B273" t="str">
            <v>87 50 - FASE NEUTRO</v>
          </cell>
        </row>
        <row r="274">
          <cell r="A274" t="str">
            <v>90I</v>
          </cell>
          <cell r="B274" t="str">
            <v xml:space="preserve">90 - BLOQUEIO SOBRECORRENTE RELE 90 </v>
          </cell>
        </row>
        <row r="275">
          <cell r="A275" t="str">
            <v>90V</v>
          </cell>
          <cell r="B275" t="str">
            <v>90 - BLOQUEIO TENSAO RELE 90</v>
          </cell>
        </row>
        <row r="276">
          <cell r="A276" t="str">
            <v>COMA</v>
          </cell>
          <cell r="B276" t="str">
            <v>90 - POSICAO COMANDADO</v>
          </cell>
        </row>
        <row r="277">
          <cell r="A277" t="str">
            <v>COMA</v>
          </cell>
          <cell r="B277" t="str">
            <v>90 - POSICAO COMANDADO</v>
          </cell>
        </row>
        <row r="278">
          <cell r="A278" t="str">
            <v>90DP</v>
          </cell>
          <cell r="B278" t="str">
            <v>90 - DISCREPANCIA DE TAP</v>
          </cell>
        </row>
        <row r="279">
          <cell r="A279" t="str">
            <v>90FU</v>
          </cell>
          <cell r="B279" t="str">
            <v>90 - FALHA FUSIVEL</v>
          </cell>
        </row>
        <row r="280">
          <cell r="A280" t="str">
            <v>R90</v>
          </cell>
          <cell r="B280" t="str">
            <v>90 - FUNCAO REGULADOR</v>
          </cell>
        </row>
        <row r="281">
          <cell r="A281" t="str">
            <v>R90</v>
          </cell>
          <cell r="B281" t="str">
            <v>90 - FUNCAO REGULADOR</v>
          </cell>
        </row>
        <row r="282">
          <cell r="A282" t="str">
            <v>INDI</v>
          </cell>
          <cell r="B282" t="str">
            <v>90 - POSICAO INDIVIDUAL</v>
          </cell>
        </row>
        <row r="283">
          <cell r="A283" t="str">
            <v>INDI</v>
          </cell>
          <cell r="B283" t="str">
            <v>90 - POSICAO INDIVIDUAL</v>
          </cell>
        </row>
        <row r="284">
          <cell r="A284" t="str">
            <v>MEST</v>
          </cell>
          <cell r="B284" t="str">
            <v>90 - POSICAO MESTRE</v>
          </cell>
        </row>
        <row r="285">
          <cell r="A285" t="str">
            <v>MEST</v>
          </cell>
          <cell r="B285" t="str">
            <v>90 - POSICAO MESTRE</v>
          </cell>
        </row>
        <row r="286">
          <cell r="A286" t="str">
            <v>94</v>
          </cell>
          <cell r="B286" t="str">
            <v>94 - RETRIP</v>
          </cell>
        </row>
        <row r="287">
          <cell r="A287" t="str">
            <v>ABBN</v>
          </cell>
          <cell r="B287" t="str">
            <v>ABERTURA PELA BOBINA DE NEUTRO</v>
          </cell>
        </row>
        <row r="288">
          <cell r="A288" t="str">
            <v>81U1</v>
          </cell>
          <cell r="B288" t="str">
            <v>AJUSTE PARA 81 E1</v>
          </cell>
        </row>
        <row r="289">
          <cell r="A289" t="str">
            <v>81U2</v>
          </cell>
          <cell r="B289" t="str">
            <v>AJUSTE PARA 81 E2</v>
          </cell>
        </row>
        <row r="290">
          <cell r="A290" t="str">
            <v>81U3</v>
          </cell>
          <cell r="B290" t="str">
            <v>AJUSTE PARA 81 E3</v>
          </cell>
        </row>
        <row r="291">
          <cell r="A291" t="str">
            <v>81U4</v>
          </cell>
          <cell r="B291" t="str">
            <v>AJUSTE PARA 81 E4</v>
          </cell>
        </row>
        <row r="292">
          <cell r="A292" t="str">
            <v>81U5</v>
          </cell>
          <cell r="B292" t="str">
            <v>AJUSTE PARA 81 E5</v>
          </cell>
        </row>
        <row r="293">
          <cell r="A293" t="str">
            <v>AJ1</v>
          </cell>
          <cell r="B293" t="str">
            <v>AJUSTE PARA AL1</v>
          </cell>
        </row>
        <row r="294">
          <cell r="A294" t="str">
            <v>AJ12</v>
          </cell>
          <cell r="B294" t="str">
            <v>AJUSTE PARA AL12</v>
          </cell>
        </row>
        <row r="295">
          <cell r="A295" t="str">
            <v>AJ13</v>
          </cell>
          <cell r="B295" t="str">
            <v>AJUSTE PARA AL13</v>
          </cell>
        </row>
        <row r="296">
          <cell r="A296" t="str">
            <v>AJ14</v>
          </cell>
          <cell r="B296" t="str">
            <v>AJUSTE PARA AL14</v>
          </cell>
        </row>
        <row r="297">
          <cell r="A297" t="str">
            <v>AJ15</v>
          </cell>
          <cell r="B297" t="str">
            <v>AJUSTE PARA AL15</v>
          </cell>
        </row>
        <row r="298">
          <cell r="A298" t="str">
            <v>AJ16</v>
          </cell>
          <cell r="B298" t="str">
            <v>AJUSTE PARA AL16</v>
          </cell>
        </row>
        <row r="299">
          <cell r="A299" t="str">
            <v>AJ17</v>
          </cell>
          <cell r="B299" t="str">
            <v>AJUSTE PARA AL17</v>
          </cell>
        </row>
        <row r="300">
          <cell r="A300" t="str">
            <v>AJ18</v>
          </cell>
          <cell r="B300" t="str">
            <v>AJUSTE PARA AL18</v>
          </cell>
        </row>
        <row r="301">
          <cell r="A301" t="str">
            <v>AJ2</v>
          </cell>
          <cell r="B301" t="str">
            <v>AJUSTE PARA AL2</v>
          </cell>
        </row>
        <row r="302">
          <cell r="A302" t="str">
            <v>AJ21</v>
          </cell>
          <cell r="B302" t="str">
            <v>AJUSTE PARA AL21</v>
          </cell>
        </row>
        <row r="303">
          <cell r="A303" t="str">
            <v>AJ25</v>
          </cell>
          <cell r="B303" t="str">
            <v>AJUSTE PARA AL25</v>
          </cell>
        </row>
        <row r="304">
          <cell r="A304" t="str">
            <v>AJ26</v>
          </cell>
          <cell r="B304" t="str">
            <v>AJUSTE PARA AL26</v>
          </cell>
        </row>
        <row r="305">
          <cell r="A305" t="str">
            <v>AJ27</v>
          </cell>
          <cell r="B305" t="str">
            <v>AJUSTE PARA AL27</v>
          </cell>
        </row>
        <row r="306">
          <cell r="A306" t="str">
            <v>AJ28</v>
          </cell>
          <cell r="B306" t="str">
            <v>AJUSTE PARA AL28</v>
          </cell>
        </row>
        <row r="307">
          <cell r="A307" t="str">
            <v>AJ3</v>
          </cell>
          <cell r="B307" t="str">
            <v>AJUSTE PARA AL3</v>
          </cell>
        </row>
        <row r="308">
          <cell r="A308" t="str">
            <v>AJ31</v>
          </cell>
          <cell r="B308" t="str">
            <v>AJUSTE PARA AL31</v>
          </cell>
        </row>
        <row r="309">
          <cell r="A309" t="str">
            <v>AJ32</v>
          </cell>
          <cell r="B309" t="str">
            <v>AJUSTE PARA AL32</v>
          </cell>
        </row>
        <row r="310">
          <cell r="A310" t="str">
            <v>AJ33</v>
          </cell>
          <cell r="B310" t="str">
            <v>AJUSTE PARA AL33</v>
          </cell>
        </row>
        <row r="311">
          <cell r="A311" t="str">
            <v>AJ34</v>
          </cell>
          <cell r="B311" t="str">
            <v>AJUSTE PARA AL34</v>
          </cell>
        </row>
        <row r="312">
          <cell r="A312" t="str">
            <v>AJ4</v>
          </cell>
          <cell r="B312" t="str">
            <v>AJUSTE PARA AL4</v>
          </cell>
        </row>
        <row r="313">
          <cell r="A313" t="str">
            <v>AJ5</v>
          </cell>
          <cell r="B313" t="str">
            <v>AJUSTE PARA AL5</v>
          </cell>
        </row>
        <row r="314">
          <cell r="A314" t="str">
            <v>AJ6</v>
          </cell>
          <cell r="B314" t="str">
            <v>AJUSTE PARA AL6</v>
          </cell>
        </row>
        <row r="315">
          <cell r="A315" t="str">
            <v>AJ7</v>
          </cell>
          <cell r="B315" t="str">
            <v>AJUSTE PARA AL7</v>
          </cell>
        </row>
        <row r="316">
          <cell r="A316" t="str">
            <v>AJ8</v>
          </cell>
          <cell r="B316" t="str">
            <v>AJUSTE PARA AL8</v>
          </cell>
        </row>
        <row r="317">
          <cell r="A317" t="str">
            <v>AJG1</v>
          </cell>
          <cell r="B317" t="str">
            <v>AJUSTE PARA GRUPO 1</v>
          </cell>
        </row>
        <row r="318">
          <cell r="A318" t="str">
            <v>AJG1</v>
          </cell>
          <cell r="B318" t="str">
            <v>AJUSTE PARA GRUPO 1</v>
          </cell>
        </row>
        <row r="319">
          <cell r="A319" t="str">
            <v>AJG2</v>
          </cell>
          <cell r="B319" t="str">
            <v>AJUSTE PARA GRUPO 2</v>
          </cell>
        </row>
        <row r="320">
          <cell r="A320" t="str">
            <v>AJG2</v>
          </cell>
          <cell r="B320" t="str">
            <v>AJUSTE PARA GRUPO 2</v>
          </cell>
        </row>
        <row r="321">
          <cell r="A321" t="str">
            <v>AJG3</v>
          </cell>
          <cell r="B321" t="str">
            <v>AJUSTE PARA GRUPO 3</v>
          </cell>
        </row>
        <row r="322">
          <cell r="A322" t="str">
            <v>AJG3</v>
          </cell>
          <cell r="B322" t="str">
            <v>AJUSTE PARA GRUPO 3</v>
          </cell>
        </row>
        <row r="323">
          <cell r="A323" t="str">
            <v>AJG4</v>
          </cell>
          <cell r="B323" t="str">
            <v>AJUSTE PARA GRUPO 4</v>
          </cell>
        </row>
        <row r="324">
          <cell r="A324" t="str">
            <v>AJG4</v>
          </cell>
          <cell r="B324" t="str">
            <v>AJUSTE PARA GRUPO 4</v>
          </cell>
        </row>
        <row r="325">
          <cell r="A325" t="str">
            <v>AJG5</v>
          </cell>
          <cell r="B325" t="str">
            <v>AJUSTE PARA GRUPO 5</v>
          </cell>
        </row>
        <row r="326">
          <cell r="A326" t="str">
            <v>AJG5</v>
          </cell>
          <cell r="B326" t="str">
            <v>AJUSTE PARA GRUPO 5</v>
          </cell>
        </row>
        <row r="327">
          <cell r="A327" t="str">
            <v>AJG6</v>
          </cell>
          <cell r="B327" t="str">
            <v>AJUSTE PARA GRUPO 6</v>
          </cell>
        </row>
        <row r="328">
          <cell r="A328" t="str">
            <v>AJG6</v>
          </cell>
          <cell r="B328" t="str">
            <v>AJUSTE PARA GRUPO 6</v>
          </cell>
        </row>
        <row r="329">
          <cell r="A329" t="str">
            <v>AJNM</v>
          </cell>
          <cell r="B329" t="str">
            <v>AJUSTE PARA GRUPO NORMAL</v>
          </cell>
        </row>
        <row r="330">
          <cell r="A330" t="str">
            <v>BATA</v>
          </cell>
          <cell r="B330" t="str">
            <v>ALARME BATERIA</v>
          </cell>
        </row>
        <row r="331">
          <cell r="A331" t="str">
            <v>ALM</v>
          </cell>
          <cell r="B331" t="str">
            <v>ALARME GERAL</v>
          </cell>
        </row>
        <row r="332">
          <cell r="A332" t="str">
            <v>PRES</v>
          </cell>
          <cell r="B332" t="str">
            <v>ALARME PREDIAL</v>
          </cell>
        </row>
        <row r="333">
          <cell r="A333" t="str">
            <v>PRES</v>
          </cell>
          <cell r="B333" t="str">
            <v>ALARME PREDIAL</v>
          </cell>
        </row>
        <row r="334">
          <cell r="A334" t="str">
            <v>PREX</v>
          </cell>
          <cell r="B334" t="str">
            <v>ALARME PREDIAL PRESENCA EXTERNA</v>
          </cell>
        </row>
        <row r="335">
          <cell r="A335" t="str">
            <v>PRIN</v>
          </cell>
          <cell r="B335" t="str">
            <v>ALARME PREDIAL PRESENCA INTERNA</v>
          </cell>
        </row>
        <row r="336">
          <cell r="A336" t="str">
            <v>PROL</v>
          </cell>
          <cell r="B336" t="str">
            <v>ALARME PRESSAO DE OLEO</v>
          </cell>
        </row>
        <row r="337">
          <cell r="A337" t="str">
            <v>RETA</v>
          </cell>
          <cell r="B337" t="str">
            <v>ALARME RETIFICADOR</v>
          </cell>
        </row>
        <row r="338">
          <cell r="A338" t="str">
            <v>SIRE</v>
          </cell>
          <cell r="B338" t="str">
            <v>ALARME SONORO</v>
          </cell>
        </row>
        <row r="339">
          <cell r="A339" t="str">
            <v>DSAB</v>
          </cell>
          <cell r="B339" t="str">
            <v>ALARMES DESABILITADOS</v>
          </cell>
        </row>
        <row r="340">
          <cell r="A340" t="str">
            <v>85</v>
          </cell>
          <cell r="B340" t="str">
            <v>85 - TRIP TELEPROTECAO</v>
          </cell>
        </row>
        <row r="341">
          <cell r="A341" t="str">
            <v>ANR</v>
          </cell>
          <cell r="B341" t="str">
            <v>ANOMALIA REDE</v>
          </cell>
        </row>
        <row r="342">
          <cell r="A342" t="str">
            <v>ZERO</v>
          </cell>
          <cell r="B342" t="str">
            <v>AUTO ZERO</v>
          </cell>
        </row>
        <row r="343">
          <cell r="A343" t="str">
            <v>AUTO</v>
          </cell>
          <cell r="B343" t="str">
            <v>FUNCAO AUTOMATISMO</v>
          </cell>
        </row>
        <row r="344">
          <cell r="A344" t="str">
            <v>AUTO</v>
          </cell>
          <cell r="B344" t="str">
            <v>FUNCAO AUTOMATISMO</v>
          </cell>
        </row>
        <row r="345">
          <cell r="A345" t="str">
            <v>AUTC</v>
          </cell>
          <cell r="B345" t="str">
            <v>AUTOMATISMO</v>
          </cell>
        </row>
        <row r="346">
          <cell r="A346" t="str">
            <v>AUTD</v>
          </cell>
          <cell r="B346" t="str">
            <v>AUTOMATISMO DESLIGA</v>
          </cell>
        </row>
        <row r="347">
          <cell r="A347" t="str">
            <v>AUTL</v>
          </cell>
          <cell r="B347" t="str">
            <v>AUTOMATISMO LIGA</v>
          </cell>
        </row>
        <row r="348">
          <cell r="A348" t="str">
            <v>90VF</v>
          </cell>
          <cell r="B348" t="str">
            <v>AUTOMATISMO RELE 90 E VENTILACAO FORCADA</v>
          </cell>
        </row>
        <row r="349">
          <cell r="A349" t="str">
            <v>90VF</v>
          </cell>
          <cell r="B349" t="str">
            <v>AUTOMATISMO RELE 90 E VENTILACAO FORCADA</v>
          </cell>
        </row>
        <row r="350">
          <cell r="A350" t="str">
            <v>BXAR</v>
          </cell>
          <cell r="B350" t="str">
            <v>BAIXA PRESSAO AR COMPRIMIDO</v>
          </cell>
        </row>
        <row r="351">
          <cell r="A351" t="str">
            <v>SF6</v>
          </cell>
          <cell r="B351" t="str">
            <v>BAIXA PRESSAO SF6</v>
          </cell>
        </row>
        <row r="352">
          <cell r="A352" t="str">
            <v>SF6A</v>
          </cell>
          <cell r="B352" t="str">
            <v>ALARME BAIXA PRESSAO SF6</v>
          </cell>
        </row>
        <row r="353">
          <cell r="A353" t="str">
            <v>SF6B</v>
          </cell>
          <cell r="B353" t="str">
            <v>BLOQUEIO BAIXA PRESSAO SF6</v>
          </cell>
        </row>
        <row r="354">
          <cell r="A354" t="str">
            <v>BADC</v>
          </cell>
          <cell r="B354" t="str">
            <v>BATERIA EM DESCARGA</v>
          </cell>
        </row>
        <row r="355">
          <cell r="A355" t="str">
            <v>B5M</v>
          </cell>
          <cell r="B355" t="str">
            <v>BLOQUEIO 5 MINUTOS</v>
          </cell>
        </row>
        <row r="356">
          <cell r="A356" t="str">
            <v>BAB</v>
          </cell>
          <cell r="B356" t="str">
            <v>BLOQUEIO ABERTURA BAIXO AR COMPRIMIDO</v>
          </cell>
        </row>
        <row r="357">
          <cell r="A357" t="str">
            <v>BCDC</v>
          </cell>
          <cell r="B357" t="str">
            <v>BLOQUEIO CDC</v>
          </cell>
        </row>
        <row r="358">
          <cell r="A358" t="str">
            <v>BLA</v>
          </cell>
          <cell r="B358" t="str">
            <v>BLOQUEIO COMANDO ABERTURA</v>
          </cell>
        </row>
        <row r="359">
          <cell r="A359" t="str">
            <v>BFC</v>
          </cell>
          <cell r="B359" t="str">
            <v>BLOQUEIO COMANDO FECHAMENTO</v>
          </cell>
        </row>
        <row r="360">
          <cell r="A360" t="str">
            <v>BLDJ</v>
          </cell>
          <cell r="B360" t="str">
            <v>BLOQUEIO DISJUNTOR</v>
          </cell>
        </row>
        <row r="361">
          <cell r="A361" t="str">
            <v>BSEC</v>
          </cell>
          <cell r="B361" t="str">
            <v>BLOQUEIO MANOBRA SECCIONADORA</v>
          </cell>
        </row>
        <row r="362">
          <cell r="A362" t="str">
            <v>BLV</v>
          </cell>
          <cell r="B362" t="str">
            <v>BLOQUEIO POR TENSAO DE RETORNO</v>
          </cell>
        </row>
        <row r="363">
          <cell r="A363" t="str">
            <v>ANP</v>
          </cell>
          <cell r="B363" t="str">
            <v>ANOMALIA PROTECAO</v>
          </cell>
        </row>
        <row r="364">
          <cell r="A364" t="str">
            <v>BBAB</v>
          </cell>
          <cell r="B364" t="str">
            <v>BOBINA ABERTURA</v>
          </cell>
        </row>
        <row r="365">
          <cell r="A365" t="str">
            <v>BBA1</v>
          </cell>
          <cell r="B365" t="str">
            <v>BOBINA ABERTURA 1</v>
          </cell>
        </row>
        <row r="366">
          <cell r="A366" t="str">
            <v>BBA2</v>
          </cell>
          <cell r="B366" t="str">
            <v>BOBINA ABERTURA 2</v>
          </cell>
        </row>
        <row r="367">
          <cell r="A367" t="str">
            <v>BAF1</v>
          </cell>
          <cell r="B367" t="str">
            <v>BOBINA ABERTURA FECHAMENTO 1</v>
          </cell>
        </row>
        <row r="368">
          <cell r="A368" t="str">
            <v>BAF2</v>
          </cell>
          <cell r="B368" t="str">
            <v>BOBINA ABERTURA FECHAMENTO 2</v>
          </cell>
        </row>
        <row r="369">
          <cell r="A369" t="str">
            <v>BBAF</v>
          </cell>
          <cell r="B369" t="str">
            <v>BOBINA ABERTURA OU FECHAMENTO</v>
          </cell>
        </row>
        <row r="370">
          <cell r="A370" t="str">
            <v>BBFC</v>
          </cell>
          <cell r="B370" t="str">
            <v>BOBINA FECHAMENTO</v>
          </cell>
        </row>
        <row r="371">
          <cell r="A371" t="str">
            <v>BAVL</v>
          </cell>
          <cell r="B371" t="str">
            <v>CARREGAMENTO DA BATERIA</v>
          </cell>
        </row>
        <row r="372">
          <cell r="A372" t="str">
            <v>CDAM</v>
          </cell>
          <cell r="B372" t="str">
            <v>CDC AUTOMATICO MANUAL</v>
          </cell>
        </row>
        <row r="373">
          <cell r="A373" t="str">
            <v>CDLA</v>
          </cell>
          <cell r="B373" t="str">
            <v>CDC LOCAL AUTOMATICO</v>
          </cell>
        </row>
        <row r="374">
          <cell r="A374" t="str">
            <v>CDLM</v>
          </cell>
          <cell r="B374" t="str">
            <v>CDC LOCAL MANUAL</v>
          </cell>
        </row>
        <row r="375">
          <cell r="A375" t="str">
            <v>CDCO</v>
          </cell>
          <cell r="B375" t="str">
            <v>CDC MODO DE OPERACAO</v>
          </cell>
        </row>
        <row r="376">
          <cell r="A376" t="str">
            <v>CDRA</v>
          </cell>
          <cell r="B376" t="str">
            <v>CDC REMOTO AUTOMATICO</v>
          </cell>
        </row>
        <row r="377">
          <cell r="A377" t="str">
            <v>CDRM</v>
          </cell>
          <cell r="B377" t="str">
            <v>CDC REMOTO MANUAL</v>
          </cell>
        </row>
        <row r="378">
          <cell r="A378" t="str">
            <v>DEFC</v>
          </cell>
          <cell r="B378" t="str">
            <v>CENTRAL DE ALARME DEFEITO</v>
          </cell>
        </row>
        <row r="379">
          <cell r="A379" t="str">
            <v>VFCH</v>
          </cell>
          <cell r="B379" t="str">
            <v>CHAVE GERAL VENTILACAO FORCADA</v>
          </cell>
        </row>
        <row r="380">
          <cell r="A380" t="str">
            <v>VFDE</v>
          </cell>
          <cell r="B380" t="str">
            <v>CHAVE VENTILACAO FORCADA DESLIGADA</v>
          </cell>
        </row>
        <row r="381">
          <cell r="A381" t="str">
            <v>VFMA</v>
          </cell>
          <cell r="B381" t="str">
            <v>CHAVE VENTILACAO FORCADA MANUAL</v>
          </cell>
        </row>
        <row r="382">
          <cell r="A382" t="str">
            <v>VFRE</v>
          </cell>
          <cell r="B382" t="str">
            <v>CHAVE VENTILACAO FORCADA REMOTO</v>
          </cell>
        </row>
        <row r="383">
          <cell r="A383" t="str">
            <v>CAB</v>
          </cell>
          <cell r="B383" t="str">
            <v>CIRCUITO ABERTURA</v>
          </cell>
        </row>
        <row r="384">
          <cell r="A384" t="str">
            <v>CAB1</v>
          </cell>
          <cell r="B384" t="str">
            <v>CIRCUITO ABERTURA 1</v>
          </cell>
        </row>
        <row r="385">
          <cell r="A385" t="str">
            <v>CAB2</v>
          </cell>
          <cell r="B385" t="str">
            <v>CIRCUITO ABERTURA 2</v>
          </cell>
        </row>
        <row r="386">
          <cell r="A386" t="str">
            <v>CFC</v>
          </cell>
          <cell r="B386" t="str">
            <v>CIRCUITO FECHAMENTO</v>
          </cell>
        </row>
        <row r="387">
          <cell r="A387" t="str">
            <v>CMD</v>
          </cell>
          <cell r="B387" t="str">
            <v>COMANDO</v>
          </cell>
        </row>
        <row r="388">
          <cell r="A388" t="str">
            <v>CMD</v>
          </cell>
          <cell r="B388" t="str">
            <v>COMANDO</v>
          </cell>
        </row>
        <row r="389">
          <cell r="A389" t="str">
            <v>FCRE</v>
          </cell>
          <cell r="B389" t="str">
            <v>COMANDO FECHAMENTO REMOTO</v>
          </cell>
        </row>
        <row r="390">
          <cell r="A390" t="str">
            <v>CDC</v>
          </cell>
          <cell r="B390" t="str">
            <v>COMUTADOR</v>
          </cell>
        </row>
        <row r="391">
          <cell r="A391" t="str">
            <v>DCDC</v>
          </cell>
          <cell r="B391" t="str">
            <v>DEFEITO CDC</v>
          </cell>
        </row>
        <row r="392">
          <cell r="A392" t="str">
            <v>DCMD</v>
          </cell>
          <cell r="B392" t="str">
            <v>DEFEITO COMANDO</v>
          </cell>
        </row>
        <row r="393">
          <cell r="A393" t="str">
            <v>DFDJ</v>
          </cell>
          <cell r="B393" t="str">
            <v>DEFEITO DISJUNTOR</v>
          </cell>
        </row>
        <row r="394">
          <cell r="A394" t="str">
            <v>DMOT</v>
          </cell>
          <cell r="B394" t="str">
            <v>DEFEITO MOTOR</v>
          </cell>
        </row>
        <row r="395">
          <cell r="A395" t="str">
            <v>CDMT</v>
          </cell>
          <cell r="B395" t="str">
            <v>DEFEITO MOTOR CDC</v>
          </cell>
        </row>
        <row r="396">
          <cell r="A396" t="str">
            <v>DPT1</v>
          </cell>
          <cell r="B396" t="str">
            <v>DEFEITO PT100</v>
          </cell>
        </row>
        <row r="397">
          <cell r="A397" t="str">
            <v>DR</v>
          </cell>
          <cell r="B397" t="str">
            <v>DEFEITO RELE</v>
          </cell>
        </row>
        <row r="398">
          <cell r="A398" t="str">
            <v>DR21</v>
          </cell>
          <cell r="B398" t="str">
            <v>DEFEITO RELE 21</v>
          </cell>
        </row>
        <row r="399">
          <cell r="A399" t="str">
            <v>DR14</v>
          </cell>
          <cell r="B399" t="str">
            <v>DEFEITO RELE 2414</v>
          </cell>
        </row>
        <row r="400">
          <cell r="A400" t="str">
            <v>DR25</v>
          </cell>
          <cell r="B400" t="str">
            <v>DEFEITO RELE 25</v>
          </cell>
        </row>
        <row r="401">
          <cell r="A401" t="str">
            <v>DR67</v>
          </cell>
          <cell r="B401" t="str">
            <v>DEFEITO RELE 67</v>
          </cell>
        </row>
        <row r="402">
          <cell r="A402" t="str">
            <v>DR81</v>
          </cell>
          <cell r="B402" t="str">
            <v>DEFEITO RELE 81</v>
          </cell>
        </row>
        <row r="403">
          <cell r="A403" t="str">
            <v>DR87</v>
          </cell>
          <cell r="B403" t="str">
            <v>DEFEITO RELE 87</v>
          </cell>
        </row>
        <row r="404">
          <cell r="A404" t="str">
            <v>DR90</v>
          </cell>
          <cell r="B404" t="str">
            <v>DEFEITO RELE 90</v>
          </cell>
        </row>
        <row r="405">
          <cell r="A405" t="str">
            <v>DRRT</v>
          </cell>
          <cell r="B405" t="str">
            <v>DEFEITO RELE ALTERNADO</v>
          </cell>
        </row>
        <row r="406">
          <cell r="A406" t="str">
            <v>DRPL</v>
          </cell>
          <cell r="B406" t="str">
            <v>DEFEITO RELE MONITOR DE PARALELISMO</v>
          </cell>
        </row>
        <row r="407">
          <cell r="A407" t="str">
            <v>DRTM</v>
          </cell>
          <cell r="B407" t="str">
            <v>DEFEITO RELE MONITORAMENTO DE TEMPERATURA</v>
          </cell>
        </row>
        <row r="408">
          <cell r="A408" t="str">
            <v>DRT1</v>
          </cell>
          <cell r="B408" t="str">
            <v>DEFEITO RELE MONITORAMENTO DE TEMPERATURA 1</v>
          </cell>
        </row>
        <row r="409">
          <cell r="A409" t="str">
            <v>DRT2</v>
          </cell>
          <cell r="B409" t="str">
            <v>DEFEITO RELE MONITORAMENTO DE TEMPERATURA 2</v>
          </cell>
        </row>
        <row r="410">
          <cell r="A410" t="str">
            <v>DRT3</v>
          </cell>
          <cell r="B410" t="str">
            <v>DEFEITO RELE MONITORAMENTO DE TEMPERATURA 3</v>
          </cell>
        </row>
        <row r="411">
          <cell r="A411" t="str">
            <v>DRTMAVR</v>
          </cell>
          <cell r="B411" t="str">
            <v>DEFEITO RELE MONITORAMENTO DE TEMPERATURA E AVR</v>
          </cell>
        </row>
        <row r="412">
          <cell r="A412" t="str">
            <v>DRPR</v>
          </cell>
          <cell r="B412" t="str">
            <v>DEFEITO RELE PRINCIPAL</v>
          </cell>
        </row>
        <row r="413">
          <cell r="A413" t="str">
            <v>DREL</v>
          </cell>
          <cell r="B413" t="str">
            <v>DEFEITO RELIGADOR</v>
          </cell>
        </row>
        <row r="414">
          <cell r="A414" t="str">
            <v>DRET</v>
          </cell>
          <cell r="B414" t="str">
            <v>DEFEITO RETIFICADOR</v>
          </cell>
        </row>
        <row r="415">
          <cell r="A415" t="str">
            <v>DSEC</v>
          </cell>
          <cell r="B415" t="str">
            <v>DEFEITO SECCIONADORA</v>
          </cell>
        </row>
        <row r="416">
          <cell r="A416" t="str">
            <v>DSEX</v>
          </cell>
          <cell r="B416" t="str">
            <v>DEFEITO SENSOR EXTERNO</v>
          </cell>
        </row>
        <row r="417">
          <cell r="A417" t="str">
            <v>DSIM</v>
          </cell>
          <cell r="B417" t="str">
            <v>DEFEITO SIMULTANEO</v>
          </cell>
        </row>
        <row r="418">
          <cell r="A418" t="str">
            <v>DHT</v>
          </cell>
          <cell r="B418" t="str">
            <v>DHT - SECADOR DE SILICA</v>
          </cell>
        </row>
        <row r="419">
          <cell r="A419" t="str">
            <v>DIAF</v>
          </cell>
          <cell r="B419" t="str">
            <v>DIAFRAGMA TRANSFORMADOR</v>
          </cell>
        </row>
        <row r="420">
          <cell r="A420" t="str">
            <v>DJA1</v>
          </cell>
          <cell r="B420" t="str">
            <v>DISJUNTOR NA</v>
          </cell>
        </row>
        <row r="421">
          <cell r="A421" t="str">
            <v>DJA1</v>
          </cell>
          <cell r="B421" t="str">
            <v>DISJUNTOR NA</v>
          </cell>
        </row>
        <row r="422">
          <cell r="A422" t="str">
            <v>DJF1</v>
          </cell>
          <cell r="B422" t="str">
            <v>DISJUNTOR NF</v>
          </cell>
        </row>
        <row r="423">
          <cell r="A423" t="str">
            <v>DJF1</v>
          </cell>
          <cell r="B423" t="str">
            <v>DISJUNTOR NF</v>
          </cell>
        </row>
        <row r="424">
          <cell r="A424" t="str">
            <v>EST</v>
          </cell>
          <cell r="B424" t="str">
            <v>ESTADO EQUIPAMENTO</v>
          </cell>
        </row>
        <row r="425">
          <cell r="A425" t="str">
            <v>FLAF</v>
          </cell>
          <cell r="B425" t="str">
            <v>FALHA ABERTURA OU FECHAMENTO</v>
          </cell>
        </row>
        <row r="426">
          <cell r="A426" t="str">
            <v>OLFL</v>
          </cell>
          <cell r="B426" t="str">
            <v>FALHA FLUXO DE OLEO BOMBA</v>
          </cell>
        </row>
        <row r="427">
          <cell r="A427" t="str">
            <v>BBFL</v>
          </cell>
          <cell r="B427" t="str">
            <v>FALHA BOMBAS OLEO</v>
          </cell>
        </row>
        <row r="428">
          <cell r="A428" t="str">
            <v>BPBR</v>
          </cell>
          <cell r="B428" t="str">
            <v>BLOQUEIO PROTECAO DE BARRA</v>
          </cell>
        </row>
        <row r="429">
          <cell r="A429" t="str">
            <v>CDFL</v>
          </cell>
          <cell r="B429" t="str">
            <v>FALHA CDC</v>
          </cell>
        </row>
        <row r="430">
          <cell r="A430" t="str">
            <v>FCOM</v>
          </cell>
          <cell r="B430" t="str">
            <v>FALHA COMUNICACAO</v>
          </cell>
        </row>
        <row r="431">
          <cell r="A431" t="str">
            <v>FCAV</v>
          </cell>
          <cell r="B431" t="str">
            <v>FALHA COMUNICACAO AVR RELE 90</v>
          </cell>
        </row>
        <row r="432">
          <cell r="A432" t="str">
            <v>FCPR</v>
          </cell>
          <cell r="B432" t="str">
            <v>FALHA COMUNICACAO PARALELISMO INTERNO</v>
          </cell>
        </row>
        <row r="433">
          <cell r="A433" t="str">
            <v>FC21</v>
          </cell>
          <cell r="B433" t="str">
            <v>FALHA COMUNICACAO RELE 21</v>
          </cell>
        </row>
        <row r="434">
          <cell r="A434" t="str">
            <v>FC14</v>
          </cell>
          <cell r="B434" t="str">
            <v>FALHA COMUNICACAO RELE 2414</v>
          </cell>
        </row>
        <row r="435">
          <cell r="A435" t="str">
            <v>FC25</v>
          </cell>
          <cell r="B435" t="str">
            <v>FALHA COMUNICACAO RELE 25</v>
          </cell>
        </row>
        <row r="436">
          <cell r="A436" t="str">
            <v>FC67</v>
          </cell>
          <cell r="B436" t="str">
            <v>FALHA COMUNICACAO RELE 67</v>
          </cell>
        </row>
        <row r="437">
          <cell r="A437" t="str">
            <v>FC87</v>
          </cell>
          <cell r="B437" t="str">
            <v>FALHA COMUNICACAO RELE 87</v>
          </cell>
        </row>
        <row r="438">
          <cell r="A438" t="str">
            <v>FC90</v>
          </cell>
          <cell r="B438" t="str">
            <v>FALHA COMUNICACAO RELE 90</v>
          </cell>
        </row>
        <row r="439">
          <cell r="A439" t="str">
            <v>FCRC</v>
          </cell>
          <cell r="B439" t="str">
            <v>FALHA COMUNICACAO RELE CONTROLE</v>
          </cell>
        </row>
        <row r="440">
          <cell r="A440" t="str">
            <v>FCTM</v>
          </cell>
          <cell r="B440" t="str">
            <v>FALHA COMUNICACAO RELE MONITORAMENTO DE TEMPERATURA</v>
          </cell>
        </row>
        <row r="441">
          <cell r="A441" t="str">
            <v>FCT1</v>
          </cell>
          <cell r="B441" t="str">
            <v>FALHA COMUNICACAO RELE MONITORAMENTO DE TEMPERATURA 1</v>
          </cell>
        </row>
        <row r="442">
          <cell r="A442" t="str">
            <v>FCT2</v>
          </cell>
          <cell r="B442" t="str">
            <v>FALHA COMUNICACAO RELE MONITORAMENTO DE TEMPERATURA 2</v>
          </cell>
        </row>
        <row r="443">
          <cell r="A443" t="str">
            <v>FCT3</v>
          </cell>
          <cell r="B443" t="str">
            <v>FALHA COMUNICACAO RELE MONITORAMENTO DE TEMPERATURA 3</v>
          </cell>
        </row>
        <row r="444">
          <cell r="A444" t="str">
            <v>FCPL</v>
          </cell>
          <cell r="B444" t="str">
            <v>FALHA COMUNICACAO RELE MONITORAMENTO PARALELISMO</v>
          </cell>
        </row>
        <row r="445">
          <cell r="A445" t="str">
            <v>FCTL</v>
          </cell>
          <cell r="B445" t="str">
            <v>FALHA CANAL TELEPROTECAO</v>
          </cell>
        </row>
        <row r="446">
          <cell r="A446" t="str">
            <v>FCTA</v>
          </cell>
          <cell r="B446" t="str">
            <v>FALHA COMUNICACAO SENSOR TEMPERATURA AMBIENTE E UMIDADE</v>
          </cell>
        </row>
        <row r="447">
          <cell r="A447" t="str">
            <v>FCSA</v>
          </cell>
          <cell r="B447" t="str">
            <v>FALHA COMUNICACAO SERVICO AUXILIAR</v>
          </cell>
        </row>
        <row r="448">
          <cell r="A448" t="str">
            <v>FCCA</v>
          </cell>
          <cell r="B448" t="str">
            <v>FALHA COMUNICACAO SERVICO AUXILIAR VCA</v>
          </cell>
        </row>
        <row r="449">
          <cell r="A449" t="str">
            <v>FCCC</v>
          </cell>
          <cell r="B449" t="str">
            <v>FALHA COMUNICACAO SERVICO AUXILIAR VCC</v>
          </cell>
        </row>
        <row r="450">
          <cell r="A450" t="str">
            <v>FCSP</v>
          </cell>
          <cell r="B450" t="str">
            <v>FALHA COMUNICACAO SPS</v>
          </cell>
        </row>
        <row r="451">
          <cell r="A451" t="str">
            <v>FCM</v>
          </cell>
          <cell r="B451" t="str">
            <v>FALHA COMUNICACAO TRANSDUTOR</v>
          </cell>
        </row>
        <row r="452">
          <cell r="A452" t="str">
            <v>FCMP</v>
          </cell>
          <cell r="B452" t="str">
            <v>FALHA COMUNICAO COMPRESSOR</v>
          </cell>
        </row>
        <row r="453">
          <cell r="A453" t="str">
            <v>FCMR</v>
          </cell>
          <cell r="B453" t="str">
            <v>FALHA COMUNICAO TRANSDUTOR RESERVA</v>
          </cell>
        </row>
        <row r="454">
          <cell r="A454" t="str">
            <v>FCMT</v>
          </cell>
          <cell r="B454" t="str">
            <v>FALHA COMUTADOR</v>
          </cell>
        </row>
        <row r="455">
          <cell r="A455" t="str">
            <v>FLAB</v>
          </cell>
          <cell r="B455" t="str">
            <v>FALHA DE ABERTURA</v>
          </cell>
        </row>
        <row r="456">
          <cell r="A456" t="str">
            <v>FLFC</v>
          </cell>
          <cell r="B456" t="str">
            <v>FALHA DE FECHAMENTO</v>
          </cell>
        </row>
        <row r="457">
          <cell r="A457" t="str">
            <v>FIOL</v>
          </cell>
          <cell r="B457" t="str">
            <v>FALHA FILTRO DE OLEO</v>
          </cell>
        </row>
        <row r="458">
          <cell r="A458" t="str">
            <v>OLFL</v>
          </cell>
          <cell r="B458" t="str">
            <v>FALHA FLUXO DE OLEO</v>
          </cell>
        </row>
        <row r="459">
          <cell r="A459" t="str">
            <v>RLFU</v>
          </cell>
          <cell r="B459" t="str">
            <v>FALHA FUSIVEL</v>
          </cell>
        </row>
        <row r="460">
          <cell r="A460" t="str">
            <v>FU1</v>
          </cell>
          <cell r="B460" t="str">
            <v>FALHA FUSIVEL 1</v>
          </cell>
        </row>
        <row r="461">
          <cell r="A461" t="str">
            <v>FUTP</v>
          </cell>
          <cell r="B461" t="str">
            <v>FALHA FUSIVEL TP</v>
          </cell>
        </row>
        <row r="462">
          <cell r="A462" t="str">
            <v>FALH</v>
          </cell>
          <cell r="B462" t="str">
            <v>FALHA GERAL</v>
          </cell>
        </row>
        <row r="463">
          <cell r="A463" t="str">
            <v>GOOS</v>
          </cell>
          <cell r="B463" t="str">
            <v>FALHA GOOSE</v>
          </cell>
        </row>
        <row r="464">
          <cell r="A464" t="str">
            <v>FSIN</v>
          </cell>
          <cell r="B464" t="str">
            <v>FALHA IRIG B - SINCRONISMO</v>
          </cell>
        </row>
        <row r="465">
          <cell r="A465" t="str">
            <v>FCRP</v>
          </cell>
          <cell r="B465" t="str">
            <v>FALHA COMUNICACAO RELE PROTECAO</v>
          </cell>
        </row>
        <row r="466">
          <cell r="A466" t="str">
            <v>RXER</v>
          </cell>
          <cell r="B466" t="str">
            <v>FALHA RECEPCAO DADOS RX</v>
          </cell>
        </row>
        <row r="467">
          <cell r="A467" t="str">
            <v>FSEC</v>
          </cell>
          <cell r="B467" t="str">
            <v>FALHA SECCIONADORA</v>
          </cell>
        </row>
        <row r="468">
          <cell r="A468" t="str">
            <v>FSIH</v>
          </cell>
          <cell r="B468" t="str">
            <v>FALHA SINCRONISMO HORA</v>
          </cell>
        </row>
        <row r="469">
          <cell r="A469" t="str">
            <v>FPAR</v>
          </cell>
          <cell r="B469" t="str">
            <v>FALHA SINCRONISMO PARALELISMO</v>
          </cell>
        </row>
        <row r="470">
          <cell r="A470" t="str">
            <v>FVF</v>
          </cell>
          <cell r="B470" t="str">
            <v>FALHA VENTILACAO FORCADA</v>
          </cell>
        </row>
        <row r="471">
          <cell r="A471" t="str">
            <v>FVF1</v>
          </cell>
          <cell r="B471" t="str">
            <v>FALHA VENTILACAO FORCADA 1</v>
          </cell>
        </row>
        <row r="472">
          <cell r="A472" t="str">
            <v>FVF2</v>
          </cell>
          <cell r="B472" t="str">
            <v>FALHA VENTILACAO FORCADA 2</v>
          </cell>
        </row>
        <row r="473">
          <cell r="A473" t="str">
            <v>ZHI</v>
          </cell>
          <cell r="B473" t="str">
            <v>FALTA ALTA IMPEDANCIA</v>
          </cell>
        </row>
        <row r="474">
          <cell r="A474" t="str">
            <v>ZLO</v>
          </cell>
          <cell r="B474" t="str">
            <v>FALTA BAIXA IMPEDANCIA</v>
          </cell>
        </row>
        <row r="475">
          <cell r="A475" t="str">
            <v>HIZ</v>
          </cell>
          <cell r="B475" t="str">
            <v>FALTA DE ALTA IMPEDANCIA</v>
          </cell>
        </row>
        <row r="476">
          <cell r="A476" t="str">
            <v>HIF1A</v>
          </cell>
          <cell r="B476" t="str">
            <v>FALTA DE ALTA IMPEDANCIA FASE A</v>
          </cell>
        </row>
        <row r="477">
          <cell r="A477" t="str">
            <v>HIF1B</v>
          </cell>
          <cell r="B477" t="str">
            <v>FALTA DE ALTA IMPEDANCIA FASE B</v>
          </cell>
        </row>
        <row r="478">
          <cell r="A478" t="str">
            <v>HIF1C</v>
          </cell>
          <cell r="B478" t="str">
            <v>FALTA DE ALTA IMPEDANCIA FASE C</v>
          </cell>
        </row>
        <row r="479">
          <cell r="A479" t="str">
            <v>FINT</v>
          </cell>
          <cell r="B479" t="str">
            <v>FALTA INTERMITENTE</v>
          </cell>
        </row>
        <row r="480">
          <cell r="A480" t="str">
            <v>FPBR</v>
          </cell>
          <cell r="B480" t="str">
            <v>FALTA POTENCIAL BARRA</v>
          </cell>
        </row>
        <row r="481">
          <cell r="A481" t="str">
            <v>FPP1</v>
          </cell>
          <cell r="B481" t="str">
            <v>FALTA POTENCIAL BARRA P1</v>
          </cell>
        </row>
        <row r="482">
          <cell r="A482" t="str">
            <v>FPP2</v>
          </cell>
          <cell r="B482" t="str">
            <v>FALTA POTENCIAL BARRA P2</v>
          </cell>
        </row>
        <row r="483">
          <cell r="A483" t="str">
            <v>FVLT</v>
          </cell>
          <cell r="B483" t="str">
            <v>FALTA POTENCIAL LT</v>
          </cell>
        </row>
        <row r="484">
          <cell r="A484" t="str">
            <v>VCAM</v>
          </cell>
          <cell r="B484" t="str">
            <v>FALTA VCA PAINEL MEDICAO</v>
          </cell>
        </row>
        <row r="485">
          <cell r="A485" t="str">
            <v>CAFL</v>
          </cell>
          <cell r="B485" t="str">
            <v>FALTA VCA</v>
          </cell>
        </row>
        <row r="486">
          <cell r="A486" t="str">
            <v>CACD</v>
          </cell>
          <cell r="B486" t="str">
            <v>FALTA VCA COMUTADOR</v>
          </cell>
        </row>
        <row r="487">
          <cell r="A487" t="str">
            <v>CACO</v>
          </cell>
          <cell r="B487" t="str">
            <v>FALTA VCA COMANDO</v>
          </cell>
        </row>
        <row r="488">
          <cell r="A488" t="str">
            <v>CAMO</v>
          </cell>
          <cell r="B488" t="str">
            <v>FALTA VCA MOTOR</v>
          </cell>
        </row>
        <row r="489">
          <cell r="A489" t="str">
            <v>CASC</v>
          </cell>
          <cell r="B489" t="str">
            <v>FALTA VCA SECCIONADORA</v>
          </cell>
        </row>
        <row r="490">
          <cell r="A490" t="str">
            <v>FVF3</v>
          </cell>
          <cell r="B490" t="str">
            <v>FALHA VENTILACAO FORCADA 3</v>
          </cell>
        </row>
        <row r="491">
          <cell r="A491" t="str">
            <v>FVF4</v>
          </cell>
          <cell r="B491" t="str">
            <v>FALHA VENTILACAO FORCADA 4</v>
          </cell>
        </row>
        <row r="492">
          <cell r="A492" t="str">
            <v>VFTP</v>
          </cell>
          <cell r="B492" t="str">
            <v>TRIP FALHA REFRIGERACAO</v>
          </cell>
        </row>
        <row r="493">
          <cell r="A493" t="str">
            <v>CAVF</v>
          </cell>
          <cell r="B493" t="str">
            <v>FALTA VCA VENTILACAO FORCADA</v>
          </cell>
        </row>
        <row r="494">
          <cell r="A494" t="str">
            <v>CCFL</v>
          </cell>
          <cell r="B494" t="str">
            <v>FALTA VCC</v>
          </cell>
        </row>
        <row r="495">
          <cell r="A495" t="str">
            <v>CCAB</v>
          </cell>
          <cell r="B495" t="str">
            <v>FALTA VCC CIRCUITO ABERTURA</v>
          </cell>
        </row>
        <row r="496">
          <cell r="A496" t="str">
            <v>CCA1</v>
          </cell>
          <cell r="B496" t="str">
            <v>FALTA VCC CIRCUITO ABERTURA 1</v>
          </cell>
        </row>
        <row r="497">
          <cell r="A497" t="str">
            <v>CCA2</v>
          </cell>
          <cell r="B497" t="str">
            <v>FALTA VCC CIRCUITO ABERTURA 2</v>
          </cell>
        </row>
        <row r="498">
          <cell r="A498" t="str">
            <v>CCFC</v>
          </cell>
          <cell r="B498" t="str">
            <v>FALTA VCC CIRCUITO FECHAMENTO</v>
          </cell>
        </row>
        <row r="499">
          <cell r="A499" t="str">
            <v>86CC</v>
          </cell>
          <cell r="B499" t="str">
            <v>FALTA VCC CIRCUITO RELE 86</v>
          </cell>
        </row>
        <row r="500">
          <cell r="A500" t="str">
            <v>CCCO</v>
          </cell>
          <cell r="B500" t="str">
            <v>FALTA VCC COMANDO</v>
          </cell>
        </row>
        <row r="501">
          <cell r="A501" t="str">
            <v>CCC1</v>
          </cell>
          <cell r="B501" t="str">
            <v>FALTA VCC COMANDO 1</v>
          </cell>
        </row>
        <row r="502">
          <cell r="A502" t="str">
            <v>CCC2</v>
          </cell>
          <cell r="B502" t="str">
            <v>FALTA VCC COMANDO 2</v>
          </cell>
        </row>
        <row r="503">
          <cell r="A503" t="str">
            <v>CCCM</v>
          </cell>
          <cell r="B503" t="str">
            <v>FALTA VCC COMANDO MOTOR</v>
          </cell>
        </row>
        <row r="504">
          <cell r="A504" t="str">
            <v>CCMO</v>
          </cell>
          <cell r="B504" t="str">
            <v>FALTA VCC MOTOR</v>
          </cell>
        </row>
        <row r="505">
          <cell r="A505" t="str">
            <v>CCPN</v>
          </cell>
          <cell r="B505" t="str">
            <v>FALTA VCC PAINEL</v>
          </cell>
        </row>
        <row r="506">
          <cell r="A506" t="str">
            <v>CCSC</v>
          </cell>
          <cell r="B506" t="str">
            <v>FALTA VCC SECCIONADORA</v>
          </cell>
        </row>
        <row r="507">
          <cell r="A507" t="str">
            <v>CCCA</v>
          </cell>
          <cell r="B507" t="str">
            <v>FALTA VCC VCA</v>
          </cell>
        </row>
        <row r="508">
          <cell r="A508" t="str">
            <v>MCCA</v>
          </cell>
          <cell r="B508" t="str">
            <v>FALTA VCC VCA MOLA</v>
          </cell>
        </row>
        <row r="509">
          <cell r="A509" t="str">
            <v>VMTC</v>
          </cell>
          <cell r="B509" t="str">
            <v>FALTA VCC VCA MOTOR COMANDO</v>
          </cell>
        </row>
        <row r="510">
          <cell r="A510" t="str">
            <v>FA</v>
          </cell>
          <cell r="B510" t="str">
            <v>FASE A</v>
          </cell>
        </row>
        <row r="511">
          <cell r="A511" t="str">
            <v>FB</v>
          </cell>
          <cell r="B511" t="str">
            <v>FASE B</v>
          </cell>
        </row>
        <row r="512">
          <cell r="A512" t="str">
            <v>FC</v>
          </cell>
          <cell r="B512" t="str">
            <v>FASE C</v>
          </cell>
        </row>
        <row r="513">
          <cell r="A513" t="str">
            <v>FCBN</v>
          </cell>
          <cell r="B513" t="str">
            <v>FECHAMENTO PELA BOBINA NEUTRO</v>
          </cell>
        </row>
        <row r="514">
          <cell r="A514" t="str">
            <v>FCSN</v>
          </cell>
          <cell r="B514" t="str">
            <v>FECHAMENTO POR SINCRONISMO</v>
          </cell>
        </row>
        <row r="515">
          <cell r="A515" t="str">
            <v>FCSF</v>
          </cell>
          <cell r="B515" t="str">
            <v>FECHAMENTO SOB FALTA</v>
          </cell>
        </row>
        <row r="516">
          <cell r="A516" t="str">
            <v>FGTE</v>
          </cell>
          <cell r="B516" t="str">
            <v>FUGA TERRA</v>
          </cell>
        </row>
        <row r="517">
          <cell r="A517" t="str">
            <v>SOTX</v>
          </cell>
          <cell r="B517" t="str">
            <v>FUNCAO FECHAMENTO SOB FALTA</v>
          </cell>
        </row>
        <row r="518">
          <cell r="A518" t="str">
            <v>PRTF</v>
          </cell>
          <cell r="B518" t="str">
            <v>FALHA PROTECAO</v>
          </cell>
        </row>
        <row r="519">
          <cell r="A519" t="str">
            <v>SGF</v>
          </cell>
          <cell r="B519" t="str">
            <v>FUNCAO SGF</v>
          </cell>
        </row>
        <row r="520">
          <cell r="A520" t="str">
            <v>SGF</v>
          </cell>
          <cell r="B520" t="str">
            <v>FUNCAO SGF</v>
          </cell>
        </row>
        <row r="521">
          <cell r="A521" t="str">
            <v>TDS</v>
          </cell>
          <cell r="B521" t="str">
            <v>FUNCAO TRIP DEFEITO SIMULTANEO</v>
          </cell>
        </row>
        <row r="522">
          <cell r="A522" t="str">
            <v>AJST</v>
          </cell>
          <cell r="B522" t="str">
            <v>GRUPO DE AJUSTE</v>
          </cell>
        </row>
        <row r="523">
          <cell r="A523" t="str">
            <v>G1</v>
          </cell>
          <cell r="B523" t="str">
            <v>GRUPO DE AJUSTE 1</v>
          </cell>
        </row>
        <row r="524">
          <cell r="A524" t="str">
            <v>G1</v>
          </cell>
          <cell r="B524" t="str">
            <v>GRUPO DE AJUSTE 1</v>
          </cell>
        </row>
        <row r="525">
          <cell r="A525" t="str">
            <v>G2</v>
          </cell>
          <cell r="B525" t="str">
            <v>GRUPO DE AJUSTE 2</v>
          </cell>
        </row>
        <row r="526">
          <cell r="A526" t="str">
            <v>G2</v>
          </cell>
          <cell r="B526" t="str">
            <v>GRUPO DE AJUSTE 2</v>
          </cell>
        </row>
        <row r="527">
          <cell r="A527" t="str">
            <v>G3</v>
          </cell>
          <cell r="B527" t="str">
            <v>GRUPO DE AJUSTE 3</v>
          </cell>
        </row>
        <row r="528">
          <cell r="A528" t="str">
            <v>G3</v>
          </cell>
          <cell r="B528" t="str">
            <v>GRUPO DE AJUSTE 3</v>
          </cell>
        </row>
        <row r="529">
          <cell r="A529" t="str">
            <v>G4</v>
          </cell>
          <cell r="B529" t="str">
            <v>GRUPO DE AJUSTE 4</v>
          </cell>
        </row>
        <row r="530">
          <cell r="A530" t="str">
            <v>G4</v>
          </cell>
          <cell r="B530" t="str">
            <v>GRUPO DE AJUSTE 4</v>
          </cell>
        </row>
        <row r="531">
          <cell r="A531" t="str">
            <v>G5</v>
          </cell>
          <cell r="B531" t="str">
            <v>GRUPO DE AJUSTE 5</v>
          </cell>
        </row>
        <row r="532">
          <cell r="A532" t="str">
            <v>G5</v>
          </cell>
          <cell r="B532" t="str">
            <v>GRUPO DE AJUSTE 5</v>
          </cell>
        </row>
        <row r="533">
          <cell r="A533" t="str">
            <v>G6</v>
          </cell>
          <cell r="B533" t="str">
            <v>GRUPO DE AJUSTE 6</v>
          </cell>
        </row>
        <row r="534">
          <cell r="A534" t="str">
            <v>G6</v>
          </cell>
          <cell r="B534" t="str">
            <v>GRUPO DE AJUSTE 6</v>
          </cell>
        </row>
        <row r="535">
          <cell r="A535" t="str">
            <v>81AJST</v>
          </cell>
          <cell r="B535" t="str">
            <v>GRUPO DE AJUSTE FUNCAO 81</v>
          </cell>
        </row>
        <row r="536">
          <cell r="A536" t="str">
            <v>GRPO</v>
          </cell>
          <cell r="B536" t="str">
            <v>GRUPO DE AJUSTE RELIGADOR</v>
          </cell>
        </row>
        <row r="537">
          <cell r="A537" t="str">
            <v>AJGP</v>
          </cell>
          <cell r="B537" t="str">
            <v>GRUPOS DE AJUSTE</v>
          </cell>
        </row>
        <row r="538">
          <cell r="A538" t="str">
            <v>HLT</v>
          </cell>
          <cell r="B538" t="str">
            <v>HOT LINE TAG</v>
          </cell>
        </row>
        <row r="539">
          <cell r="A539" t="str">
            <v>HLT</v>
          </cell>
          <cell r="B539" t="str">
            <v>HOT LINE TAG</v>
          </cell>
        </row>
        <row r="540">
          <cell r="A540" t="str">
            <v>ITFA</v>
          </cell>
          <cell r="B540" t="str">
            <v>INTERTRIP FASE A</v>
          </cell>
        </row>
        <row r="541">
          <cell r="A541" t="str">
            <v>ITFB</v>
          </cell>
          <cell r="B541" t="str">
            <v>INTERTRIP FASE B</v>
          </cell>
        </row>
        <row r="542">
          <cell r="A542" t="str">
            <v>ITFC</v>
          </cell>
          <cell r="B542" t="str">
            <v>INTERTRIP FASE C</v>
          </cell>
        </row>
        <row r="543">
          <cell r="A543" t="str">
            <v>ITGE</v>
          </cell>
          <cell r="B543" t="str">
            <v>INTERTRIP GERAL</v>
          </cell>
        </row>
        <row r="544">
          <cell r="A544" t="str">
            <v>LIBM</v>
          </cell>
          <cell r="B544" t="str">
            <v>LIBERA MANOBRA</v>
          </cell>
        </row>
        <row r="545">
          <cell r="A545" t="str">
            <v>LMAB</v>
          </cell>
          <cell r="B545" t="str">
            <v>LIBERA MANOBRA ABERTURA</v>
          </cell>
        </row>
        <row r="546">
          <cell r="A546" t="str">
            <v>LMFE</v>
          </cell>
          <cell r="B546" t="str">
            <v>LIBERA MANOBRA FECHAMENTO</v>
          </cell>
        </row>
        <row r="547">
          <cell r="A547" t="str">
            <v>LMLO</v>
          </cell>
          <cell r="B547" t="str">
            <v>LIBERA MANOBRA LOCAL</v>
          </cell>
        </row>
        <row r="548">
          <cell r="A548" t="str">
            <v>MLRE</v>
          </cell>
          <cell r="B548" t="str">
            <v>MAL FUNCIONAMENTO</v>
          </cell>
        </row>
        <row r="549">
          <cell r="A549" t="str">
            <v>MANI</v>
          </cell>
          <cell r="B549" t="str">
            <v>MANIVELA COMANDO MANUAL</v>
          </cell>
        </row>
        <row r="550">
          <cell r="A550" t="str">
            <v>MD</v>
          </cell>
          <cell r="B550" t="str">
            <v>MINI DISJUNTOR</v>
          </cell>
        </row>
        <row r="551">
          <cell r="A551" t="str">
            <v>MD38</v>
          </cell>
          <cell r="B551" t="str">
            <v>MINI DISJUNTOR 138KV</v>
          </cell>
        </row>
        <row r="552">
          <cell r="A552" t="str">
            <v>MD13</v>
          </cell>
          <cell r="B552" t="str">
            <v>MINI DISJUNTOR 13KV</v>
          </cell>
        </row>
        <row r="553">
          <cell r="A553" t="str">
            <v>MD23</v>
          </cell>
          <cell r="B553" t="str">
            <v>MINI DISJUNTOR 23KV</v>
          </cell>
        </row>
        <row r="554">
          <cell r="A554" t="str">
            <v>MD69</v>
          </cell>
          <cell r="B554" t="str">
            <v>MINI DISJUNTOR 69KV</v>
          </cell>
        </row>
        <row r="555">
          <cell r="A555" t="str">
            <v>MDBC</v>
          </cell>
          <cell r="B555" t="str">
            <v>MINI DISJUNTOR BARRA PAINEL</v>
          </cell>
        </row>
        <row r="556">
          <cell r="A556" t="str">
            <v>MDBP</v>
          </cell>
          <cell r="B556" t="str">
            <v>MINI DISJUNTOR BARRA PATIO</v>
          </cell>
        </row>
        <row r="557">
          <cell r="A557" t="str">
            <v>MDCD</v>
          </cell>
          <cell r="B557" t="str">
            <v>MINI DISJUNTOR CDC</v>
          </cell>
        </row>
        <row r="558">
          <cell r="A558" t="str">
            <v>MDCM</v>
          </cell>
          <cell r="B558" t="str">
            <v>MINI DISJUNTOR COMANDO</v>
          </cell>
        </row>
        <row r="559">
          <cell r="A559" t="str">
            <v>MDFA</v>
          </cell>
          <cell r="B559" t="str">
            <v>MINI DISJUNTOR FASE A</v>
          </cell>
        </row>
        <row r="560">
          <cell r="A560" t="str">
            <v>MDFB</v>
          </cell>
          <cell r="B560" t="str">
            <v>MINI DISJUNTOR FASE B</v>
          </cell>
        </row>
        <row r="561">
          <cell r="A561" t="str">
            <v>MDFC</v>
          </cell>
          <cell r="B561" t="str">
            <v>MINI DISJUNTOR FASE C</v>
          </cell>
        </row>
        <row r="562">
          <cell r="A562" t="str">
            <v>MDLT</v>
          </cell>
          <cell r="B562" t="str">
            <v>MINI DISJUNTOR LT</v>
          </cell>
        </row>
        <row r="563">
          <cell r="A563" t="str">
            <v>MDLC</v>
          </cell>
          <cell r="B563" t="str">
            <v>MINI DISJUNTOR LT PAINEL</v>
          </cell>
        </row>
        <row r="564">
          <cell r="A564" t="str">
            <v>MDLP</v>
          </cell>
          <cell r="B564" t="str">
            <v>MINI DISJUNTOR LT PATIO</v>
          </cell>
        </row>
        <row r="565">
          <cell r="A565" t="str">
            <v>MDOL</v>
          </cell>
          <cell r="B565" t="str">
            <v>MINI DISJUNTOR OLEO</v>
          </cell>
        </row>
        <row r="566">
          <cell r="A566" t="str">
            <v>MDPM</v>
          </cell>
          <cell r="B566" t="str">
            <v>MINI DISJUNTOR PAINEL MEDICAO</v>
          </cell>
        </row>
        <row r="567">
          <cell r="A567" t="str">
            <v>MDTP</v>
          </cell>
          <cell r="B567" t="str">
            <v>MINI DISJUNTOR TP</v>
          </cell>
        </row>
        <row r="568">
          <cell r="A568" t="str">
            <v>MDTM</v>
          </cell>
          <cell r="B568" t="str">
            <v>MINI DISJUNTOR TP MEDICAO</v>
          </cell>
        </row>
        <row r="569">
          <cell r="A569" t="str">
            <v>MDMT</v>
          </cell>
          <cell r="B569" t="str">
            <v>MINI DISJUNTOR TP MEDICAO CDC</v>
          </cell>
        </row>
        <row r="570">
          <cell r="A570" t="str">
            <v>MDPN</v>
          </cell>
          <cell r="B570" t="str">
            <v>MINI DISJUNTOR TP PAINEL</v>
          </cell>
        </row>
        <row r="571">
          <cell r="A571" t="str">
            <v>MDCA</v>
          </cell>
          <cell r="B571" t="str">
            <v>MINI DISJUNTOR VCA</v>
          </cell>
        </row>
        <row r="572">
          <cell r="A572" t="str">
            <v>MDCC</v>
          </cell>
          <cell r="B572" t="str">
            <v>MINI DISJUNTOR VCC</v>
          </cell>
        </row>
        <row r="573">
          <cell r="A573" t="str">
            <v>MTRF</v>
          </cell>
          <cell r="B573" t="str">
            <v>MODULO TRANSFERIDO</v>
          </cell>
        </row>
        <row r="574">
          <cell r="A574" t="str">
            <v>MOLA</v>
          </cell>
          <cell r="B574" t="str">
            <v>MOLA</v>
          </cell>
        </row>
        <row r="575">
          <cell r="A575" t="str">
            <v>MLCC</v>
          </cell>
          <cell r="B575" t="str">
            <v>FALTA VCC OU MOLA</v>
          </cell>
        </row>
        <row r="576">
          <cell r="A576" t="str">
            <v>NEGT</v>
          </cell>
          <cell r="B576" t="str">
            <v>NEGATIVADO A TERRA</v>
          </cell>
        </row>
        <row r="577">
          <cell r="A577" t="str">
            <v>N</v>
          </cell>
          <cell r="B577" t="str">
            <v>NEUTRO</v>
          </cell>
        </row>
        <row r="578">
          <cell r="A578" t="str">
            <v>OI</v>
          </cell>
          <cell r="B578" t="str">
            <v>OPERACAO INDEVIDA SECCIONADORA</v>
          </cell>
        </row>
        <row r="579">
          <cell r="A579" t="str">
            <v>OAUT</v>
          </cell>
          <cell r="B579" t="str">
            <v>OPERAÇÃO PELO AUTOMATISMO</v>
          </cell>
        </row>
        <row r="580">
          <cell r="A580" t="str">
            <v>PPOT</v>
          </cell>
          <cell r="B580" t="str">
            <v>PERDA DE POTENCIAL</v>
          </cell>
        </row>
        <row r="581">
          <cell r="A581" t="str">
            <v>PVRF</v>
          </cell>
          <cell r="B581" t="str">
            <v>PERDA DE TENSAO DE REFERENCIA</v>
          </cell>
        </row>
        <row r="582">
          <cell r="A582" t="str">
            <v>PALT</v>
          </cell>
          <cell r="B582" t="str">
            <v>PERFIL DE AJUSTE ALTERNATIVO</v>
          </cell>
        </row>
        <row r="583">
          <cell r="A583" t="str">
            <v>PALT</v>
          </cell>
          <cell r="B583" t="str">
            <v>PERFIL DE AJUSTE ALTERNATIVO</v>
          </cell>
        </row>
        <row r="584">
          <cell r="A584" t="str">
            <v>PNOR</v>
          </cell>
          <cell r="B584" t="str">
            <v>PERFIL DE AJUSTE NORMAL</v>
          </cell>
        </row>
        <row r="585">
          <cell r="A585" t="str">
            <v>PNOR</v>
          </cell>
          <cell r="B585" t="str">
            <v>PERFIL DE AJUSTE NORMAL</v>
          </cell>
        </row>
        <row r="586">
          <cell r="A586" t="str">
            <v>PERP</v>
          </cell>
          <cell r="B586" t="str">
            <v>PERMISSAO PARALELISMO</v>
          </cell>
        </row>
        <row r="587">
          <cell r="A587" t="str">
            <v>P51F</v>
          </cell>
          <cell r="B587" t="str">
            <v>PICK UP 51F</v>
          </cell>
        </row>
        <row r="588">
          <cell r="A588" t="str">
            <v>P51N</v>
          </cell>
          <cell r="B588" t="str">
            <v>PICK UP 51N</v>
          </cell>
        </row>
        <row r="589">
          <cell r="A589" t="str">
            <v>PORT</v>
          </cell>
          <cell r="B589" t="str">
            <v>PORTA SUBESTACAO</v>
          </cell>
        </row>
        <row r="590">
          <cell r="A590" t="str">
            <v>PORU</v>
          </cell>
          <cell r="B590" t="str">
            <v>PORTA UTR</v>
          </cell>
        </row>
        <row r="591">
          <cell r="A591" t="str">
            <v>PORO</v>
          </cell>
          <cell r="B591" t="str">
            <v>PORTAO SUBESTACAO</v>
          </cell>
        </row>
        <row r="592">
          <cell r="A592" t="str">
            <v>DJIE</v>
          </cell>
          <cell r="B592" t="str">
            <v>POSICAO DISJUNTOR EXTRAIVEL</v>
          </cell>
        </row>
        <row r="593">
          <cell r="A593" t="str">
            <v>POST</v>
          </cell>
          <cell r="B593" t="str">
            <v>POSITIVO A TERRA</v>
          </cell>
        </row>
        <row r="594">
          <cell r="A594" t="str">
            <v>PBEX</v>
          </cell>
          <cell r="B594" t="str">
            <v>FUNCAO PROTECAO DE BARRA</v>
          </cell>
        </row>
        <row r="595">
          <cell r="A595" t="str">
            <v>PROT</v>
          </cell>
          <cell r="B595" t="str">
            <v>PROTECAO BLOQUEADA</v>
          </cell>
        </row>
        <row r="596">
          <cell r="A596" t="str">
            <v>PB</v>
          </cell>
          <cell r="B596" t="str">
            <v>PROTECAO DE BARRA</v>
          </cell>
        </row>
        <row r="597">
          <cell r="A597" t="str">
            <v>PBF</v>
          </cell>
          <cell r="B597" t="str">
            <v>PROTECAO DE BARRA FASE</v>
          </cell>
        </row>
        <row r="598">
          <cell r="A598" t="str">
            <v>PBF1</v>
          </cell>
          <cell r="B598" t="str">
            <v>PROTECAO DE BARRA FASE E1</v>
          </cell>
        </row>
        <row r="599">
          <cell r="A599" t="str">
            <v>PBF2</v>
          </cell>
          <cell r="B599" t="str">
            <v>PROTECAO DE BARRA FASE E2</v>
          </cell>
        </row>
        <row r="600">
          <cell r="A600" t="str">
            <v>PBN</v>
          </cell>
          <cell r="B600" t="str">
            <v>PROTECAO DE BARRA NEUTRO</v>
          </cell>
        </row>
        <row r="601">
          <cell r="A601" t="str">
            <v>PBN1</v>
          </cell>
          <cell r="B601" t="str">
            <v>PROTECAO DE BARRA NEUTRO 1</v>
          </cell>
        </row>
        <row r="602">
          <cell r="A602" t="str">
            <v>PBN2</v>
          </cell>
          <cell r="B602" t="str">
            <v>PROTECAO DE BARRA NEUTRO 2</v>
          </cell>
        </row>
        <row r="603">
          <cell r="A603" t="str">
            <v>PB1</v>
          </cell>
          <cell r="B603" t="str">
            <v>PROTECAO DE BARRA P1</v>
          </cell>
        </row>
        <row r="604">
          <cell r="A604" t="str">
            <v>PB2</v>
          </cell>
          <cell r="B604" t="str">
            <v>PROTECAO DE BARRA P2</v>
          </cell>
        </row>
        <row r="605">
          <cell r="A605" t="str">
            <v>TPNO</v>
          </cell>
          <cell r="B605" t="str">
            <v>PROTECAO NAO TRANSFERIDA</v>
          </cell>
        </row>
        <row r="606">
          <cell r="A606" t="str">
            <v>RGBL</v>
          </cell>
          <cell r="B606" t="str">
            <v>RELIGADOR BLOQUEADO</v>
          </cell>
        </row>
        <row r="607">
          <cell r="A607" t="str">
            <v>ICC</v>
          </cell>
          <cell r="B607" t="str">
            <v>RESET CORRENTE DE CURTO CIRCUITO</v>
          </cell>
        </row>
        <row r="608">
          <cell r="A608" t="str">
            <v>CTPC</v>
          </cell>
          <cell r="B608" t="str">
            <v>RETORNO DE TENSAO DA PCH</v>
          </cell>
        </row>
        <row r="609">
          <cell r="A609" t="str">
            <v>MEMB</v>
          </cell>
          <cell r="B609" t="str">
            <v>RUPTURA MEMBRANA</v>
          </cell>
        </row>
        <row r="610">
          <cell r="A610" t="str">
            <v>SCAR</v>
          </cell>
          <cell r="B610" t="str">
            <v>SECADOR DE AR</v>
          </cell>
        </row>
        <row r="611">
          <cell r="A611" t="str">
            <v>SECB</v>
          </cell>
          <cell r="B611" t="str">
            <v>SECCIONADORA BYPASS</v>
          </cell>
        </row>
        <row r="612">
          <cell r="A612" t="str">
            <v>SECB</v>
          </cell>
          <cell r="B612" t="str">
            <v>SECCIONADORA BYPASS</v>
          </cell>
        </row>
        <row r="613">
          <cell r="A613" t="str">
            <v>SECC</v>
          </cell>
          <cell r="B613" t="str">
            <v>SECCIONADORA CARGA</v>
          </cell>
        </row>
        <row r="614">
          <cell r="A614" t="str">
            <v>SECC</v>
          </cell>
          <cell r="B614" t="str">
            <v>SECCIONADORA CARGA</v>
          </cell>
        </row>
        <row r="615">
          <cell r="A615" t="str">
            <v>SECF</v>
          </cell>
          <cell r="B615" t="str">
            <v>SECCIONADORA FONTE</v>
          </cell>
        </row>
        <row r="616">
          <cell r="A616" t="str">
            <v>SECF</v>
          </cell>
          <cell r="B616" t="str">
            <v>SECCIONADORA FONTE</v>
          </cell>
        </row>
        <row r="617">
          <cell r="A617" t="str">
            <v>SECI</v>
          </cell>
          <cell r="B617" t="str">
            <v>SECCIONADORA INTERBARRAS</v>
          </cell>
        </row>
        <row r="618">
          <cell r="A618" t="str">
            <v>SECI</v>
          </cell>
          <cell r="B618" t="str">
            <v>SECCIONADORA INTERBARRAS</v>
          </cell>
        </row>
        <row r="619">
          <cell r="A619" t="str">
            <v>SECL</v>
          </cell>
          <cell r="B619" t="str">
            <v>SECCIONADORA INTERLINHAS</v>
          </cell>
        </row>
        <row r="620">
          <cell r="A620" t="str">
            <v>SECL</v>
          </cell>
          <cell r="B620" t="str">
            <v>SECCIONADORA INTERLINHAS</v>
          </cell>
        </row>
        <row r="621">
          <cell r="A621" t="str">
            <v>SECG</v>
          </cell>
          <cell r="B621" t="str">
            <v>SECCIONADORA TERRA</v>
          </cell>
        </row>
        <row r="622">
          <cell r="A622" t="str">
            <v>SECG</v>
          </cell>
          <cell r="B622" t="str">
            <v>SECCIONADORA TERRA</v>
          </cell>
        </row>
        <row r="623">
          <cell r="A623" t="str">
            <v>SECT</v>
          </cell>
          <cell r="B623" t="str">
            <v>SECCIONADORA TRANSFERENCIA</v>
          </cell>
        </row>
        <row r="624">
          <cell r="A624" t="str">
            <v>SECT</v>
          </cell>
          <cell r="B624" t="str">
            <v>SECCIONADORA TRANSFERENCIA</v>
          </cell>
        </row>
        <row r="625">
          <cell r="A625" t="str">
            <v>FUMA</v>
          </cell>
          <cell r="B625" t="str">
            <v>SENSOR FUMACA</v>
          </cell>
        </row>
        <row r="626">
          <cell r="A626" t="str">
            <v>SEXT</v>
          </cell>
          <cell r="B626" t="str">
            <v>SENSOR PRESENCA EXTERNO</v>
          </cell>
        </row>
        <row r="627">
          <cell r="A627" t="str">
            <v>SINT</v>
          </cell>
          <cell r="B627" t="str">
            <v>SENSOR PRESENCA INTERNO</v>
          </cell>
        </row>
        <row r="628">
          <cell r="A628" t="str">
            <v>STMP</v>
          </cell>
          <cell r="B628" t="str">
            <v>SENSOR TEMPERATURA</v>
          </cell>
        </row>
        <row r="629">
          <cell r="A629" t="str">
            <v>SFAB</v>
          </cell>
          <cell r="B629" t="str">
            <v>SF6 BLOQUEIO ABERTURA</v>
          </cell>
        </row>
        <row r="630">
          <cell r="A630" t="str">
            <v>SFFC</v>
          </cell>
          <cell r="B630" t="str">
            <v>SF6 BLOQUEIO FECHAMENTO</v>
          </cell>
        </row>
        <row r="631">
          <cell r="A631" t="str">
            <v>SOBC</v>
          </cell>
          <cell r="B631" t="str">
            <v>SOBRECARGA</v>
          </cell>
        </row>
        <row r="632">
          <cell r="A632" t="str">
            <v>BAHI</v>
          </cell>
          <cell r="B632" t="str">
            <v>TENSAO ALTA BATERIA</v>
          </cell>
        </row>
        <row r="633">
          <cell r="A633" t="str">
            <v>BATL</v>
          </cell>
          <cell r="B633" t="str">
            <v>TENSAO BAIXA BATERIA</v>
          </cell>
        </row>
        <row r="634">
          <cell r="A634" t="str">
            <v>RVTL</v>
          </cell>
          <cell r="B634" t="str">
            <v>TENSAO BAIXA RELE 90</v>
          </cell>
        </row>
        <row r="635">
          <cell r="A635" t="str">
            <v>TPOK</v>
          </cell>
          <cell r="B635" t="str">
            <v>PROTECAO TRANSFERIDA</v>
          </cell>
        </row>
        <row r="636">
          <cell r="A636" t="str">
            <v>DTT</v>
          </cell>
          <cell r="B636" t="str">
            <v>TRANSFERENCIA DE TRIP</v>
          </cell>
        </row>
        <row r="637">
          <cell r="A637" t="str">
            <v>DTTT</v>
          </cell>
          <cell r="B637" t="str">
            <v>TRANSFERENCIA DE TRIP TRIFASICO</v>
          </cell>
        </row>
        <row r="638">
          <cell r="A638" t="str">
            <v>TRIP</v>
          </cell>
          <cell r="B638" t="str">
            <v>TRIP</v>
          </cell>
        </row>
        <row r="639">
          <cell r="A639" t="str">
            <v>SIMD</v>
          </cell>
          <cell r="B639" t="str">
            <v>TRIP DEFEITO SIMULTANEO</v>
          </cell>
        </row>
        <row r="640">
          <cell r="A640" t="str">
            <v>TEXT</v>
          </cell>
          <cell r="B640" t="str">
            <v>TRIP EXTERNO</v>
          </cell>
        </row>
        <row r="641">
          <cell r="A641" t="str">
            <v>RXTR</v>
          </cell>
          <cell r="B641" t="str">
            <v>TRIP EXTERNO RECEBIDO</v>
          </cell>
        </row>
        <row r="642">
          <cell r="A642" t="str">
            <v>TXTR</v>
          </cell>
          <cell r="B642" t="str">
            <v>TRIP EXTERNO TRANSMITIDO</v>
          </cell>
        </row>
        <row r="643">
          <cell r="A643" t="str">
            <v>SOTF</v>
          </cell>
          <cell r="B643" t="str">
            <v>TRIP FECHAMENTO SOB FALTA</v>
          </cell>
        </row>
        <row r="644">
          <cell r="A644" t="str">
            <v>TRAL</v>
          </cell>
          <cell r="B644" t="str">
            <v>TRIP PARA ALIMENTADORES</v>
          </cell>
        </row>
        <row r="645">
          <cell r="A645" t="str">
            <v>TPIN</v>
          </cell>
          <cell r="B645" t="str">
            <v>TRANSFERENCIA DE PROTECAO</v>
          </cell>
        </row>
        <row r="646">
          <cell r="A646" t="str">
            <v>TRPR</v>
          </cell>
          <cell r="B646" t="str">
            <v>TRIP RECEBIDO</v>
          </cell>
        </row>
        <row r="647">
          <cell r="A647" t="str">
            <v>SGFT</v>
          </cell>
          <cell r="B647" t="str">
            <v>TRIP SGF</v>
          </cell>
        </row>
        <row r="648">
          <cell r="A648" t="str">
            <v>SGT2</v>
          </cell>
          <cell r="B648" t="str">
            <v>TRIP SGF E2</v>
          </cell>
        </row>
        <row r="649">
          <cell r="A649" t="str">
            <v>TRPT</v>
          </cell>
          <cell r="B649" t="str">
            <v>TRIP TRANSMITIDO</v>
          </cell>
        </row>
        <row r="650">
          <cell r="A650" t="str">
            <v>REFE</v>
          </cell>
          <cell r="B650" t="str">
            <v>VARIAÇÃO DA TENSAO DE REFERÊNCIA POR MVA</v>
          </cell>
        </row>
        <row r="651">
          <cell r="A651" t="str">
            <v>CAAL</v>
          </cell>
          <cell r="B651" t="str">
            <v>VCA ALARME</v>
          </cell>
        </row>
        <row r="652">
          <cell r="A652" t="str">
            <v>CAAQ</v>
          </cell>
          <cell r="B652" t="str">
            <v>VCA AQUECIMENTO</v>
          </cell>
        </row>
        <row r="653">
          <cell r="A653" t="str">
            <v>CAFI</v>
          </cell>
          <cell r="B653" t="str">
            <v>VCA MOTOR DO FILTRO DO OLEO</v>
          </cell>
        </row>
        <row r="654">
          <cell r="A654" t="str">
            <v>CASA</v>
          </cell>
          <cell r="B654" t="str">
            <v>VCA SERVICO AUXILIAR</v>
          </cell>
        </row>
        <row r="655">
          <cell r="A655" t="str">
            <v>CCAL</v>
          </cell>
          <cell r="B655" t="str">
            <v>VCC ALARME</v>
          </cell>
        </row>
        <row r="656">
          <cell r="A656" t="str">
            <v>CCHI</v>
          </cell>
          <cell r="B656" t="str">
            <v>VCC ALTA</v>
          </cell>
        </row>
        <row r="657">
          <cell r="A657" t="str">
            <v>CCLO</v>
          </cell>
          <cell r="B657" t="str">
            <v>VCC BAIXA</v>
          </cell>
        </row>
        <row r="658">
          <cell r="A658" t="str">
            <v>LDF</v>
          </cell>
          <cell r="B658" t="str">
            <v>LOCALIZADOR DE FALTA</v>
          </cell>
        </row>
        <row r="659">
          <cell r="A659" t="str">
            <v>POTT</v>
          </cell>
          <cell r="B659" t="str">
            <v>TRIP POR TELEPROTECAO</v>
          </cell>
        </row>
        <row r="660">
          <cell r="A660" t="str">
            <v>FLAR</v>
          </cell>
          <cell r="B660" t="str">
            <v>FALHA FLUXO AR</v>
          </cell>
        </row>
        <row r="661">
          <cell r="A661" t="str">
            <v>BOMB</v>
          </cell>
          <cell r="B661" t="str">
            <v>ESTADO BOMBA OLEO</v>
          </cell>
        </row>
        <row r="662">
          <cell r="A662" t="str">
            <v>VF</v>
          </cell>
          <cell r="B662" t="str">
            <v>VENTILACAO FORCADA</v>
          </cell>
        </row>
        <row r="663">
          <cell r="A663" t="str">
            <v>VF</v>
          </cell>
          <cell r="B663" t="str">
            <v>VENTILACAO FORCADA</v>
          </cell>
        </row>
        <row r="664">
          <cell r="A664" t="str">
            <v>VF1</v>
          </cell>
          <cell r="B664" t="str">
            <v>VENTILACAO FORCADA 1</v>
          </cell>
        </row>
        <row r="665">
          <cell r="A665" t="str">
            <v>VF1</v>
          </cell>
          <cell r="B665" t="str">
            <v>VENTILACAO FORCADA 1</v>
          </cell>
        </row>
        <row r="666">
          <cell r="A666" t="str">
            <v>VF2</v>
          </cell>
          <cell r="B666" t="str">
            <v>VENTILACAO FORCADA 2</v>
          </cell>
        </row>
        <row r="667">
          <cell r="A667" t="str">
            <v>VF2</v>
          </cell>
          <cell r="B667" t="str">
            <v>VENTILACAO FORCADA 2</v>
          </cell>
        </row>
        <row r="668">
          <cell r="A668" t="str">
            <v>VF3</v>
          </cell>
          <cell r="B668" t="str">
            <v>VENTILACAO FORCADA 3</v>
          </cell>
        </row>
        <row r="669">
          <cell r="A669" t="str">
            <v>VF3</v>
          </cell>
          <cell r="B669" t="str">
            <v>VENTILACAO FORCADA 3</v>
          </cell>
        </row>
        <row r="670">
          <cell r="A670" t="str">
            <v>VF4</v>
          </cell>
          <cell r="B670" t="str">
            <v>VENTILACAO FORCADA 4</v>
          </cell>
        </row>
        <row r="671">
          <cell r="A671" t="str">
            <v>VF4</v>
          </cell>
          <cell r="B671" t="str">
            <v>VENTILACAO FORCADA 4</v>
          </cell>
        </row>
        <row r="672">
          <cell r="A672" t="str">
            <v>VFAM</v>
          </cell>
          <cell r="B672" t="str">
            <v>VENTILACAO FORCADA AUTOMATICA MANUAL</v>
          </cell>
        </row>
        <row r="673">
          <cell r="A673" t="str">
            <v>VFAR</v>
          </cell>
          <cell r="B673" t="str">
            <v>VENTILACAO FORCADA AUTOMATICO REMOTO</v>
          </cell>
        </row>
        <row r="674">
          <cell r="A674" t="str">
            <v>FCRT</v>
          </cell>
          <cell r="B674" t="str">
            <v>FALHA COMUNICACAO RELE REGULADOR DE TENSAO</v>
          </cell>
        </row>
        <row r="675">
          <cell r="A675" t="str">
            <v>FLNR</v>
          </cell>
          <cell r="B675" t="str">
            <v>FALHA NEUTRO RESSONANTE</v>
          </cell>
        </row>
        <row r="676">
          <cell r="A676" t="str">
            <v>MNAT</v>
          </cell>
          <cell r="B676" t="str">
            <v>OPERACAO DO NEUTRO RESSONANTE</v>
          </cell>
        </row>
        <row r="677">
          <cell r="A677" t="str">
            <v>MOD</v>
          </cell>
          <cell r="B677" t="str">
            <v>MODO DE OPERAÇÃO</v>
          </cell>
        </row>
        <row r="678">
          <cell r="A678" t="str">
            <v>LIGAR</v>
          </cell>
          <cell r="B678" t="str">
            <v>COMANDO LIGAR</v>
          </cell>
        </row>
        <row r="679">
          <cell r="A679" t="str">
            <v>DESLIGAR</v>
          </cell>
          <cell r="B679" t="str">
            <v>COMANDO DESLIGAR</v>
          </cell>
        </row>
        <row r="680">
          <cell r="A680" t="str">
            <v>C13</v>
          </cell>
          <cell r="B680" t="str">
            <v>CHAVE SELETORA 13 KV</v>
          </cell>
        </row>
        <row r="681">
          <cell r="A681" t="str">
            <v>C23</v>
          </cell>
          <cell r="B681" t="str">
            <v>CHAVE SELETORA 23 KV</v>
          </cell>
        </row>
        <row r="682">
          <cell r="A682" t="str">
            <v>C69</v>
          </cell>
          <cell r="B682" t="str">
            <v>CHAVE SELETORA 69 KV</v>
          </cell>
        </row>
        <row r="683">
          <cell r="A683" t="str">
            <v>C138</v>
          </cell>
          <cell r="B683" t="str">
            <v>CHAVE SELETORA 138 KV</v>
          </cell>
        </row>
        <row r="684">
          <cell r="A684" t="str">
            <v>FCMM</v>
          </cell>
          <cell r="B684" t="str">
            <v>FALHA COMUNICACAO MULTIMEDIDOR</v>
          </cell>
        </row>
        <row r="685">
          <cell r="A685" t="str">
            <v>VCPB</v>
          </cell>
          <cell r="B685" t="str">
            <v>VCC PROTECAO BARRA</v>
          </cell>
        </row>
        <row r="686">
          <cell r="A686" t="str">
            <v>TPNO</v>
          </cell>
          <cell r="B686" t="str">
            <v>PROTECAO NAO TRANSFERIDA</v>
          </cell>
        </row>
        <row r="687">
          <cell r="A687" t="str">
            <v>TPOK</v>
          </cell>
          <cell r="B687" t="str">
            <v>PROTECAO TRANSFERIDA</v>
          </cell>
        </row>
        <row r="688">
          <cell r="A688" t="str">
            <v>TR87</v>
          </cell>
          <cell r="B688" t="str">
            <v>87 - TRIP DIFERENCIAL</v>
          </cell>
        </row>
        <row r="689">
          <cell r="A689" t="str">
            <v>TRAL</v>
          </cell>
          <cell r="B689" t="str">
            <v>TRIP PARA ALIMENTADORES</v>
          </cell>
        </row>
        <row r="690">
          <cell r="A690" t="str">
            <v>TRIP</v>
          </cell>
          <cell r="B690" t="str">
            <v>TRIP</v>
          </cell>
        </row>
        <row r="691">
          <cell r="A691" t="str">
            <v>TRPR</v>
          </cell>
          <cell r="B691" t="str">
            <v>TRIP RECEBIDO</v>
          </cell>
        </row>
        <row r="692">
          <cell r="A692" t="str">
            <v>TRPT</v>
          </cell>
          <cell r="B692" t="str">
            <v>TRIP TRANSFERIDO</v>
          </cell>
        </row>
        <row r="693">
          <cell r="A693" t="str">
            <v>TXTR</v>
          </cell>
          <cell r="B693" t="str">
            <v>TRIP EXTERNO TRANSMITIDO</v>
          </cell>
        </row>
        <row r="694">
          <cell r="A694" t="str">
            <v>AJ27</v>
          </cell>
          <cell r="B694" t="str">
            <v>AJUSTE PARA AL27</v>
          </cell>
        </row>
        <row r="695">
          <cell r="A695" t="str">
            <v>VCPB</v>
          </cell>
          <cell r="B695" t="str">
            <v>VCC PROTECAO BARRA</v>
          </cell>
        </row>
        <row r="696">
          <cell r="A696" t="str">
            <v>VF</v>
          </cell>
          <cell r="B696" t="str">
            <v>VENTILACAO FORCADA</v>
          </cell>
        </row>
        <row r="697">
          <cell r="A697" t="str">
            <v>VF1</v>
          </cell>
          <cell r="B697" t="str">
            <v>VENTILACAO FORCADA 1</v>
          </cell>
        </row>
        <row r="698">
          <cell r="A698" t="str">
            <v>VF2</v>
          </cell>
          <cell r="B698" t="str">
            <v>VENTILACAO FORCADA 2</v>
          </cell>
        </row>
        <row r="699">
          <cell r="A699" t="str">
            <v>VFAM</v>
          </cell>
          <cell r="B699" t="str">
            <v>VENTILACAO FORCADA AUTOMATICA MANUAL</v>
          </cell>
        </row>
        <row r="700">
          <cell r="A700" t="str">
            <v>VFAM</v>
          </cell>
          <cell r="B700" t="str">
            <v>VENTILACAO FORCADA AUTOMATICO MANUAL</v>
          </cell>
        </row>
        <row r="701">
          <cell r="A701" t="str">
            <v>VFAR</v>
          </cell>
          <cell r="B701" t="str">
            <v>VENTILACAO FORCADA AUTOMATICO REMOTO</v>
          </cell>
        </row>
        <row r="702">
          <cell r="A702" t="str">
            <v>VFCH</v>
          </cell>
          <cell r="B702" t="str">
            <v>CHAVE GERAL VENTILACAO FORCADA</v>
          </cell>
        </row>
        <row r="703">
          <cell r="A703" t="str">
            <v>VFDE</v>
          </cell>
          <cell r="B703" t="str">
            <v>CHAVE VENTILACAO FORCADA DESLIGADA</v>
          </cell>
        </row>
        <row r="704">
          <cell r="A704" t="str">
            <v>VFMA</v>
          </cell>
          <cell r="B704" t="str">
            <v>CHAVE VENTILACAO FORCADA MANUAL</v>
          </cell>
        </row>
        <row r="705">
          <cell r="A705" t="str">
            <v>VFRE</v>
          </cell>
          <cell r="B705" t="str">
            <v>CHAVE VENTILACAO FORCADA REMOTO</v>
          </cell>
        </row>
        <row r="706">
          <cell r="A706" t="str">
            <v>VMTC</v>
          </cell>
          <cell r="B706" t="str">
            <v>FALTA VCC VCA MOTOR COMANDO</v>
          </cell>
        </row>
        <row r="707">
          <cell r="A707" t="str">
            <v>ZERO</v>
          </cell>
          <cell r="B707" t="str">
            <v>AUTO ZERO</v>
          </cell>
        </row>
        <row r="708">
          <cell r="A708" t="str">
            <v>ZHI</v>
          </cell>
          <cell r="B708" t="str">
            <v>FALTA ALTA IMPEDANCIA</v>
          </cell>
        </row>
        <row r="709">
          <cell r="A709" t="str">
            <v>ZLO</v>
          </cell>
          <cell r="B709" t="str">
            <v>FALTA BAIXA IMPEDANCIA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uno Tavares Ferreira" id="{8A2F31E8-F4D0-4A88-B56F-279AFD57F008}" userId="S::bruno.ferreira@caramuruconstrucoes.com.br::fe70c61a-9d6b-42d7-916b-768038e4b48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60329-904B-44F9-B128-59CB15C25910}" name="Table132" displayName="Table132" ref="A2:M58" totalsRowShown="0" headerRowDxfId="208" dataDxfId="206" headerRowBorderDxfId="207" tableBorderDxfId="205">
  <autoFilter ref="A2:M58" xr:uid="{CC560329-904B-44F9-B128-59CB15C25910}"/>
  <tableColumns count="13">
    <tableColumn id="1" xr3:uid="{887A3824-064A-4858-8E39-1F13896E5988}" name="SUBESTAÇÃO" dataDxfId="204">
      <calculatedColumnFormula>CONCATENATE("SE - ",$S$2)</calculatedColumnFormula>
    </tableColumn>
    <tableColumn id="2" xr3:uid="{E8BB1B37-3E4D-473F-988B-7C82737CE60E}" name="PAINEL" dataDxfId="203"/>
    <tableColumn id="3" xr3:uid="{FF7F0DA4-AE4C-47E5-8FF7-9714B040921B}" name="IED" dataDxfId="202"/>
    <tableColumn id="4" xr3:uid="{8F593321-44A2-4F98-B6ED-38975CAEBC51}" name="TAG" dataDxfId="201"/>
    <tableColumn id="5" xr3:uid="{AEB73BF2-0251-4993-825C-9D02F9D38B2E}" name="DESCRIÇÃO" dataDxfId="200"/>
    <tableColumn id="7" xr3:uid="{7D2E683E-5556-4F93-8DB0-BF4CFBAAE801}" name="IP" dataDxfId="199"/>
    <tableColumn id="14" xr3:uid="{EEEF6746-4523-470F-BFCE-66EC47E8763E}" name="MASCARA" dataDxfId="198">
      <calculatedColumnFormula array="1">_xlfn.IFS($Q$5=26,"255.255.255.192",$Q$5=27,"255.255.255.224")</calculatedColumnFormula>
    </tableColumn>
    <tableColumn id="13" xr3:uid="{35EE708D-1328-4BB1-987C-E9D049738DCD}" name="GATEWAY" dataDxfId="197">
      <calculatedColumnFormula>CONCATENATE($O$5,".",$P$5,".",$O$2,".",$S$5)</calculatedColumnFormula>
    </tableColumn>
    <tableColumn id="8" xr3:uid="{36A11339-62E2-480E-BE11-D1133689858D}" name="GOOSE MAC" dataDxfId="196"/>
    <tableColumn id="9" xr3:uid="{C7F2DDAB-3252-44D9-997E-82F55D21AA9F}" name="GOOSE ID" dataDxfId="195"/>
    <tableColumn id="10" xr3:uid="{9E36C3C4-B8F6-4B9D-8AD0-BF695EB160D7}" name="APP ID" dataDxfId="194"/>
    <tableColumn id="11" xr3:uid="{AA476104-8C5E-4DEA-8BEB-7AF363545BE0}" name="VLANID HEX" dataDxfId="193">
      <calculatedColumnFormula>"0x" &amp; DEC2HEX(M3,3)</calculatedColumnFormula>
    </tableColumn>
    <tableColumn id="12" xr3:uid="{8DBF3D50-886E-473C-B15D-8A02CF6282EF}" name="VLAN ID (DEC)" dataDxfId="1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5" dT="2026-05-19T00:02:15.93" personId="{8A2F31E8-F4D0-4A88-B56F-279AFD57F008}" id="{50B5305A-99B8-49C0-9DB0-87EC22C5EE65}">
    <text>AUTOMATICO</text>
  </threadedComment>
  <threadedComment ref="F76" dT="2026-05-19T02:21:22.64" personId="{8A2F31E8-F4D0-4A88-B56F-279AFD57F008}" id="{53D28EF0-F3DD-404C-8CCC-2975E4EF79F7}">
    <text>VF LIGADA</text>
  </threadedComment>
  <threadedComment ref="F108" dT="2026-05-19T02:10:49.69" personId="{8A2F31E8-F4D0-4A88-B56F-279AFD57F008}" id="{3BC5E7EB-776C-43F6-A31B-72A976E48F6A}">
    <text>H</text>
  </threadedComment>
  <threadedComment ref="F109" dT="2026-05-19T02:10:54.08" personId="{8A2F31E8-F4D0-4A88-B56F-279AFD57F008}" id="{D18F219C-CCB0-4A4C-87A0-C370202B7D35}">
    <text>H</text>
  </threadedComment>
  <threadedComment ref="F183" dT="2026-05-19T02:21:22.64" personId="{8A2F31E8-F4D0-4A88-B56F-279AFD57F008}" id="{982E56A5-03FE-475D-9DF9-2813A7F0E5EF}">
    <text>VF FALHA + DEFEITO</text>
  </threadedComment>
  <threadedComment ref="F184" dT="2026-05-19T02:10:58.86" personId="{8A2F31E8-F4D0-4A88-B56F-279AFD57F008}" id="{3E360BCA-F7ED-4AAA-A3DA-1949FFA83082}">
    <text>X</text>
  </threadedComment>
  <threadedComment ref="F185" dT="2026-05-19T02:11:11.57" personId="{8A2F31E8-F4D0-4A88-B56F-279AFD57F008}" id="{5D0636BF-2DFC-407A-A813-36D650C61E0B}">
    <text>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5" dT="2026-05-19T00:02:15.93" personId="{8A2F31E8-F4D0-4A88-B56F-279AFD57F008}" id="{BCC85AE6-891A-4B75-A420-E2C953E3685E}">
    <text>AUTOMATICO</text>
  </threadedComment>
  <threadedComment ref="F76" dT="2026-05-19T02:21:22.64" personId="{8A2F31E8-F4D0-4A88-B56F-279AFD57F008}" id="{E8675B35-08A8-46C9-853E-A1B978CF7838}">
    <text>VF LIGADA</text>
  </threadedComment>
  <threadedComment ref="F108" dT="2026-05-19T02:10:49.69" personId="{8A2F31E8-F4D0-4A88-B56F-279AFD57F008}" id="{005DDCCD-20AC-4C73-B527-7034FD711561}">
    <text>H</text>
  </threadedComment>
  <threadedComment ref="F109" dT="2026-05-19T02:10:54.08" personId="{8A2F31E8-F4D0-4A88-B56F-279AFD57F008}" id="{650E9D43-6DF9-47E0-8826-EBECBF2578D2}">
    <text>H</text>
  </threadedComment>
  <threadedComment ref="F183" dT="2026-05-19T02:21:22.64" personId="{8A2F31E8-F4D0-4A88-B56F-279AFD57F008}" id="{AED00019-78A0-4FB8-894C-EF9C5AF7C2C2}">
    <text>VF FALHA + DEFEITO</text>
  </threadedComment>
  <threadedComment ref="F184" dT="2026-05-19T02:10:58.86" personId="{8A2F31E8-F4D0-4A88-B56F-279AFD57F008}" id="{B1CE8B7F-35AC-4312-88F7-0EA65DC74906}">
    <text>X</text>
  </threadedComment>
  <threadedComment ref="F185" dT="2026-05-19T02:11:11.57" personId="{8A2F31E8-F4D0-4A88-B56F-279AFD57F008}" id="{FBD95894-075C-4CA4-B63E-0A6B0832FE68}">
    <text>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F4914ED4-7CD1-465F-A52D-E6EA1ACBB394}">
    <text>50BF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4ED5C974-0572-45D0-9B0F-BD7C118F437F}">
    <text>50BF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99A3D32B-7796-46C7-8E53-F18F628A5A3C}">
    <text>50BF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3C9081F8-9F07-490F-92C6-1C032D39E1D0}">
    <text>50BF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60" dT="2026-05-19T19:32:54.83" personId="{8A2F31E8-F4D0-4A88-B56F-279AFD57F008}" id="{9B62AF65-509C-4402-B868-CFEBE48CF299}">
    <text>50BF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79001269-1FBE-4583-B52F-2EAA53F69B72}">
    <text>50BF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17714C48-9E0F-4161-A2C0-C60AA01F68E2}">
    <text>50BF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ACAC7FF2-F376-4001-AEFA-34D873B46AEB}">
    <text>50BF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CDE9EEB9-4341-4058-BE29-5C7576A46BF9}">
    <text>50BF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61" dT="2026-05-19T19:32:54.83" personId="{8A2F31E8-F4D0-4A88-B56F-279AFD57F008}" id="{4268F051-A67F-49FB-9ED4-C75EBB3198C6}">
    <text>50BF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F60" dT="2026-05-19T19:32:54.83" personId="{8A2F31E8-F4D0-4A88-B56F-279AFD57F008}" id="{152295DE-4CB7-435F-9536-685600FD1E09}">
    <text>50BF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F60" dT="2026-05-19T19:32:54.83" personId="{8A2F31E8-F4D0-4A88-B56F-279AFD57F008}" id="{EDD4AC4F-A385-42E2-B8B0-222B9269B7FE}">
    <text>50BF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46" dT="2026-06-03T22:02:58.60" personId="{8A2F31E8-F4D0-4A88-B56F-279AFD57F008}" id="{7ADE5354-8F90-472D-B8AE-F6BEACD211D6}">
    <text>A partir do index 1100 estão sendo considerados a adequação dos estados consistidos dos equipamentos.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EAD9-DC3F-4DEB-A650-E5E330233542}">
  <sheetPr>
    <tabColor theme="4"/>
  </sheetPr>
  <dimension ref="B2:E29"/>
  <sheetViews>
    <sheetView workbookViewId="0">
      <selection activeCell="C38" sqref="C38"/>
    </sheetView>
  </sheetViews>
  <sheetFormatPr defaultColWidth="9.140625" defaultRowHeight="15" x14ac:dyDescent="0.25"/>
  <cols>
    <col min="1" max="1" width="9.140625" style="1"/>
    <col min="2" max="2" width="18.7109375" style="1" bestFit="1" customWidth="1"/>
    <col min="3" max="3" width="35.5703125" style="1" bestFit="1" customWidth="1"/>
    <col min="4" max="4" width="18.7109375" style="1" bestFit="1" customWidth="1"/>
    <col min="5" max="13" width="9.140625" style="1"/>
    <col min="14" max="14" width="31.85546875" style="1" customWidth="1"/>
    <col min="15" max="16384" width="9.140625" style="1"/>
  </cols>
  <sheetData>
    <row r="2" spans="2:5" ht="15" customHeight="1" x14ac:dyDescent="0.25">
      <c r="B2" s="10" t="s">
        <v>0</v>
      </c>
      <c r="C2" s="11" t="s">
        <v>288</v>
      </c>
    </row>
    <row r="3" spans="2:5" x14ac:dyDescent="0.25">
      <c r="B3" s="10" t="s">
        <v>2</v>
      </c>
      <c r="C3" s="11" t="s">
        <v>289</v>
      </c>
    </row>
    <row r="4" spans="2:5" x14ac:dyDescent="0.25">
      <c r="B4" s="10" t="s">
        <v>254</v>
      </c>
      <c r="C4" s="11" t="s">
        <v>273</v>
      </c>
    </row>
    <row r="5" spans="2:5" x14ac:dyDescent="0.25">
      <c r="B5" s="10" t="s">
        <v>255</v>
      </c>
      <c r="C5" s="11" t="s">
        <v>3</v>
      </c>
    </row>
    <row r="6" spans="2:5" x14ac:dyDescent="0.25">
      <c r="B6" s="16" t="s">
        <v>253</v>
      </c>
      <c r="C6" s="13" t="str">
        <f>C3</f>
        <v>IMA</v>
      </c>
    </row>
    <row r="7" spans="2:5" x14ac:dyDescent="0.25">
      <c r="B7" s="16" t="s">
        <v>240</v>
      </c>
      <c r="C7" s="13" t="str">
        <f>_xlfn.TEXTJOIN("_",FALSE,C4,C3,"1")</f>
        <v>UTR_IMA_1</v>
      </c>
    </row>
    <row r="8" spans="2:5" x14ac:dyDescent="0.25">
      <c r="B8" s="10" t="s">
        <v>259</v>
      </c>
      <c r="C8" s="11" t="s">
        <v>248</v>
      </c>
      <c r="E8"/>
    </row>
    <row r="9" spans="2:5" x14ac:dyDescent="0.25">
      <c r="B9" s="10" t="s">
        <v>270</v>
      </c>
      <c r="C9" s="11" t="s">
        <v>263</v>
      </c>
    </row>
    <row r="10" spans="2:5" x14ac:dyDescent="0.25">
      <c r="B10" s="10" t="s">
        <v>271</v>
      </c>
      <c r="C10" s="11" t="s">
        <v>263</v>
      </c>
    </row>
    <row r="11" spans="2:5" x14ac:dyDescent="0.25">
      <c r="B11" s="10" t="s">
        <v>256</v>
      </c>
      <c r="C11" s="11" t="s">
        <v>702</v>
      </c>
      <c r="D11" s="10" t="s">
        <v>269</v>
      </c>
      <c r="E11" s="11">
        <v>20000</v>
      </c>
    </row>
    <row r="12" spans="2:5" x14ac:dyDescent="0.25">
      <c r="B12" s="16" t="s">
        <v>257</v>
      </c>
      <c r="C12" s="11" t="s">
        <v>721</v>
      </c>
      <c r="D12" s="16" t="s">
        <v>269</v>
      </c>
      <c r="E12" s="11">
        <v>20000</v>
      </c>
    </row>
    <row r="13" spans="2:5" x14ac:dyDescent="0.25">
      <c r="B13" s="16" t="s">
        <v>258</v>
      </c>
      <c r="C13" s="13"/>
      <c r="D13" s="16" t="s">
        <v>269</v>
      </c>
      <c r="E13" s="13" t="s">
        <v>275</v>
      </c>
    </row>
    <row r="15" spans="2:5" ht="63" customHeight="1" x14ac:dyDescent="0.25">
      <c r="B15" s="14" t="s">
        <v>261</v>
      </c>
      <c r="C15" s="114" t="s">
        <v>278</v>
      </c>
      <c r="D15" s="114"/>
      <c r="E15" s="114"/>
    </row>
    <row r="16" spans="2:5" x14ac:dyDescent="0.25">
      <c r="B16" s="15" t="s">
        <v>262</v>
      </c>
      <c r="C16" s="115" t="s">
        <v>276</v>
      </c>
      <c r="D16" s="115"/>
      <c r="E16" s="115"/>
    </row>
    <row r="17" spans="2:5" ht="33" customHeight="1" x14ac:dyDescent="0.25">
      <c r="B17" s="14" t="s">
        <v>264</v>
      </c>
      <c r="C17" s="115" t="s">
        <v>277</v>
      </c>
      <c r="D17" s="115"/>
      <c r="E17" s="115"/>
    </row>
    <row r="19" spans="2:5" x14ac:dyDescent="0.25">
      <c r="B19" s="112" t="s">
        <v>6</v>
      </c>
      <c r="C19" s="112"/>
      <c r="D19" s="112"/>
      <c r="E19" s="112"/>
    </row>
    <row r="20" spans="2:5" x14ac:dyDescent="0.25">
      <c r="B20" s="113"/>
      <c r="C20" s="113"/>
      <c r="D20" s="113"/>
      <c r="E20" s="113"/>
    </row>
    <row r="21" spans="2:5" x14ac:dyDescent="0.25">
      <c r="B21" s="113"/>
      <c r="C21" s="113"/>
      <c r="D21" s="113"/>
      <c r="E21" s="113"/>
    </row>
    <row r="22" spans="2:5" x14ac:dyDescent="0.25">
      <c r="B22" s="113"/>
      <c r="C22" s="113"/>
      <c r="D22" s="113"/>
      <c r="E22" s="113"/>
    </row>
    <row r="23" spans="2:5" x14ac:dyDescent="0.25">
      <c r="B23" s="113"/>
      <c r="C23" s="113"/>
      <c r="D23" s="113"/>
      <c r="E23" s="113"/>
    </row>
    <row r="24" spans="2:5" x14ac:dyDescent="0.25">
      <c r="B24" s="113"/>
      <c r="C24" s="113"/>
      <c r="D24" s="113"/>
      <c r="E24" s="113"/>
    </row>
    <row r="26" spans="2:5" x14ac:dyDescent="0.25">
      <c r="B26" s="99"/>
      <c r="C26" s="1" t="s">
        <v>727</v>
      </c>
    </row>
    <row r="27" spans="2:5" x14ac:dyDescent="0.25">
      <c r="B27" s="100"/>
      <c r="C27" s="1" t="s">
        <v>734</v>
      </c>
    </row>
    <row r="28" spans="2:5" x14ac:dyDescent="0.25">
      <c r="B28" s="101"/>
      <c r="C28" s="1" t="s">
        <v>728</v>
      </c>
    </row>
    <row r="29" spans="2:5" x14ac:dyDescent="0.25">
      <c r="B29" s="105"/>
      <c r="C29" s="1" t="s">
        <v>740</v>
      </c>
    </row>
  </sheetData>
  <mergeCells count="5">
    <mergeCell ref="B19:E19"/>
    <mergeCell ref="B20:E24"/>
    <mergeCell ref="C15:E15"/>
    <mergeCell ref="C16:E16"/>
    <mergeCell ref="C17:E17"/>
  </mergeCells>
  <dataValidations count="3">
    <dataValidation type="custom" allowBlank="1" showInputMessage="1" showErrorMessage="1" sqref="C6" xr:uid="{BEF55B47-E16E-4363-A8A1-7C33FC2C7879}">
      <formula1>C3</formula1>
    </dataValidation>
    <dataValidation type="custom" allowBlank="1" showInputMessage="1" showErrorMessage="1" sqref="C7" xr:uid="{1FCDD5CF-C140-4496-91C5-2B593FC9F0F8}">
      <formula1>_xlfn.TEXTJOIN("_",FALSE,C4,C3,"1")</formula1>
    </dataValidation>
    <dataValidation type="custom" allowBlank="1" showInputMessage="1" showErrorMessage="1" sqref="C13" xr:uid="{5C5466C4-CF66-4C89-8B1B-017A3CD7B7C1}">
      <formula1>"10.27.0.82"</formula1>
    </dataValidation>
  </dataValidations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D62393-537E-44FD-B580-8572853EFB51}">
          <x14:formula1>
            <xm:f>Lista!$C$2:$C$12</xm:f>
          </x14:formula1>
          <xm:sqref>C8</xm:sqref>
        </x14:dataValidation>
        <x14:dataValidation type="list" allowBlank="1" showInputMessage="1" showErrorMessage="1" xr:uid="{43EA02D7-9321-49D4-9588-B7DB2EAB08BC}">
          <x14:formula1>
            <xm:f>Lista!$F$2:$F$4</xm:f>
          </x14:formula1>
          <xm:sqref>C5</xm:sqref>
        </x14:dataValidation>
        <x14:dataValidation type="list" allowBlank="1" showInputMessage="1" showErrorMessage="1" xr:uid="{6C4DDB8A-8DC7-4C91-8EE4-27D5D294E8B8}">
          <x14:formula1>
            <xm:f>Lista!$G$2:$G$3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F0CF-E998-4412-ACAA-5DD405259DAA}">
  <sheetPr>
    <tabColor theme="2" tint="-9.9978637043366805E-2"/>
  </sheetPr>
  <dimension ref="A1:N202"/>
  <sheetViews>
    <sheetView topLeftCell="A165" zoomScale="70" zoomScaleNormal="70" workbookViewId="0">
      <selection activeCell="N189" sqref="N189:N193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56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7.28515625" style="1" customWidth="1"/>
    <col min="11" max="11" width="16.28515625" style="1" customWidth="1"/>
    <col min="12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313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297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299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307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300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25">
      <c r="A8" s="2" t="s">
        <v>82</v>
      </c>
      <c r="B8" s="119" t="s">
        <v>298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ht="30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191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IMA_LT1_LT1_IA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IMA_LT1_LT1_IB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IMA_LT1_LT1_IC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IMA_LT1_LT1_VA_B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IMA_LT1_LT1_VB_B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IMA_LT1_LT1_VC_B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A</v>
      </c>
      <c r="G17" s="6" t="s">
        <v>15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IMA_LT1_LT1_VA_L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29</v>
      </c>
      <c r="D18" s="6" t="s">
        <v>28</v>
      </c>
      <c r="E18" s="2" t="s">
        <v>8</v>
      </c>
      <c r="F18" s="6" t="str">
        <f>VLOOKUP(G18,[1]Analog!$A:$B,2,FALSE)</f>
        <v>TENSAO LINHA FASE B</v>
      </c>
      <c r="G18" s="6" t="s">
        <v>16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IMA_LT1_LT1_VB_L</v>
      </c>
      <c r="I18" s="6" t="s">
        <v>267</v>
      </c>
      <c r="J18" s="6" t="s">
        <v>188</v>
      </c>
      <c r="K18" s="6" t="s">
        <v>188</v>
      </c>
      <c r="L18" s="8">
        <v>0.01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29</v>
      </c>
      <c r="D19" s="6" t="s">
        <v>28</v>
      </c>
      <c r="E19" s="2" t="s">
        <v>8</v>
      </c>
      <c r="F19" s="6" t="str">
        <f>VLOOKUP(G19,[1]Analog!$A:$B,2,FALSE)</f>
        <v>TENSAO LINHA FASE C</v>
      </c>
      <c r="G19" s="6" t="s">
        <v>17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IMA_LT1_LT1_VC_L</v>
      </c>
      <c r="I19" s="6" t="s">
        <v>267</v>
      </c>
      <c r="J19" s="6" t="s">
        <v>188</v>
      </c>
      <c r="K19" s="6" t="s">
        <v>188</v>
      </c>
      <c r="L19" s="8">
        <v>0.01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29</v>
      </c>
      <c r="D20" s="6" t="s">
        <v>27</v>
      </c>
      <c r="E20" s="2" t="s">
        <v>8</v>
      </c>
      <c r="F20" s="6" t="str">
        <f>VLOOKUP(G20,[1]Analog!$A:$B,2,FALSE)</f>
        <v>POTENCIA ATIVA</v>
      </c>
      <c r="G20" s="6" t="s">
        <v>18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IMA_LT1_LT1_P</v>
      </c>
      <c r="I20" s="6" t="s">
        <v>267</v>
      </c>
      <c r="J20" s="6" t="s">
        <v>188</v>
      </c>
      <c r="K20" s="6" t="s">
        <v>188</v>
      </c>
      <c r="L20" s="8">
        <v>10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POTENCIA REATIVA</v>
      </c>
      <c r="G21" s="6" t="s">
        <v>19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IMA_LT1_LT1_Q</v>
      </c>
      <c r="I21" s="6" t="s">
        <v>267</v>
      </c>
      <c r="J21" s="6" t="s">
        <v>188</v>
      </c>
      <c r="K21" s="6" t="s">
        <v>188</v>
      </c>
      <c r="L21" s="8">
        <v>10</v>
      </c>
      <c r="M21" s="6" t="s">
        <v>188</v>
      </c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29</v>
      </c>
      <c r="D22" s="6" t="s">
        <v>29</v>
      </c>
      <c r="E22" s="2" t="s">
        <v>8</v>
      </c>
      <c r="F22" s="6" t="str">
        <f>VLOOKUP(G22,[1]Analog!$A:$B,2,FALSE)</f>
        <v>DISTANCIA DEFEITO</v>
      </c>
      <c r="G22" s="6" t="s">
        <v>20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IMA_LT1_LT1_KMDF</v>
      </c>
      <c r="I22" s="6" t="s">
        <v>267</v>
      </c>
      <c r="J22" s="6" t="s">
        <v>188</v>
      </c>
      <c r="K22" s="6" t="s">
        <v>188</v>
      </c>
      <c r="L22" s="8">
        <v>0.01</v>
      </c>
      <c r="M22" s="6" t="s">
        <v>188</v>
      </c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A</v>
      </c>
      <c r="G23" s="6" t="s">
        <v>21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IMA_LT1_LT1_IACC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29</v>
      </c>
      <c r="D24" s="6" t="s">
        <v>27</v>
      </c>
      <c r="E24" s="2" t="s">
        <v>8</v>
      </c>
      <c r="F24" s="6" t="str">
        <f>VLOOKUP(G24,[1]Analog!$A:$B,2,FALSE)</f>
        <v>CORRENTE CURTO CIRCUITO FASE B</v>
      </c>
      <c r="G24" s="6" t="s">
        <v>22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IMA_LT1_LT1_IBCC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29</v>
      </c>
      <c r="D25" s="6" t="s">
        <v>27</v>
      </c>
      <c r="E25" s="2" t="s">
        <v>8</v>
      </c>
      <c r="F25" s="6" t="str">
        <f>VLOOKUP(G25,[1]Analog!$A:$B,2,FALSE)</f>
        <v>CORRENTE CURTO CIRCUITO FASE C</v>
      </c>
      <c r="G25" s="6" t="s">
        <v>23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IMA_LT1_LT1_ICCC</v>
      </c>
      <c r="I25" s="6" t="s">
        <v>267</v>
      </c>
      <c r="J25" s="6" t="s">
        <v>188</v>
      </c>
      <c r="K25" s="6" t="s">
        <v>188</v>
      </c>
      <c r="L25" s="8">
        <v>1</v>
      </c>
      <c r="M25" s="6" t="s">
        <v>188</v>
      </c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29</v>
      </c>
      <c r="D26" s="6" t="s">
        <v>31</v>
      </c>
      <c r="E26" s="7" t="s">
        <v>24</v>
      </c>
      <c r="F26" s="6" t="str">
        <f>VLOOKUP(G26,[1]Discrete!$A:$B,2,FALSE)</f>
        <v>SECCIONADORA CARGA</v>
      </c>
      <c r="G26" s="6" t="s">
        <v>31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IMA_LT1_89-4_SECC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29</v>
      </c>
      <c r="D27" s="6" t="s">
        <v>32</v>
      </c>
      <c r="E27" s="7" t="s">
        <v>24</v>
      </c>
      <c r="F27" s="6" t="str">
        <f>VLOOKUP(G27,[1]Discrete!$A:$B,2,FALSE)</f>
        <v>SECCIONADORA FONTE</v>
      </c>
      <c r="G27" s="6" t="s">
        <v>32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IMA_LT1_89-2_SECF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29</v>
      </c>
      <c r="D28" s="6" t="s">
        <v>33</v>
      </c>
      <c r="E28" s="7" t="s">
        <v>24</v>
      </c>
      <c r="F28" s="6" t="str">
        <f>VLOOKUP(G28,[1]Discrete!$A:$B,2,FALSE)</f>
        <v>SECCIONADORA TRANSFERENCIA</v>
      </c>
      <c r="G28" s="6" t="s">
        <v>33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IMA_LT1_89-6_SECT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str">
        <f>VLOOKUP(G29,[1]Discrete!$A:$B,2,FALSE)</f>
        <v>DISJUNTOR NF</v>
      </c>
      <c r="G29" s="6" t="s">
        <v>34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IMA_LT1_52-1_DJF1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279</v>
      </c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e">
        <f>VLOOKUP(G30,[1]Discrete!$A:$B,2,FALSE)</f>
        <v>#N/A</v>
      </c>
      <c r="G30" s="6">
        <v>79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IMA_LT1_52-1_79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51 - FUNCAO SOBRECORRENTE TEMPORIZADA NEUTRO</v>
      </c>
      <c r="G31" s="6" t="s">
        <v>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IMA_LT1_52-1_51N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29</v>
      </c>
      <c r="D32" s="6" t="s">
        <v>30</v>
      </c>
      <c r="E32" s="7" t="s">
        <v>24</v>
      </c>
      <c r="F32" s="6" t="e">
        <f>VLOOKUP(G32,[1]Discrete!$A:$B,2,FALSE)</f>
        <v>#N/A</v>
      </c>
      <c r="G32" s="6">
        <v>81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IMA_LT1_52-1_81</v>
      </c>
      <c r="I32" s="6" t="s">
        <v>188</v>
      </c>
      <c r="J32" s="6" t="s">
        <v>188</v>
      </c>
      <c r="K32" s="6" t="s">
        <v>188</v>
      </c>
      <c r="L32" s="6" t="s">
        <v>188</v>
      </c>
      <c r="M32" s="6" t="s">
        <v>280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29</v>
      </c>
      <c r="D33" s="6" t="s">
        <v>30</v>
      </c>
      <c r="E33" s="7" t="s">
        <v>24</v>
      </c>
      <c r="F33" s="6" t="str">
        <f>VLOOKUP(G33,[1]Discrete!$A:$B,2,FALSE)</f>
        <v>GRUPO DE AJUSTE FUNCAO 81</v>
      </c>
      <c r="G33" s="6" t="s">
        <v>77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IMA_LT1_52-1_81AJST</v>
      </c>
      <c r="I33" s="6" t="s">
        <v>188</v>
      </c>
      <c r="J33" s="6" t="s">
        <v>188</v>
      </c>
      <c r="K33" s="6" t="s">
        <v>188</v>
      </c>
      <c r="L33" s="6" t="s">
        <v>188</v>
      </c>
      <c r="M33" s="6" t="s">
        <v>280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29</v>
      </c>
      <c r="D34" s="6" t="s">
        <v>30</v>
      </c>
      <c r="E34" s="7" t="s">
        <v>24</v>
      </c>
      <c r="F34" s="6" t="str">
        <f>VLOOKUP(G34,[1]Discrete!$A:$B,2,FALSE)</f>
        <v>25 - FUNCAO SINCRONISMO</v>
      </c>
      <c r="G34" s="6" t="s">
        <v>36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IMA_LT1_52-1_25IE</v>
      </c>
      <c r="I34" s="6" t="s">
        <v>188</v>
      </c>
      <c r="J34" s="6" t="s">
        <v>188</v>
      </c>
      <c r="K34" s="6" t="s">
        <v>188</v>
      </c>
      <c r="L34" s="6" t="s">
        <v>188</v>
      </c>
      <c r="M34" s="6" t="s">
        <v>280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29</v>
      </c>
      <c r="D35" s="6" t="s">
        <v>30</v>
      </c>
      <c r="E35" s="7" t="s">
        <v>24</v>
      </c>
      <c r="F35" s="6" t="e">
        <f>VLOOKUP(G35,[1]Discrete!$A:$B,2,FALSE)</f>
        <v>#N/A</v>
      </c>
      <c r="G35" s="6">
        <v>27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IMA_LT1_52-1_27</v>
      </c>
      <c r="I35" s="6" t="s">
        <v>188</v>
      </c>
      <c r="J35" s="6" t="s">
        <v>188</v>
      </c>
      <c r="K35" s="6" t="s">
        <v>188</v>
      </c>
      <c r="L35" s="6" t="s">
        <v>188</v>
      </c>
      <c r="M35" s="6" t="s">
        <v>280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29</v>
      </c>
      <c r="D36" s="6" t="s">
        <v>30</v>
      </c>
      <c r="E36" s="7" t="s">
        <v>24</v>
      </c>
      <c r="F36" s="6" t="e">
        <f>VLOOKUP(G36,[1]Discrete!$A:$B,2,FALSE)</f>
        <v>#N/A</v>
      </c>
      <c r="G36" s="6">
        <v>59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IMA_LT1_52-1_59</v>
      </c>
      <c r="I36" s="6" t="s">
        <v>188</v>
      </c>
      <c r="J36" s="6" t="s">
        <v>188</v>
      </c>
      <c r="K36" s="6" t="s">
        <v>188</v>
      </c>
      <c r="L36" s="6" t="s">
        <v>188</v>
      </c>
      <c r="M36" s="6" t="s">
        <v>280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29</v>
      </c>
      <c r="D37" s="6" t="s">
        <v>30</v>
      </c>
      <c r="E37" s="7" t="s">
        <v>24</v>
      </c>
      <c r="F37" s="6" t="str">
        <f>VLOOKUP(G37,[1]Discrete!$A:$B,2,FALSE)</f>
        <v>AJUSTE PARA 81 E1</v>
      </c>
      <c r="G37" s="6" t="s">
        <v>72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IMA_LT1_52-1_81U1</v>
      </c>
      <c r="I37" s="6" t="s">
        <v>188</v>
      </c>
      <c r="J37" s="6" t="s">
        <v>188</v>
      </c>
      <c r="K37" s="6" t="s">
        <v>188</v>
      </c>
      <c r="L37" s="6" t="s">
        <v>188</v>
      </c>
      <c r="M37" s="6" t="s">
        <v>280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29</v>
      </c>
      <c r="D38" s="6" t="s">
        <v>30</v>
      </c>
      <c r="E38" s="7" t="s">
        <v>24</v>
      </c>
      <c r="F38" s="6" t="str">
        <f>VLOOKUP(G38,[1]Discrete!$A:$B,2,FALSE)</f>
        <v>AJUSTE PARA 81 E2</v>
      </c>
      <c r="G38" s="6" t="s">
        <v>73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IMA_LT1_52-1_81U2</v>
      </c>
      <c r="I38" s="6" t="s">
        <v>188</v>
      </c>
      <c r="J38" s="6" t="s">
        <v>188</v>
      </c>
      <c r="K38" s="6" t="s">
        <v>188</v>
      </c>
      <c r="L38" s="6" t="s">
        <v>188</v>
      </c>
      <c r="M38" s="6" t="s">
        <v>280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29</v>
      </c>
      <c r="D39" s="6" t="s">
        <v>30</v>
      </c>
      <c r="E39" s="7" t="s">
        <v>24</v>
      </c>
      <c r="F39" s="6" t="str">
        <f>VLOOKUP(G39,[1]Discrete!$A:$B,2,FALSE)</f>
        <v>AJUSTE PARA 81 E3</v>
      </c>
      <c r="G39" s="6" t="s">
        <v>74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IMA_LT1_52-1_81U3</v>
      </c>
      <c r="I39" s="6" t="s">
        <v>188</v>
      </c>
      <c r="J39" s="6" t="s">
        <v>188</v>
      </c>
      <c r="K39" s="6" t="s">
        <v>188</v>
      </c>
      <c r="L39" s="6" t="s">
        <v>188</v>
      </c>
      <c r="M39" s="6" t="s">
        <v>280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29</v>
      </c>
      <c r="D40" s="6" t="s">
        <v>30</v>
      </c>
      <c r="E40" s="7" t="s">
        <v>24</v>
      </c>
      <c r="F40" s="6" t="str">
        <f>VLOOKUP(G40,[1]Discrete!$A:$B,2,FALSE)</f>
        <v>AJUSTE PARA 81 E4</v>
      </c>
      <c r="G40" s="6" t="s">
        <v>75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IMA_LT1_52-1_81U4</v>
      </c>
      <c r="I40" s="6" t="s">
        <v>188</v>
      </c>
      <c r="J40" s="6" t="s">
        <v>188</v>
      </c>
      <c r="K40" s="6" t="s">
        <v>188</v>
      </c>
      <c r="L40" s="6" t="s">
        <v>188</v>
      </c>
      <c r="M40" s="6" t="s">
        <v>280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29</v>
      </c>
      <c r="D41" s="6" t="s">
        <v>30</v>
      </c>
      <c r="E41" s="7" t="s">
        <v>24</v>
      </c>
      <c r="F41" s="6" t="s">
        <v>296</v>
      </c>
      <c r="G41" s="6" t="s">
        <v>76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IMA_LT1_52-1_81U5</v>
      </c>
      <c r="I41" s="6" t="s">
        <v>188</v>
      </c>
      <c r="J41" s="6" t="s">
        <v>188</v>
      </c>
      <c r="K41" s="6" t="s">
        <v>188</v>
      </c>
      <c r="L41" s="6" t="s">
        <v>188</v>
      </c>
      <c r="M41" s="6" t="s">
        <v>280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29</v>
      </c>
      <c r="D42" s="6" t="s">
        <v>31</v>
      </c>
      <c r="E42" s="2" t="s">
        <v>25</v>
      </c>
      <c r="F42" s="6" t="str">
        <f>VLOOKUP(G42,[1]Discrete!$A:$B,2,FALSE)</f>
        <v>SECCIONADORA CARGA</v>
      </c>
      <c r="G42" s="6" t="s">
        <v>31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IMA_LT1_89-4_SECC</v>
      </c>
      <c r="I42" s="6" t="s">
        <v>267</v>
      </c>
      <c r="J42" s="6" t="s">
        <v>281</v>
      </c>
      <c r="K42" s="6" t="s">
        <v>285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29</v>
      </c>
      <c r="D43" s="6" t="s">
        <v>31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IMA_LT1_89-4_43LR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29</v>
      </c>
      <c r="D44" s="6" t="s">
        <v>31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IMA_LT1_89-4_CCFL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29</v>
      </c>
      <c r="D45" s="6" t="s">
        <v>31</v>
      </c>
      <c r="E45" s="2" t="s">
        <v>25</v>
      </c>
      <c r="F45" s="6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IMA_LT1_89-4_OI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29</v>
      </c>
      <c r="D46" s="6" t="s">
        <v>31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IMA_LT1_89-4_LIBM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29</v>
      </c>
      <c r="D47" s="6" t="s">
        <v>32</v>
      </c>
      <c r="E47" s="2" t="s">
        <v>25</v>
      </c>
      <c r="F47" s="6" t="str">
        <f>VLOOKUP(G47,[1]Discrete!$A:$B,2,FALSE)</f>
        <v>SECCIONADORA FONTE</v>
      </c>
      <c r="G47" s="6" t="s">
        <v>32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IMA_LT1_89-2_SECF</v>
      </c>
      <c r="I47" s="6" t="s">
        <v>267</v>
      </c>
      <c r="J47" s="6" t="s">
        <v>281</v>
      </c>
      <c r="K47" s="6" t="s">
        <v>285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29</v>
      </c>
      <c r="D48" s="6" t="s">
        <v>32</v>
      </c>
      <c r="E48" s="2" t="s">
        <v>25</v>
      </c>
      <c r="F48" s="6" t="str">
        <f>VLOOKUP(G48,[1]Discrete!$A:$B,2,FALSE)</f>
        <v>43 - CHAVE LOCAL REMOTO</v>
      </c>
      <c r="G48" s="6" t="s">
        <v>39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IMA_LT1_89-2_43LR</v>
      </c>
      <c r="I48" s="6" t="s">
        <v>267</v>
      </c>
      <c r="J48" s="6" t="s">
        <v>186</v>
      </c>
      <c r="K48" s="6" t="s">
        <v>185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29</v>
      </c>
      <c r="D49" s="6" t="s">
        <v>32</v>
      </c>
      <c r="E49" s="2" t="s">
        <v>25</v>
      </c>
      <c r="F49" s="6" t="str">
        <f>VLOOKUP(G49,[1]Discrete!$A:$B,2,FALSE)</f>
        <v>FALTA VCC</v>
      </c>
      <c r="G49" s="6" t="s">
        <v>42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IMA_LT1_89-2_CCFL</v>
      </c>
      <c r="I49" s="6" t="s">
        <v>267</v>
      </c>
      <c r="J49" s="6" t="s">
        <v>182</v>
      </c>
      <c r="K49" s="6" t="s">
        <v>181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29</v>
      </c>
      <c r="D50" s="6" t="s">
        <v>32</v>
      </c>
      <c r="E50" s="2" t="s">
        <v>25</v>
      </c>
      <c r="F50" s="6" t="str">
        <f>VLOOKUP(G50,[1]Discrete!$A:$B,2,FALSE)</f>
        <v>OPERACAO INDEVIDA SECCIONADORA</v>
      </c>
      <c r="G50" s="6" t="s">
        <v>295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IMA_LT1_89-2_OI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29</v>
      </c>
      <c r="D51" s="6" t="s">
        <v>32</v>
      </c>
      <c r="E51" s="2" t="s">
        <v>25</v>
      </c>
      <c r="F51" s="6" t="str">
        <f>VLOOKUP(G51,[1]Discrete!$A:$B,2,FALSE)</f>
        <v>LIBERA MANOBRA</v>
      </c>
      <c r="G51" s="6" t="s">
        <v>112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IMA_LT1_89-2_LIBM</v>
      </c>
      <c r="I51" s="6" t="s">
        <v>267</v>
      </c>
      <c r="J51" s="6" t="s">
        <v>209</v>
      </c>
      <c r="K51" s="6" t="s">
        <v>210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29</v>
      </c>
      <c r="D52" s="6" t="s">
        <v>33</v>
      </c>
      <c r="E52" s="2" t="s">
        <v>25</v>
      </c>
      <c r="F52" s="6" t="str">
        <f>VLOOKUP(G52,[1]Discrete!$A:$B,2,FALSE)</f>
        <v>SECCIONADORA TRANSFERENCIA</v>
      </c>
      <c r="G52" s="6" t="s">
        <v>33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IMA_LT1_89-6_SECT</v>
      </c>
      <c r="I52" s="6" t="s">
        <v>267</v>
      </c>
      <c r="J52" s="6" t="s">
        <v>281</v>
      </c>
      <c r="K52" s="6" t="s">
        <v>285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29</v>
      </c>
      <c r="D53" s="6" t="s">
        <v>33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IMA_LT1_89-6_43LR</v>
      </c>
      <c r="I53" s="6" t="s">
        <v>267</v>
      </c>
      <c r="J53" s="6" t="s">
        <v>186</v>
      </c>
      <c r="K53" s="6" t="s">
        <v>185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29</v>
      </c>
      <c r="D54" s="6" t="s">
        <v>33</v>
      </c>
      <c r="E54" s="2" t="s">
        <v>25</v>
      </c>
      <c r="F54" s="6" t="str">
        <f>VLOOKUP(G54,[1]Discrete!$A:$B,2,FALSE)</f>
        <v>FALTA VCC</v>
      </c>
      <c r="G54" s="6" t="s">
        <v>42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IMA_LT1_89-6_CCFL</v>
      </c>
      <c r="I54" s="6" t="s">
        <v>267</v>
      </c>
      <c r="J54" s="6" t="s">
        <v>182</v>
      </c>
      <c r="K54" s="6" t="s">
        <v>181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29</v>
      </c>
      <c r="D55" s="6" t="s">
        <v>33</v>
      </c>
      <c r="E55" s="2" t="s">
        <v>25</v>
      </c>
      <c r="F55" s="6" t="str">
        <f>VLOOKUP(G55,[1]Discrete!$A:$B,2,FALSE)</f>
        <v>OPERACAO INDEVIDA SECCIONADORA</v>
      </c>
      <c r="G55" s="6" t="s">
        <v>295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IMA_LT1_89-6_OI</v>
      </c>
      <c r="I55" s="6" t="s">
        <v>267</v>
      </c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29</v>
      </c>
      <c r="D56" s="6" t="s">
        <v>33</v>
      </c>
      <c r="E56" s="2" t="s">
        <v>25</v>
      </c>
      <c r="F56" s="6" t="str">
        <f>VLOOKUP(G56,[1]Discrete!$A:$B,2,FALSE)</f>
        <v>LIBERA MANOBRA</v>
      </c>
      <c r="G56" s="6" t="s">
        <v>112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IMA_LT1_89-6_LIBM</v>
      </c>
      <c r="I56" s="6" t="s">
        <v>267</v>
      </c>
      <c r="J56" s="6" t="s">
        <v>209</v>
      </c>
      <c r="K56" s="6" t="s">
        <v>210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29</v>
      </c>
      <c r="D57" s="6" t="s">
        <v>82</v>
      </c>
      <c r="E57" s="2" t="s">
        <v>25</v>
      </c>
      <c r="F57" s="6" t="str">
        <f>VLOOKUP(G57,[1]Discrete!$A:$B,2,FALSE)</f>
        <v>SECCIONADORA TERRA</v>
      </c>
      <c r="G57" s="6" t="s">
        <v>82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IMA_LT1_29-1_SECG</v>
      </c>
      <c r="I57" s="6" t="s">
        <v>267</v>
      </c>
      <c r="J57" s="6" t="s">
        <v>281</v>
      </c>
      <c r="K57" s="6" t="s">
        <v>285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DISJUNTOR NF</v>
      </c>
      <c r="G58" s="6" t="s">
        <v>34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IMA_LT1_52-1_DJF1</v>
      </c>
      <c r="I58" s="6" t="s">
        <v>267</v>
      </c>
      <c r="J58" s="6" t="s">
        <v>284</v>
      </c>
      <c r="K58" s="6" t="s">
        <v>286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e">
        <f>VLOOKUP(G59,[1]Discrete!$A:$B,2,FALSE)</f>
        <v>#N/A</v>
      </c>
      <c r="G59" s="6">
        <v>79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IMA_LT1_52-1_79</v>
      </c>
      <c r="I59" s="6" t="s">
        <v>267</v>
      </c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29</v>
      </c>
      <c r="D60" s="6" t="s">
        <v>30</v>
      </c>
      <c r="E60" s="2" t="s">
        <v>25</v>
      </c>
      <c r="F60" s="6" t="str">
        <f>VLOOKUP(G60,[1]Discrete!$A:$B,2,FALSE)</f>
        <v>51 - FUNCAO SOBRECORRENTE TEMPORIZADA NEUTRO</v>
      </c>
      <c r="G60" s="6" t="s">
        <v>35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IMA_LT1_52-1_51N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ALARME BAIXA PRESSAO SF6</v>
      </c>
      <c r="G61" s="6" t="s">
        <v>37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IMA_LT1_52-1_SF6A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BLOQUEIO BAIXA PRESSAO SF6</v>
      </c>
      <c r="G62" s="6" t="s">
        <v>49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IMA_LT1_52-1_SF6B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MOLA</v>
      </c>
      <c r="G63" s="6" t="s">
        <v>38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IMA_LT1_52-1_MOLA</v>
      </c>
      <c r="I63" s="6" t="s">
        <v>267</v>
      </c>
      <c r="J63" s="6" t="s">
        <v>283</v>
      </c>
      <c r="K63" s="6" t="s">
        <v>282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43 - CHAVE LOCAL REMOTO</v>
      </c>
      <c r="G64" s="6" t="s">
        <v>39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IMA_LT1_52-1_43LR</v>
      </c>
      <c r="I64" s="6" t="s">
        <v>267</v>
      </c>
      <c r="J64" s="6" t="s">
        <v>186</v>
      </c>
      <c r="K64" s="6" t="s">
        <v>185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29</v>
      </c>
      <c r="D65" s="6" t="s">
        <v>30</v>
      </c>
      <c r="E65" s="2" t="s">
        <v>25</v>
      </c>
      <c r="F65" s="6" t="str">
        <f>VLOOKUP(G65,[1]Discrete!$A:$B,2,FALSE)</f>
        <v>43 - CHAVE TELECOMANDO</v>
      </c>
      <c r="G65" s="6" t="s">
        <v>40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IMA_LT1_52-1_43TC</v>
      </c>
      <c r="I65" s="6" t="s">
        <v>267</v>
      </c>
      <c r="J65" s="6" t="s">
        <v>184</v>
      </c>
      <c r="K65" s="6" t="s">
        <v>183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29</v>
      </c>
      <c r="D66" s="6" t="s">
        <v>30</v>
      </c>
      <c r="E66" s="2" t="s">
        <v>25</v>
      </c>
      <c r="F66" s="6" t="str">
        <f>VLOOKUP(G66,[1]Discrete!$A:$B,2,FALSE)</f>
        <v>BOBINA ABERTURA</v>
      </c>
      <c r="G66" s="6" t="s">
        <v>41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IMA_LT1_52-1_BBAB</v>
      </c>
      <c r="I66" s="6" t="s">
        <v>267</v>
      </c>
      <c r="J66" s="6" t="s">
        <v>182</v>
      </c>
      <c r="K66" s="6" t="s">
        <v>180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BOBINA FECHAMENTO</v>
      </c>
      <c r="G67" s="6" t="s">
        <v>50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IMA_LT1_52-1_BBFC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29</v>
      </c>
      <c r="D68" s="6" t="s">
        <v>30</v>
      </c>
      <c r="E68" s="2" t="s">
        <v>25</v>
      </c>
      <c r="F68" s="6" t="str">
        <f>VLOOKUP(G68,[1]Discrete!$A:$B,2,FALSE)</f>
        <v>FALTA VCC</v>
      </c>
      <c r="G68" s="6" t="s">
        <v>42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IMA_LT1_52-1_CCFL</v>
      </c>
      <c r="I68" s="6" t="s">
        <v>267</v>
      </c>
      <c r="J68" s="6" t="s">
        <v>182</v>
      </c>
      <c r="K68" s="6" t="s">
        <v>187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29</v>
      </c>
      <c r="D69" s="6" t="s">
        <v>30</v>
      </c>
      <c r="E69" s="2" t="s">
        <v>25</v>
      </c>
      <c r="F69" s="6" t="str">
        <f>VLOOKUP(G69,[1]Discrete!$A:$B,2,FALSE)</f>
        <v>FALTA VCA</v>
      </c>
      <c r="G69" s="6" t="s">
        <v>43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IMA_LT1_52-1_CAFL</v>
      </c>
      <c r="I69" s="6" t="s">
        <v>267</v>
      </c>
      <c r="J69" s="6" t="s">
        <v>182</v>
      </c>
      <c r="K69" s="6" t="s">
        <v>187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29</v>
      </c>
      <c r="D70" s="6" t="s">
        <v>30</v>
      </c>
      <c r="E70" s="2" t="s">
        <v>25</v>
      </c>
      <c r="F70" s="6" t="e">
        <f>VLOOKUP(G70,[1]Discrete!$A:$B,2,FALSE)</f>
        <v>#N/A</v>
      </c>
      <c r="G70" s="6">
        <v>81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IMA_LT1_52-1_81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29</v>
      </c>
      <c r="D71" s="6" t="s">
        <v>30</v>
      </c>
      <c r="E71" s="2" t="s">
        <v>25</v>
      </c>
      <c r="F71" s="6" t="str">
        <f>VLOOKUP(G71,[1]Discrete!$A:$B,2,FALSE)</f>
        <v>AJUSTE PARA 81 E1</v>
      </c>
      <c r="G71" s="6" t="s">
        <v>72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IMA_LT1_52-1_81U1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29</v>
      </c>
      <c r="D72" s="6" t="s">
        <v>30</v>
      </c>
      <c r="E72" s="2" t="s">
        <v>25</v>
      </c>
      <c r="F72" s="6" t="str">
        <f>VLOOKUP(G72,[1]Discrete!$A:$B,2,FALSE)</f>
        <v>AJUSTE PARA 81 E2</v>
      </c>
      <c r="G72" s="6" t="s">
        <v>73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IMA_LT1_52-1_81U2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29</v>
      </c>
      <c r="D73" s="6" t="s">
        <v>30</v>
      </c>
      <c r="E73" s="2" t="s">
        <v>25</v>
      </c>
      <c r="F73" s="6" t="str">
        <f>VLOOKUP(G73,[1]Discrete!$A:$B,2,FALSE)</f>
        <v>AJUSTE PARA 81 E3</v>
      </c>
      <c r="G73" s="6" t="s">
        <v>74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IMA_LT1_52-1_81U3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29</v>
      </c>
      <c r="D74" s="6" t="s">
        <v>30</v>
      </c>
      <c r="E74" s="2" t="s">
        <v>25</v>
      </c>
      <c r="F74" s="6" t="str">
        <f>VLOOKUP(G74,[1]Discrete!$A:$B,2,FALSE)</f>
        <v>AJUSTE PARA 81 E4</v>
      </c>
      <c r="G74" s="6" t="s">
        <v>75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IMA_LT1_52-1_81U4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29</v>
      </c>
      <c r="D75" s="6" t="s">
        <v>30</v>
      </c>
      <c r="E75" s="2" t="s">
        <v>25</v>
      </c>
      <c r="F75" s="6" t="s">
        <v>296</v>
      </c>
      <c r="G75" s="6" t="s">
        <v>76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IMA_LT1_52-1_81U5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29</v>
      </c>
      <c r="D76" s="6" t="s">
        <v>30</v>
      </c>
      <c r="E76" s="2" t="s">
        <v>25</v>
      </c>
      <c r="F76" s="6" t="str">
        <f>VLOOKUP(G76,[1]Discrete!$A:$B,2,FALSE)</f>
        <v>62 - FALHA DISJUNTOR BLOQUEIO</v>
      </c>
      <c r="G76" s="6" t="s">
        <v>44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IMA_LT1_52-1_62BF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29</v>
      </c>
      <c r="D77" s="6" t="s">
        <v>30</v>
      </c>
      <c r="E77" s="2" t="s">
        <v>25</v>
      </c>
      <c r="F77" s="6" t="str">
        <f>VLOOKUP(G77,[1]Discrete!$A:$B,2,FALSE)</f>
        <v>79 - RELIGAMENTO BLOQUEADO</v>
      </c>
      <c r="G77" s="6" t="s">
        <v>45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IMA_LT1_52-1_79LO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6" t="str">
        <f>VLOOKUP(G78,[1]Discrete!$A:$B,2,FALSE)</f>
        <v>79 - RELIGAMENTO COM SUCESSO</v>
      </c>
      <c r="G78" s="6" t="s">
        <v>46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IMA_LT1_52-1_79OK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29</v>
      </c>
      <c r="D79" s="6" t="s">
        <v>30</v>
      </c>
      <c r="E79" s="2" t="s">
        <v>25</v>
      </c>
      <c r="F79" s="6" t="str">
        <f>VLOOKUP(G79,[1]Discrete!$A:$B,2,FALSE)</f>
        <v>79 - RELIGAMENTO PRONTO</v>
      </c>
      <c r="G79" s="6" t="s">
        <v>47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IMA_LT1_52-1_79RE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29</v>
      </c>
      <c r="D80" s="6" t="s">
        <v>30</v>
      </c>
      <c r="E80" s="2" t="s">
        <v>25</v>
      </c>
      <c r="F80" s="6" t="str">
        <f>VLOOKUP(G80,[1]Discrete!$A:$B,2,FALSE)</f>
        <v>79 - PARTIDA RELIGAMENTO</v>
      </c>
      <c r="G80" s="6" t="s">
        <v>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IMA_LT1_52-1_79_1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/>
    </row>
    <row r="81" spans="1:14" x14ac:dyDescent="0.25">
      <c r="A81" s="6" t="s">
        <v>191</v>
      </c>
      <c r="B81" s="6" t="str">
        <f>Informações!$C$3</f>
        <v>IMA</v>
      </c>
      <c r="C81" s="6" t="s">
        <v>29</v>
      </c>
      <c r="D81" s="6" t="s">
        <v>205</v>
      </c>
      <c r="E81" s="2" t="s">
        <v>25</v>
      </c>
      <c r="F81" s="6" t="str">
        <f>VLOOKUP(G81,[1]Discrete!$A:$B,2,FALSE)</f>
        <v>62 - FALHA DISJUNTOR BLOQUEIO</v>
      </c>
      <c r="G81" s="6" t="s">
        <v>44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IMA_LT1_52-1_P_62BF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/>
    </row>
    <row r="82" spans="1:14" x14ac:dyDescent="0.25">
      <c r="A82" s="6" t="s">
        <v>191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62 - FALHA DISJUNTOR BLOQUEIO</v>
      </c>
      <c r="G82" s="6" t="s">
        <v>44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IMA_LT1_52-1_A_62BF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/>
    </row>
    <row r="83" spans="1:14" x14ac:dyDescent="0.25">
      <c r="A83" s="6" t="s">
        <v>191</v>
      </c>
      <c r="B83" s="6" t="str">
        <f>Informações!$C$3</f>
        <v>IMA</v>
      </c>
      <c r="C83" s="6" t="s">
        <v>29</v>
      </c>
      <c r="D83" s="6" t="s">
        <v>30</v>
      </c>
      <c r="E83" s="2" t="s">
        <v>25</v>
      </c>
      <c r="F83" s="6" t="str">
        <f>VLOOKUP(G83,[1]Discrete!$A:$B,2,FALSE)</f>
        <v>DEFEITO RELE</v>
      </c>
      <c r="G83" s="6" t="s">
        <v>51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IMA_LT1_52-1_DR</v>
      </c>
      <c r="I83" s="6" t="s">
        <v>267</v>
      </c>
      <c r="J83" s="6" t="s">
        <v>182</v>
      </c>
      <c r="K83" s="6" t="s">
        <v>180</v>
      </c>
      <c r="L83" s="6" t="s">
        <v>188</v>
      </c>
      <c r="M83" s="6" t="s">
        <v>188</v>
      </c>
      <c r="N83" s="6"/>
    </row>
    <row r="84" spans="1:14" x14ac:dyDescent="0.25">
      <c r="A84" s="6" t="s">
        <v>191</v>
      </c>
      <c r="B84" s="6" t="str">
        <f>Informações!$C$3</f>
        <v>IMA</v>
      </c>
      <c r="C84" s="6" t="s">
        <v>29</v>
      </c>
      <c r="D84" s="6" t="s">
        <v>30</v>
      </c>
      <c r="E84" s="2" t="s">
        <v>25</v>
      </c>
      <c r="F84" s="6" t="str">
        <f>VLOOKUP(G84,[1]Discrete!$A:$B,2,FALSE)</f>
        <v>MINI DISJUNTOR LT</v>
      </c>
      <c r="G84" s="6" t="s">
        <v>52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IMA_LT1_52-1_MDLT</v>
      </c>
      <c r="I84" s="6" t="s">
        <v>267</v>
      </c>
      <c r="J84" s="6" t="s">
        <v>284</v>
      </c>
      <c r="K84" s="6" t="s">
        <v>286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29</v>
      </c>
      <c r="D85" s="6" t="s">
        <v>30</v>
      </c>
      <c r="E85" s="2" t="s">
        <v>25</v>
      </c>
      <c r="F85" s="6" t="str">
        <f>VLOOKUP(G85,[1]Discrete!$A:$B,2,FALSE)</f>
        <v>MINI DISJUNTOR BARRA PAINEL</v>
      </c>
      <c r="G85" s="6" t="s">
        <v>53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IMA_LT1_52-1_MDBC</v>
      </c>
      <c r="I85" s="6" t="s">
        <v>267</v>
      </c>
      <c r="J85" s="6" t="s">
        <v>284</v>
      </c>
      <c r="K85" s="6" t="s">
        <v>286</v>
      </c>
      <c r="L85" s="6" t="s">
        <v>188</v>
      </c>
      <c r="M85" s="6" t="s">
        <v>188</v>
      </c>
      <c r="N85" s="6"/>
    </row>
    <row r="86" spans="1:14" x14ac:dyDescent="0.25">
      <c r="A86" s="6" t="s">
        <v>191</v>
      </c>
      <c r="B86" s="6" t="str">
        <f>Informações!$C$3</f>
        <v>IMA</v>
      </c>
      <c r="C86" s="6" t="s">
        <v>29</v>
      </c>
      <c r="D86" s="6" t="s">
        <v>205</v>
      </c>
      <c r="E86" s="2" t="s">
        <v>25</v>
      </c>
      <c r="F86" s="6" t="str">
        <f>VLOOKUP(G86,[1]Discrete!$A:$B,2,FALSE)</f>
        <v>FASE A</v>
      </c>
      <c r="G86" s="6" t="s">
        <v>54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IMA_LT1_52-1_P_FA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/>
    </row>
    <row r="87" spans="1:14" x14ac:dyDescent="0.25">
      <c r="A87" s="6" t="s">
        <v>191</v>
      </c>
      <c r="B87" s="6" t="str">
        <f>Informações!$C$3</f>
        <v>IMA</v>
      </c>
      <c r="C87" s="6" t="s">
        <v>29</v>
      </c>
      <c r="D87" s="6" t="s">
        <v>205</v>
      </c>
      <c r="E87" s="2" t="s">
        <v>25</v>
      </c>
      <c r="F87" s="6" t="str">
        <f>VLOOKUP(G87,[1]Discrete!$A:$B,2,FALSE)</f>
        <v>FASE B</v>
      </c>
      <c r="G87" s="6" t="s">
        <v>55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IMA_LT1_52-1_P_FB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/>
    </row>
    <row r="88" spans="1:14" x14ac:dyDescent="0.25">
      <c r="A88" s="6" t="s">
        <v>191</v>
      </c>
      <c r="B88" s="6" t="str">
        <f>Informações!$C$3</f>
        <v>IMA</v>
      </c>
      <c r="C88" s="6" t="s">
        <v>29</v>
      </c>
      <c r="D88" s="6" t="s">
        <v>205</v>
      </c>
      <c r="E88" s="2" t="s">
        <v>25</v>
      </c>
      <c r="F88" s="6" t="str">
        <f>VLOOKUP(G88,[1]Discrete!$A:$B,2,FALSE)</f>
        <v>NEUTRO</v>
      </c>
      <c r="G88" s="6" t="s">
        <v>420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IMA_LT1_52-1_P_N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/>
    </row>
    <row r="89" spans="1:14" x14ac:dyDescent="0.25">
      <c r="A89" s="6" t="s">
        <v>191</v>
      </c>
      <c r="B89" s="6" t="str">
        <f>Informações!$C$3</f>
        <v>IMA</v>
      </c>
      <c r="C89" s="6" t="s">
        <v>29</v>
      </c>
      <c r="D89" s="6" t="s">
        <v>205</v>
      </c>
      <c r="E89" s="2" t="s">
        <v>25</v>
      </c>
      <c r="F89" s="6" t="str">
        <f>VLOOKUP(G89,[1]Discrete!$A:$B,2,FALSE)</f>
        <v>FASE C</v>
      </c>
      <c r="G89" s="6" t="s">
        <v>56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IMA_LT1_52-1_P_FC</v>
      </c>
      <c r="I89" s="6" t="s">
        <v>267</v>
      </c>
      <c r="J89" s="6" t="s">
        <v>182</v>
      </c>
      <c r="K89" s="6" t="s">
        <v>179</v>
      </c>
      <c r="L89" s="6" t="s">
        <v>188</v>
      </c>
      <c r="M89" s="6" t="s">
        <v>188</v>
      </c>
      <c r="N89" s="6"/>
    </row>
    <row r="90" spans="1:14" x14ac:dyDescent="0.25">
      <c r="A90" s="6" t="s">
        <v>191</v>
      </c>
      <c r="B90" s="6" t="str">
        <f>Informações!$C$3</f>
        <v>IMA</v>
      </c>
      <c r="C90" s="6" t="s">
        <v>29</v>
      </c>
      <c r="D90" s="6" t="s">
        <v>204</v>
      </c>
      <c r="E90" s="2" t="s">
        <v>25</v>
      </c>
      <c r="F90" s="6" t="str">
        <f>VLOOKUP(G90,[1]Discrete!$A:$B,2,FALSE)</f>
        <v>FASE A</v>
      </c>
      <c r="G90" s="6" t="s">
        <v>54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IMA_LT1_52-1_A_FA</v>
      </c>
      <c r="I90" s="6" t="s">
        <v>267</v>
      </c>
      <c r="J90" s="6" t="s">
        <v>182</v>
      </c>
      <c r="K90" s="6" t="s">
        <v>179</v>
      </c>
      <c r="L90" s="6" t="s">
        <v>188</v>
      </c>
      <c r="M90" s="6" t="s">
        <v>188</v>
      </c>
      <c r="N90" s="6"/>
    </row>
    <row r="91" spans="1:14" x14ac:dyDescent="0.25">
      <c r="A91" s="6" t="s">
        <v>191</v>
      </c>
      <c r="B91" s="6" t="str">
        <f>Informações!$C$3</f>
        <v>IMA</v>
      </c>
      <c r="C91" s="6" t="s">
        <v>29</v>
      </c>
      <c r="D91" s="6" t="s">
        <v>204</v>
      </c>
      <c r="E91" s="2" t="s">
        <v>25</v>
      </c>
      <c r="F91" s="6" t="str">
        <f>VLOOKUP(G91,[1]Discrete!$A:$B,2,FALSE)</f>
        <v>FASE B</v>
      </c>
      <c r="G91" s="6" t="s">
        <v>55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IMA_LT1_52-1_A_FB</v>
      </c>
      <c r="I91" s="6" t="s">
        <v>267</v>
      </c>
      <c r="J91" s="6" t="s">
        <v>182</v>
      </c>
      <c r="K91" s="6" t="s">
        <v>179</v>
      </c>
      <c r="L91" s="6" t="s">
        <v>188</v>
      </c>
      <c r="M91" s="6" t="s">
        <v>188</v>
      </c>
      <c r="N91" s="6"/>
    </row>
    <row r="92" spans="1:14" x14ac:dyDescent="0.25">
      <c r="A92" s="6" t="s">
        <v>191</v>
      </c>
      <c r="B92" s="6" t="str">
        <f>Informações!$C$3</f>
        <v>IMA</v>
      </c>
      <c r="C92" s="6" t="s">
        <v>29</v>
      </c>
      <c r="D92" s="6" t="s">
        <v>204</v>
      </c>
      <c r="E92" s="2" t="s">
        <v>25</v>
      </c>
      <c r="F92" s="6" t="str">
        <f>VLOOKUP(G92,[1]Discrete!$A:$B,2,FALSE)</f>
        <v>FASE C</v>
      </c>
      <c r="G92" s="6" t="s">
        <v>56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IMA_LT1_52-1_A_FC</v>
      </c>
      <c r="I92" s="6" t="s">
        <v>267</v>
      </c>
      <c r="J92" s="6" t="s">
        <v>182</v>
      </c>
      <c r="K92" s="6" t="s">
        <v>179</v>
      </c>
      <c r="L92" s="6" t="s">
        <v>188</v>
      </c>
      <c r="M92" s="6" t="s">
        <v>188</v>
      </c>
      <c r="N92" s="6"/>
    </row>
    <row r="93" spans="1:14" x14ac:dyDescent="0.25">
      <c r="A93" s="6" t="s">
        <v>191</v>
      </c>
      <c r="B93" s="6" t="str">
        <f>Informações!$C$3</f>
        <v>IMA</v>
      </c>
      <c r="C93" s="6" t="s">
        <v>29</v>
      </c>
      <c r="D93" s="6" t="s">
        <v>204</v>
      </c>
      <c r="E93" s="2" t="s">
        <v>25</v>
      </c>
      <c r="F93" s="6" t="str">
        <f>VLOOKUP(G93,[1]Discrete!$A:$B,2,FALSE)</f>
        <v>NEUTRO</v>
      </c>
      <c r="G93" s="6" t="s">
        <v>420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IMA_LT1_52-1_A_N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/>
    </row>
    <row r="94" spans="1:14" x14ac:dyDescent="0.25">
      <c r="A94" s="6" t="s">
        <v>191</v>
      </c>
      <c r="B94" s="6" t="str">
        <f>Informações!$C$3</f>
        <v>IMA</v>
      </c>
      <c r="C94" s="6" t="s">
        <v>29</v>
      </c>
      <c r="D94" s="6" t="s">
        <v>30</v>
      </c>
      <c r="E94" s="2" t="s">
        <v>25</v>
      </c>
      <c r="F94" s="6" t="str">
        <f>VLOOKUP(G94,[1]Discrete!$A:$B,2,FALSE)</f>
        <v>86 - BLOQUEIO DEFEITO DISJUNTOR</v>
      </c>
      <c r="G94" s="6" t="s">
        <v>57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IMA_LT1_52-1_86BF</v>
      </c>
      <c r="I94" s="6" t="s">
        <v>267</v>
      </c>
      <c r="J94" s="6" t="s">
        <v>182</v>
      </c>
      <c r="K94" s="6" t="s">
        <v>179</v>
      </c>
      <c r="L94" s="6" t="s">
        <v>188</v>
      </c>
      <c r="M94" s="6" t="s">
        <v>188</v>
      </c>
      <c r="N94" s="6"/>
    </row>
    <row r="95" spans="1:14" x14ac:dyDescent="0.25">
      <c r="A95" s="6" t="s">
        <v>191</v>
      </c>
      <c r="B95" s="6" t="str">
        <f>Informações!$C$3</f>
        <v>IMA</v>
      </c>
      <c r="C95" s="6" t="s">
        <v>29</v>
      </c>
      <c r="D95" s="6" t="s">
        <v>205</v>
      </c>
      <c r="E95" s="2" t="s">
        <v>25</v>
      </c>
      <c r="F95" s="6" t="str">
        <f>VLOOKUP(G95,[1]Discrete!$A:$B,2,FALSE)</f>
        <v>67 - DIRECIONAL SOBRECORRENTE FASE E1</v>
      </c>
      <c r="G95" s="6" t="s">
        <v>61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IMA_LT1_52-1_P_67F1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/>
    </row>
    <row r="96" spans="1:14" x14ac:dyDescent="0.25">
      <c r="A96" s="6" t="s">
        <v>191</v>
      </c>
      <c r="B96" s="6" t="str">
        <f>Informações!$C$3</f>
        <v>IMA</v>
      </c>
      <c r="C96" s="6" t="s">
        <v>29</v>
      </c>
      <c r="D96" s="6" t="s">
        <v>205</v>
      </c>
      <c r="E96" s="2" t="s">
        <v>25</v>
      </c>
      <c r="F96" s="6" t="str">
        <f>VLOOKUP(G96,[1]Discrete!$A:$B,2,FALSE)</f>
        <v>67 - DIRECIONAL SOBRECORRENTE FASE E2</v>
      </c>
      <c r="G96" s="6" t="s">
        <v>62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IMA_LT1_52-1_P_67F2</v>
      </c>
      <c r="I96" s="6" t="s">
        <v>267</v>
      </c>
      <c r="J96" s="6" t="s">
        <v>182</v>
      </c>
      <c r="K96" s="6" t="s">
        <v>179</v>
      </c>
      <c r="L96" s="6" t="s">
        <v>188</v>
      </c>
      <c r="M96" s="6" t="s">
        <v>188</v>
      </c>
      <c r="N96" s="6"/>
    </row>
    <row r="97" spans="1:14" x14ac:dyDescent="0.25">
      <c r="A97" s="6" t="s">
        <v>191</v>
      </c>
      <c r="B97" s="6" t="str">
        <f>Informações!$C$3</f>
        <v>IMA</v>
      </c>
      <c r="C97" s="6" t="s">
        <v>29</v>
      </c>
      <c r="D97" s="6" t="s">
        <v>205</v>
      </c>
      <c r="E97" s="2" t="s">
        <v>25</v>
      </c>
      <c r="F97" s="6" t="str">
        <f>VLOOKUP(G97,[1]Discrete!$A:$B,2,FALSE)</f>
        <v>67 - DIRECIONAL SOBRECORRENTE NEUTRO E1</v>
      </c>
      <c r="G97" s="6" t="s">
        <v>58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IMA_LT1_52-1_P_67N1</v>
      </c>
      <c r="I97" s="6" t="s">
        <v>267</v>
      </c>
      <c r="J97" s="6" t="s">
        <v>182</v>
      </c>
      <c r="K97" s="6" t="s">
        <v>179</v>
      </c>
      <c r="L97" s="6" t="s">
        <v>188</v>
      </c>
      <c r="M97" s="6" t="s">
        <v>188</v>
      </c>
      <c r="N97" s="6"/>
    </row>
    <row r="98" spans="1:14" x14ac:dyDescent="0.25">
      <c r="A98" s="6" t="s">
        <v>191</v>
      </c>
      <c r="B98" s="6" t="str">
        <f>Informações!$C$3</f>
        <v>IMA</v>
      </c>
      <c r="C98" s="6" t="s">
        <v>29</v>
      </c>
      <c r="D98" s="6" t="s">
        <v>205</v>
      </c>
      <c r="E98" s="2" t="s">
        <v>25</v>
      </c>
      <c r="F98" s="6" t="str">
        <f>VLOOKUP(G98,[1]Discrete!$A:$B,2,FALSE)</f>
        <v>67 - DIRECIONAL SOBRECORRENTE NEUTRO E2</v>
      </c>
      <c r="G98" s="6" t="s">
        <v>59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IMA_LT1_52-1_P_67N2</v>
      </c>
      <c r="I98" s="6" t="s">
        <v>267</v>
      </c>
      <c r="J98" s="6" t="s">
        <v>182</v>
      </c>
      <c r="K98" s="6" t="s">
        <v>179</v>
      </c>
      <c r="L98" s="6" t="s">
        <v>188</v>
      </c>
      <c r="M98" s="6" t="s">
        <v>188</v>
      </c>
      <c r="N98" s="6"/>
    </row>
    <row r="99" spans="1:14" x14ac:dyDescent="0.25">
      <c r="A99" s="6" t="s">
        <v>191</v>
      </c>
      <c r="B99" s="6" t="str">
        <f>Informações!$C$3</f>
        <v>IMA</v>
      </c>
      <c r="C99" s="6" t="s">
        <v>29</v>
      </c>
      <c r="D99" s="6" t="s">
        <v>205</v>
      </c>
      <c r="E99" s="2" t="s">
        <v>25</v>
      </c>
      <c r="F99" s="6" t="str">
        <f>VLOOKUP(G99,[1]Discrete!$A:$B,2,FALSE)</f>
        <v>67 - DIRECIONAL SOBRECORRENTE FASE TEMPORIZADO</v>
      </c>
      <c r="G99" s="6" t="s">
        <v>60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IMA_LT1_52-1_P_67FT</v>
      </c>
      <c r="I99" s="6" t="s">
        <v>267</v>
      </c>
      <c r="J99" s="6" t="s">
        <v>182</v>
      </c>
      <c r="K99" s="6" t="s">
        <v>179</v>
      </c>
      <c r="L99" s="6" t="s">
        <v>188</v>
      </c>
      <c r="M99" s="6" t="s">
        <v>188</v>
      </c>
      <c r="N99" s="6"/>
    </row>
    <row r="100" spans="1:14" x14ac:dyDescent="0.25">
      <c r="A100" s="6" t="s">
        <v>191</v>
      </c>
      <c r="B100" s="6" t="str">
        <f>Informações!$C$3</f>
        <v>IMA</v>
      </c>
      <c r="C100" s="6" t="s">
        <v>29</v>
      </c>
      <c r="D100" s="6" t="s">
        <v>205</v>
      </c>
      <c r="E100" s="2" t="s">
        <v>25</v>
      </c>
      <c r="F100" s="6" t="str">
        <f>VLOOKUP(G100,[1]Discrete!$A:$B,2,FALSE)</f>
        <v>67 - DIRECIONAL SOBRECORRENTE NEUTRO TEMPORIZADO</v>
      </c>
      <c r="G100" s="6" t="s">
        <v>63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IMA_LT1_52-1_P_67NT</v>
      </c>
      <c r="I100" s="6" t="s">
        <v>267</v>
      </c>
      <c r="J100" s="6" t="s">
        <v>182</v>
      </c>
      <c r="K100" s="6" t="s">
        <v>179</v>
      </c>
      <c r="L100" s="6" t="s">
        <v>188</v>
      </c>
      <c r="M100" s="6" t="s">
        <v>188</v>
      </c>
      <c r="N100" s="6"/>
    </row>
    <row r="101" spans="1:14" x14ac:dyDescent="0.25">
      <c r="A101" s="6" t="s">
        <v>191</v>
      </c>
      <c r="B101" s="6" t="str">
        <f>Informações!$C$3</f>
        <v>IMA</v>
      </c>
      <c r="C101" s="6" t="s">
        <v>29</v>
      </c>
      <c r="D101" s="6" t="s">
        <v>204</v>
      </c>
      <c r="E101" s="2" t="s">
        <v>25</v>
      </c>
      <c r="F101" s="6" t="str">
        <f>VLOOKUP(G101,[1]Discrete!$A:$B,2,FALSE)</f>
        <v>67 - DIRECIONAL SOBRECORRENTE FASE E1</v>
      </c>
      <c r="G101" s="6" t="s">
        <v>61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IMA_LT1_52-1_A_67F1</v>
      </c>
      <c r="I101" s="6" t="s">
        <v>267</v>
      </c>
      <c r="J101" s="6" t="s">
        <v>182</v>
      </c>
      <c r="K101" s="6" t="s">
        <v>179</v>
      </c>
      <c r="L101" s="6" t="s">
        <v>188</v>
      </c>
      <c r="M101" s="6" t="s">
        <v>188</v>
      </c>
      <c r="N101" s="6"/>
    </row>
    <row r="102" spans="1:14" x14ac:dyDescent="0.25">
      <c r="A102" s="6" t="s">
        <v>191</v>
      </c>
      <c r="B102" s="6" t="str">
        <f>Informações!$C$3</f>
        <v>IMA</v>
      </c>
      <c r="C102" s="6" t="s">
        <v>29</v>
      </c>
      <c r="D102" s="6" t="s">
        <v>204</v>
      </c>
      <c r="E102" s="2" t="s">
        <v>25</v>
      </c>
      <c r="F102" s="6" t="str">
        <f>VLOOKUP(G102,[1]Discrete!$A:$B,2,FALSE)</f>
        <v>67 - DIRECIONAL SOBRECORRENTE FASE E2</v>
      </c>
      <c r="G102" s="6" t="s">
        <v>62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IMA_LT1_52-1_A_67F2</v>
      </c>
      <c r="I102" s="6" t="s">
        <v>267</v>
      </c>
      <c r="J102" s="6" t="s">
        <v>182</v>
      </c>
      <c r="K102" s="6" t="s">
        <v>179</v>
      </c>
      <c r="L102" s="6" t="s">
        <v>188</v>
      </c>
      <c r="M102" s="6" t="s">
        <v>188</v>
      </c>
      <c r="N102" s="6"/>
    </row>
    <row r="103" spans="1:14" x14ac:dyDescent="0.25">
      <c r="A103" s="6" t="s">
        <v>191</v>
      </c>
      <c r="B103" s="6" t="str">
        <f>Informações!$C$3</f>
        <v>IMA</v>
      </c>
      <c r="C103" s="6" t="s">
        <v>29</v>
      </c>
      <c r="D103" s="6" t="s">
        <v>204</v>
      </c>
      <c r="E103" s="2" t="s">
        <v>25</v>
      </c>
      <c r="F103" s="6" t="str">
        <f>VLOOKUP(G103,[1]Discrete!$A:$B,2,FALSE)</f>
        <v>67 - DIRECIONAL SOBRECORRENTE NEUTRO E1</v>
      </c>
      <c r="G103" s="6" t="s">
        <v>58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IMA_LT1_52-1_A_67N1</v>
      </c>
      <c r="I103" s="6" t="s">
        <v>267</v>
      </c>
      <c r="J103" s="6" t="s">
        <v>182</v>
      </c>
      <c r="K103" s="6" t="s">
        <v>179</v>
      </c>
      <c r="L103" s="6" t="s">
        <v>188</v>
      </c>
      <c r="M103" s="6" t="s">
        <v>188</v>
      </c>
      <c r="N103" s="6"/>
    </row>
    <row r="104" spans="1:14" x14ac:dyDescent="0.25">
      <c r="A104" s="6" t="s">
        <v>191</v>
      </c>
      <c r="B104" s="6" t="str">
        <f>Informações!$C$3</f>
        <v>IMA</v>
      </c>
      <c r="C104" s="6" t="s">
        <v>29</v>
      </c>
      <c r="D104" s="6" t="s">
        <v>204</v>
      </c>
      <c r="E104" s="2" t="s">
        <v>25</v>
      </c>
      <c r="F104" s="6" t="str">
        <f>VLOOKUP(G104,[1]Discrete!$A:$B,2,FALSE)</f>
        <v>67 - DIRECIONAL SOBRECORRENTE NEUTRO E2</v>
      </c>
      <c r="G104" s="6" t="s">
        <v>59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IMA_LT1_52-1_A_67N2</v>
      </c>
      <c r="I104" s="6" t="s">
        <v>267</v>
      </c>
      <c r="J104" s="6" t="s">
        <v>182</v>
      </c>
      <c r="K104" s="6" t="s">
        <v>179</v>
      </c>
      <c r="L104" s="6" t="s">
        <v>188</v>
      </c>
      <c r="M104" s="6" t="s">
        <v>188</v>
      </c>
      <c r="N104" s="6"/>
    </row>
    <row r="105" spans="1:14" x14ac:dyDescent="0.25">
      <c r="A105" s="6" t="s">
        <v>191</v>
      </c>
      <c r="B105" s="6" t="str">
        <f>Informações!$C$3</f>
        <v>IMA</v>
      </c>
      <c r="C105" s="6" t="s">
        <v>29</v>
      </c>
      <c r="D105" s="6" t="s">
        <v>204</v>
      </c>
      <c r="E105" s="2" t="s">
        <v>25</v>
      </c>
      <c r="F105" s="6" t="str">
        <f>VLOOKUP(G105,[1]Discrete!$A:$B,2,FALSE)</f>
        <v>67 - DIRECIONAL SOBRECORRENTE FASE TEMPORIZADO</v>
      </c>
      <c r="G105" s="6" t="s">
        <v>60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IMA_LT1_52-1_A_67FT</v>
      </c>
      <c r="I105" s="6" t="s">
        <v>267</v>
      </c>
      <c r="J105" s="6" t="s">
        <v>182</v>
      </c>
      <c r="K105" s="6" t="s">
        <v>179</v>
      </c>
      <c r="L105" s="6" t="s">
        <v>188</v>
      </c>
      <c r="M105" s="6" t="s">
        <v>188</v>
      </c>
      <c r="N105" s="6"/>
    </row>
    <row r="106" spans="1:14" x14ac:dyDescent="0.25">
      <c r="A106" s="6" t="s">
        <v>191</v>
      </c>
      <c r="B106" s="6" t="str">
        <f>Informações!$C$3</f>
        <v>IMA</v>
      </c>
      <c r="C106" s="6" t="s">
        <v>29</v>
      </c>
      <c r="D106" s="6" t="s">
        <v>204</v>
      </c>
      <c r="E106" s="2" t="s">
        <v>25</v>
      </c>
      <c r="F106" s="6" t="str">
        <f>VLOOKUP(G106,[1]Discrete!$A:$B,2,FALSE)</f>
        <v>67 - DIRECIONAL SOBRECORRENTE NEUTRO TEMPORIZADO</v>
      </c>
      <c r="G106" s="6" t="s">
        <v>63</v>
      </c>
      <c r="H106" s="6" t="str" cm="1">
        <f t="array" ref="H106">_xlfn.IFS(OR(D106="TC",D106="TP",D106="LT"),CONCATENATE(B106,"_",C106,$B$3,"_",C106,$B$3,"_",G106),D106="SECC",CONCATENATE(B106,"_",C106,$B$3,"_",$B$5,"_",G106),D106="SECF",CONCATENATE(B106,"_",C106,$B$3,"_",$B$6,"_",G106),D106="SECT",CONCATENATE(B106,"_",C106,$B$3,"_",$B$7,"_",G106),D106="SECG",CONCATENATE(B106,"_",C106,$B$3,"_",$B$8,"_",G106),D106="DJ",CONCATENATE(B106,"_",C106,$B$3,"_",$B$4,"_",G106),D106="DJ_P",CONCATENATE(B106,"_",C106,$B$3,"_",$B$4,"_P","_",G106),D106="DJ_A",CONCATENATE(B106,"_",C106,$B$3,"_",$B$4,"_A","_",G106),D106="LT_P",CONCATENATE(B106,"_",C106,$B$3,"_",C106,$B$3,"_P","_",G106),D106="LT_A",CONCATENATE(B106,"_",C106,$B$3,"_",C106,$B$3,"_A","_",G106))</f>
        <v>IMA_LT1_52-1_A_67NT</v>
      </c>
      <c r="I106" s="6" t="s">
        <v>267</v>
      </c>
      <c r="J106" s="6" t="s">
        <v>182</v>
      </c>
      <c r="K106" s="6" t="s">
        <v>179</v>
      </c>
      <c r="L106" s="6" t="s">
        <v>188</v>
      </c>
      <c r="M106" s="6" t="s">
        <v>188</v>
      </c>
      <c r="N106" s="6"/>
    </row>
    <row r="107" spans="1:14" x14ac:dyDescent="0.25">
      <c r="A107" s="6" t="s">
        <v>191</v>
      </c>
      <c r="B107" s="6" t="str">
        <f>Informações!$C$3</f>
        <v>IMA</v>
      </c>
      <c r="C107" s="6" t="s">
        <v>29</v>
      </c>
      <c r="D107" s="6" t="s">
        <v>206</v>
      </c>
      <c r="E107" s="2" t="s">
        <v>25</v>
      </c>
      <c r="F107" s="6" t="str">
        <f>VLOOKUP(G107,[1]Discrete!$A:$B,2,FALSE)</f>
        <v>21 - TRIP ZONA 1</v>
      </c>
      <c r="G107" s="6" t="s">
        <v>64</v>
      </c>
      <c r="H107" s="6" t="str" cm="1">
        <f t="array" ref="H107">_xlfn.IFS(OR(D107="TC",D107="TP",D107="LT"),CONCATENATE(B107,"_",C107,$B$3,"_",C107,$B$3,"_",G107),D107="SECC",CONCATENATE(B107,"_",C107,$B$3,"_",$B$5,"_",G107),D107="SECF",CONCATENATE(B107,"_",C107,$B$3,"_",$B$6,"_",G107),D107="SECT",CONCATENATE(B107,"_",C107,$B$3,"_",$B$7,"_",G107),D107="SECG",CONCATENATE(B107,"_",C107,$B$3,"_",$B$8,"_",G107),D107="DJ",CONCATENATE(B107,"_",C107,$B$3,"_",$B$4,"_",G107),D107="DJ_P",CONCATENATE(B107,"_",C107,$B$3,"_",$B$4,"_P","_",G107),D107="DJ_A",CONCATENATE(B107,"_",C107,$B$3,"_",$B$4,"_A","_",G107),D107="LT_P",CONCATENATE(B107,"_",C107,$B$3,"_",C107,$B$3,"_P","_",G107),D107="LT_A",CONCATENATE(B107,"_",C107,$B$3,"_",C107,$B$3,"_A","_",G107))</f>
        <v>IMA_LT1_LT1_P_21Z1</v>
      </c>
      <c r="I107" s="6" t="s">
        <v>267</v>
      </c>
      <c r="J107" s="6" t="s">
        <v>182</v>
      </c>
      <c r="K107" s="6" t="s">
        <v>179</v>
      </c>
      <c r="L107" s="6" t="s">
        <v>188</v>
      </c>
      <c r="M107" s="6" t="s">
        <v>188</v>
      </c>
      <c r="N107" s="6"/>
    </row>
    <row r="108" spans="1:14" x14ac:dyDescent="0.25">
      <c r="A108" s="6" t="s">
        <v>191</v>
      </c>
      <c r="B108" s="6" t="str">
        <f>Informações!$C$3</f>
        <v>IMA</v>
      </c>
      <c r="C108" s="6" t="s">
        <v>29</v>
      </c>
      <c r="D108" s="6" t="s">
        <v>206</v>
      </c>
      <c r="E108" s="2" t="s">
        <v>25</v>
      </c>
      <c r="F108" s="6" t="str">
        <f>VLOOKUP(G108,[1]Discrete!$A:$B,2,FALSE)</f>
        <v>21 - TRIP ZONA 2</v>
      </c>
      <c r="G108" s="6" t="s">
        <v>65</v>
      </c>
      <c r="H108" s="6" t="str" cm="1">
        <f t="array" ref="H108">_xlfn.IFS(OR(D108="TC",D108="TP",D108="LT"),CONCATENATE(B108,"_",C108,$B$3,"_",C108,$B$3,"_",G108),D108="SECC",CONCATENATE(B108,"_",C108,$B$3,"_",$B$5,"_",G108),D108="SECF",CONCATENATE(B108,"_",C108,$B$3,"_",$B$6,"_",G108),D108="SECT",CONCATENATE(B108,"_",C108,$B$3,"_",$B$7,"_",G108),D108="SECG",CONCATENATE(B108,"_",C108,$B$3,"_",$B$8,"_",G108),D108="DJ",CONCATENATE(B108,"_",C108,$B$3,"_",$B$4,"_",G108),D108="DJ_P",CONCATENATE(B108,"_",C108,$B$3,"_",$B$4,"_P","_",G108),D108="DJ_A",CONCATENATE(B108,"_",C108,$B$3,"_",$B$4,"_A","_",G108),D108="LT_P",CONCATENATE(B108,"_",C108,$B$3,"_",C108,$B$3,"_P","_",G108),D108="LT_A",CONCATENATE(B108,"_",C108,$B$3,"_",C108,$B$3,"_A","_",G108))</f>
        <v>IMA_LT1_LT1_P_21Z2</v>
      </c>
      <c r="I108" s="6" t="s">
        <v>267</v>
      </c>
      <c r="J108" s="6" t="s">
        <v>182</v>
      </c>
      <c r="K108" s="6" t="s">
        <v>179</v>
      </c>
      <c r="L108" s="6" t="s">
        <v>188</v>
      </c>
      <c r="M108" s="6" t="s">
        <v>188</v>
      </c>
      <c r="N108" s="6"/>
    </row>
    <row r="109" spans="1:14" x14ac:dyDescent="0.25">
      <c r="A109" s="6" t="s">
        <v>191</v>
      </c>
      <c r="B109" s="6" t="str">
        <f>Informações!$C$3</f>
        <v>IMA</v>
      </c>
      <c r="C109" s="6" t="s">
        <v>29</v>
      </c>
      <c r="D109" s="6" t="s">
        <v>206</v>
      </c>
      <c r="E109" s="2" t="s">
        <v>25</v>
      </c>
      <c r="F109" s="6" t="str">
        <f>VLOOKUP(G109,[1]Discrete!$A:$B,2,FALSE)</f>
        <v>21 - TRIP ZONA 3</v>
      </c>
      <c r="G109" s="6" t="s">
        <v>66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IMA_LT1_LT1_P_21Z3</v>
      </c>
      <c r="I109" s="6" t="s">
        <v>267</v>
      </c>
      <c r="J109" s="6" t="s">
        <v>182</v>
      </c>
      <c r="K109" s="6" t="s">
        <v>179</v>
      </c>
      <c r="L109" s="6" t="s">
        <v>188</v>
      </c>
      <c r="M109" s="6" t="s">
        <v>188</v>
      </c>
      <c r="N109" s="6"/>
    </row>
    <row r="110" spans="1:14" x14ac:dyDescent="0.25">
      <c r="A110" s="6" t="s">
        <v>191</v>
      </c>
      <c r="B110" s="6" t="str">
        <f>Informações!$C$3</f>
        <v>IMA</v>
      </c>
      <c r="C110" s="6" t="s">
        <v>29</v>
      </c>
      <c r="D110" s="6" t="s">
        <v>206</v>
      </c>
      <c r="E110" s="2" t="s">
        <v>25</v>
      </c>
      <c r="F110" s="6" t="str">
        <f>VLOOKUP(G110,[1]Discrete!$A:$B,2,FALSE)</f>
        <v>21 - TRIP ZONA 4</v>
      </c>
      <c r="G110" s="6" t="s">
        <v>67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IMA_LT1_LT1_P_21Z4</v>
      </c>
      <c r="I110" s="6" t="s">
        <v>267</v>
      </c>
      <c r="J110" s="6" t="s">
        <v>182</v>
      </c>
      <c r="K110" s="6" t="s">
        <v>179</v>
      </c>
      <c r="L110" s="6" t="s">
        <v>188</v>
      </c>
      <c r="M110" s="6" t="s">
        <v>188</v>
      </c>
      <c r="N110" s="6"/>
    </row>
    <row r="111" spans="1:14" x14ac:dyDescent="0.25">
      <c r="A111" s="6" t="s">
        <v>191</v>
      </c>
      <c r="B111" s="6" t="str">
        <f>Informações!$C$3</f>
        <v>IMA</v>
      </c>
      <c r="C111" s="6" t="s">
        <v>29</v>
      </c>
      <c r="D111" s="6" t="s">
        <v>206</v>
      </c>
      <c r="E111" s="2" t="s">
        <v>25</v>
      </c>
      <c r="F111" s="6" t="str">
        <f>VLOOKUP(G111,[1]Discrete!$A:$B,2,FALSE)</f>
        <v>21 - TRIP ZONA 5</v>
      </c>
      <c r="G111" s="6" t="s">
        <v>68</v>
      </c>
      <c r="H111" s="6" t="str" cm="1">
        <f t="array" ref="H111">_xlfn.IFS(OR(D111="TC",D111="TP",D111="LT"),CONCATENATE(B111,"_",C111,$B$3,"_",C111,$B$3,"_",G111),D111="SECC",CONCATENATE(B111,"_",C111,$B$3,"_",$B$5,"_",G111),D111="SECF",CONCATENATE(B111,"_",C111,$B$3,"_",$B$6,"_",G111),D111="SECT",CONCATENATE(B111,"_",C111,$B$3,"_",$B$7,"_",G111),D111="SECG",CONCATENATE(B111,"_",C111,$B$3,"_",$B$8,"_",G111),D111="DJ",CONCATENATE(B111,"_",C111,$B$3,"_",$B$4,"_",G111),D111="DJ_P",CONCATENATE(B111,"_",C111,$B$3,"_",$B$4,"_P","_",G111),D111="DJ_A",CONCATENATE(B111,"_",C111,$B$3,"_",$B$4,"_A","_",G111),D111="LT_P",CONCATENATE(B111,"_",C111,$B$3,"_",C111,$B$3,"_P","_",G111),D111="LT_A",CONCATENATE(B111,"_",C111,$B$3,"_",C111,$B$3,"_A","_",G111))</f>
        <v>IMA_LT1_LT1_P_21Z5</v>
      </c>
      <c r="I111" s="6" t="s">
        <v>267</v>
      </c>
      <c r="J111" s="6" t="s">
        <v>182</v>
      </c>
      <c r="K111" s="6" t="s">
        <v>179</v>
      </c>
      <c r="L111" s="6" t="s">
        <v>188</v>
      </c>
      <c r="M111" s="6" t="s">
        <v>188</v>
      </c>
      <c r="N111" s="6"/>
    </row>
    <row r="112" spans="1:14" x14ac:dyDescent="0.25">
      <c r="A112" s="6" t="s">
        <v>191</v>
      </c>
      <c r="B112" s="6" t="str">
        <f>Informações!$C$3</f>
        <v>IMA</v>
      </c>
      <c r="C112" s="6" t="s">
        <v>29</v>
      </c>
      <c r="D112" s="6" t="s">
        <v>207</v>
      </c>
      <c r="E112" s="2" t="s">
        <v>25</v>
      </c>
      <c r="F112" s="6" t="str">
        <f>VLOOKUP(G112,[1]Discrete!$A:$B,2,FALSE)</f>
        <v>21 - TRIP ZONA 1</v>
      </c>
      <c r="G112" s="6" t="s">
        <v>64</v>
      </c>
      <c r="H112" s="6" t="str" cm="1">
        <f t="array" ref="H112">_xlfn.IFS(OR(D112="TC",D112="TP",D112="LT"),CONCATENATE(B112,"_",C112,$B$3,"_",C112,$B$3,"_",G112),D112="SECC",CONCATENATE(B112,"_",C112,$B$3,"_",$B$5,"_",G112),D112="SECF",CONCATENATE(B112,"_",C112,$B$3,"_",$B$6,"_",G112),D112="SECT",CONCATENATE(B112,"_",C112,$B$3,"_",$B$7,"_",G112),D112="SECG",CONCATENATE(B112,"_",C112,$B$3,"_",$B$8,"_",G112),D112="DJ",CONCATENATE(B112,"_",C112,$B$3,"_",$B$4,"_",G112),D112="DJ_P",CONCATENATE(B112,"_",C112,$B$3,"_",$B$4,"_P","_",G112),D112="DJ_A",CONCATENATE(B112,"_",C112,$B$3,"_",$B$4,"_A","_",G112),D112="LT_P",CONCATENATE(B112,"_",C112,$B$3,"_",C112,$B$3,"_P","_",G112),D112="LT_A",CONCATENATE(B112,"_",C112,$B$3,"_",C112,$B$3,"_A","_",G112))</f>
        <v>IMA_LT1_LT1_A_21Z1</v>
      </c>
      <c r="I112" s="6" t="s">
        <v>267</v>
      </c>
      <c r="J112" s="6" t="s">
        <v>182</v>
      </c>
      <c r="K112" s="6" t="s">
        <v>179</v>
      </c>
      <c r="L112" s="6" t="s">
        <v>188</v>
      </c>
      <c r="M112" s="6" t="s">
        <v>188</v>
      </c>
      <c r="N112" s="6"/>
    </row>
    <row r="113" spans="1:14" x14ac:dyDescent="0.25">
      <c r="A113" s="6" t="s">
        <v>191</v>
      </c>
      <c r="B113" s="6" t="str">
        <f>Informações!$C$3</f>
        <v>IMA</v>
      </c>
      <c r="C113" s="6" t="s">
        <v>29</v>
      </c>
      <c r="D113" s="6" t="s">
        <v>207</v>
      </c>
      <c r="E113" s="2" t="s">
        <v>25</v>
      </c>
      <c r="F113" s="6" t="str">
        <f>VLOOKUP(G113,[1]Discrete!$A:$B,2,FALSE)</f>
        <v>21 - TRIP ZONA 2</v>
      </c>
      <c r="G113" s="6" t="s">
        <v>65</v>
      </c>
      <c r="H113" s="6" t="str" cm="1">
        <f t="array" ref="H113">_xlfn.IFS(OR(D113="TC",D113="TP",D113="LT"),CONCATENATE(B113,"_",C113,$B$3,"_",C113,$B$3,"_",G113),D113="SECC",CONCATENATE(B113,"_",C113,$B$3,"_",$B$5,"_",G113),D113="SECF",CONCATENATE(B113,"_",C113,$B$3,"_",$B$6,"_",G113),D113="SECT",CONCATENATE(B113,"_",C113,$B$3,"_",$B$7,"_",G113),D113="SECG",CONCATENATE(B113,"_",C113,$B$3,"_",$B$8,"_",G113),D113="DJ",CONCATENATE(B113,"_",C113,$B$3,"_",$B$4,"_",G113),D113="DJ_P",CONCATENATE(B113,"_",C113,$B$3,"_",$B$4,"_P","_",G113),D113="DJ_A",CONCATENATE(B113,"_",C113,$B$3,"_",$B$4,"_A","_",G113),D113="LT_P",CONCATENATE(B113,"_",C113,$B$3,"_",C113,$B$3,"_P","_",G113),D113="LT_A",CONCATENATE(B113,"_",C113,$B$3,"_",C113,$B$3,"_A","_",G113))</f>
        <v>IMA_LT1_LT1_A_21Z2</v>
      </c>
      <c r="I113" s="6" t="s">
        <v>267</v>
      </c>
      <c r="J113" s="6" t="s">
        <v>182</v>
      </c>
      <c r="K113" s="6" t="s">
        <v>179</v>
      </c>
      <c r="L113" s="6" t="s">
        <v>188</v>
      </c>
      <c r="M113" s="6" t="s">
        <v>188</v>
      </c>
      <c r="N113" s="6"/>
    </row>
    <row r="114" spans="1:14" x14ac:dyDescent="0.25">
      <c r="A114" s="6" t="s">
        <v>191</v>
      </c>
      <c r="B114" s="6" t="str">
        <f>Informações!$C$3</f>
        <v>IMA</v>
      </c>
      <c r="C114" s="6" t="s">
        <v>29</v>
      </c>
      <c r="D114" s="6" t="s">
        <v>207</v>
      </c>
      <c r="E114" s="2" t="s">
        <v>25</v>
      </c>
      <c r="F114" s="6" t="str">
        <f>VLOOKUP(G114,[1]Discrete!$A:$B,2,FALSE)</f>
        <v>21 - TRIP ZONA 3</v>
      </c>
      <c r="G114" s="6" t="s">
        <v>66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IMA_LT1_LT1_A_21Z3</v>
      </c>
      <c r="I114" s="6" t="s">
        <v>267</v>
      </c>
      <c r="J114" s="6" t="s">
        <v>182</v>
      </c>
      <c r="K114" s="6" t="s">
        <v>179</v>
      </c>
      <c r="L114" s="6" t="s">
        <v>188</v>
      </c>
      <c r="M114" s="6" t="s">
        <v>188</v>
      </c>
      <c r="N114" s="6"/>
    </row>
    <row r="115" spans="1:14" x14ac:dyDescent="0.25">
      <c r="A115" s="6" t="s">
        <v>191</v>
      </c>
      <c r="B115" s="6" t="str">
        <f>Informações!$C$3</f>
        <v>IMA</v>
      </c>
      <c r="C115" s="6" t="s">
        <v>29</v>
      </c>
      <c r="D115" s="6" t="s">
        <v>207</v>
      </c>
      <c r="E115" s="2" t="s">
        <v>25</v>
      </c>
      <c r="F115" s="6" t="str">
        <f>VLOOKUP(G115,[1]Discrete!$A:$B,2,FALSE)</f>
        <v>21 - TRIP ZONA 4</v>
      </c>
      <c r="G115" s="6" t="s">
        <v>67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IMA_LT1_LT1_A_21Z4</v>
      </c>
      <c r="I115" s="6" t="s">
        <v>267</v>
      </c>
      <c r="J115" s="6" t="s">
        <v>182</v>
      </c>
      <c r="K115" s="6" t="s">
        <v>179</v>
      </c>
      <c r="L115" s="6" t="s">
        <v>188</v>
      </c>
      <c r="M115" s="6" t="s">
        <v>188</v>
      </c>
      <c r="N115" s="6"/>
    </row>
    <row r="116" spans="1:14" x14ac:dyDescent="0.25">
      <c r="A116" s="6" t="s">
        <v>191</v>
      </c>
      <c r="B116" s="6" t="str">
        <f>Informações!$C$3</f>
        <v>IMA</v>
      </c>
      <c r="C116" s="6" t="s">
        <v>29</v>
      </c>
      <c r="D116" s="6" t="s">
        <v>207</v>
      </c>
      <c r="E116" s="2" t="s">
        <v>25</v>
      </c>
      <c r="F116" s="6" t="str">
        <f>VLOOKUP(G116,[1]Discrete!$A:$B,2,FALSE)</f>
        <v>21 - TRIP ZONA 5</v>
      </c>
      <c r="G116" s="6" t="s">
        <v>68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IMA_LT1_LT1_A_21Z5</v>
      </c>
      <c r="I116" s="6" t="s">
        <v>267</v>
      </c>
      <c r="J116" s="6" t="s">
        <v>182</v>
      </c>
      <c r="K116" s="6" t="s">
        <v>179</v>
      </c>
      <c r="L116" s="6" t="s">
        <v>188</v>
      </c>
      <c r="M116" s="6" t="s">
        <v>188</v>
      </c>
      <c r="N116" s="6"/>
    </row>
    <row r="117" spans="1:14" x14ac:dyDescent="0.25">
      <c r="A117" s="6" t="s">
        <v>191</v>
      </c>
      <c r="B117" s="6" t="str">
        <f>Informações!$C$3</f>
        <v>IMA</v>
      </c>
      <c r="C117" s="6" t="s">
        <v>29</v>
      </c>
      <c r="D117" s="6" t="s">
        <v>29</v>
      </c>
      <c r="E117" s="2" t="s">
        <v>25</v>
      </c>
      <c r="F117" s="6" t="e">
        <f>VLOOKUP(G117,[1]Discrete!$A:$B,2,FALSE)</f>
        <v>#N/A</v>
      </c>
      <c r="G117" s="6">
        <v>21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IMA_LT1_LT1_21</v>
      </c>
      <c r="I117" s="6" t="s">
        <v>267</v>
      </c>
      <c r="J117" s="6" t="s">
        <v>182</v>
      </c>
      <c r="K117" s="6" t="s">
        <v>179</v>
      </c>
      <c r="L117" s="6" t="s">
        <v>188</v>
      </c>
      <c r="M117" s="6" t="s">
        <v>188</v>
      </c>
      <c r="N117" s="6"/>
    </row>
    <row r="118" spans="1:14" x14ac:dyDescent="0.25">
      <c r="A118" s="6" t="s">
        <v>191</v>
      </c>
      <c r="B118" s="6" t="str">
        <f>Informações!$C$3</f>
        <v>IMA</v>
      </c>
      <c r="C118" s="6" t="s">
        <v>29</v>
      </c>
      <c r="D118" s="6" t="s">
        <v>205</v>
      </c>
      <c r="E118" s="2" t="s">
        <v>25</v>
      </c>
      <c r="F118" s="6" t="str">
        <f>VLOOKUP(G118,[1]Discrete!$A:$B,2,FALSE)</f>
        <v>27 - TRIP SUBTENSAO</v>
      </c>
      <c r="G118" s="6" t="s">
        <v>69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IMA_LT1_52-1_P_27_T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6"/>
    </row>
    <row r="119" spans="1:14" x14ac:dyDescent="0.25">
      <c r="A119" s="6" t="s">
        <v>191</v>
      </c>
      <c r="B119" s="6" t="str">
        <f>Informações!$C$3</f>
        <v>IMA</v>
      </c>
      <c r="C119" s="6" t="s">
        <v>29</v>
      </c>
      <c r="D119" s="6" t="s">
        <v>205</v>
      </c>
      <c r="E119" s="2" t="s">
        <v>25</v>
      </c>
      <c r="F119" s="6" t="str">
        <f>VLOOKUP(G119,[1]Discrete!$A:$B,2,FALSE)</f>
        <v>59 - TRIP SOBRETENSAO</v>
      </c>
      <c r="G119" s="6" t="s">
        <v>70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IMA_LT1_52-1_P_59_T</v>
      </c>
      <c r="I119" s="6" t="s">
        <v>267</v>
      </c>
      <c r="J119" s="6" t="s">
        <v>182</v>
      </c>
      <c r="K119" s="6" t="s">
        <v>179</v>
      </c>
      <c r="L119" s="6" t="s">
        <v>188</v>
      </c>
      <c r="M119" s="6" t="s">
        <v>188</v>
      </c>
      <c r="N119" s="6"/>
    </row>
    <row r="120" spans="1:14" x14ac:dyDescent="0.25">
      <c r="A120" s="6" t="s">
        <v>191</v>
      </c>
      <c r="B120" s="6" t="str">
        <f>Informações!$C$3</f>
        <v>IMA</v>
      </c>
      <c r="C120" s="6" t="s">
        <v>29</v>
      </c>
      <c r="D120" s="6" t="s">
        <v>204</v>
      </c>
      <c r="E120" s="2" t="s">
        <v>25</v>
      </c>
      <c r="F120" s="6" t="str">
        <f>VLOOKUP(G120,[1]Discrete!$A:$B,2,FALSE)</f>
        <v>27 - TRIP SUBTENSAO</v>
      </c>
      <c r="G120" s="6" t="s">
        <v>69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IMA_LT1_52-1_A_27_T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6"/>
    </row>
    <row r="121" spans="1:14" x14ac:dyDescent="0.25">
      <c r="A121" s="6" t="s">
        <v>191</v>
      </c>
      <c r="B121" s="6" t="str">
        <f>Informações!$C$3</f>
        <v>IMA</v>
      </c>
      <c r="C121" s="6" t="s">
        <v>29</v>
      </c>
      <c r="D121" s="6" t="s">
        <v>204</v>
      </c>
      <c r="E121" s="2" t="s">
        <v>25</v>
      </c>
      <c r="F121" s="6" t="str">
        <f>VLOOKUP(G121,[1]Discrete!$A:$B,2,FALSE)</f>
        <v>59 - TRIP SOBRETENSAO</v>
      </c>
      <c r="G121" s="6" t="s">
        <v>70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IMA_LT1_52-1_A_59_T</v>
      </c>
      <c r="I121" s="6" t="s">
        <v>267</v>
      </c>
      <c r="J121" s="6" t="s">
        <v>182</v>
      </c>
      <c r="K121" s="6" t="s">
        <v>179</v>
      </c>
      <c r="L121" s="6" t="s">
        <v>188</v>
      </c>
      <c r="M121" s="6" t="s">
        <v>188</v>
      </c>
      <c r="N121" s="6"/>
    </row>
    <row r="122" spans="1:14" x14ac:dyDescent="0.25">
      <c r="A122" s="6" t="s">
        <v>191</v>
      </c>
      <c r="B122" s="6" t="str">
        <f>Informações!$C$3</f>
        <v>IMA</v>
      </c>
      <c r="C122" s="6" t="s">
        <v>29</v>
      </c>
      <c r="D122" s="6" t="s">
        <v>30</v>
      </c>
      <c r="E122" s="2" t="s">
        <v>25</v>
      </c>
      <c r="F122" s="6" t="e">
        <f>VLOOKUP(G122,[1]Discrete!$A:$B,2,FALSE)</f>
        <v>#N/A</v>
      </c>
      <c r="G122" s="6">
        <v>27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IMA_LT1_52-1_27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6"/>
    </row>
    <row r="123" spans="1:14" x14ac:dyDescent="0.25">
      <c r="A123" s="6" t="s">
        <v>191</v>
      </c>
      <c r="B123" s="6" t="str">
        <f>Informações!$C$3</f>
        <v>IMA</v>
      </c>
      <c r="C123" s="6" t="s">
        <v>29</v>
      </c>
      <c r="D123" s="6" t="s">
        <v>30</v>
      </c>
      <c r="E123" s="2" t="s">
        <v>25</v>
      </c>
      <c r="F123" s="6" t="e">
        <f>VLOOKUP(G123,[1]Discrete!$A:$B,2,FALSE)</f>
        <v>#N/A</v>
      </c>
      <c r="G123" s="6">
        <v>59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IMA_LT1_52-1_59</v>
      </c>
      <c r="I123" s="6" t="s">
        <v>267</v>
      </c>
      <c r="J123" s="6" t="s">
        <v>182</v>
      </c>
      <c r="K123" s="6" t="s">
        <v>179</v>
      </c>
      <c r="L123" s="6" t="s">
        <v>188</v>
      </c>
      <c r="M123" s="6" t="s">
        <v>188</v>
      </c>
      <c r="N123" s="6"/>
    </row>
    <row r="124" spans="1:14" x14ac:dyDescent="0.25">
      <c r="A124" s="6" t="s">
        <v>191</v>
      </c>
      <c r="B124" s="6" t="str">
        <f>Informações!$C$3</f>
        <v>IMA</v>
      </c>
      <c r="C124" s="6" t="s">
        <v>29</v>
      </c>
      <c r="D124" s="6" t="s">
        <v>205</v>
      </c>
      <c r="E124" s="2" t="s">
        <v>25</v>
      </c>
      <c r="F124" s="6" t="str">
        <f>VLOOKUP(G124,[1]Discrete!$A:$B,2,FALSE)</f>
        <v>81 - TRIP SUB FREQUENCIA</v>
      </c>
      <c r="G124" s="6" t="s">
        <v>71</v>
      </c>
      <c r="H124" s="6" t="str" cm="1">
        <f t="array" ref="H124">_xlfn.IFS(OR(D124="TC",D124="TP",D124="LT"),CONCATENATE(B124,"_",C124,$B$3,"_",C124,$B$3,"_",G124),D124="SECC",CONCATENATE(B124,"_",C124,$B$3,"_",$B$5,"_",G124),D124="SECF",CONCATENATE(B124,"_",C124,$B$3,"_",$B$6,"_",G124),D124="SECT",CONCATENATE(B124,"_",C124,$B$3,"_",$B$7,"_",G124),D124="SECG",CONCATENATE(B124,"_",C124,$B$3,"_",$B$8,"_",G124),D124="DJ",CONCATENATE(B124,"_",C124,$B$3,"_",$B$4,"_",G124),D124="DJ_P",CONCATENATE(B124,"_",C124,$B$3,"_",$B$4,"_P","_",G124),D124="DJ_A",CONCATENATE(B124,"_",C124,$B$3,"_",$B$4,"_A","_",G124),D124="LT_P",CONCATENATE(B124,"_",C124,$B$3,"_",C124,$B$3,"_P","_",G124),D124="LT_A",CONCATENATE(B124,"_",C124,$B$3,"_",C124,$B$3,"_A","_",G124))</f>
        <v>IMA_LT1_52-1_P_81SU</v>
      </c>
      <c r="I124" s="6" t="s">
        <v>267</v>
      </c>
      <c r="J124" s="6" t="s">
        <v>182</v>
      </c>
      <c r="K124" s="6" t="s">
        <v>179</v>
      </c>
      <c r="L124" s="6" t="s">
        <v>188</v>
      </c>
      <c r="M124" s="6" t="s">
        <v>188</v>
      </c>
      <c r="N124" s="6"/>
    </row>
    <row r="125" spans="1:14" x14ac:dyDescent="0.25">
      <c r="A125" s="6" t="s">
        <v>191</v>
      </c>
      <c r="B125" s="6" t="str">
        <f>Informações!$C$3</f>
        <v>IMA</v>
      </c>
      <c r="C125" s="6" t="s">
        <v>29</v>
      </c>
      <c r="D125" s="6" t="s">
        <v>205</v>
      </c>
      <c r="E125" s="2" t="s">
        <v>25</v>
      </c>
      <c r="F125" s="6" t="str">
        <f>VLOOKUP(G125,[1]Discrete!$A:$B,2,FALSE)</f>
        <v>81 - TRIP SUB/SOBRE FREQUENCIA E1</v>
      </c>
      <c r="G125" s="17" t="s">
        <v>353</v>
      </c>
      <c r="H125" s="6" t="str" cm="1">
        <f t="array" ref="H125">_xlfn.IFS(OR(D125="TC",D125="TP",D125="LT"),CONCATENATE(B125,"_",C125,$B$3,"_",C125,$B$3,"_",G125),D125="SECC",CONCATENATE(B125,"_",C125,$B$3,"_",$B$5,"_",G125),D125="SECF",CONCATENATE(B125,"_",C125,$B$3,"_",$B$6,"_",G125),D125="SECT",CONCATENATE(B125,"_",C125,$B$3,"_",$B$7,"_",G125),D125="SECG",CONCATENATE(B125,"_",C125,$B$3,"_",$B$8,"_",G125),D125="DJ",CONCATENATE(B125,"_",C125,$B$3,"_",$B$4,"_",G125),D125="DJ_P",CONCATENATE(B125,"_",C125,$B$3,"_",$B$4,"_P","_",G125),D125="DJ_A",CONCATENATE(B125,"_",C125,$B$3,"_",$B$4,"_A","_",G125),D125="LT_P",CONCATENATE(B125,"_",C125,$B$3,"_",C125,$B$3,"_P","_",G125),D125="LT_A",CONCATENATE(B125,"_",C125,$B$3,"_",C125,$B$3,"_A","_",G125))</f>
        <v>IMA_LT1_52-1_P_81E1</v>
      </c>
      <c r="I125" s="6" t="s">
        <v>267</v>
      </c>
      <c r="J125" s="6" t="s">
        <v>182</v>
      </c>
      <c r="K125" s="6" t="s">
        <v>179</v>
      </c>
      <c r="L125" s="6" t="s">
        <v>188</v>
      </c>
      <c r="M125" s="6" t="s">
        <v>188</v>
      </c>
      <c r="N125" s="6"/>
    </row>
    <row r="126" spans="1:14" x14ac:dyDescent="0.25">
      <c r="A126" s="6" t="s">
        <v>191</v>
      </c>
      <c r="B126" s="6" t="str">
        <f>Informações!$C$3</f>
        <v>IMA</v>
      </c>
      <c r="C126" s="6" t="s">
        <v>29</v>
      </c>
      <c r="D126" s="6" t="s">
        <v>205</v>
      </c>
      <c r="E126" s="2" t="s">
        <v>25</v>
      </c>
      <c r="F126" s="6" t="str">
        <f>VLOOKUP(G126,[1]Discrete!$A:$B,2,FALSE)</f>
        <v>81 - TRIP SUB/SOBRE FREQUENCIA E2</v>
      </c>
      <c r="G126" s="17" t="s">
        <v>354</v>
      </c>
      <c r="H126" s="6" t="str" cm="1">
        <f t="array" ref="H126">_xlfn.IFS(OR(D126="TC",D126="TP",D126="LT"),CONCATENATE(B126,"_",C126,$B$3,"_",C126,$B$3,"_",G126),D126="SECC",CONCATENATE(B126,"_",C126,$B$3,"_",$B$5,"_",G126),D126="SECF",CONCATENATE(B126,"_",C126,$B$3,"_",$B$6,"_",G126),D126="SECT",CONCATENATE(B126,"_",C126,$B$3,"_",$B$7,"_",G126),D126="SECG",CONCATENATE(B126,"_",C126,$B$3,"_",$B$8,"_",G126),D126="DJ",CONCATENATE(B126,"_",C126,$B$3,"_",$B$4,"_",G126),D126="DJ_P",CONCATENATE(B126,"_",C126,$B$3,"_",$B$4,"_P","_",G126),D126="DJ_A",CONCATENATE(B126,"_",C126,$B$3,"_",$B$4,"_A","_",G126),D126="LT_P",CONCATENATE(B126,"_",C126,$B$3,"_",C126,$B$3,"_P","_",G126),D126="LT_A",CONCATENATE(B126,"_",C126,$B$3,"_",C126,$B$3,"_A","_",G126))</f>
        <v>IMA_LT1_52-1_P_81E2</v>
      </c>
      <c r="I126" s="6" t="s">
        <v>267</v>
      </c>
      <c r="J126" s="6" t="s">
        <v>182</v>
      </c>
      <c r="K126" s="6" t="s">
        <v>179</v>
      </c>
      <c r="L126" s="6" t="s">
        <v>188</v>
      </c>
      <c r="M126" s="6" t="s">
        <v>188</v>
      </c>
      <c r="N126" s="6"/>
    </row>
    <row r="127" spans="1:14" x14ac:dyDescent="0.25">
      <c r="A127" s="6" t="s">
        <v>191</v>
      </c>
      <c r="B127" s="6" t="str">
        <f>Informações!$C$3</f>
        <v>IMA</v>
      </c>
      <c r="C127" s="6" t="s">
        <v>29</v>
      </c>
      <c r="D127" s="6" t="s">
        <v>205</v>
      </c>
      <c r="E127" s="2" t="s">
        <v>25</v>
      </c>
      <c r="F127" s="6" t="str">
        <f>VLOOKUP(G127,[1]Discrete!$A:$B,2,FALSE)</f>
        <v>81 - TRIP SUB/SOBRE FREQUENCIA E3</v>
      </c>
      <c r="G127" s="17" t="s">
        <v>355</v>
      </c>
      <c r="H127" s="6" t="str" cm="1">
        <f t="array" ref="H127">_xlfn.IFS(OR(D127="TC",D127="TP",D127="LT"),CONCATENATE(B127,"_",C127,$B$3,"_",C127,$B$3,"_",G127),D127="SECC",CONCATENATE(B127,"_",C127,$B$3,"_",$B$5,"_",G127),D127="SECF",CONCATENATE(B127,"_",C127,$B$3,"_",$B$6,"_",G127),D127="SECT",CONCATENATE(B127,"_",C127,$B$3,"_",$B$7,"_",G127),D127="SECG",CONCATENATE(B127,"_",C127,$B$3,"_",$B$8,"_",G127),D127="DJ",CONCATENATE(B127,"_",C127,$B$3,"_",$B$4,"_",G127),D127="DJ_P",CONCATENATE(B127,"_",C127,$B$3,"_",$B$4,"_P","_",G127),D127="DJ_A",CONCATENATE(B127,"_",C127,$B$3,"_",$B$4,"_A","_",G127),D127="LT_P",CONCATENATE(B127,"_",C127,$B$3,"_",C127,$B$3,"_P","_",G127),D127="LT_A",CONCATENATE(B127,"_",C127,$B$3,"_",C127,$B$3,"_A","_",G127))</f>
        <v>IMA_LT1_52-1_P_81E3</v>
      </c>
      <c r="I127" s="6" t="s">
        <v>267</v>
      </c>
      <c r="J127" s="6" t="s">
        <v>182</v>
      </c>
      <c r="K127" s="6" t="s">
        <v>179</v>
      </c>
      <c r="L127" s="6" t="s">
        <v>188</v>
      </c>
      <c r="M127" s="6" t="s">
        <v>188</v>
      </c>
      <c r="N127" s="6"/>
    </row>
    <row r="128" spans="1:14" x14ac:dyDescent="0.25">
      <c r="A128" s="6" t="s">
        <v>191</v>
      </c>
      <c r="B128" s="6" t="str">
        <f>Informações!$C$3</f>
        <v>IMA</v>
      </c>
      <c r="C128" s="6" t="s">
        <v>29</v>
      </c>
      <c r="D128" s="6" t="s">
        <v>205</v>
      </c>
      <c r="E128" s="2" t="s">
        <v>25</v>
      </c>
      <c r="F128" s="6" t="str">
        <f>VLOOKUP(G128,[1]Discrete!$A:$B,2,FALSE)</f>
        <v>81 - TRIP SUB/SOBRE FREQUENCIA E4</v>
      </c>
      <c r="G128" s="17" t="s">
        <v>356</v>
      </c>
      <c r="H128" s="6" t="str" cm="1">
        <f t="array" ref="H128">_xlfn.IFS(OR(D128="TC",D128="TP",D128="LT"),CONCATENATE(B128,"_",C128,$B$3,"_",C128,$B$3,"_",G128),D128="SECC",CONCATENATE(B128,"_",C128,$B$3,"_",$B$5,"_",G128),D128="SECF",CONCATENATE(B128,"_",C128,$B$3,"_",$B$6,"_",G128),D128="SECT",CONCATENATE(B128,"_",C128,$B$3,"_",$B$7,"_",G128),D128="SECG",CONCATENATE(B128,"_",C128,$B$3,"_",$B$8,"_",G128),D128="DJ",CONCATENATE(B128,"_",C128,$B$3,"_",$B$4,"_",G128),D128="DJ_P",CONCATENATE(B128,"_",C128,$B$3,"_",$B$4,"_P","_",G128),D128="DJ_A",CONCATENATE(B128,"_",C128,$B$3,"_",$B$4,"_A","_",G128),D128="LT_P",CONCATENATE(B128,"_",C128,$B$3,"_",C128,$B$3,"_P","_",G128),D128="LT_A",CONCATENATE(B128,"_",C128,$B$3,"_",C128,$B$3,"_A","_",G128))</f>
        <v>IMA_LT1_52-1_P_81E4</v>
      </c>
      <c r="I128" s="6" t="s">
        <v>267</v>
      </c>
      <c r="J128" s="6" t="s">
        <v>182</v>
      </c>
      <c r="K128" s="6" t="s">
        <v>179</v>
      </c>
      <c r="L128" s="6" t="s">
        <v>188</v>
      </c>
      <c r="M128" s="6" t="s">
        <v>188</v>
      </c>
      <c r="N128" s="6"/>
    </row>
    <row r="129" spans="1:14" x14ac:dyDescent="0.25">
      <c r="A129" s="6" t="s">
        <v>191</v>
      </c>
      <c r="B129" s="6" t="str">
        <f>Informações!$C$3</f>
        <v>IMA</v>
      </c>
      <c r="C129" s="6" t="s">
        <v>29</v>
      </c>
      <c r="D129" s="6" t="s">
        <v>205</v>
      </c>
      <c r="E129" s="2" t="s">
        <v>25</v>
      </c>
      <c r="F129" s="6" t="s">
        <v>358</v>
      </c>
      <c r="G129" s="17" t="s">
        <v>357</v>
      </c>
      <c r="H129" s="6" t="str" cm="1">
        <f t="array" ref="H129">_xlfn.IFS(OR(D129="TC",D129="TP",D129="LT"),CONCATENATE(B129,"_",C129,$B$3,"_",C129,$B$3,"_",G129),D129="SECC",CONCATENATE(B129,"_",C129,$B$3,"_",$B$5,"_",G129),D129="SECF",CONCATENATE(B129,"_",C129,$B$3,"_",$B$6,"_",G129),D129="SECT",CONCATENATE(B129,"_",C129,$B$3,"_",$B$7,"_",G129),D129="SECG",CONCATENATE(B129,"_",C129,$B$3,"_",$B$8,"_",G129),D129="DJ",CONCATENATE(B129,"_",C129,$B$3,"_",$B$4,"_",G129),D129="DJ_P",CONCATENATE(B129,"_",C129,$B$3,"_",$B$4,"_P","_",G129),D129="DJ_A",CONCATENATE(B129,"_",C129,$B$3,"_",$B$4,"_A","_",G129),D129="LT_P",CONCATENATE(B129,"_",C129,$B$3,"_",C129,$B$3,"_P","_",G129),D129="LT_A",CONCATENATE(B129,"_",C129,$B$3,"_",C129,$B$3,"_A","_",G129))</f>
        <v>IMA_LT1_52-1_P_81E5</v>
      </c>
      <c r="I129" s="6" t="s">
        <v>267</v>
      </c>
      <c r="J129" s="6" t="s">
        <v>182</v>
      </c>
      <c r="K129" s="6" t="s">
        <v>179</v>
      </c>
      <c r="L129" s="6" t="s">
        <v>188</v>
      </c>
      <c r="M129" s="6" t="s">
        <v>188</v>
      </c>
      <c r="N129" s="6"/>
    </row>
    <row r="130" spans="1:14" x14ac:dyDescent="0.25">
      <c r="A130" s="6" t="s">
        <v>191</v>
      </c>
      <c r="B130" s="6" t="str">
        <f>Informações!$C$3</f>
        <v>IMA</v>
      </c>
      <c r="C130" s="6" t="s">
        <v>29</v>
      </c>
      <c r="D130" s="6" t="s">
        <v>204</v>
      </c>
      <c r="E130" s="2" t="s">
        <v>25</v>
      </c>
      <c r="F130" s="6" t="str">
        <f>VLOOKUP(G130,[1]Discrete!$A:$B,2,FALSE)</f>
        <v>81 - TRIP SUB FREQUENCIA</v>
      </c>
      <c r="G130" s="6" t="s">
        <v>71</v>
      </c>
      <c r="H130" s="6" t="str" cm="1">
        <f t="array" ref="H130">_xlfn.IFS(OR(D130="TC",D130="TP",D130="LT"),CONCATENATE(B130,"_",C130,$B$3,"_",C130,$B$3,"_",G130),D130="SECC",CONCATENATE(B130,"_",C130,$B$3,"_",$B$5,"_",G130),D130="SECF",CONCATENATE(B130,"_",C130,$B$3,"_",$B$6,"_",G130),D130="SECT",CONCATENATE(B130,"_",C130,$B$3,"_",$B$7,"_",G130),D130="SECG",CONCATENATE(B130,"_",C130,$B$3,"_",$B$8,"_",G130),D130="DJ",CONCATENATE(B130,"_",C130,$B$3,"_",$B$4,"_",G130),D130="DJ_P",CONCATENATE(B130,"_",C130,$B$3,"_",$B$4,"_P","_",G130),D130="DJ_A",CONCATENATE(B130,"_",C130,$B$3,"_",$B$4,"_A","_",G130),D130="LT_P",CONCATENATE(B130,"_",C130,$B$3,"_",C130,$B$3,"_P","_",G130),D130="LT_A",CONCATENATE(B130,"_",C130,$B$3,"_",C130,$B$3,"_A","_",G130))</f>
        <v>IMA_LT1_52-1_A_81SU</v>
      </c>
      <c r="I130" s="6" t="s">
        <v>267</v>
      </c>
      <c r="J130" s="6" t="s">
        <v>182</v>
      </c>
      <c r="K130" s="6" t="s">
        <v>179</v>
      </c>
      <c r="L130" s="6" t="s">
        <v>188</v>
      </c>
      <c r="M130" s="6" t="s">
        <v>188</v>
      </c>
      <c r="N130" s="6"/>
    </row>
    <row r="131" spans="1:14" x14ac:dyDescent="0.25">
      <c r="A131" s="6" t="s">
        <v>191</v>
      </c>
      <c r="B131" s="6" t="str">
        <f>Informações!$C$3</f>
        <v>IMA</v>
      </c>
      <c r="C131" s="6" t="s">
        <v>29</v>
      </c>
      <c r="D131" s="6" t="s">
        <v>204</v>
      </c>
      <c r="E131" s="2" t="s">
        <v>25</v>
      </c>
      <c r="F131" s="6" t="str">
        <f>VLOOKUP(G131,[1]Discrete!$A:$B,2,FALSE)</f>
        <v>81 - TRIP SUB/SOBRE FREQUENCIA E1</v>
      </c>
      <c r="G131" s="17" t="s">
        <v>353</v>
      </c>
      <c r="H131" s="6" t="str" cm="1">
        <f t="array" ref="H131">_xlfn.IFS(OR(D131="TC",D131="TP",D131="LT"),CONCATENATE(B131,"_",C131,$B$3,"_",C131,$B$3,"_",G131),D131="SECC",CONCATENATE(B131,"_",C131,$B$3,"_",$B$5,"_",G131),D131="SECF",CONCATENATE(B131,"_",C131,$B$3,"_",$B$6,"_",G131),D131="SECT",CONCATENATE(B131,"_",C131,$B$3,"_",$B$7,"_",G131),D131="SECG",CONCATENATE(B131,"_",C131,$B$3,"_",$B$8,"_",G131),D131="DJ",CONCATENATE(B131,"_",C131,$B$3,"_",$B$4,"_",G131),D131="DJ_P",CONCATENATE(B131,"_",C131,$B$3,"_",$B$4,"_P","_",G131),D131="DJ_A",CONCATENATE(B131,"_",C131,$B$3,"_",$B$4,"_A","_",G131),D131="LT_P",CONCATENATE(B131,"_",C131,$B$3,"_",C131,$B$3,"_P","_",G131),D131="LT_A",CONCATENATE(B131,"_",C131,$B$3,"_",C131,$B$3,"_A","_",G131))</f>
        <v>IMA_LT1_52-1_A_81E1</v>
      </c>
      <c r="I131" s="6" t="s">
        <v>267</v>
      </c>
      <c r="J131" s="6" t="s">
        <v>182</v>
      </c>
      <c r="K131" s="6" t="s">
        <v>179</v>
      </c>
      <c r="L131" s="6" t="s">
        <v>188</v>
      </c>
      <c r="M131" s="6" t="s">
        <v>188</v>
      </c>
      <c r="N131" s="6"/>
    </row>
    <row r="132" spans="1:14" x14ac:dyDescent="0.25">
      <c r="A132" s="6" t="s">
        <v>191</v>
      </c>
      <c r="B132" s="6" t="str">
        <f>Informações!$C$3</f>
        <v>IMA</v>
      </c>
      <c r="C132" s="6" t="s">
        <v>29</v>
      </c>
      <c r="D132" s="6" t="s">
        <v>204</v>
      </c>
      <c r="E132" s="2" t="s">
        <v>25</v>
      </c>
      <c r="F132" s="6" t="str">
        <f>VLOOKUP(G132,[1]Discrete!$A:$B,2,FALSE)</f>
        <v>81 - TRIP SUB/SOBRE FREQUENCIA E2</v>
      </c>
      <c r="G132" s="17" t="s">
        <v>354</v>
      </c>
      <c r="H132" s="6" t="str" cm="1">
        <f t="array" ref="H132">_xlfn.IFS(OR(D132="TC",D132="TP",D132="LT"),CONCATENATE(B132,"_",C132,$B$3,"_",C132,$B$3,"_",G132),D132="SECC",CONCATENATE(B132,"_",C132,$B$3,"_",$B$5,"_",G132),D132="SECF",CONCATENATE(B132,"_",C132,$B$3,"_",$B$6,"_",G132),D132="SECT",CONCATENATE(B132,"_",C132,$B$3,"_",$B$7,"_",G132),D132="SECG",CONCATENATE(B132,"_",C132,$B$3,"_",$B$8,"_",G132),D132="DJ",CONCATENATE(B132,"_",C132,$B$3,"_",$B$4,"_",G132),D132="DJ_P",CONCATENATE(B132,"_",C132,$B$3,"_",$B$4,"_P","_",G132),D132="DJ_A",CONCATENATE(B132,"_",C132,$B$3,"_",$B$4,"_A","_",G132),D132="LT_P",CONCATENATE(B132,"_",C132,$B$3,"_",C132,$B$3,"_P","_",G132),D132="LT_A",CONCATENATE(B132,"_",C132,$B$3,"_",C132,$B$3,"_A","_",G132))</f>
        <v>IMA_LT1_52-1_A_81E2</v>
      </c>
      <c r="I132" s="6" t="s">
        <v>267</v>
      </c>
      <c r="J132" s="6" t="s">
        <v>182</v>
      </c>
      <c r="K132" s="6" t="s">
        <v>179</v>
      </c>
      <c r="L132" s="6" t="s">
        <v>188</v>
      </c>
      <c r="M132" s="6" t="s">
        <v>188</v>
      </c>
      <c r="N132" s="6"/>
    </row>
    <row r="133" spans="1:14" x14ac:dyDescent="0.25">
      <c r="A133" s="6" t="s">
        <v>191</v>
      </c>
      <c r="B133" s="6" t="str">
        <f>Informações!$C$3</f>
        <v>IMA</v>
      </c>
      <c r="C133" s="6" t="s">
        <v>29</v>
      </c>
      <c r="D133" s="6" t="s">
        <v>204</v>
      </c>
      <c r="E133" s="2" t="s">
        <v>25</v>
      </c>
      <c r="F133" s="6" t="str">
        <f>VLOOKUP(G133,[1]Discrete!$A:$B,2,FALSE)</f>
        <v>81 - TRIP SUB/SOBRE FREQUENCIA E3</v>
      </c>
      <c r="G133" s="17" t="s">
        <v>355</v>
      </c>
      <c r="H133" s="6" t="str" cm="1">
        <f t="array" ref="H133">_xlfn.IFS(OR(D133="TC",D133="TP",D133="LT"),CONCATENATE(B133,"_",C133,$B$3,"_",C133,$B$3,"_",G133),D133="SECC",CONCATENATE(B133,"_",C133,$B$3,"_",$B$5,"_",G133),D133="SECF",CONCATENATE(B133,"_",C133,$B$3,"_",$B$6,"_",G133),D133="SECT",CONCATENATE(B133,"_",C133,$B$3,"_",$B$7,"_",G133),D133="SECG",CONCATENATE(B133,"_",C133,$B$3,"_",$B$8,"_",G133),D133="DJ",CONCATENATE(B133,"_",C133,$B$3,"_",$B$4,"_",G133),D133="DJ_P",CONCATENATE(B133,"_",C133,$B$3,"_",$B$4,"_P","_",G133),D133="DJ_A",CONCATENATE(B133,"_",C133,$B$3,"_",$B$4,"_A","_",G133),D133="LT_P",CONCATENATE(B133,"_",C133,$B$3,"_",C133,$B$3,"_P","_",G133),D133="LT_A",CONCATENATE(B133,"_",C133,$B$3,"_",C133,$B$3,"_A","_",G133))</f>
        <v>IMA_LT1_52-1_A_81E3</v>
      </c>
      <c r="I133" s="6" t="s">
        <v>267</v>
      </c>
      <c r="J133" s="6" t="s">
        <v>182</v>
      </c>
      <c r="K133" s="6" t="s">
        <v>179</v>
      </c>
      <c r="L133" s="6" t="s">
        <v>188</v>
      </c>
      <c r="M133" s="6" t="s">
        <v>188</v>
      </c>
      <c r="N133" s="6"/>
    </row>
    <row r="134" spans="1:14" x14ac:dyDescent="0.25">
      <c r="A134" s="6" t="s">
        <v>191</v>
      </c>
      <c r="B134" s="6" t="str">
        <f>Informações!$C$3</f>
        <v>IMA</v>
      </c>
      <c r="C134" s="6" t="s">
        <v>29</v>
      </c>
      <c r="D134" s="6" t="s">
        <v>204</v>
      </c>
      <c r="E134" s="2" t="s">
        <v>25</v>
      </c>
      <c r="F134" s="6" t="str">
        <f>VLOOKUP(G134,[1]Discrete!$A:$B,2,FALSE)</f>
        <v>81 - TRIP SUB/SOBRE FREQUENCIA E4</v>
      </c>
      <c r="G134" s="17" t="s">
        <v>356</v>
      </c>
      <c r="H134" s="6" t="str" cm="1">
        <f t="array" ref="H134">_xlfn.IFS(OR(D134="TC",D134="TP",D134="LT"),CONCATENATE(B134,"_",C134,$B$3,"_",C134,$B$3,"_",G134),D134="SECC",CONCATENATE(B134,"_",C134,$B$3,"_",$B$5,"_",G134),D134="SECF",CONCATENATE(B134,"_",C134,$B$3,"_",$B$6,"_",G134),D134="SECT",CONCATENATE(B134,"_",C134,$B$3,"_",$B$7,"_",G134),D134="SECG",CONCATENATE(B134,"_",C134,$B$3,"_",$B$8,"_",G134),D134="DJ",CONCATENATE(B134,"_",C134,$B$3,"_",$B$4,"_",G134),D134="DJ_P",CONCATENATE(B134,"_",C134,$B$3,"_",$B$4,"_P","_",G134),D134="DJ_A",CONCATENATE(B134,"_",C134,$B$3,"_",$B$4,"_A","_",G134),D134="LT_P",CONCATENATE(B134,"_",C134,$B$3,"_",C134,$B$3,"_P","_",G134),D134="LT_A",CONCATENATE(B134,"_",C134,$B$3,"_",C134,$B$3,"_A","_",G134))</f>
        <v>IMA_LT1_52-1_A_81E4</v>
      </c>
      <c r="I134" s="6" t="s">
        <v>267</v>
      </c>
      <c r="J134" s="6" t="s">
        <v>182</v>
      </c>
      <c r="K134" s="6" t="s">
        <v>179</v>
      </c>
      <c r="L134" s="6" t="s">
        <v>188</v>
      </c>
      <c r="M134" s="6" t="s">
        <v>188</v>
      </c>
      <c r="N134" s="6"/>
    </row>
    <row r="135" spans="1:14" x14ac:dyDescent="0.25">
      <c r="A135" s="6" t="s">
        <v>191</v>
      </c>
      <c r="B135" s="6" t="str">
        <f>Informações!$C$3</f>
        <v>IMA</v>
      </c>
      <c r="C135" s="6" t="s">
        <v>29</v>
      </c>
      <c r="D135" s="6" t="s">
        <v>204</v>
      </c>
      <c r="E135" s="2" t="s">
        <v>25</v>
      </c>
      <c r="F135" s="6" t="s">
        <v>358</v>
      </c>
      <c r="G135" s="17" t="s">
        <v>357</v>
      </c>
      <c r="H135" s="6" t="str" cm="1">
        <f t="array" ref="H135">_xlfn.IFS(OR(D135="TC",D135="TP",D135="LT"),CONCATENATE(B135,"_",C135,$B$3,"_",C135,$B$3,"_",G135),D135="SECC",CONCATENATE(B135,"_",C135,$B$3,"_",$B$5,"_",G135),D135="SECF",CONCATENATE(B135,"_",C135,$B$3,"_",$B$6,"_",G135),D135="SECT",CONCATENATE(B135,"_",C135,$B$3,"_",$B$7,"_",G135),D135="SECG",CONCATENATE(B135,"_",C135,$B$3,"_",$B$8,"_",G135),D135="DJ",CONCATENATE(B135,"_",C135,$B$3,"_",$B$4,"_",G135),D135="DJ_P",CONCATENATE(B135,"_",C135,$B$3,"_",$B$4,"_P","_",G135),D135="DJ_A",CONCATENATE(B135,"_",C135,$B$3,"_",$B$4,"_A","_",G135),D135="LT_P",CONCATENATE(B135,"_",C135,$B$3,"_",C135,$B$3,"_P","_",G135),D135="LT_A",CONCATENATE(B135,"_",C135,$B$3,"_",C135,$B$3,"_A","_",G135))</f>
        <v>IMA_LT1_52-1_A_81E5</v>
      </c>
      <c r="I135" s="6" t="s">
        <v>267</v>
      </c>
      <c r="J135" s="6" t="s">
        <v>182</v>
      </c>
      <c r="K135" s="6" t="s">
        <v>179</v>
      </c>
      <c r="L135" s="6" t="s">
        <v>188</v>
      </c>
      <c r="M135" s="6" t="s">
        <v>188</v>
      </c>
      <c r="N135" s="6"/>
    </row>
    <row r="136" spans="1:14" x14ac:dyDescent="0.25">
      <c r="A136" s="6" t="s">
        <v>191</v>
      </c>
      <c r="B136" s="6" t="str">
        <f>Informações!$C$3</f>
        <v>IMA</v>
      </c>
      <c r="C136" s="6" t="s">
        <v>29</v>
      </c>
      <c r="D136" s="6" t="s">
        <v>206</v>
      </c>
      <c r="E136" s="2" t="s">
        <v>25</v>
      </c>
      <c r="F136" s="6" t="str">
        <f>VLOOKUP(G136,[1]Discrete!$A:$B,2,FALSE)</f>
        <v>FALHA COMUNICACAO</v>
      </c>
      <c r="G136" s="6" t="s">
        <v>78</v>
      </c>
      <c r="H136" s="6" t="str" cm="1">
        <f t="array" ref="H136">_xlfn.IFS(OR(D136="TC",D136="TP",D136="LT"),CONCATENATE(B136,"_",C136,$B$3,"_",C136,$B$3,"_",G136),D136="SECC",CONCATENATE(B136,"_",C136,$B$3,"_",$B$5,"_",G136),D136="SECF",CONCATENATE(B136,"_",C136,$B$3,"_",$B$6,"_",G136),D136="SECT",CONCATENATE(B136,"_",C136,$B$3,"_",$B$7,"_",G136),D136="SECG",CONCATENATE(B136,"_",C136,$B$3,"_",$B$8,"_",G136),D136="DJ",CONCATENATE(B136,"_",C136,$B$3,"_",$B$4,"_",G136),D136="DJ_P",CONCATENATE(B136,"_",C136,$B$3,"_",$B$4,"_P","_",G136),D136="DJ_A",CONCATENATE(B136,"_",C136,$B$3,"_",$B$4,"_A","_",G136),D136="LT_P",CONCATENATE(B136,"_",C136,$B$3,"_",C136,$B$3,"_P","_",G136),D136="LT_A",CONCATENATE(B136,"_",C136,$B$3,"_",C136,$B$3,"_A","_",G136))</f>
        <v>IMA_LT1_LT1_P_FCOM</v>
      </c>
      <c r="I136" s="6" t="s">
        <v>267</v>
      </c>
      <c r="J136" s="6" t="s">
        <v>182</v>
      </c>
      <c r="K136" s="6" t="s">
        <v>180</v>
      </c>
      <c r="L136" s="6" t="s">
        <v>188</v>
      </c>
      <c r="M136" s="6" t="s">
        <v>188</v>
      </c>
      <c r="N136" s="6"/>
    </row>
    <row r="137" spans="1:14" x14ac:dyDescent="0.25">
      <c r="A137" s="6" t="s">
        <v>191</v>
      </c>
      <c r="B137" s="6" t="str">
        <f>Informações!$C$3</f>
        <v>IMA</v>
      </c>
      <c r="C137" s="6" t="s">
        <v>29</v>
      </c>
      <c r="D137" s="6" t="s">
        <v>30</v>
      </c>
      <c r="E137" s="2" t="s">
        <v>25</v>
      </c>
      <c r="F137" s="6" t="str">
        <f>VLOOKUP(G137,[1]Discrete!$A:$B,2,FALSE)</f>
        <v>FALTA VCC COMANDO</v>
      </c>
      <c r="G137" s="6" t="s">
        <v>79</v>
      </c>
      <c r="H137" s="6" t="str" cm="1">
        <f t="array" ref="H137">_xlfn.IFS(OR(D137="TC",D137="TP",D137="LT"),CONCATENATE(B137,"_",C137,$B$3,"_",C137,$B$3,"_",G137),D137="SECC",CONCATENATE(B137,"_",C137,$B$3,"_",$B$5,"_",G137),D137="SECF",CONCATENATE(B137,"_",C137,$B$3,"_",$B$6,"_",G137),D137="SECT",CONCATENATE(B137,"_",C137,$B$3,"_",$B$7,"_",G137),D137="SECG",CONCATENATE(B137,"_",C137,$B$3,"_",$B$8,"_",G137),D137="DJ",CONCATENATE(B137,"_",C137,$B$3,"_",$B$4,"_",G137),D137="DJ_P",CONCATENATE(B137,"_",C137,$B$3,"_",$B$4,"_P","_",G137),D137="DJ_A",CONCATENATE(B137,"_",C137,$B$3,"_",$B$4,"_A","_",G137),D137="LT_P",CONCATENATE(B137,"_",C137,$B$3,"_",C137,$B$3,"_P","_",G137),D137="LT_A",CONCATENATE(B137,"_",C137,$B$3,"_",C137,$B$3,"_A","_",G137))</f>
        <v>IMA_LT1_52-1_CCCO</v>
      </c>
      <c r="I137" s="6" t="s">
        <v>267</v>
      </c>
      <c r="J137" s="6" t="s">
        <v>182</v>
      </c>
      <c r="K137" s="6" t="s">
        <v>187</v>
      </c>
      <c r="L137" s="6" t="s">
        <v>188</v>
      </c>
      <c r="M137" s="6" t="s">
        <v>188</v>
      </c>
      <c r="N137" s="6"/>
    </row>
    <row r="138" spans="1:14" x14ac:dyDescent="0.25">
      <c r="A138" s="6" t="s">
        <v>191</v>
      </c>
      <c r="B138" s="6" t="str">
        <f>Informações!$C$3</f>
        <v>IMA</v>
      </c>
      <c r="C138" s="6" t="s">
        <v>29</v>
      </c>
      <c r="D138" s="6" t="s">
        <v>30</v>
      </c>
      <c r="E138" s="2" t="s">
        <v>25</v>
      </c>
      <c r="F138" s="6" t="str">
        <f>VLOOKUP(G138,[1]Discrete!$A:$B,2,FALSE)</f>
        <v>FALTA VCC MOTOR</v>
      </c>
      <c r="G138" s="6" t="s">
        <v>80</v>
      </c>
      <c r="H138" s="6" t="str" cm="1">
        <f t="array" ref="H138">_xlfn.IFS(OR(D138="TC",D138="TP",D138="LT"),CONCATENATE(B138,"_",C138,$B$3,"_",C138,$B$3,"_",G138),D138="SECC",CONCATENATE(B138,"_",C138,$B$3,"_",$B$5,"_",G138),D138="SECF",CONCATENATE(B138,"_",C138,$B$3,"_",$B$6,"_",G138),D138="SECT",CONCATENATE(B138,"_",C138,$B$3,"_",$B$7,"_",G138),D138="SECG",CONCATENATE(B138,"_",C138,$B$3,"_",$B$8,"_",G138),D138="DJ",CONCATENATE(B138,"_",C138,$B$3,"_",$B$4,"_",G138),D138="DJ_P",CONCATENATE(B138,"_",C138,$B$3,"_",$B$4,"_P","_",G138),D138="DJ_A",CONCATENATE(B138,"_",C138,$B$3,"_",$B$4,"_A","_",G138),D138="LT_P",CONCATENATE(B138,"_",C138,$B$3,"_",C138,$B$3,"_P","_",G138),D138="LT_A",CONCATENATE(B138,"_",C138,$B$3,"_",C138,$B$3,"_A","_",G138))</f>
        <v>IMA_LT1_52-1_CCMO</v>
      </c>
      <c r="I138" s="6" t="s">
        <v>267</v>
      </c>
      <c r="J138" s="6" t="s">
        <v>182</v>
      </c>
      <c r="K138" s="6" t="s">
        <v>187</v>
      </c>
      <c r="L138" s="6" t="s">
        <v>188</v>
      </c>
      <c r="M138" s="6" t="s">
        <v>188</v>
      </c>
      <c r="N138" s="6"/>
    </row>
    <row r="139" spans="1:14" x14ac:dyDescent="0.25">
      <c r="A139" s="6" t="s">
        <v>191</v>
      </c>
      <c r="B139" s="6" t="str">
        <f>Informações!$C$3</f>
        <v>IMA</v>
      </c>
      <c r="C139" s="6" t="s">
        <v>29</v>
      </c>
      <c r="D139" s="6" t="s">
        <v>29</v>
      </c>
      <c r="E139" s="2" t="s">
        <v>25</v>
      </c>
      <c r="F139" s="6" t="str">
        <f>VLOOKUP(G139,[1]Discrete!$A:$B,2,FALSE)</f>
        <v>FALHA FUSIVEL TP</v>
      </c>
      <c r="G139" s="6" t="s">
        <v>81</v>
      </c>
      <c r="H139" s="6" t="str" cm="1">
        <f t="array" ref="H139">_xlfn.IFS(OR(D139="TC",D139="TP",D139="LT"),CONCATENATE(B139,"_",C139,$B$3,"_",C139,$B$3,"_",G139),D139="SECC",CONCATENATE(B139,"_",C139,$B$3,"_",$B$5,"_",G139),D139="SECF",CONCATENATE(B139,"_",C139,$B$3,"_",$B$6,"_",G139),D139="SECT",CONCATENATE(B139,"_",C139,$B$3,"_",$B$7,"_",G139),D139="SECG",CONCATENATE(B139,"_",C139,$B$3,"_",$B$8,"_",G139),D139="DJ",CONCATENATE(B139,"_",C139,$B$3,"_",$B$4,"_",G139),D139="DJ_P",CONCATENATE(B139,"_",C139,$B$3,"_",$B$4,"_P","_",G139),D139="DJ_A",CONCATENATE(B139,"_",C139,$B$3,"_",$B$4,"_A","_",G139),D139="LT_P",CONCATENATE(B139,"_",C139,$B$3,"_",C139,$B$3,"_P","_",G139),D139="LT_A",CONCATENATE(B139,"_",C139,$B$3,"_",C139,$B$3,"_A","_",G139))</f>
        <v>IMA_LT1_LT1_FUTP</v>
      </c>
      <c r="I139" s="6" t="s">
        <v>267</v>
      </c>
      <c r="J139" s="6" t="s">
        <v>182</v>
      </c>
      <c r="K139" s="6" t="s">
        <v>180</v>
      </c>
      <c r="L139" s="6" t="s">
        <v>188</v>
      </c>
      <c r="M139" s="6" t="s">
        <v>188</v>
      </c>
      <c r="N139" s="6"/>
    </row>
    <row r="140" spans="1:14" x14ac:dyDescent="0.25">
      <c r="A140" s="6" t="s">
        <v>191</v>
      </c>
      <c r="B140" s="6" t="str">
        <f>Informações!$C$3</f>
        <v>IMA</v>
      </c>
      <c r="C140" s="6" t="s">
        <v>29</v>
      </c>
      <c r="D140" s="6" t="s">
        <v>29</v>
      </c>
      <c r="E140" s="2" t="s">
        <v>25</v>
      </c>
      <c r="F140" s="6" t="str">
        <f>VLOOKUP(G140,[1]Discrete!$A:$B,2,FALSE)</f>
        <v>25 - FALHA SINCRONISMO</v>
      </c>
      <c r="G140" s="6" t="s">
        <v>155</v>
      </c>
      <c r="H140" s="6" t="str" cm="1">
        <f t="array" ref="H140">_xlfn.IFS(OR(D140="TC",D140="TP",D140="LT"),CONCATENATE(B140,"_",C140,$B$3,"_",C140,$B$3,"_",G140),D140="SECC",CONCATENATE(B140,"_",C140,$B$3,"_",$B$5,"_",G140),D140="SECF",CONCATENATE(B140,"_",C140,$B$3,"_",$B$6,"_",G140),D140="SECT",CONCATENATE(B140,"_",C140,$B$3,"_",$B$7,"_",G140),D140="SECG",CONCATENATE(B140,"_",C140,$B$3,"_",$B$8,"_",G140),D140="DJ",CONCATENATE(B140,"_",C140,$B$3,"_",$B$4,"_",G140),D140="DJ_P",CONCATENATE(B140,"_",C140,$B$3,"_",$B$4,"_P","_",G140),D140="DJ_A",CONCATENATE(B140,"_",C140,$B$3,"_",$B$4,"_A","_",G140),D140="LT_P",CONCATENATE(B140,"_",C140,$B$3,"_",C140,$B$3,"_P","_",G140),D140="LT_A",CONCATENATE(B140,"_",C140,$B$3,"_",C140,$B$3,"_A","_",G140))</f>
        <v>IMA_LT1_LT1_25ER</v>
      </c>
      <c r="I140" s="6" t="s">
        <v>267</v>
      </c>
      <c r="J140" s="6" t="s">
        <v>182</v>
      </c>
      <c r="K140" s="6" t="s">
        <v>179</v>
      </c>
      <c r="L140" s="6" t="s">
        <v>188</v>
      </c>
      <c r="M140" s="6" t="s">
        <v>188</v>
      </c>
      <c r="N140" s="6"/>
    </row>
    <row r="141" spans="1:14" x14ac:dyDescent="0.25">
      <c r="A141" s="6" t="s">
        <v>191</v>
      </c>
      <c r="B141" s="6" t="str">
        <f>Informações!$C$3</f>
        <v>IMA</v>
      </c>
      <c r="C141" s="6" t="s">
        <v>29</v>
      </c>
      <c r="D141" s="6" t="s">
        <v>29</v>
      </c>
      <c r="E141" s="2" t="s">
        <v>25</v>
      </c>
      <c r="F141" s="6" t="str">
        <f>VLOOKUP(G141,[1]Discrete!$A:$B,2,FALSE)</f>
        <v>25 - TRIP DIFERENCA DE ANGULO</v>
      </c>
      <c r="G141" s="6" t="s">
        <v>156</v>
      </c>
      <c r="H141" s="6" t="str" cm="1">
        <f t="array" ref="H141">_xlfn.IFS(OR(D141="TC",D141="TP",D141="LT"),CONCATENATE(B141,"_",C141,$B$3,"_",C141,$B$3,"_",G141),D141="SECC",CONCATENATE(B141,"_",C141,$B$3,"_",$B$5,"_",G141),D141="SECF",CONCATENATE(B141,"_",C141,$B$3,"_",$B$6,"_",G141),D141="SECT",CONCATENATE(B141,"_",C141,$B$3,"_",$B$7,"_",G141),D141="SECG",CONCATENATE(B141,"_",C141,$B$3,"_",$B$8,"_",G141),D141="DJ",CONCATENATE(B141,"_",C141,$B$3,"_",$B$4,"_",G141),D141="DJ_P",CONCATENATE(B141,"_",C141,$B$3,"_",$B$4,"_P","_",G141),D141="DJ_A",CONCATENATE(B141,"_",C141,$B$3,"_",$B$4,"_A","_",G141),D141="LT_P",CONCATENATE(B141,"_",C141,$B$3,"_",C141,$B$3,"_P","_",G141),D141="LT_A",CONCATENATE(B141,"_",C141,$B$3,"_",C141,$B$3,"_A","_",G141))</f>
        <v>IMA_LT1_LT1_25AT</v>
      </c>
      <c r="I141" s="6" t="s">
        <v>267</v>
      </c>
      <c r="J141" s="6" t="s">
        <v>182</v>
      </c>
      <c r="K141" s="6" t="s">
        <v>179</v>
      </c>
      <c r="L141" s="6" t="s">
        <v>188</v>
      </c>
      <c r="M141" s="6" t="s">
        <v>188</v>
      </c>
      <c r="N141" s="6"/>
    </row>
    <row r="142" spans="1:14" x14ac:dyDescent="0.25">
      <c r="A142" s="6" t="s">
        <v>191</v>
      </c>
      <c r="B142" s="6" t="str">
        <f>Informações!$C$3</f>
        <v>IMA</v>
      </c>
      <c r="C142" s="6" t="s">
        <v>29</v>
      </c>
      <c r="D142" s="6" t="s">
        <v>29</v>
      </c>
      <c r="E142" s="2" t="s">
        <v>25</v>
      </c>
      <c r="F142" s="6" t="str">
        <f>VLOOKUP(G142,[1]Discrete!$A:$B,2,FALSE)</f>
        <v>25 - TRIP DIFERENCA FREQUENCIA</v>
      </c>
      <c r="G142" s="6" t="s">
        <v>157</v>
      </c>
      <c r="H142" s="6" t="str" cm="1">
        <f t="array" ref="H142">_xlfn.IFS(OR(D142="TC",D142="TP",D142="LT"),CONCATENATE(B142,"_",C142,$B$3,"_",C142,$B$3,"_",G142),D142="SECC",CONCATENATE(B142,"_",C142,$B$3,"_",$B$5,"_",G142),D142="SECF",CONCATENATE(B142,"_",C142,$B$3,"_",$B$6,"_",G142),D142="SECT",CONCATENATE(B142,"_",C142,$B$3,"_",$B$7,"_",G142),D142="SECG",CONCATENATE(B142,"_",C142,$B$3,"_",$B$8,"_",G142),D142="DJ",CONCATENATE(B142,"_",C142,$B$3,"_",$B$4,"_",G142),D142="DJ_P",CONCATENATE(B142,"_",C142,$B$3,"_",$B$4,"_P","_",G142),D142="DJ_A",CONCATENATE(B142,"_",C142,$B$3,"_",$B$4,"_A","_",G142),D142="LT_P",CONCATENATE(B142,"_",C142,$B$3,"_",C142,$B$3,"_P","_",G142),D142="LT_A",CONCATENATE(B142,"_",C142,$B$3,"_",C142,$B$3,"_A","_",G142))</f>
        <v>IMA_LT1_LT1_25FT</v>
      </c>
      <c r="I142" s="6" t="s">
        <v>267</v>
      </c>
      <c r="J142" s="6" t="s">
        <v>182</v>
      </c>
      <c r="K142" s="6" t="s">
        <v>179</v>
      </c>
      <c r="L142" s="6" t="s">
        <v>188</v>
      </c>
      <c r="M142" s="6" t="s">
        <v>188</v>
      </c>
      <c r="N142" s="6"/>
    </row>
    <row r="143" spans="1:14" x14ac:dyDescent="0.25">
      <c r="A143" s="6" t="s">
        <v>191</v>
      </c>
      <c r="B143" s="6" t="str">
        <f>Informações!$C$3</f>
        <v>IMA</v>
      </c>
      <c r="C143" s="6" t="s">
        <v>29</v>
      </c>
      <c r="D143" s="6" t="s">
        <v>29</v>
      </c>
      <c r="E143" s="2" t="s">
        <v>25</v>
      </c>
      <c r="F143" s="6" t="str">
        <f>VLOOKUP(G143,[1]Discrete!$A:$B,2,FALSE)</f>
        <v>25 - TRIP DIFERENCA TENSAO</v>
      </c>
      <c r="G143" s="6" t="s">
        <v>158</v>
      </c>
      <c r="H143" s="6" t="str" cm="1">
        <f t="array" ref="H143">_xlfn.IFS(OR(D143="TC",D143="TP",D143="LT"),CONCATENATE(B143,"_",C143,$B$3,"_",C143,$B$3,"_",G143),D143="SECC",CONCATENATE(B143,"_",C143,$B$3,"_",$B$5,"_",G143),D143="SECF",CONCATENATE(B143,"_",C143,$B$3,"_",$B$6,"_",G143),D143="SECT",CONCATENATE(B143,"_",C143,$B$3,"_",$B$7,"_",G143),D143="SECG",CONCATENATE(B143,"_",C143,$B$3,"_",$B$8,"_",G143),D143="DJ",CONCATENATE(B143,"_",C143,$B$3,"_",$B$4,"_",G143),D143="DJ_P",CONCATENATE(B143,"_",C143,$B$3,"_",$B$4,"_P","_",G143),D143="DJ_A",CONCATENATE(B143,"_",C143,$B$3,"_",$B$4,"_A","_",G143),D143="LT_P",CONCATENATE(B143,"_",C143,$B$3,"_",C143,$B$3,"_P","_",G143),D143="LT_A",CONCATENATE(B143,"_",C143,$B$3,"_",C143,$B$3,"_A","_",G143))</f>
        <v>IMA_LT1_LT1_25VT</v>
      </c>
      <c r="I143" s="6" t="s">
        <v>267</v>
      </c>
      <c r="J143" s="6" t="s">
        <v>182</v>
      </c>
      <c r="K143" s="6" t="s">
        <v>179</v>
      </c>
      <c r="L143" s="6" t="s">
        <v>188</v>
      </c>
      <c r="M143" s="6" t="s">
        <v>188</v>
      </c>
      <c r="N143" s="6"/>
    </row>
    <row r="144" spans="1:14" x14ac:dyDescent="0.25">
      <c r="A144" s="6" t="s">
        <v>191</v>
      </c>
      <c r="B144" s="6" t="str">
        <f>Informações!$C$3</f>
        <v>IMA</v>
      </c>
      <c r="C144" s="6" t="s">
        <v>29</v>
      </c>
      <c r="D144" s="6" t="s">
        <v>30</v>
      </c>
      <c r="E144" s="2" t="s">
        <v>25</v>
      </c>
      <c r="F144" s="6" t="str">
        <f>VLOOKUP(G144,[1]Discrete!$A:$B,2,FALSE)</f>
        <v>25 - FUNCAO SINCRONISMO</v>
      </c>
      <c r="G144" s="6" t="s">
        <v>36</v>
      </c>
      <c r="H144" s="6" t="str" cm="1">
        <f t="array" ref="H144">_xlfn.IFS(OR(D144="TC",D144="TP",D144="LT"),CONCATENATE(B144,"_",C144,$B$3,"_",C144,$B$3,"_",G144),D144="SECC",CONCATENATE(B144,"_",C144,$B$3,"_",$B$5,"_",G144),D144="SECF",CONCATENATE(B144,"_",C144,$B$3,"_",$B$6,"_",G144),D144="SECT",CONCATENATE(B144,"_",C144,$B$3,"_",$B$7,"_",G144),D144="SECG",CONCATENATE(B144,"_",C144,$B$3,"_",$B$8,"_",G144),D144="DJ",CONCATENATE(B144,"_",C144,$B$3,"_",$B$4,"_",G144),D144="DJ_P",CONCATENATE(B144,"_",C144,$B$3,"_",$B$4,"_P","_",G144),D144="DJ_A",CONCATENATE(B144,"_",C144,$B$3,"_",$B$4,"_A","_",G144),D144="LT_P",CONCATENATE(B144,"_",C144,$B$3,"_",C144,$B$3,"_P","_",G144),D144="LT_A",CONCATENATE(B144,"_",C144,$B$3,"_",C144,$B$3,"_A","_",G144))</f>
        <v>IMA_LT1_52-1_25IE</v>
      </c>
      <c r="I144" s="6" t="s">
        <v>267</v>
      </c>
      <c r="J144" s="6" t="s">
        <v>182</v>
      </c>
      <c r="K144" s="6" t="s">
        <v>179</v>
      </c>
      <c r="L144" s="6" t="s">
        <v>188</v>
      </c>
      <c r="M144" s="6" t="s">
        <v>188</v>
      </c>
      <c r="N144" s="6"/>
    </row>
    <row r="145" spans="1:14" x14ac:dyDescent="0.25">
      <c r="A145" s="6" t="s">
        <v>191</v>
      </c>
      <c r="B145" s="6" t="str">
        <f>Informações!$C$3</f>
        <v>IMA</v>
      </c>
      <c r="C145" s="6" t="s">
        <v>29</v>
      </c>
      <c r="D145" s="6" t="s">
        <v>206</v>
      </c>
      <c r="E145" s="2" t="s">
        <v>25</v>
      </c>
      <c r="F145" s="6" t="e">
        <f>VLOOKUP(G145,[1]Discrete!$A:$B,2,FALSE)</f>
        <v>#N/A</v>
      </c>
      <c r="G145" s="6" t="s">
        <v>159</v>
      </c>
      <c r="H145" s="6" t="str" cm="1">
        <f t="array" ref="H145">_xlfn.IFS(OR(D145="TC",D145="TP",D145="LT"),CONCATENATE(B145,"_",C145,$B$3,"_",C145,$B$3,"_",G145),D145="SECC",CONCATENATE(B145,"_",C145,$B$3,"_",$B$5,"_",G145),D145="SECF",CONCATENATE(B145,"_",C145,$B$3,"_",$B$6,"_",G145),D145="SECT",CONCATENATE(B145,"_",C145,$B$3,"_",$B$7,"_",G145),D145="SECG",CONCATENATE(B145,"_",C145,$B$3,"_",$B$8,"_",G145),D145="DJ",CONCATENATE(B145,"_",C145,$B$3,"_",$B$4,"_",G145),D145="DJ_P",CONCATENATE(B145,"_",C145,$B$3,"_",$B$4,"_P","_",G145),D145="DJ_A",CONCATENATE(B145,"_",C145,$B$3,"_",$B$4,"_A","_",G145),D145="LT_P",CONCATENATE(B145,"_",C145,$B$3,"_",C145,$B$3,"_P","_",G145),D145="LT_A",CONCATENATE(B145,"_",C145,$B$3,"_",C145,$B$3,"_A","_",G145))</f>
        <v>IMA_LT1_LT1_P_SOFT</v>
      </c>
      <c r="I145" s="6" t="s">
        <v>267</v>
      </c>
      <c r="J145" s="6" t="s">
        <v>182</v>
      </c>
      <c r="K145" s="6" t="s">
        <v>179</v>
      </c>
      <c r="L145" s="6" t="s">
        <v>188</v>
      </c>
      <c r="M145" s="6" t="s">
        <v>188</v>
      </c>
      <c r="N145" s="6"/>
    </row>
    <row r="146" spans="1:14" x14ac:dyDescent="0.25">
      <c r="A146" s="6" t="s">
        <v>191</v>
      </c>
      <c r="B146" s="6" t="str">
        <f>Informações!$C$3</f>
        <v>IMA</v>
      </c>
      <c r="C146" s="6" t="s">
        <v>29</v>
      </c>
      <c r="D146" s="6" t="s">
        <v>207</v>
      </c>
      <c r="E146" s="2" t="s">
        <v>25</v>
      </c>
      <c r="F146" s="6" t="e">
        <f>VLOOKUP(G146,[1]Discrete!$A:$B,2,FALSE)</f>
        <v>#N/A</v>
      </c>
      <c r="G146" s="6" t="s">
        <v>159</v>
      </c>
      <c r="H146" s="6" t="str" cm="1">
        <f t="array" ref="H146">_xlfn.IFS(OR(D146="TC",D146="TP",D146="LT"),CONCATENATE(B146,"_",C146,$B$3,"_",C146,$B$3,"_",G146),D146="SECC",CONCATENATE(B146,"_",C146,$B$3,"_",$B$5,"_",G146),D146="SECF",CONCATENATE(B146,"_",C146,$B$3,"_",$B$6,"_",G146),D146="SECT",CONCATENATE(B146,"_",C146,$B$3,"_",$B$7,"_",G146),D146="SECG",CONCATENATE(B146,"_",C146,$B$3,"_",$B$8,"_",G146),D146="DJ",CONCATENATE(B146,"_",C146,$B$3,"_",$B$4,"_",G146),D146="DJ_P",CONCATENATE(B146,"_",C146,$B$3,"_",$B$4,"_P","_",G146),D146="DJ_A",CONCATENATE(B146,"_",C146,$B$3,"_",$B$4,"_A","_",G146),D146="LT_P",CONCATENATE(B146,"_",C146,$B$3,"_",C146,$B$3,"_P","_",G146),D146="LT_A",CONCATENATE(B146,"_",C146,$B$3,"_",C146,$B$3,"_A","_",G146))</f>
        <v>IMA_LT1_LT1_A_SOFT</v>
      </c>
      <c r="I146" s="6" t="s">
        <v>267</v>
      </c>
      <c r="J146" s="6" t="s">
        <v>182</v>
      </c>
      <c r="K146" s="6" t="s">
        <v>179</v>
      </c>
      <c r="L146" s="6" t="s">
        <v>188</v>
      </c>
      <c r="M146" s="6" t="s">
        <v>188</v>
      </c>
      <c r="N146" s="6"/>
    </row>
    <row r="147" spans="1:14" x14ac:dyDescent="0.25">
      <c r="A147" s="6" t="s">
        <v>191</v>
      </c>
      <c r="B147" s="6" t="str">
        <f>Informações!$C$3</f>
        <v>IMA</v>
      </c>
      <c r="C147" s="6" t="s">
        <v>29</v>
      </c>
      <c r="D147" s="6" t="s">
        <v>206</v>
      </c>
      <c r="E147" s="2" t="s">
        <v>25</v>
      </c>
      <c r="F147" s="6" t="str">
        <f>VLOOKUP(G147,[1]Discrete!$A:$B,2,FALSE)</f>
        <v>87 - TRIP DIFERENCIAL LINHA</v>
      </c>
      <c r="G147" s="6" t="s">
        <v>160</v>
      </c>
      <c r="H147" s="6" t="str" cm="1">
        <f t="array" ref="H147">_xlfn.IFS(OR(D147="TC",D147="TP",D147="LT"),CONCATENATE(B147,"_",C147,$B$3,"_",C147,$B$3,"_",G147),D147="SECC",CONCATENATE(B147,"_",C147,$B$3,"_",$B$5,"_",G147),D147="SECF",CONCATENATE(B147,"_",C147,$B$3,"_",$B$6,"_",G147),D147="SECT",CONCATENATE(B147,"_",C147,$B$3,"_",$B$7,"_",G147),D147="SECG",CONCATENATE(B147,"_",C147,$B$3,"_",$B$8,"_",G147),D147="DJ",CONCATENATE(B147,"_",C147,$B$3,"_",$B$4,"_",G147),D147="DJ_P",CONCATENATE(B147,"_",C147,$B$3,"_",$B$4,"_P","_",G147),D147="DJ_A",CONCATENATE(B147,"_",C147,$B$3,"_",$B$4,"_A","_",G147),D147="LT_P",CONCATENATE(B147,"_",C147,$B$3,"_",C147,$B$3,"_P","_",G147),D147="LT_A",CONCATENATE(B147,"_",C147,$B$3,"_",C147,$B$3,"_A","_",G147))</f>
        <v>IMA_LT1_LT1_P_87LT</v>
      </c>
      <c r="I147" s="6" t="s">
        <v>267</v>
      </c>
      <c r="J147" s="6" t="s">
        <v>182</v>
      </c>
      <c r="K147" s="6" t="s">
        <v>179</v>
      </c>
      <c r="L147" s="6" t="s">
        <v>188</v>
      </c>
      <c r="M147" s="6" t="s">
        <v>188</v>
      </c>
      <c r="N147" s="6"/>
    </row>
    <row r="148" spans="1:14" x14ac:dyDescent="0.25">
      <c r="A148" s="6" t="s">
        <v>191</v>
      </c>
      <c r="B148" s="6" t="str">
        <f>Informações!$C$3</f>
        <v>IMA</v>
      </c>
      <c r="C148" s="6" t="s">
        <v>29</v>
      </c>
      <c r="D148" s="6" t="s">
        <v>206</v>
      </c>
      <c r="E148" s="2" t="s">
        <v>25</v>
      </c>
      <c r="F148" s="6" t="str">
        <f>VLOOKUP(G148,[1]Discrete!$A:$B,2,FALSE)</f>
        <v>87 - DIFERENCIAL BLOQUEIO</v>
      </c>
      <c r="G148" s="6" t="s">
        <v>161</v>
      </c>
      <c r="H148" s="6" t="str" cm="1">
        <f t="array" ref="H148">_xlfn.IFS(OR(D148="TC",D148="TP",D148="LT"),CONCATENATE(B148,"_",C148,$B$3,"_",C148,$B$3,"_",G148),D148="SECC",CONCATENATE(B148,"_",C148,$B$3,"_",$B$5,"_",G148),D148="SECF",CONCATENATE(B148,"_",C148,$B$3,"_",$B$6,"_",G148),D148="SECT",CONCATENATE(B148,"_",C148,$B$3,"_",$B$7,"_",G148),D148="SECG",CONCATENATE(B148,"_",C148,$B$3,"_",$B$8,"_",G148),D148="DJ",CONCATENATE(B148,"_",C148,$B$3,"_",$B$4,"_",G148),D148="DJ_P",CONCATENATE(B148,"_",C148,$B$3,"_",$B$4,"_P","_",G148),D148="DJ_A",CONCATENATE(B148,"_",C148,$B$3,"_",$B$4,"_A","_",G148),D148="LT_P",CONCATENATE(B148,"_",C148,$B$3,"_",C148,$B$3,"_P","_",G148),D148="LT_A",CONCATENATE(B148,"_",C148,$B$3,"_",C148,$B$3,"_A","_",G148))</f>
        <v>IMA_LT1_LT1_P_87BL</v>
      </c>
      <c r="I148" s="6" t="s">
        <v>267</v>
      </c>
      <c r="J148" s="6" t="s">
        <v>182</v>
      </c>
      <c r="K148" s="6" t="s">
        <v>179</v>
      </c>
      <c r="L148" s="6" t="s">
        <v>188</v>
      </c>
      <c r="M148" s="6" t="s">
        <v>188</v>
      </c>
      <c r="N148" s="6"/>
    </row>
    <row r="149" spans="1:14" x14ac:dyDescent="0.25">
      <c r="A149" s="6" t="s">
        <v>191</v>
      </c>
      <c r="B149" s="6" t="str">
        <f>Informações!$C$3</f>
        <v>IMA</v>
      </c>
      <c r="C149" s="6" t="s">
        <v>29</v>
      </c>
      <c r="D149" s="6" t="s">
        <v>207</v>
      </c>
      <c r="E149" s="2" t="s">
        <v>25</v>
      </c>
      <c r="F149" s="6" t="str">
        <f>VLOOKUP(G149,[1]Discrete!$A:$B,2,FALSE)</f>
        <v>87 - TRIP DIFERENCIAL LINHA</v>
      </c>
      <c r="G149" s="6" t="s">
        <v>160</v>
      </c>
      <c r="H149" s="6" t="str" cm="1">
        <f t="array" ref="H149">_xlfn.IFS(OR(D149="TC",D149="TP",D149="LT"),CONCATENATE(B149,"_",C149,$B$3,"_",C149,$B$3,"_",G149),D149="SECC",CONCATENATE(B149,"_",C149,$B$3,"_",$B$5,"_",G149),D149="SECF",CONCATENATE(B149,"_",C149,$B$3,"_",$B$6,"_",G149),D149="SECT",CONCATENATE(B149,"_",C149,$B$3,"_",$B$7,"_",G149),D149="SECG",CONCATENATE(B149,"_",C149,$B$3,"_",$B$8,"_",G149),D149="DJ",CONCATENATE(B149,"_",C149,$B$3,"_",$B$4,"_",G149),D149="DJ_P",CONCATENATE(B149,"_",C149,$B$3,"_",$B$4,"_P","_",G149),D149="DJ_A",CONCATENATE(B149,"_",C149,$B$3,"_",$B$4,"_A","_",G149),D149="LT_P",CONCATENATE(B149,"_",C149,$B$3,"_",C149,$B$3,"_P","_",G149),D149="LT_A",CONCATENATE(B149,"_",C149,$B$3,"_",C149,$B$3,"_A","_",G149))</f>
        <v>IMA_LT1_LT1_A_87LT</v>
      </c>
      <c r="I149" s="6" t="s">
        <v>267</v>
      </c>
      <c r="J149" s="6" t="s">
        <v>182</v>
      </c>
      <c r="K149" s="6" t="s">
        <v>179</v>
      </c>
      <c r="L149" s="6" t="s">
        <v>188</v>
      </c>
      <c r="M149" s="6" t="s">
        <v>188</v>
      </c>
      <c r="N149" s="6"/>
    </row>
    <row r="150" spans="1:14" x14ac:dyDescent="0.25">
      <c r="A150" s="6" t="s">
        <v>191</v>
      </c>
      <c r="B150" s="6" t="str">
        <f>Informações!$C$3</f>
        <v>IMA</v>
      </c>
      <c r="C150" s="6" t="s">
        <v>29</v>
      </c>
      <c r="D150" s="6" t="s">
        <v>207</v>
      </c>
      <c r="E150" s="2" t="s">
        <v>25</v>
      </c>
      <c r="F150" s="6" t="str">
        <f>VLOOKUP(G150,[1]Discrete!$A:$B,2,FALSE)</f>
        <v>87 - DIFERENCIAL BLOQUEIO</v>
      </c>
      <c r="G150" s="6" t="s">
        <v>161</v>
      </c>
      <c r="H150" s="6" t="str" cm="1">
        <f t="array" ref="H150">_xlfn.IFS(OR(D150="TC",D150="TP",D150="LT"),CONCATENATE(B150,"_",C150,$B$3,"_",C150,$B$3,"_",G150),D150="SECC",CONCATENATE(B150,"_",C150,$B$3,"_",$B$5,"_",G150),D150="SECF",CONCATENATE(B150,"_",C150,$B$3,"_",$B$6,"_",G150),D150="SECT",CONCATENATE(B150,"_",C150,$B$3,"_",$B$7,"_",G150),D150="SECG",CONCATENATE(B150,"_",C150,$B$3,"_",$B$8,"_",G150),D150="DJ",CONCATENATE(B150,"_",C150,$B$3,"_",$B$4,"_",G150),D150="DJ_P",CONCATENATE(B150,"_",C150,$B$3,"_",$B$4,"_P","_",G150),D150="DJ_A",CONCATENATE(B150,"_",C150,$B$3,"_",$B$4,"_A","_",G150),D150="LT_P",CONCATENATE(B150,"_",C150,$B$3,"_",C150,$B$3,"_P","_",G150),D150="LT_A",CONCATENATE(B150,"_",C150,$B$3,"_",C150,$B$3,"_A","_",G150))</f>
        <v>IMA_LT1_LT1_A_87BL</v>
      </c>
      <c r="I150" s="6" t="s">
        <v>267</v>
      </c>
      <c r="J150" s="6" t="s">
        <v>182</v>
      </c>
      <c r="K150" s="6" t="s">
        <v>179</v>
      </c>
      <c r="L150" s="6" t="s">
        <v>188</v>
      </c>
      <c r="M150" s="6" t="s">
        <v>188</v>
      </c>
      <c r="N150" s="6"/>
    </row>
    <row r="151" spans="1:14" x14ac:dyDescent="0.25">
      <c r="A151" s="6" t="s">
        <v>191</v>
      </c>
      <c r="B151" s="6" t="str">
        <f>Informações!$C$3</f>
        <v>IMA</v>
      </c>
      <c r="C151" s="6" t="s">
        <v>29</v>
      </c>
      <c r="D151" s="6" t="s">
        <v>29</v>
      </c>
      <c r="E151" s="2" t="s">
        <v>25</v>
      </c>
      <c r="F151" s="6" t="str">
        <f>VLOOKUP(G151,[1]Discrete!$A:$B,2,FALSE)</f>
        <v>FALHA SINCRONISMO HORA</v>
      </c>
      <c r="G151" s="6" t="s">
        <v>162</v>
      </c>
      <c r="H151" s="6" t="str" cm="1">
        <f t="array" ref="H151">_xlfn.IFS(OR(D151="TC",D151="TP",D151="LT"),CONCATENATE(B151,"_",C151,$B$3,"_",C151,$B$3,"_",G151),D151="SECC",CONCATENATE(B151,"_",C151,$B$3,"_",$B$5,"_",G151),D151="SECF",CONCATENATE(B151,"_",C151,$B$3,"_",$B$6,"_",G151),D151="SECT",CONCATENATE(B151,"_",C151,$B$3,"_",$B$7,"_",G151),D151="SECG",CONCATENATE(B151,"_",C151,$B$3,"_",$B$8,"_",G151),D151="DJ",CONCATENATE(B151,"_",C151,$B$3,"_",$B$4,"_",G151),D151="DJ_P",CONCATENATE(B151,"_",C151,$B$3,"_",$B$4,"_P","_",G151),D151="DJ_A",CONCATENATE(B151,"_",C151,$B$3,"_",$B$4,"_A","_",G151),D151="LT_P",CONCATENATE(B151,"_",C151,$B$3,"_",C151,$B$3,"_P","_",G151),D151="LT_A",CONCATENATE(B151,"_",C151,$B$3,"_",C151,$B$3,"_A","_",G151))</f>
        <v>IMA_LT1_LT1_FSIH</v>
      </c>
      <c r="I151" s="6" t="s">
        <v>267</v>
      </c>
      <c r="J151" s="6" t="s">
        <v>182</v>
      </c>
      <c r="K151" s="6" t="s">
        <v>180</v>
      </c>
      <c r="L151" s="6" t="s">
        <v>188</v>
      </c>
      <c r="M151" s="6" t="s">
        <v>188</v>
      </c>
      <c r="N151" s="6"/>
    </row>
    <row r="152" spans="1:14" x14ac:dyDescent="0.25">
      <c r="A152" s="6" t="s">
        <v>191</v>
      </c>
      <c r="B152" s="6" t="str">
        <f>Informações!$C$3</f>
        <v>IMA</v>
      </c>
      <c r="C152" s="6" t="s">
        <v>29</v>
      </c>
      <c r="D152" s="6" t="s">
        <v>29</v>
      </c>
      <c r="E152" s="2" t="s">
        <v>25</v>
      </c>
      <c r="F152" s="6" t="str">
        <f>VLOOKUP(G152,[1]Discrete!$A:$B,2,FALSE)</f>
        <v>PERDA DE POTENCIAL</v>
      </c>
      <c r="G152" s="6" t="s">
        <v>208</v>
      </c>
      <c r="H152" s="6" t="str" cm="1">
        <f t="array" ref="H152">_xlfn.IFS(OR(D152="TC",D152="TP",D152="LT"),CONCATENATE(B152,"_",C152,$B$3,"_",C152,$B$3,"_",G152),D152="SECC",CONCATENATE(B152,"_",C152,$B$3,"_",$B$5,"_",G152),D152="SECF",CONCATENATE(B152,"_",C152,$B$3,"_",$B$6,"_",G152),D152="SECT",CONCATENATE(B152,"_",C152,$B$3,"_",$B$7,"_",G152),D152="SECG",CONCATENATE(B152,"_",C152,$B$3,"_",$B$8,"_",G152),D152="DJ",CONCATENATE(B152,"_",C152,$B$3,"_",$B$4,"_",G152),D152="DJ_P",CONCATENATE(B152,"_",C152,$B$3,"_",$B$4,"_P","_",G152),D152="DJ_A",CONCATENATE(B152,"_",C152,$B$3,"_",$B$4,"_A","_",G152),D152="LT_P",CONCATENATE(B152,"_",C152,$B$3,"_",C152,$B$3,"_P","_",G152),D152="LT_A",CONCATENATE(B152,"_",C152,$B$3,"_",C152,$B$3,"_A","_",G152))</f>
        <v>IMA_LT1_LT1_PPOT</v>
      </c>
      <c r="I152" s="6" t="s">
        <v>267</v>
      </c>
      <c r="J152" s="6" t="s">
        <v>182</v>
      </c>
      <c r="K152" s="6" t="s">
        <v>179</v>
      </c>
      <c r="L152" s="6" t="s">
        <v>188</v>
      </c>
      <c r="M152" s="6" t="s">
        <v>188</v>
      </c>
      <c r="N152" s="6"/>
    </row>
    <row r="153" spans="1:14" x14ac:dyDescent="0.25">
      <c r="A153" s="6" t="s">
        <v>191</v>
      </c>
      <c r="B153" s="6" t="str">
        <f>Informações!$C$3</f>
        <v>IMA</v>
      </c>
      <c r="C153" s="6" t="s">
        <v>29</v>
      </c>
      <c r="D153" s="6" t="s">
        <v>206</v>
      </c>
      <c r="E153" s="2" t="s">
        <v>25</v>
      </c>
      <c r="F153" s="6" t="str">
        <f>VLOOKUP(G153,[1]Discrete!$A:$B,2,FALSE)</f>
        <v>50 - SOBRECORRENTE INSTANTANEA FASE E1</v>
      </c>
      <c r="G153" s="6" t="s">
        <v>94</v>
      </c>
      <c r="H153" s="6" t="str" cm="1">
        <f t="array" ref="H153">_xlfn.IFS(OR(D153="TC",D153="TP",D153="LT"),CONCATENATE(B153,"_",C153,$B$3,"_",C153,$B$3,"_",G153),D153="SECC",CONCATENATE(B153,"_",C153,$B$3,"_",$B$5,"_",G153),D153="SECF",CONCATENATE(B153,"_",C153,$B$3,"_",$B$6,"_",G153),D153="SECT",CONCATENATE(B153,"_",C153,$B$3,"_",$B$7,"_",G153),D153="SECG",CONCATENATE(B153,"_",C153,$B$3,"_",$B$8,"_",G153),D153="DJ",CONCATENATE(B153,"_",C153,$B$3,"_",$B$4,"_",G153),D153="DJ_P",CONCATENATE(B153,"_",C153,$B$3,"_",$B$4,"_P","_",G153),D153="DJ_A",CONCATENATE(B153,"_",C153,$B$3,"_",$B$4,"_A","_",G153),D153="LT_P",CONCATENATE(B153,"_",C153,$B$3,"_",C153,$B$3,"_P","_",G153),D153="LT_A",CONCATENATE(B153,"_",C153,$B$3,"_",C153,$B$3,"_A","_",G153))</f>
        <v>IMA_LT1_LT1_P_50F1</v>
      </c>
      <c r="I153" s="6" t="s">
        <v>267</v>
      </c>
      <c r="J153" s="6" t="s">
        <v>182</v>
      </c>
      <c r="K153" s="6" t="s">
        <v>179</v>
      </c>
      <c r="L153" s="6"/>
      <c r="M153" s="6"/>
      <c r="N153" s="6"/>
    </row>
    <row r="154" spans="1:14" x14ac:dyDescent="0.25">
      <c r="A154" s="6" t="s">
        <v>191</v>
      </c>
      <c r="B154" s="6" t="str">
        <f>Informações!$C$3</f>
        <v>IMA</v>
      </c>
      <c r="C154" s="6" t="s">
        <v>29</v>
      </c>
      <c r="D154" s="6" t="s">
        <v>206</v>
      </c>
      <c r="E154" s="2" t="s">
        <v>25</v>
      </c>
      <c r="F154" s="6" t="str">
        <f>VLOOKUP(G154,[1]Discrete!$A:$B,2,FALSE)</f>
        <v>50 - SOBRECORRENTE INSTANTANEA FASE E2</v>
      </c>
      <c r="G154" s="6" t="s">
        <v>95</v>
      </c>
      <c r="H154" s="6" t="str" cm="1">
        <f t="array" ref="H154">_xlfn.IFS(OR(D154="TC",D154="TP",D154="LT"),CONCATENATE(B154,"_",C154,$B$3,"_",C154,$B$3,"_",G154),D154="SECC",CONCATENATE(B154,"_",C154,$B$3,"_",$B$5,"_",G154),D154="SECF",CONCATENATE(B154,"_",C154,$B$3,"_",$B$6,"_",G154),D154="SECT",CONCATENATE(B154,"_",C154,$B$3,"_",$B$7,"_",G154),D154="SECG",CONCATENATE(B154,"_",C154,$B$3,"_",$B$8,"_",G154),D154="DJ",CONCATENATE(B154,"_",C154,$B$3,"_",$B$4,"_",G154),D154="DJ_P",CONCATENATE(B154,"_",C154,$B$3,"_",$B$4,"_P","_",G154),D154="DJ_A",CONCATENATE(B154,"_",C154,$B$3,"_",$B$4,"_A","_",G154),D154="LT_P",CONCATENATE(B154,"_",C154,$B$3,"_",C154,$B$3,"_P","_",G154),D154="LT_A",CONCATENATE(B154,"_",C154,$B$3,"_",C154,$B$3,"_A","_",G154))</f>
        <v>IMA_LT1_LT1_P_50F2</v>
      </c>
      <c r="I154" s="6" t="s">
        <v>267</v>
      </c>
      <c r="J154" s="6" t="s">
        <v>182</v>
      </c>
      <c r="K154" s="6" t="s">
        <v>179</v>
      </c>
      <c r="L154" s="6"/>
      <c r="M154" s="6"/>
      <c r="N154" s="6"/>
    </row>
    <row r="155" spans="1:14" x14ac:dyDescent="0.25">
      <c r="A155" s="6" t="s">
        <v>191</v>
      </c>
      <c r="B155" s="6" t="str">
        <f>Informações!$C$3</f>
        <v>IMA</v>
      </c>
      <c r="C155" s="6" t="s">
        <v>29</v>
      </c>
      <c r="D155" s="6" t="s">
        <v>206</v>
      </c>
      <c r="E155" s="2" t="s">
        <v>25</v>
      </c>
      <c r="F155" s="6" t="str">
        <f>VLOOKUP(G155,[1]Discrete!$A:$B,2,FALSE)</f>
        <v>50 - SOBRECORRENTE INSTANTANEA NEUTRO E1</v>
      </c>
      <c r="G155" s="6" t="s">
        <v>96</v>
      </c>
      <c r="H155" s="6" t="str" cm="1">
        <f t="array" ref="H155">_xlfn.IFS(OR(D155="TC",D155="TP",D155="LT"),CONCATENATE(B155,"_",C155,$B$3,"_",C155,$B$3,"_",G155),D155="SECC",CONCATENATE(B155,"_",C155,$B$3,"_",$B$5,"_",G155),D155="SECF",CONCATENATE(B155,"_",C155,$B$3,"_",$B$6,"_",G155),D155="SECT",CONCATENATE(B155,"_",C155,$B$3,"_",$B$7,"_",G155),D155="SECG",CONCATENATE(B155,"_",C155,$B$3,"_",$B$8,"_",G155),D155="DJ",CONCATENATE(B155,"_",C155,$B$3,"_",$B$4,"_",G155),D155="DJ_P",CONCATENATE(B155,"_",C155,$B$3,"_",$B$4,"_P","_",G155),D155="DJ_A",CONCATENATE(B155,"_",C155,$B$3,"_",$B$4,"_A","_",G155),D155="LT_P",CONCATENATE(B155,"_",C155,$B$3,"_",C155,$B$3,"_P","_",G155),D155="LT_A",CONCATENATE(B155,"_",C155,$B$3,"_",C155,$B$3,"_A","_",G155))</f>
        <v>IMA_LT1_LT1_P_50N1</v>
      </c>
      <c r="I155" s="6" t="s">
        <v>267</v>
      </c>
      <c r="J155" s="6" t="s">
        <v>182</v>
      </c>
      <c r="K155" s="6" t="s">
        <v>179</v>
      </c>
      <c r="L155" s="6"/>
      <c r="M155" s="6"/>
      <c r="N155" s="6"/>
    </row>
    <row r="156" spans="1:14" x14ac:dyDescent="0.25">
      <c r="A156" s="6" t="s">
        <v>191</v>
      </c>
      <c r="B156" s="6" t="str">
        <f>Informações!$C$3</f>
        <v>IMA</v>
      </c>
      <c r="C156" s="6" t="s">
        <v>29</v>
      </c>
      <c r="D156" s="6" t="s">
        <v>206</v>
      </c>
      <c r="E156" s="2" t="s">
        <v>25</v>
      </c>
      <c r="F156" s="6" t="str">
        <f>VLOOKUP(G156,[1]Discrete!$A:$B,2,FALSE)</f>
        <v>50 - SOBRECORRENTE INSTANTANEA NEUTRO E2</v>
      </c>
      <c r="G156" s="6" t="s">
        <v>97</v>
      </c>
      <c r="H156" s="6" t="str" cm="1">
        <f t="array" ref="H156">_xlfn.IFS(OR(D156="TC",D156="TP",D156="LT"),CONCATENATE(B156,"_",C156,$B$3,"_",C156,$B$3,"_",G156),D156="SECC",CONCATENATE(B156,"_",C156,$B$3,"_",$B$5,"_",G156),D156="SECF",CONCATENATE(B156,"_",C156,$B$3,"_",$B$6,"_",G156),D156="SECT",CONCATENATE(B156,"_",C156,$B$3,"_",$B$7,"_",G156),D156="SECG",CONCATENATE(B156,"_",C156,$B$3,"_",$B$8,"_",G156),D156="DJ",CONCATENATE(B156,"_",C156,$B$3,"_",$B$4,"_",G156),D156="DJ_P",CONCATENATE(B156,"_",C156,$B$3,"_",$B$4,"_P","_",G156),D156="DJ_A",CONCATENATE(B156,"_",C156,$B$3,"_",$B$4,"_A","_",G156),D156="LT_P",CONCATENATE(B156,"_",C156,$B$3,"_",C156,$B$3,"_P","_",G156),D156="LT_A",CONCATENATE(B156,"_",C156,$B$3,"_",C156,$B$3,"_A","_",G156))</f>
        <v>IMA_LT1_LT1_P_50N2</v>
      </c>
      <c r="I156" s="6" t="s">
        <v>267</v>
      </c>
      <c r="J156" s="6" t="s">
        <v>182</v>
      </c>
      <c r="K156" s="6" t="s">
        <v>179</v>
      </c>
      <c r="L156" s="6"/>
      <c r="M156" s="6"/>
      <c r="N156" s="6"/>
    </row>
    <row r="157" spans="1:14" x14ac:dyDescent="0.25">
      <c r="A157" s="6" t="s">
        <v>191</v>
      </c>
      <c r="B157" s="6" t="str">
        <f>Informações!$C$3</f>
        <v>IMA</v>
      </c>
      <c r="C157" s="6" t="s">
        <v>29</v>
      </c>
      <c r="D157" s="6" t="s">
        <v>206</v>
      </c>
      <c r="E157" s="2" t="s">
        <v>25</v>
      </c>
      <c r="F157" s="6" t="str">
        <f>VLOOKUP(G157,[1]Discrete!$A:$B,2,FALSE)</f>
        <v>50 - SOBRECORRENTE INSTANTANEA FASE</v>
      </c>
      <c r="G157" s="6" t="s">
        <v>416</v>
      </c>
      <c r="H157" s="6" t="str" cm="1">
        <f t="array" ref="H157">_xlfn.IFS(OR(D157="TC",D157="TP",D157="LT"),CONCATENATE(B157,"_",C157,$B$3,"_",C157,$B$3,"_",G157),D157="SECC",CONCATENATE(B157,"_",C157,$B$3,"_",$B$5,"_",G157),D157="SECF",CONCATENATE(B157,"_",C157,$B$3,"_",$B$6,"_",G157),D157="SECT",CONCATENATE(B157,"_",C157,$B$3,"_",$B$7,"_",G157),D157="SECG",CONCATENATE(B157,"_",C157,$B$3,"_",$B$8,"_",G157),D157="DJ",CONCATENATE(B157,"_",C157,$B$3,"_",$B$4,"_",G157),D157="DJ_P",CONCATENATE(B157,"_",C157,$B$3,"_",$B$4,"_P","_",G157),D157="DJ_A",CONCATENATE(B157,"_",C157,$B$3,"_",$B$4,"_A","_",G157),D157="LT_P",CONCATENATE(B157,"_",C157,$B$3,"_",C157,$B$3,"_P","_",G157),D157="LT_A",CONCATENATE(B157,"_",C157,$B$3,"_",C157,$B$3,"_A","_",G157))</f>
        <v>IMA_LT1_LT1_P_50F</v>
      </c>
      <c r="I157" s="6" t="s">
        <v>267</v>
      </c>
      <c r="J157" s="6" t="s">
        <v>182</v>
      </c>
      <c r="K157" s="6" t="s">
        <v>179</v>
      </c>
      <c r="L157" s="6"/>
      <c r="M157" s="6"/>
      <c r="N157" s="6"/>
    </row>
    <row r="158" spans="1:14" x14ac:dyDescent="0.25">
      <c r="A158" s="6" t="s">
        <v>191</v>
      </c>
      <c r="B158" s="6" t="str">
        <f>Informações!$C$3</f>
        <v>IMA</v>
      </c>
      <c r="C158" s="6" t="s">
        <v>29</v>
      </c>
      <c r="D158" s="6" t="s">
        <v>206</v>
      </c>
      <c r="E158" s="2" t="s">
        <v>25</v>
      </c>
      <c r="F158" s="6" t="str">
        <f>VLOOKUP(G158,[1]Discrete!$A:$B,2,FALSE)</f>
        <v>50 - SOBRECORRENTE INSTANTANEA NEUTRO</v>
      </c>
      <c r="G158" s="6" t="s">
        <v>417</v>
      </c>
      <c r="H158" s="6" t="str" cm="1">
        <f t="array" ref="H158">_xlfn.IFS(OR(D158="TC",D158="TP",D158="LT"),CONCATENATE(B158,"_",C158,$B$3,"_",C158,$B$3,"_",G158),D158="SECC",CONCATENATE(B158,"_",C158,$B$3,"_",$B$5,"_",G158),D158="SECF",CONCATENATE(B158,"_",C158,$B$3,"_",$B$6,"_",G158),D158="SECT",CONCATENATE(B158,"_",C158,$B$3,"_",$B$7,"_",G158),D158="SECG",CONCATENATE(B158,"_",C158,$B$3,"_",$B$8,"_",G158),D158="DJ",CONCATENATE(B158,"_",C158,$B$3,"_",$B$4,"_",G158),D158="DJ_P",CONCATENATE(B158,"_",C158,$B$3,"_",$B$4,"_P","_",G158),D158="DJ_A",CONCATENATE(B158,"_",C158,$B$3,"_",$B$4,"_A","_",G158),D158="LT_P",CONCATENATE(B158,"_",C158,$B$3,"_",C158,$B$3,"_P","_",G158),D158="LT_A",CONCATENATE(B158,"_",C158,$B$3,"_",C158,$B$3,"_A","_",G158))</f>
        <v>IMA_LT1_LT1_P_50N</v>
      </c>
      <c r="I158" s="6" t="s">
        <v>267</v>
      </c>
      <c r="J158" s="6" t="s">
        <v>182</v>
      </c>
      <c r="K158" s="6" t="s">
        <v>179</v>
      </c>
      <c r="L158" s="6"/>
      <c r="M158" s="6"/>
      <c r="N158" s="6"/>
    </row>
    <row r="159" spans="1:14" x14ac:dyDescent="0.25">
      <c r="A159" s="6" t="s">
        <v>191</v>
      </c>
      <c r="B159" s="6" t="str">
        <f>Informações!$C$3</f>
        <v>IMA</v>
      </c>
      <c r="C159" s="6" t="s">
        <v>29</v>
      </c>
      <c r="D159" s="6" t="s">
        <v>206</v>
      </c>
      <c r="E159" s="2" t="s">
        <v>25</v>
      </c>
      <c r="F159" s="6" t="str">
        <f>VLOOKUP(G159,[1]Discrete!$A:$B,2,FALSE)</f>
        <v>51 - SOBRECORRENTE TEMPORIZADA FASE E1</v>
      </c>
      <c r="G159" s="6" t="s">
        <v>418</v>
      </c>
      <c r="H159" s="6" t="str" cm="1">
        <f t="array" ref="H159">_xlfn.IFS(OR(D159="TC",D159="TP",D159="LT"),CONCATENATE(B159,"_",C159,$B$3,"_",C159,$B$3,"_",G159),D159="SECC",CONCATENATE(B159,"_",C159,$B$3,"_",$B$5,"_",G159),D159="SECF",CONCATENATE(B159,"_",C159,$B$3,"_",$B$6,"_",G159),D159="SECT",CONCATENATE(B159,"_",C159,$B$3,"_",$B$7,"_",G159),D159="SECG",CONCATENATE(B159,"_",C159,$B$3,"_",$B$8,"_",G159),D159="DJ",CONCATENATE(B159,"_",C159,$B$3,"_",$B$4,"_",G159),D159="DJ_P",CONCATENATE(B159,"_",C159,$B$3,"_",$B$4,"_P","_",G159),D159="DJ_A",CONCATENATE(B159,"_",C159,$B$3,"_",$B$4,"_A","_",G159),D159="LT_P",CONCATENATE(B159,"_",C159,$B$3,"_",C159,$B$3,"_P","_",G159),D159="LT_A",CONCATENATE(B159,"_",C159,$B$3,"_",C159,$B$3,"_A","_",G159))</f>
        <v>IMA_LT1_LT1_P_51F1</v>
      </c>
      <c r="I159" s="6" t="s">
        <v>267</v>
      </c>
      <c r="J159" s="6" t="s">
        <v>182</v>
      </c>
      <c r="K159" s="6" t="s">
        <v>179</v>
      </c>
      <c r="L159" s="6"/>
      <c r="M159" s="6"/>
      <c r="N159" s="6"/>
    </row>
    <row r="160" spans="1:14" x14ac:dyDescent="0.25">
      <c r="A160" s="6" t="s">
        <v>191</v>
      </c>
      <c r="B160" s="6" t="str">
        <f>Informações!$C$3</f>
        <v>IMA</v>
      </c>
      <c r="C160" s="6" t="s">
        <v>29</v>
      </c>
      <c r="D160" s="6" t="s">
        <v>206</v>
      </c>
      <c r="E160" s="2" t="s">
        <v>25</v>
      </c>
      <c r="F160" s="6" t="str">
        <f>VLOOKUP(G160,[1]Discrete!$A:$B,2,FALSE)</f>
        <v>51 - SOBRECORRENTE TEMPORIZADA FASE E2</v>
      </c>
      <c r="G160" s="6" t="s">
        <v>419</v>
      </c>
      <c r="H160" s="6" t="str" cm="1">
        <f t="array" ref="H160">_xlfn.IFS(OR(D160="TC",D160="TP",D160="LT"),CONCATENATE(B160,"_",C160,$B$3,"_",C160,$B$3,"_",G160),D160="SECC",CONCATENATE(B160,"_",C160,$B$3,"_",$B$5,"_",G160),D160="SECF",CONCATENATE(B160,"_",C160,$B$3,"_",$B$6,"_",G160),D160="SECT",CONCATENATE(B160,"_",C160,$B$3,"_",$B$7,"_",G160),D160="SECG",CONCATENATE(B160,"_",C160,$B$3,"_",$B$8,"_",G160),D160="DJ",CONCATENATE(B160,"_",C160,$B$3,"_",$B$4,"_",G160),D160="DJ_P",CONCATENATE(B160,"_",C160,$B$3,"_",$B$4,"_P","_",G160),D160="DJ_A",CONCATENATE(B160,"_",C160,$B$3,"_",$B$4,"_A","_",G160),D160="LT_P",CONCATENATE(B160,"_",C160,$B$3,"_",C160,$B$3,"_P","_",G160),D160="LT_A",CONCATENATE(B160,"_",C160,$B$3,"_",C160,$B$3,"_A","_",G160))</f>
        <v>IMA_LT1_LT1_P_51F2</v>
      </c>
      <c r="I160" s="6" t="s">
        <v>267</v>
      </c>
      <c r="J160" s="6" t="s">
        <v>182</v>
      </c>
      <c r="K160" s="6" t="s">
        <v>179</v>
      </c>
      <c r="L160" s="6"/>
      <c r="M160" s="6"/>
      <c r="N160" s="6"/>
    </row>
    <row r="161" spans="1:14" x14ac:dyDescent="0.25">
      <c r="A161" s="6" t="s">
        <v>191</v>
      </c>
      <c r="B161" s="6" t="str">
        <f>Informações!$C$3</f>
        <v>IMA</v>
      </c>
      <c r="C161" s="6" t="s">
        <v>29</v>
      </c>
      <c r="D161" s="6" t="s">
        <v>206</v>
      </c>
      <c r="E161" s="2" t="s">
        <v>25</v>
      </c>
      <c r="F161" s="6" t="str">
        <f>VLOOKUP(G161,[1]Discrete!$A:$B,2,FALSE)</f>
        <v>51 - SOBRECORRENTE TEMPORIZADA NEUTRO E1</v>
      </c>
      <c r="G161" s="6" t="s">
        <v>111</v>
      </c>
      <c r="H161" s="6" t="str" cm="1">
        <f t="array" ref="H161">_xlfn.IFS(OR(D161="TC",D161="TP",D161="LT"),CONCATENATE(B161,"_",C161,$B$3,"_",C161,$B$3,"_",G161),D161="SECC",CONCATENATE(B161,"_",C161,$B$3,"_",$B$5,"_",G161),D161="SECF",CONCATENATE(B161,"_",C161,$B$3,"_",$B$6,"_",G161),D161="SECT",CONCATENATE(B161,"_",C161,$B$3,"_",$B$7,"_",G161),D161="SECG",CONCATENATE(B161,"_",C161,$B$3,"_",$B$8,"_",G161),D161="DJ",CONCATENATE(B161,"_",C161,$B$3,"_",$B$4,"_",G161),D161="DJ_P",CONCATENATE(B161,"_",C161,$B$3,"_",$B$4,"_P","_",G161),D161="DJ_A",CONCATENATE(B161,"_",C161,$B$3,"_",$B$4,"_A","_",G161),D161="LT_P",CONCATENATE(B161,"_",C161,$B$3,"_",C161,$B$3,"_P","_",G161),D161="LT_A",CONCATENATE(B161,"_",C161,$B$3,"_",C161,$B$3,"_A","_",G161))</f>
        <v>IMA_LT1_LT1_P_51N1</v>
      </c>
      <c r="I161" s="6" t="s">
        <v>267</v>
      </c>
      <c r="J161" s="6" t="s">
        <v>182</v>
      </c>
      <c r="K161" s="6" t="s">
        <v>179</v>
      </c>
      <c r="L161" s="6"/>
      <c r="M161" s="6"/>
      <c r="N161" s="6"/>
    </row>
    <row r="162" spans="1:14" x14ac:dyDescent="0.25">
      <c r="A162" s="6" t="s">
        <v>191</v>
      </c>
      <c r="B162" s="6" t="str">
        <f>Informações!$C$3</f>
        <v>IMA</v>
      </c>
      <c r="C162" s="6" t="s">
        <v>29</v>
      </c>
      <c r="D162" s="6" t="s">
        <v>206</v>
      </c>
      <c r="E162" s="2" t="s">
        <v>25</v>
      </c>
      <c r="F162" s="6" t="str">
        <f>VLOOKUP(G162,[1]Discrete!$A:$B,2,FALSE)</f>
        <v>51 - SOBRECORRENTE TEMPORIZADA NEUTRO E2</v>
      </c>
      <c r="G162" s="6" t="s">
        <v>415</v>
      </c>
      <c r="H162" s="6" t="str" cm="1">
        <f t="array" ref="H162">_xlfn.IFS(OR(D162="TC",D162="TP",D162="LT"),CONCATENATE(B162,"_",C162,$B$3,"_",C162,$B$3,"_",G162),D162="SECC",CONCATENATE(B162,"_",C162,$B$3,"_",$B$5,"_",G162),D162="SECF",CONCATENATE(B162,"_",C162,$B$3,"_",$B$6,"_",G162),D162="SECT",CONCATENATE(B162,"_",C162,$B$3,"_",$B$7,"_",G162),D162="SECG",CONCATENATE(B162,"_",C162,$B$3,"_",$B$8,"_",G162),D162="DJ",CONCATENATE(B162,"_",C162,$B$3,"_",$B$4,"_",G162),D162="DJ_P",CONCATENATE(B162,"_",C162,$B$3,"_",$B$4,"_P","_",G162),D162="DJ_A",CONCATENATE(B162,"_",C162,$B$3,"_",$B$4,"_A","_",G162),D162="LT_P",CONCATENATE(B162,"_",C162,$B$3,"_",C162,$B$3,"_P","_",G162),D162="LT_A",CONCATENATE(B162,"_",C162,$B$3,"_",C162,$B$3,"_A","_",G162))</f>
        <v>IMA_LT1_LT1_P_51N2</v>
      </c>
      <c r="I162" s="6" t="s">
        <v>267</v>
      </c>
      <c r="J162" s="6" t="s">
        <v>182</v>
      </c>
      <c r="K162" s="6" t="s">
        <v>179</v>
      </c>
      <c r="L162" s="6"/>
      <c r="M162" s="6"/>
      <c r="N162" s="6"/>
    </row>
    <row r="163" spans="1:14" x14ac:dyDescent="0.25">
      <c r="A163" s="6" t="s">
        <v>191</v>
      </c>
      <c r="B163" s="6" t="str">
        <f>Informações!$C$3</f>
        <v>IMA</v>
      </c>
      <c r="C163" s="6" t="s">
        <v>29</v>
      </c>
      <c r="D163" s="6" t="s">
        <v>206</v>
      </c>
      <c r="E163" s="2" t="s">
        <v>25</v>
      </c>
      <c r="F163" s="6" t="str">
        <f>VLOOKUP(G163,[1]Discrete!$A:$B,2,FALSE)</f>
        <v>51 - SOBRECORRENTE TEMPORIZADA FASE</v>
      </c>
      <c r="G163" s="6" t="s">
        <v>98</v>
      </c>
      <c r="H163" s="6" t="str" cm="1">
        <f t="array" ref="H163">_xlfn.IFS(OR(D163="TC",D163="TP",D163="LT"),CONCATENATE(B163,"_",C163,$B$3,"_",C163,$B$3,"_",G163),D163="SECC",CONCATENATE(B163,"_",C163,$B$3,"_",$B$5,"_",G163),D163="SECF",CONCATENATE(B163,"_",C163,$B$3,"_",$B$6,"_",G163),D163="SECT",CONCATENATE(B163,"_",C163,$B$3,"_",$B$7,"_",G163),D163="SECG",CONCATENATE(B163,"_",C163,$B$3,"_",$B$8,"_",G163),D163="DJ",CONCATENATE(B163,"_",C163,$B$3,"_",$B$4,"_",G163),D163="DJ_P",CONCATENATE(B163,"_",C163,$B$3,"_",$B$4,"_P","_",G163),D163="DJ_A",CONCATENATE(B163,"_",C163,$B$3,"_",$B$4,"_A","_",G163),D163="LT_P",CONCATENATE(B163,"_",C163,$B$3,"_",C163,$B$3,"_P","_",G163),D163="LT_A",CONCATENATE(B163,"_",C163,$B$3,"_",C163,$B$3,"_A","_",G163))</f>
        <v>IMA_LT1_LT1_P_51F</v>
      </c>
      <c r="I163" s="6" t="s">
        <v>267</v>
      </c>
      <c r="J163" s="6" t="s">
        <v>182</v>
      </c>
      <c r="K163" s="6" t="s">
        <v>179</v>
      </c>
      <c r="L163" s="6"/>
      <c r="M163" s="6"/>
      <c r="N163" s="6"/>
    </row>
    <row r="164" spans="1:14" x14ac:dyDescent="0.25">
      <c r="A164" s="6" t="s">
        <v>191</v>
      </c>
      <c r="B164" s="6" t="str">
        <f>Informações!$C$3</f>
        <v>IMA</v>
      </c>
      <c r="C164" s="6" t="s">
        <v>29</v>
      </c>
      <c r="D164" s="6" t="s">
        <v>206</v>
      </c>
      <c r="E164" s="2" t="s">
        <v>25</v>
      </c>
      <c r="F164" s="6" t="str">
        <f>VLOOKUP(G164,[1]Discrete!$A:$B,2,FALSE)</f>
        <v>51 - FUNCAO SOBRECORRENTE TEMPORIZADA NEUTRO</v>
      </c>
      <c r="G164" s="6" t="s">
        <v>35</v>
      </c>
      <c r="H164" s="6" t="str" cm="1">
        <f t="array" ref="H164">_xlfn.IFS(OR(D164="TC",D164="TP",D164="LT"),CONCATENATE(B164,"_",C164,$B$3,"_",C164,$B$3,"_",G164),D164="SECC",CONCATENATE(B164,"_",C164,$B$3,"_",$B$5,"_",G164),D164="SECF",CONCATENATE(B164,"_",C164,$B$3,"_",$B$6,"_",G164),D164="SECT",CONCATENATE(B164,"_",C164,$B$3,"_",$B$7,"_",G164),D164="SECG",CONCATENATE(B164,"_",C164,$B$3,"_",$B$8,"_",G164),D164="DJ",CONCATENATE(B164,"_",C164,$B$3,"_",$B$4,"_",G164),D164="DJ_P",CONCATENATE(B164,"_",C164,$B$3,"_",$B$4,"_P","_",G164),D164="DJ_A",CONCATENATE(B164,"_",C164,$B$3,"_",$B$4,"_A","_",G164),D164="LT_P",CONCATENATE(B164,"_",C164,$B$3,"_",C164,$B$3,"_P","_",G164),D164="LT_A",CONCATENATE(B164,"_",C164,$B$3,"_",C164,$B$3,"_A","_",G164))</f>
        <v>IMA_LT1_LT1_P_51N</v>
      </c>
      <c r="I164" s="6" t="s">
        <v>267</v>
      </c>
      <c r="J164" s="6" t="s">
        <v>182</v>
      </c>
      <c r="K164" s="6" t="s">
        <v>179</v>
      </c>
      <c r="L164" s="6"/>
      <c r="M164" s="6"/>
      <c r="N164" s="6"/>
    </row>
    <row r="165" spans="1:14" x14ac:dyDescent="0.25">
      <c r="A165" s="6" t="s">
        <v>191</v>
      </c>
      <c r="B165" s="6" t="str">
        <f>Informações!$C$3</f>
        <v>IMA</v>
      </c>
      <c r="C165" s="6" t="s">
        <v>29</v>
      </c>
      <c r="D165" s="6" t="s">
        <v>207</v>
      </c>
      <c r="E165" s="2" t="s">
        <v>25</v>
      </c>
      <c r="F165" s="6" t="str">
        <f>VLOOKUP(G165,[1]Discrete!$A:$B,2,FALSE)</f>
        <v>FALHA COMUNICACAO</v>
      </c>
      <c r="G165" s="6" t="s">
        <v>78</v>
      </c>
      <c r="H165" s="6" t="str" cm="1">
        <f t="array" ref="H165">_xlfn.IFS(OR(D165="TC",D165="TP",D165="LT"),CONCATENATE(B165,"_",C165,$B$3,"_",C165,$B$3,"_",G165),D165="SECC",CONCATENATE(B165,"_",C165,$B$3,"_",$B$5,"_",G165),D165="SECF",CONCATENATE(B165,"_",C165,$B$3,"_",$B$6,"_",G165),D165="SECT",CONCATENATE(B165,"_",C165,$B$3,"_",$B$7,"_",G165),D165="SECG",CONCATENATE(B165,"_",C165,$B$3,"_",$B$8,"_",G165),D165="DJ",CONCATENATE(B165,"_",C165,$B$3,"_",$B$4,"_",G165),D165="DJ_P",CONCATENATE(B165,"_",C165,$B$3,"_",$B$4,"_P","_",G165),D165="DJ_A",CONCATENATE(B165,"_",C165,$B$3,"_",$B$4,"_A","_",G165),D165="LT_P",CONCATENATE(B165,"_",C165,$B$3,"_",C165,$B$3,"_P","_",G165),D165="LT_A",CONCATENATE(B165,"_",C165,$B$3,"_",C165,$B$3,"_A","_",G165))</f>
        <v>IMA_LT1_LT1_A_FCOM</v>
      </c>
      <c r="I165" s="6" t="s">
        <v>267</v>
      </c>
      <c r="J165" s="6" t="s">
        <v>182</v>
      </c>
      <c r="K165" s="6" t="s">
        <v>180</v>
      </c>
      <c r="L165" s="6" t="s">
        <v>188</v>
      </c>
      <c r="M165" s="6" t="s">
        <v>188</v>
      </c>
      <c r="N165" s="6"/>
    </row>
    <row r="166" spans="1:14" x14ac:dyDescent="0.25">
      <c r="A166" s="6" t="s">
        <v>191</v>
      </c>
      <c r="B166" s="6" t="str">
        <f>Informações!$C$3</f>
        <v>IMA</v>
      </c>
      <c r="C166" s="6" t="s">
        <v>29</v>
      </c>
      <c r="D166" s="6" t="s">
        <v>207</v>
      </c>
      <c r="E166" s="2" t="s">
        <v>25</v>
      </c>
      <c r="F166" s="6" t="str">
        <f>VLOOKUP(G166,[1]Discrete!$A:$B,2,FALSE)</f>
        <v>50 - SOBRECORRENTE INSTANTANEA FASE E1</v>
      </c>
      <c r="G166" s="6" t="s">
        <v>94</v>
      </c>
      <c r="H166" s="6" t="str" cm="1">
        <f t="array" ref="H166">_xlfn.IFS(OR(D166="TC",D166="TP",D166="LT"),CONCATENATE(B166,"_",C166,$B$3,"_",C166,$B$3,"_",G166),D166="SECC",CONCATENATE(B166,"_",C166,$B$3,"_",$B$5,"_",G166),D166="SECF",CONCATENATE(B166,"_",C166,$B$3,"_",$B$6,"_",G166),D166="SECT",CONCATENATE(B166,"_",C166,$B$3,"_",$B$7,"_",G166),D166="SECG",CONCATENATE(B166,"_",C166,$B$3,"_",$B$8,"_",G166),D166="DJ",CONCATENATE(B166,"_",C166,$B$3,"_",$B$4,"_",G166),D166="DJ_P",CONCATENATE(B166,"_",C166,$B$3,"_",$B$4,"_P","_",G166),D166="DJ_A",CONCATENATE(B166,"_",C166,$B$3,"_",$B$4,"_A","_",G166),D166="LT_P",CONCATENATE(B166,"_",C166,$B$3,"_",C166,$B$3,"_P","_",G166),D166="LT_A",CONCATENATE(B166,"_",C166,$B$3,"_",C166,$B$3,"_A","_",G166))</f>
        <v>IMA_LT1_LT1_A_50F1</v>
      </c>
      <c r="I166" s="6" t="s">
        <v>267</v>
      </c>
      <c r="J166" s="6" t="s">
        <v>182</v>
      </c>
      <c r="K166" s="6" t="s">
        <v>179</v>
      </c>
      <c r="L166" s="6"/>
      <c r="M166" s="6"/>
      <c r="N166" s="6"/>
    </row>
    <row r="167" spans="1:14" x14ac:dyDescent="0.25">
      <c r="A167" s="6" t="s">
        <v>191</v>
      </c>
      <c r="B167" s="6" t="str">
        <f>Informações!$C$3</f>
        <v>IMA</v>
      </c>
      <c r="C167" s="6" t="s">
        <v>29</v>
      </c>
      <c r="D167" s="6" t="s">
        <v>207</v>
      </c>
      <c r="E167" s="2" t="s">
        <v>25</v>
      </c>
      <c r="F167" s="6" t="str">
        <f>VLOOKUP(G167,[1]Discrete!$A:$B,2,FALSE)</f>
        <v>50 - SOBRECORRENTE INSTANTANEA FASE E2</v>
      </c>
      <c r="G167" s="6" t="s">
        <v>95</v>
      </c>
      <c r="H167" s="6" t="str" cm="1">
        <f t="array" ref="H167">_xlfn.IFS(OR(D167="TC",D167="TP",D167="LT"),CONCATENATE(B167,"_",C167,$B$3,"_",C167,$B$3,"_",G167),D167="SECC",CONCATENATE(B167,"_",C167,$B$3,"_",$B$5,"_",G167),D167="SECF",CONCATENATE(B167,"_",C167,$B$3,"_",$B$6,"_",G167),D167="SECT",CONCATENATE(B167,"_",C167,$B$3,"_",$B$7,"_",G167),D167="SECG",CONCATENATE(B167,"_",C167,$B$3,"_",$B$8,"_",G167),D167="DJ",CONCATENATE(B167,"_",C167,$B$3,"_",$B$4,"_",G167),D167="DJ_P",CONCATENATE(B167,"_",C167,$B$3,"_",$B$4,"_P","_",G167),D167="DJ_A",CONCATENATE(B167,"_",C167,$B$3,"_",$B$4,"_A","_",G167),D167="LT_P",CONCATENATE(B167,"_",C167,$B$3,"_",C167,$B$3,"_P","_",G167),D167="LT_A",CONCATENATE(B167,"_",C167,$B$3,"_",C167,$B$3,"_A","_",G167))</f>
        <v>IMA_LT1_LT1_A_50F2</v>
      </c>
      <c r="I167" s="6" t="s">
        <v>267</v>
      </c>
      <c r="J167" s="6" t="s">
        <v>182</v>
      </c>
      <c r="K167" s="6" t="s">
        <v>179</v>
      </c>
      <c r="L167" s="6"/>
      <c r="M167" s="6"/>
      <c r="N167" s="6"/>
    </row>
    <row r="168" spans="1:14" x14ac:dyDescent="0.25">
      <c r="A168" s="6" t="s">
        <v>191</v>
      </c>
      <c r="B168" s="6" t="str">
        <f>Informações!$C$3</f>
        <v>IMA</v>
      </c>
      <c r="C168" s="6" t="s">
        <v>29</v>
      </c>
      <c r="D168" s="6" t="s">
        <v>207</v>
      </c>
      <c r="E168" s="2" t="s">
        <v>25</v>
      </c>
      <c r="F168" s="6" t="str">
        <f>VLOOKUP(G168,[1]Discrete!$A:$B,2,FALSE)</f>
        <v>50 - SOBRECORRENTE INSTANTANEA NEUTRO E1</v>
      </c>
      <c r="G168" s="6" t="s">
        <v>96</v>
      </c>
      <c r="H168" s="6" t="str" cm="1">
        <f t="array" ref="H168">_xlfn.IFS(OR(D168="TC",D168="TP",D168="LT"),CONCATENATE(B168,"_",C168,$B$3,"_",C168,$B$3,"_",G168),D168="SECC",CONCATENATE(B168,"_",C168,$B$3,"_",$B$5,"_",G168),D168="SECF",CONCATENATE(B168,"_",C168,$B$3,"_",$B$6,"_",G168),D168="SECT",CONCATENATE(B168,"_",C168,$B$3,"_",$B$7,"_",G168),D168="SECG",CONCATENATE(B168,"_",C168,$B$3,"_",$B$8,"_",G168),D168="DJ",CONCATENATE(B168,"_",C168,$B$3,"_",$B$4,"_",G168),D168="DJ_P",CONCATENATE(B168,"_",C168,$B$3,"_",$B$4,"_P","_",G168),D168="DJ_A",CONCATENATE(B168,"_",C168,$B$3,"_",$B$4,"_A","_",G168),D168="LT_P",CONCATENATE(B168,"_",C168,$B$3,"_",C168,$B$3,"_P","_",G168),D168="LT_A",CONCATENATE(B168,"_",C168,$B$3,"_",C168,$B$3,"_A","_",G168))</f>
        <v>IMA_LT1_LT1_A_50N1</v>
      </c>
      <c r="I168" s="6" t="s">
        <v>267</v>
      </c>
      <c r="J168" s="6" t="s">
        <v>182</v>
      </c>
      <c r="K168" s="6" t="s">
        <v>179</v>
      </c>
      <c r="L168" s="6"/>
      <c r="M168" s="6"/>
      <c r="N168" s="6"/>
    </row>
    <row r="169" spans="1:14" x14ac:dyDescent="0.25">
      <c r="A169" s="6" t="s">
        <v>191</v>
      </c>
      <c r="B169" s="6" t="str">
        <f>Informações!$C$3</f>
        <v>IMA</v>
      </c>
      <c r="C169" s="6" t="s">
        <v>29</v>
      </c>
      <c r="D169" s="6" t="s">
        <v>207</v>
      </c>
      <c r="E169" s="2" t="s">
        <v>25</v>
      </c>
      <c r="F169" s="6" t="str">
        <f>VLOOKUP(G169,[1]Discrete!$A:$B,2,FALSE)</f>
        <v>50 - SOBRECORRENTE INSTANTANEA NEUTRO E2</v>
      </c>
      <c r="G169" s="6" t="s">
        <v>97</v>
      </c>
      <c r="H169" s="6" t="str" cm="1">
        <f t="array" ref="H169">_xlfn.IFS(OR(D169="TC",D169="TP",D169="LT"),CONCATENATE(B169,"_",C169,$B$3,"_",C169,$B$3,"_",G169),D169="SECC",CONCATENATE(B169,"_",C169,$B$3,"_",$B$5,"_",G169),D169="SECF",CONCATENATE(B169,"_",C169,$B$3,"_",$B$6,"_",G169),D169="SECT",CONCATENATE(B169,"_",C169,$B$3,"_",$B$7,"_",G169),D169="SECG",CONCATENATE(B169,"_",C169,$B$3,"_",$B$8,"_",G169),D169="DJ",CONCATENATE(B169,"_",C169,$B$3,"_",$B$4,"_",G169),D169="DJ_P",CONCATENATE(B169,"_",C169,$B$3,"_",$B$4,"_P","_",G169),D169="DJ_A",CONCATENATE(B169,"_",C169,$B$3,"_",$B$4,"_A","_",G169),D169="LT_P",CONCATENATE(B169,"_",C169,$B$3,"_",C169,$B$3,"_P","_",G169),D169="LT_A",CONCATENATE(B169,"_",C169,$B$3,"_",C169,$B$3,"_A","_",G169))</f>
        <v>IMA_LT1_LT1_A_50N2</v>
      </c>
      <c r="I169" s="6" t="s">
        <v>267</v>
      </c>
      <c r="J169" s="6" t="s">
        <v>182</v>
      </c>
      <c r="K169" s="6" t="s">
        <v>179</v>
      </c>
      <c r="L169" s="6"/>
      <c r="M169" s="6"/>
      <c r="N169" s="6"/>
    </row>
    <row r="170" spans="1:14" x14ac:dyDescent="0.25">
      <c r="A170" s="6" t="s">
        <v>191</v>
      </c>
      <c r="B170" s="6" t="str">
        <f>Informações!$C$3</f>
        <v>IMA</v>
      </c>
      <c r="C170" s="6" t="s">
        <v>29</v>
      </c>
      <c r="D170" s="6" t="s">
        <v>207</v>
      </c>
      <c r="E170" s="2" t="s">
        <v>25</v>
      </c>
      <c r="F170" s="6" t="str">
        <f>VLOOKUP(G170,[1]Discrete!$A:$B,2,FALSE)</f>
        <v>50 - SOBRECORRENTE INSTANTANEA FASE</v>
      </c>
      <c r="G170" s="6" t="s">
        <v>416</v>
      </c>
      <c r="H170" s="6" t="str" cm="1">
        <f t="array" ref="H170">_xlfn.IFS(OR(D170="TC",D170="TP",D170="LT"),CONCATENATE(B170,"_",C170,$B$3,"_",C170,$B$3,"_",G170),D170="SECC",CONCATENATE(B170,"_",C170,$B$3,"_",$B$5,"_",G170),D170="SECF",CONCATENATE(B170,"_",C170,$B$3,"_",$B$6,"_",G170),D170="SECT",CONCATENATE(B170,"_",C170,$B$3,"_",$B$7,"_",G170),D170="SECG",CONCATENATE(B170,"_",C170,$B$3,"_",$B$8,"_",G170),D170="DJ",CONCATENATE(B170,"_",C170,$B$3,"_",$B$4,"_",G170),D170="DJ_P",CONCATENATE(B170,"_",C170,$B$3,"_",$B$4,"_P","_",G170),D170="DJ_A",CONCATENATE(B170,"_",C170,$B$3,"_",$B$4,"_A","_",G170),D170="LT_P",CONCATENATE(B170,"_",C170,$B$3,"_",C170,$B$3,"_P","_",G170),D170="LT_A",CONCATENATE(B170,"_",C170,$B$3,"_",C170,$B$3,"_A","_",G170))</f>
        <v>IMA_LT1_LT1_A_50F</v>
      </c>
      <c r="I170" s="6" t="s">
        <v>267</v>
      </c>
      <c r="J170" s="6" t="s">
        <v>182</v>
      </c>
      <c r="K170" s="6" t="s">
        <v>179</v>
      </c>
      <c r="L170" s="6"/>
      <c r="M170" s="6"/>
      <c r="N170" s="6"/>
    </row>
    <row r="171" spans="1:14" x14ac:dyDescent="0.25">
      <c r="A171" s="6" t="s">
        <v>191</v>
      </c>
      <c r="B171" s="6" t="str">
        <f>Informações!$C$3</f>
        <v>IMA</v>
      </c>
      <c r="C171" s="6" t="s">
        <v>29</v>
      </c>
      <c r="D171" s="6" t="s">
        <v>207</v>
      </c>
      <c r="E171" s="2" t="s">
        <v>25</v>
      </c>
      <c r="F171" s="6" t="str">
        <f>VLOOKUP(G171,[1]Discrete!$A:$B,2,FALSE)</f>
        <v>50 - SOBRECORRENTE INSTANTANEA NEUTRO</v>
      </c>
      <c r="G171" s="6" t="s">
        <v>417</v>
      </c>
      <c r="H171" s="6" t="str" cm="1">
        <f t="array" ref="H171">_xlfn.IFS(OR(D171="TC",D171="TP",D171="LT"),CONCATENATE(B171,"_",C171,$B$3,"_",C171,$B$3,"_",G171),D171="SECC",CONCATENATE(B171,"_",C171,$B$3,"_",$B$5,"_",G171),D171="SECF",CONCATENATE(B171,"_",C171,$B$3,"_",$B$6,"_",G171),D171="SECT",CONCATENATE(B171,"_",C171,$B$3,"_",$B$7,"_",G171),D171="SECG",CONCATENATE(B171,"_",C171,$B$3,"_",$B$8,"_",G171),D171="DJ",CONCATENATE(B171,"_",C171,$B$3,"_",$B$4,"_",G171),D171="DJ_P",CONCATENATE(B171,"_",C171,$B$3,"_",$B$4,"_P","_",G171),D171="DJ_A",CONCATENATE(B171,"_",C171,$B$3,"_",$B$4,"_A","_",G171),D171="LT_P",CONCATENATE(B171,"_",C171,$B$3,"_",C171,$B$3,"_P","_",G171),D171="LT_A",CONCATENATE(B171,"_",C171,$B$3,"_",C171,$B$3,"_A","_",G171))</f>
        <v>IMA_LT1_LT1_A_50N</v>
      </c>
      <c r="I171" s="6" t="s">
        <v>267</v>
      </c>
      <c r="J171" s="6" t="s">
        <v>182</v>
      </c>
      <c r="K171" s="6" t="s">
        <v>179</v>
      </c>
      <c r="L171" s="6"/>
      <c r="M171" s="6"/>
      <c r="N171" s="6"/>
    </row>
    <row r="172" spans="1:14" x14ac:dyDescent="0.25">
      <c r="A172" s="6" t="s">
        <v>191</v>
      </c>
      <c r="B172" s="6" t="str">
        <f>Informações!$C$3</f>
        <v>IMA</v>
      </c>
      <c r="C172" s="6" t="s">
        <v>29</v>
      </c>
      <c r="D172" s="6" t="s">
        <v>207</v>
      </c>
      <c r="E172" s="2" t="s">
        <v>25</v>
      </c>
      <c r="F172" s="6" t="str">
        <f>VLOOKUP(G172,[1]Discrete!$A:$B,2,FALSE)</f>
        <v>51 - SOBRECORRENTE TEMPORIZADA FASE E1</v>
      </c>
      <c r="G172" s="6" t="s">
        <v>418</v>
      </c>
      <c r="H172" s="6" t="str" cm="1">
        <f t="array" ref="H172">_xlfn.IFS(OR(D172="TC",D172="TP",D172="LT"),CONCATENATE(B172,"_",C172,$B$3,"_",C172,$B$3,"_",G172),D172="SECC",CONCATENATE(B172,"_",C172,$B$3,"_",$B$5,"_",G172),D172="SECF",CONCATENATE(B172,"_",C172,$B$3,"_",$B$6,"_",G172),D172="SECT",CONCATENATE(B172,"_",C172,$B$3,"_",$B$7,"_",G172),D172="SECG",CONCATENATE(B172,"_",C172,$B$3,"_",$B$8,"_",G172),D172="DJ",CONCATENATE(B172,"_",C172,$B$3,"_",$B$4,"_",G172),D172="DJ_P",CONCATENATE(B172,"_",C172,$B$3,"_",$B$4,"_P","_",G172),D172="DJ_A",CONCATENATE(B172,"_",C172,$B$3,"_",$B$4,"_A","_",G172),D172="LT_P",CONCATENATE(B172,"_",C172,$B$3,"_",C172,$B$3,"_P","_",G172),D172="LT_A",CONCATENATE(B172,"_",C172,$B$3,"_",C172,$B$3,"_A","_",G172))</f>
        <v>IMA_LT1_LT1_A_51F1</v>
      </c>
      <c r="I172" s="6" t="s">
        <v>267</v>
      </c>
      <c r="J172" s="6" t="s">
        <v>182</v>
      </c>
      <c r="K172" s="6" t="s">
        <v>179</v>
      </c>
      <c r="L172" s="6"/>
      <c r="M172" s="6"/>
      <c r="N172" s="6"/>
    </row>
    <row r="173" spans="1:14" x14ac:dyDescent="0.25">
      <c r="A173" s="6" t="s">
        <v>191</v>
      </c>
      <c r="B173" s="6" t="str">
        <f>Informações!$C$3</f>
        <v>IMA</v>
      </c>
      <c r="C173" s="6" t="s">
        <v>29</v>
      </c>
      <c r="D173" s="6" t="s">
        <v>207</v>
      </c>
      <c r="E173" s="2" t="s">
        <v>25</v>
      </c>
      <c r="F173" s="6" t="str">
        <f>VLOOKUP(G173,[1]Discrete!$A:$B,2,FALSE)</f>
        <v>51 - SOBRECORRENTE TEMPORIZADA FASE E2</v>
      </c>
      <c r="G173" s="6" t="s">
        <v>419</v>
      </c>
      <c r="H173" s="6" t="str" cm="1">
        <f t="array" ref="H173">_xlfn.IFS(OR(D173="TC",D173="TP",D173="LT"),CONCATENATE(B173,"_",C173,$B$3,"_",C173,$B$3,"_",G173),D173="SECC",CONCATENATE(B173,"_",C173,$B$3,"_",$B$5,"_",G173),D173="SECF",CONCATENATE(B173,"_",C173,$B$3,"_",$B$6,"_",G173),D173="SECT",CONCATENATE(B173,"_",C173,$B$3,"_",$B$7,"_",G173),D173="SECG",CONCATENATE(B173,"_",C173,$B$3,"_",$B$8,"_",G173),D173="DJ",CONCATENATE(B173,"_",C173,$B$3,"_",$B$4,"_",G173),D173="DJ_P",CONCATENATE(B173,"_",C173,$B$3,"_",$B$4,"_P","_",G173),D173="DJ_A",CONCATENATE(B173,"_",C173,$B$3,"_",$B$4,"_A","_",G173),D173="LT_P",CONCATENATE(B173,"_",C173,$B$3,"_",C173,$B$3,"_P","_",G173),D173="LT_A",CONCATENATE(B173,"_",C173,$B$3,"_",C173,$B$3,"_A","_",G173))</f>
        <v>IMA_LT1_LT1_A_51F2</v>
      </c>
      <c r="I173" s="6" t="s">
        <v>267</v>
      </c>
      <c r="J173" s="6" t="s">
        <v>182</v>
      </c>
      <c r="K173" s="6" t="s">
        <v>179</v>
      </c>
      <c r="L173" s="6"/>
      <c r="M173" s="6"/>
      <c r="N173" s="6"/>
    </row>
    <row r="174" spans="1:14" x14ac:dyDescent="0.25">
      <c r="A174" s="6" t="s">
        <v>191</v>
      </c>
      <c r="B174" s="6" t="str">
        <f>Informações!$C$3</f>
        <v>IMA</v>
      </c>
      <c r="C174" s="6" t="s">
        <v>29</v>
      </c>
      <c r="D174" s="6" t="s">
        <v>207</v>
      </c>
      <c r="E174" s="2" t="s">
        <v>25</v>
      </c>
      <c r="F174" s="6" t="str">
        <f>VLOOKUP(G174,[1]Discrete!$A:$B,2,FALSE)</f>
        <v>51 - SOBRECORRENTE TEMPORIZADA NEUTRO E1</v>
      </c>
      <c r="G174" s="6" t="s">
        <v>111</v>
      </c>
      <c r="H174" s="6" t="str" cm="1">
        <f t="array" ref="H174">_xlfn.IFS(OR(D174="TC",D174="TP",D174="LT"),CONCATENATE(B174,"_",C174,$B$3,"_",C174,$B$3,"_",G174),D174="SECC",CONCATENATE(B174,"_",C174,$B$3,"_",$B$5,"_",G174),D174="SECF",CONCATENATE(B174,"_",C174,$B$3,"_",$B$6,"_",G174),D174="SECT",CONCATENATE(B174,"_",C174,$B$3,"_",$B$7,"_",G174),D174="SECG",CONCATENATE(B174,"_",C174,$B$3,"_",$B$8,"_",G174),D174="DJ",CONCATENATE(B174,"_",C174,$B$3,"_",$B$4,"_",G174),D174="DJ_P",CONCATENATE(B174,"_",C174,$B$3,"_",$B$4,"_P","_",G174),D174="DJ_A",CONCATENATE(B174,"_",C174,$B$3,"_",$B$4,"_A","_",G174),D174="LT_P",CONCATENATE(B174,"_",C174,$B$3,"_",C174,$B$3,"_P","_",G174),D174="LT_A",CONCATENATE(B174,"_",C174,$B$3,"_",C174,$B$3,"_A","_",G174))</f>
        <v>IMA_LT1_LT1_A_51N1</v>
      </c>
      <c r="I174" s="6" t="s">
        <v>267</v>
      </c>
      <c r="J174" s="6" t="s">
        <v>182</v>
      </c>
      <c r="K174" s="6" t="s">
        <v>179</v>
      </c>
      <c r="L174" s="6"/>
      <c r="M174" s="6"/>
      <c r="N174" s="6"/>
    </row>
    <row r="175" spans="1:14" x14ac:dyDescent="0.25">
      <c r="A175" s="6" t="s">
        <v>191</v>
      </c>
      <c r="B175" s="6" t="str">
        <f>Informações!$C$3</f>
        <v>IMA</v>
      </c>
      <c r="C175" s="6" t="s">
        <v>29</v>
      </c>
      <c r="D175" s="6" t="s">
        <v>207</v>
      </c>
      <c r="E175" s="2" t="s">
        <v>25</v>
      </c>
      <c r="F175" s="6" t="str">
        <f>VLOOKUP(G175,[1]Discrete!$A:$B,2,FALSE)</f>
        <v>51 - SOBRECORRENTE TEMPORIZADA NEUTRO E2</v>
      </c>
      <c r="G175" s="6" t="s">
        <v>415</v>
      </c>
      <c r="H175" s="6" t="str" cm="1">
        <f t="array" ref="H175">_xlfn.IFS(OR(D175="TC",D175="TP",D175="LT"),CONCATENATE(B175,"_",C175,$B$3,"_",C175,$B$3,"_",G175),D175="SECC",CONCATENATE(B175,"_",C175,$B$3,"_",$B$5,"_",G175),D175="SECF",CONCATENATE(B175,"_",C175,$B$3,"_",$B$6,"_",G175),D175="SECT",CONCATENATE(B175,"_",C175,$B$3,"_",$B$7,"_",G175),D175="SECG",CONCATENATE(B175,"_",C175,$B$3,"_",$B$8,"_",G175),D175="DJ",CONCATENATE(B175,"_",C175,$B$3,"_",$B$4,"_",G175),D175="DJ_P",CONCATENATE(B175,"_",C175,$B$3,"_",$B$4,"_P","_",G175),D175="DJ_A",CONCATENATE(B175,"_",C175,$B$3,"_",$B$4,"_A","_",G175),D175="LT_P",CONCATENATE(B175,"_",C175,$B$3,"_",C175,$B$3,"_P","_",G175),D175="LT_A",CONCATENATE(B175,"_",C175,$B$3,"_",C175,$B$3,"_A","_",G175))</f>
        <v>IMA_LT1_LT1_A_51N2</v>
      </c>
      <c r="I175" s="6" t="s">
        <v>267</v>
      </c>
      <c r="J175" s="6" t="s">
        <v>182</v>
      </c>
      <c r="K175" s="6" t="s">
        <v>179</v>
      </c>
      <c r="L175" s="6"/>
      <c r="M175" s="6"/>
      <c r="N175" s="6"/>
    </row>
    <row r="176" spans="1:14" x14ac:dyDescent="0.25">
      <c r="A176" s="6" t="s">
        <v>191</v>
      </c>
      <c r="B176" s="6" t="str">
        <f>Informações!$C$3</f>
        <v>IMA</v>
      </c>
      <c r="C176" s="6" t="s">
        <v>29</v>
      </c>
      <c r="D176" s="6" t="s">
        <v>207</v>
      </c>
      <c r="E176" s="2" t="s">
        <v>25</v>
      </c>
      <c r="F176" s="6" t="str">
        <f>VLOOKUP(G176,[1]Discrete!$A:$B,2,FALSE)</f>
        <v>51 - SOBRECORRENTE TEMPORIZADA FASE</v>
      </c>
      <c r="G176" s="6" t="s">
        <v>98</v>
      </c>
      <c r="H176" s="6" t="str" cm="1">
        <f t="array" ref="H176">_xlfn.IFS(OR(D176="TC",D176="TP",D176="LT"),CONCATENATE(B176,"_",C176,$B$3,"_",C176,$B$3,"_",G176),D176="SECC",CONCATENATE(B176,"_",C176,$B$3,"_",$B$5,"_",G176),D176="SECF",CONCATENATE(B176,"_",C176,$B$3,"_",$B$6,"_",G176),D176="SECT",CONCATENATE(B176,"_",C176,$B$3,"_",$B$7,"_",G176),D176="SECG",CONCATENATE(B176,"_",C176,$B$3,"_",$B$8,"_",G176),D176="DJ",CONCATENATE(B176,"_",C176,$B$3,"_",$B$4,"_",G176),D176="DJ_P",CONCATENATE(B176,"_",C176,$B$3,"_",$B$4,"_P","_",G176),D176="DJ_A",CONCATENATE(B176,"_",C176,$B$3,"_",$B$4,"_A","_",G176),D176="LT_P",CONCATENATE(B176,"_",C176,$B$3,"_",C176,$B$3,"_P","_",G176),D176="LT_A",CONCATENATE(B176,"_",C176,$B$3,"_",C176,$B$3,"_A","_",G176))</f>
        <v>IMA_LT1_LT1_A_51F</v>
      </c>
      <c r="I176" s="6" t="s">
        <v>267</v>
      </c>
      <c r="J176" s="6" t="s">
        <v>182</v>
      </c>
      <c r="K176" s="6" t="s">
        <v>179</v>
      </c>
      <c r="L176" s="6"/>
      <c r="M176" s="6"/>
      <c r="N176" s="6"/>
    </row>
    <row r="177" spans="1:14" x14ac:dyDescent="0.25">
      <c r="A177" s="6" t="s">
        <v>191</v>
      </c>
      <c r="B177" s="6" t="str">
        <f>Informações!$C$3</f>
        <v>IMA</v>
      </c>
      <c r="C177" s="6" t="s">
        <v>29</v>
      </c>
      <c r="D177" s="6" t="s">
        <v>207</v>
      </c>
      <c r="E177" s="2" t="s">
        <v>25</v>
      </c>
      <c r="F177" s="6" t="str">
        <f>VLOOKUP(G177,[1]Discrete!$A:$B,2,FALSE)</f>
        <v>51 - FUNCAO SOBRECORRENTE TEMPORIZADA NEUTRO</v>
      </c>
      <c r="G177" s="6" t="s">
        <v>35</v>
      </c>
      <c r="H177" s="6" t="str" cm="1">
        <f t="array" ref="H177">_xlfn.IFS(OR(D177="TC",D177="TP",D177="LT"),CONCATENATE(B177,"_",C177,$B$3,"_",C177,$B$3,"_",G177),D177="SECC",CONCATENATE(B177,"_",C177,$B$3,"_",$B$5,"_",G177),D177="SECF",CONCATENATE(B177,"_",C177,$B$3,"_",$B$6,"_",G177),D177="SECT",CONCATENATE(B177,"_",C177,$B$3,"_",$B$7,"_",G177),D177="SECG",CONCATENATE(B177,"_",C177,$B$3,"_",$B$8,"_",G177),D177="DJ",CONCATENATE(B177,"_",C177,$B$3,"_",$B$4,"_",G177),D177="DJ_P",CONCATENATE(B177,"_",C177,$B$3,"_",$B$4,"_P","_",G177),D177="DJ_A",CONCATENATE(B177,"_",C177,$B$3,"_",$B$4,"_A","_",G177),D177="LT_P",CONCATENATE(B177,"_",C177,$B$3,"_",C177,$B$3,"_P","_",G177),D177="LT_A",CONCATENATE(B177,"_",C177,$B$3,"_",C177,$B$3,"_A","_",G177))</f>
        <v>IMA_LT1_LT1_A_51N</v>
      </c>
      <c r="I177" s="6" t="s">
        <v>267</v>
      </c>
      <c r="J177" s="6" t="s">
        <v>182</v>
      </c>
      <c r="K177" s="6" t="s">
        <v>179</v>
      </c>
      <c r="L177" s="6"/>
      <c r="M177" s="6"/>
      <c r="N177" s="6"/>
    </row>
    <row r="178" spans="1:14" x14ac:dyDescent="0.25">
      <c r="A178" s="6" t="s">
        <v>191</v>
      </c>
      <c r="B178" s="6" t="str">
        <f>Informações!$C$3</f>
        <v>IMA</v>
      </c>
      <c r="C178" s="6" t="s">
        <v>29</v>
      </c>
      <c r="D178" s="6" t="s">
        <v>206</v>
      </c>
      <c r="E178" s="2" t="s">
        <v>25</v>
      </c>
      <c r="F178" s="6" t="str">
        <f>VLOOKUP(G178,[1]Discrete!$A:$B,2,FALSE)</f>
        <v>FALHA IRIG B - SINCRONISMO</v>
      </c>
      <c r="G178" s="6" t="s">
        <v>148</v>
      </c>
      <c r="H178" s="6" t="str" cm="1">
        <f t="array" ref="H178">_xlfn.IFS(OR(D178="TC",D178="TP",D178="LT"),CONCATENATE(B178,"_",C178,$B$3,"_",C178,$B$3,"_",G178),D178="SECC",CONCATENATE(B178,"_",C178,$B$3,"_",$B$5,"_",G178),D178="SECF",CONCATENATE(B178,"_",C178,$B$3,"_",$B$6,"_",G178),D178="SECT",CONCATENATE(B178,"_",C178,$B$3,"_",$B$7,"_",G178),D178="SECG",CONCATENATE(B178,"_",C178,$B$3,"_",$B$8,"_",G178),D178="DJ",CONCATENATE(B178,"_",C178,$B$3,"_",$B$4,"_",G178),D178="DJ_P",CONCATENATE(B178,"_",C178,$B$3,"_",$B$4,"_P","_",G178),D178="DJ_A",CONCATENATE(B178,"_",C178,$B$3,"_",$B$4,"_A","_",G178),D178="LT_P",CONCATENATE(B178,"_",C178,$B$3,"_",C178,$B$3,"_P","_",G178),D178="LT_A",CONCATENATE(B178,"_",C178,$B$3,"_",C178,$B$3,"_A","_",G178))</f>
        <v>IMA_LT1_LT1_P_FSIN</v>
      </c>
      <c r="I178" s="6" t="s">
        <v>267</v>
      </c>
      <c r="J178" s="6" t="s">
        <v>182</v>
      </c>
      <c r="K178" s="6" t="s">
        <v>180</v>
      </c>
      <c r="L178" s="6" t="s">
        <v>188</v>
      </c>
      <c r="M178" s="6" t="s">
        <v>188</v>
      </c>
      <c r="N178" s="6"/>
    </row>
    <row r="179" spans="1:14" x14ac:dyDescent="0.25">
      <c r="A179" s="6" t="s">
        <v>191</v>
      </c>
      <c r="B179" s="6" t="str">
        <f>Informações!$C$3</f>
        <v>IMA</v>
      </c>
      <c r="C179" s="6" t="s">
        <v>29</v>
      </c>
      <c r="D179" s="6" t="s">
        <v>207</v>
      </c>
      <c r="E179" s="2" t="s">
        <v>25</v>
      </c>
      <c r="F179" s="6" t="str">
        <f>VLOOKUP(G179,[1]Discrete!$A:$B,2,FALSE)</f>
        <v>FALHA IRIG B - SINCRONISMO</v>
      </c>
      <c r="G179" s="6" t="s">
        <v>148</v>
      </c>
      <c r="H179" s="6" t="str" cm="1">
        <f t="array" ref="H179">_xlfn.IFS(OR(D179="TC",D179="TP",D179="LT"),CONCATENATE(B179,"_",C179,$B$3,"_",C179,$B$3,"_",G179),D179="SECC",CONCATENATE(B179,"_",C179,$B$3,"_",$B$5,"_",G179),D179="SECF",CONCATENATE(B179,"_",C179,$B$3,"_",$B$6,"_",G179),D179="SECT",CONCATENATE(B179,"_",C179,$B$3,"_",$B$7,"_",G179),D179="SECG",CONCATENATE(B179,"_",C179,$B$3,"_",$B$8,"_",G179),D179="DJ",CONCATENATE(B179,"_",C179,$B$3,"_",$B$4,"_",G179),D179="DJ_P",CONCATENATE(B179,"_",C179,$B$3,"_",$B$4,"_P","_",G179),D179="DJ_A",CONCATENATE(B179,"_",C179,$B$3,"_",$B$4,"_A","_",G179),D179="LT_P",CONCATENATE(B179,"_",C179,$B$3,"_",C179,$B$3,"_P","_",G179),D179="LT_A",CONCATENATE(B179,"_",C179,$B$3,"_",C179,$B$3,"_A","_",G179))</f>
        <v>IMA_LT1_LT1_A_FSIN</v>
      </c>
      <c r="I179" s="6" t="s">
        <v>267</v>
      </c>
      <c r="J179" s="6" t="s">
        <v>182</v>
      </c>
      <c r="K179" s="6" t="s">
        <v>180</v>
      </c>
      <c r="L179" s="6" t="s">
        <v>188</v>
      </c>
      <c r="M179" s="6" t="s">
        <v>188</v>
      </c>
      <c r="N179" s="6"/>
    </row>
    <row r="181" spans="1:14" x14ac:dyDescent="0.25">
      <c r="A181" s="108" t="s">
        <v>215</v>
      </c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</row>
    <row r="182" spans="1:14" ht="30" x14ac:dyDescent="0.25">
      <c r="A182" s="3" t="s">
        <v>189</v>
      </c>
      <c r="B182" s="3" t="s">
        <v>1</v>
      </c>
      <c r="C182" s="3" t="s">
        <v>83</v>
      </c>
      <c r="D182" s="3" t="s">
        <v>26</v>
      </c>
      <c r="E182" s="3" t="s">
        <v>7</v>
      </c>
      <c r="F182" s="3" t="s">
        <v>84</v>
      </c>
      <c r="G182" s="3" t="s">
        <v>85</v>
      </c>
      <c r="H182" s="3" t="s">
        <v>86</v>
      </c>
      <c r="I182" s="3" t="s">
        <v>254</v>
      </c>
      <c r="J182" s="3" t="s">
        <v>177</v>
      </c>
      <c r="K182" s="3" t="s">
        <v>178</v>
      </c>
      <c r="L182" s="3" t="s">
        <v>260</v>
      </c>
      <c r="M182" s="3" t="s">
        <v>266</v>
      </c>
      <c r="N182" s="3" t="s">
        <v>192</v>
      </c>
    </row>
    <row r="183" spans="1:14" x14ac:dyDescent="0.25">
      <c r="A183" s="6" t="s">
        <v>191</v>
      </c>
      <c r="B183" s="6" t="str">
        <f>Informações!$C$3</f>
        <v>IMA</v>
      </c>
      <c r="C183" s="6" t="s">
        <v>29</v>
      </c>
      <c r="D183" s="6" t="s">
        <v>29</v>
      </c>
      <c r="E183" s="6" t="s">
        <v>25</v>
      </c>
      <c r="F183" s="6" t="s">
        <v>237</v>
      </c>
      <c r="G183" s="6" t="s">
        <v>202</v>
      </c>
      <c r="H183" s="6" t="str" cm="1">
        <f t="array" ref="H183">_xlfn.IFS(OR(D183="TC",D183="TP",D183="LT"),CONCATENATE(B183,"_",C183,$B$3,"_",C183,$B$3,"_",G183),D183="SECC",CONCATENATE(B183,"_",C183,$B$3,"_",$B$5,"_",G183),D183="SECF",CONCATENATE(B183,"_",C183,$B$3,"_",$B$6,"_",G183),D183="SECT",CONCATENATE(B183,"_",C183,$B$3,"_",$B$7,"_",G183),D183="SECG",CONCATENATE(B183,"_",C183,$B$3,"_",$B$8,"_",G183),D183="DJ",CONCATENATE(B183,"_",C183,$B$3,"_",$B$4,"_",G183),D183="DJ_P",CONCATENATE(B183,"_",C183,$B$3,"_",$B$4,"_P","_",G183),D183="DJ_A",CONCATENATE(B183,"_",C183,$B$3,"_",$B$4,"_A","_",G183),D183="LT_P",CONCATENATE(B183,"_",C183,$B$3,"_",C183,$B$3,"_P","_",G183),D183="LT_A",CONCATENATE(B183,"_",C183,$B$3,"_",C183,$B$3,"_A","_",G183))</f>
        <v>IMA_LT1_LT1_ETH</v>
      </c>
      <c r="I183" s="6" t="s">
        <v>267</v>
      </c>
      <c r="J183" s="6" t="s">
        <v>182</v>
      </c>
      <c r="K183" s="6" t="s">
        <v>180</v>
      </c>
      <c r="L183" s="6" t="s">
        <v>188</v>
      </c>
      <c r="M183" s="6" t="s">
        <v>188</v>
      </c>
      <c r="N183" s="6"/>
    </row>
    <row r="184" spans="1:14" x14ac:dyDescent="0.25">
      <c r="A184" s="6" t="s">
        <v>191</v>
      </c>
      <c r="B184" s="6" t="str">
        <f>Informações!$C$3</f>
        <v>IMA</v>
      </c>
      <c r="C184" s="6" t="s">
        <v>29</v>
      </c>
      <c r="D184" s="6" t="s">
        <v>206</v>
      </c>
      <c r="E184" s="6" t="s">
        <v>25</v>
      </c>
      <c r="F184" s="6" t="s">
        <v>238</v>
      </c>
      <c r="G184" s="6" t="s">
        <v>239</v>
      </c>
      <c r="H184" s="6" t="str" cm="1">
        <f t="array" ref="H184">_xlfn.IFS(OR(D184="TC",D184="TP",D184="LT"),CONCATENATE(B184,"_",C184,$B$3,"_",C184,$B$3,"_",G184),D184="SECC",CONCATENATE(B184,"_",C184,$B$3,"_",$B$5,"_",G184),D184="SECF",CONCATENATE(B184,"_",C184,$B$3,"_",$B$6,"_",G184),D184="SECT",CONCATENATE(B184,"_",C184,$B$3,"_",$B$7,"_",G184),D184="SECG",CONCATENATE(B184,"_",C184,$B$3,"_",$B$8,"_",G184),D184="DJ",CONCATENATE(B184,"_",C184,$B$3,"_",$B$4,"_",G184),D184="DJ_P",CONCATENATE(B184,"_",C184,$B$3,"_",$B$4,"_P","_",G184),D184="DJ_A",CONCATENATE(B184,"_",C184,$B$3,"_",$B$4,"_A","_",G184),D184="LT_P",CONCATENATE(B184,"_",C184,$B$3,"_",C184,$B$3,"_P","_",G184),D184="LT_A",CONCATENATE(B184,"_",C184,$B$3,"_",C184,$B$3,"_A","_",G184))</f>
        <v>IMA_LT1_LT1_P_FGOO</v>
      </c>
      <c r="I184" s="6" t="s">
        <v>267</v>
      </c>
      <c r="J184" s="6" t="s">
        <v>182</v>
      </c>
      <c r="K184" s="6" t="s">
        <v>180</v>
      </c>
      <c r="L184" s="6" t="s">
        <v>188</v>
      </c>
      <c r="M184" s="6" t="s">
        <v>188</v>
      </c>
      <c r="N184" s="6"/>
    </row>
    <row r="185" spans="1:14" x14ac:dyDescent="0.25">
      <c r="A185" s="6" t="s">
        <v>191</v>
      </c>
      <c r="B185" s="6" t="str">
        <f>Informações!$C$3</f>
        <v>IMA</v>
      </c>
      <c r="C185" s="6" t="s">
        <v>29</v>
      </c>
      <c r="D185" s="6" t="s">
        <v>207</v>
      </c>
      <c r="E185" s="6" t="s">
        <v>25</v>
      </c>
      <c r="F185" s="6" t="s">
        <v>238</v>
      </c>
      <c r="G185" s="6" t="s">
        <v>239</v>
      </c>
      <c r="H185" s="6" t="str" cm="1">
        <f t="array" ref="H185">_xlfn.IFS(OR(D185="TC",D185="TP",D185="LT"),CONCATENATE(B185,"_",C185,$B$3,"_",C185,$B$3,"_",G185),D185="SECC",CONCATENATE(B185,"_",C185,$B$3,"_",$B$5,"_",G185),D185="SECF",CONCATENATE(B185,"_",C185,$B$3,"_",$B$6,"_",G185),D185="SECT",CONCATENATE(B185,"_",C185,$B$3,"_",$B$7,"_",G185),D185="SECG",CONCATENATE(B185,"_",C185,$B$3,"_",$B$8,"_",G185),D185="DJ",CONCATENATE(B185,"_",C185,$B$3,"_",$B$4,"_",G185),D185="DJ_P",CONCATENATE(B185,"_",C185,$B$3,"_",$B$4,"_P","_",G185),D185="DJ_A",CONCATENATE(B185,"_",C185,$B$3,"_",$B$4,"_A","_",G185),D185="LT_P",CONCATENATE(B185,"_",C185,$B$3,"_",C185,$B$3,"_P","_",G185),D185="LT_A",CONCATENATE(B185,"_",C185,$B$3,"_",C185,$B$3,"_A","_",G185))</f>
        <v>IMA_LT1_LT1_A_FGOO</v>
      </c>
      <c r="I185" s="6" t="s">
        <v>267</v>
      </c>
      <c r="J185" s="6" t="s">
        <v>182</v>
      </c>
      <c r="K185" s="6" t="s">
        <v>180</v>
      </c>
      <c r="L185" s="6" t="s">
        <v>188</v>
      </c>
      <c r="M185" s="6" t="s">
        <v>188</v>
      </c>
      <c r="N185" s="6"/>
    </row>
    <row r="187" spans="1:14" x14ac:dyDescent="0.25">
      <c r="A187" s="116" t="s">
        <v>214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8"/>
    </row>
    <row r="188" spans="1:14" ht="30" x14ac:dyDescent="0.25">
      <c r="A188" s="3" t="s">
        <v>189</v>
      </c>
      <c r="B188" s="3" t="s">
        <v>1</v>
      </c>
      <c r="C188" s="3" t="s">
        <v>83</v>
      </c>
      <c r="D188" s="3" t="s">
        <v>26</v>
      </c>
      <c r="E188" s="3" t="s">
        <v>7</v>
      </c>
      <c r="F188" s="3" t="s">
        <v>84</v>
      </c>
      <c r="G188" s="3" t="s">
        <v>85</v>
      </c>
      <c r="H188" s="3" t="s">
        <v>86</v>
      </c>
      <c r="I188" s="3" t="s">
        <v>254</v>
      </c>
      <c r="J188" s="3" t="s">
        <v>177</v>
      </c>
      <c r="K188" s="3" t="s">
        <v>178</v>
      </c>
      <c r="L188" s="3" t="s">
        <v>260</v>
      </c>
      <c r="M188" s="3" t="s">
        <v>266</v>
      </c>
      <c r="N188" s="3" t="s">
        <v>192</v>
      </c>
    </row>
    <row r="189" spans="1:14" x14ac:dyDescent="0.25">
      <c r="A189" s="6" t="s">
        <v>191</v>
      </c>
      <c r="B189" s="6" t="str">
        <f>Informações!$C$3</f>
        <v>IMA</v>
      </c>
      <c r="C189" s="6" t="s">
        <v>29</v>
      </c>
      <c r="D189" s="6" t="s">
        <v>30</v>
      </c>
      <c r="E189" s="2" t="s">
        <v>24</v>
      </c>
      <c r="F189" s="6" t="s">
        <v>217</v>
      </c>
      <c r="G189" s="6" t="s">
        <v>196</v>
      </c>
      <c r="H189" s="6" t="str" cm="1">
        <f t="array" ref="H189">_xlfn.IFS(OR(D189="TC",D189="TP",D189="LT"),CONCATENATE(B189,"_",C189,$B$3,"_",C189,$B$3,"_",G189),D189="SECC",CONCATENATE(B189,"_",C189,$B$3,"_",$B$5,"_",G189),D189="SECF",CONCATENATE(B189,"_",C189,$B$3,"_",$B$6,"_",G189),D189="SECT",CONCATENATE(B189,"_",C189,$B$3,"_",$B$7,"_",G189),D189="SECG",CONCATENATE(B189,"_",C189,$B$3,"_",$B$8,"_",G189),D189="DJ",CONCATENATE(B189,"_",C189,$B$3,"_",$B$4,"_",G189),D189="DJ_P",CONCATENATE(B189,"_",C189,$B$3,"_",$B$4,"_P","_",G189),D189="DJ_A",CONCATENATE(B189,"_",C189,$B$3,"_",$B$4,"_A","_",G189),D189="LT_P",CONCATENATE(B189,"_",C189,$B$3,"_",C189,$B$3,"_P","_",G189),D189="LT_A",CONCATENATE(B189,"_",C189,$B$3,"_",C189,$B$3,"_A","_",G189))</f>
        <v>IMA_LT1_52-1_TAL</v>
      </c>
      <c r="I189" s="6" t="s">
        <v>188</v>
      </c>
      <c r="J189" s="6" t="s">
        <v>188</v>
      </c>
      <c r="K189" s="6" t="s">
        <v>188</v>
      </c>
      <c r="L189" s="6" t="s">
        <v>188</v>
      </c>
      <c r="M189" s="6" t="s">
        <v>280</v>
      </c>
      <c r="N189" s="6"/>
    </row>
    <row r="190" spans="1:14" x14ac:dyDescent="0.25">
      <c r="A190" s="6" t="s">
        <v>191</v>
      </c>
      <c r="B190" s="6" t="str">
        <f>Informações!$C$3</f>
        <v>IMA</v>
      </c>
      <c r="C190" s="6" t="s">
        <v>29</v>
      </c>
      <c r="D190" s="6" t="s">
        <v>30</v>
      </c>
      <c r="E190" s="2" t="s">
        <v>24</v>
      </c>
      <c r="F190" s="6" t="s">
        <v>216</v>
      </c>
      <c r="G190" s="6" t="s">
        <v>197</v>
      </c>
      <c r="H190" s="6" t="str" cm="1">
        <f t="array" ref="H190">_xlfn.IFS(OR(D190="TC",D190="TP",D190="LT"),CONCATENATE(B190,"_",C190,$B$3,"_",C190,$B$3,"_",G190),D190="SECC",CONCATENATE(B190,"_",C190,$B$3,"_",$B$5,"_",G190),D190="SECF",CONCATENATE(B190,"_",C190,$B$3,"_",$B$6,"_",G190),D190="SECT",CONCATENATE(B190,"_",C190,$B$3,"_",$B$7,"_",G190),D190="SECG",CONCATENATE(B190,"_",C190,$B$3,"_",$B$8,"_",G190),D190="DJ",CONCATENATE(B190,"_",C190,$B$3,"_",$B$4,"_",G190),D190="DJ_P",CONCATENATE(B190,"_",C190,$B$3,"_",$B$4,"_P","_",G190),D190="DJ_A",CONCATENATE(B190,"_",C190,$B$3,"_",$B$4,"_A","_",G190),D190="LT_P",CONCATENATE(B190,"_",C190,$B$3,"_",C190,$B$3,"_P","_",G190),D190="LT_A",CONCATENATE(B190,"_",C190,$B$3,"_",C190,$B$3,"_A","_",G190))</f>
        <v>IMA_LT1_52-1_TPPM</v>
      </c>
      <c r="I190" s="6" t="s">
        <v>188</v>
      </c>
      <c r="J190" s="6" t="s">
        <v>188</v>
      </c>
      <c r="K190" s="6" t="s">
        <v>188</v>
      </c>
      <c r="L190" s="6" t="s">
        <v>188</v>
      </c>
      <c r="M190" s="6" t="s">
        <v>280</v>
      </c>
      <c r="N190" s="6"/>
    </row>
    <row r="191" spans="1:14" x14ac:dyDescent="0.25">
      <c r="A191" s="6" t="s">
        <v>191</v>
      </c>
      <c r="B191" s="6" t="str">
        <f>Informações!$C$3</f>
        <v>IMA</v>
      </c>
      <c r="C191" s="6" t="s">
        <v>29</v>
      </c>
      <c r="D191" s="6" t="s">
        <v>30</v>
      </c>
      <c r="E191" s="2" t="s">
        <v>24</v>
      </c>
      <c r="F191" s="6" t="s">
        <v>227</v>
      </c>
      <c r="G191" s="6" t="s">
        <v>201</v>
      </c>
      <c r="H191" s="6" t="str" cm="1">
        <f t="array" ref="H191">_xlfn.IFS(OR(D191="TC",D191="TP",D191="LT"),CONCATENATE(B191,"_",C191,$B$3,"_",C191,$B$3,"_",G191),D191="SECC",CONCATENATE(B191,"_",C191,$B$3,"_",$B$5,"_",G191),D191="SECF",CONCATENATE(B191,"_",C191,$B$3,"_",$B$6,"_",G191),D191="SECT",CONCATENATE(B191,"_",C191,$B$3,"_",$B$7,"_",G191),D191="SECG",CONCATENATE(B191,"_",C191,$B$3,"_",$B$8,"_",G191),D191="DJ",CONCATENATE(B191,"_",C191,$B$3,"_",$B$4,"_",G191),D191="DJ_P",CONCATENATE(B191,"_",C191,$B$3,"_",$B$4,"_P","_",G191),D191="DJ_A",CONCATENATE(B191,"_",C191,$B$3,"_",$B$4,"_A","_",G191),D191="LT_P",CONCATENATE(B191,"_",C191,$B$3,"_",C191,$B$3,"_P","_",G191),D191="LT_A",CONCATENATE(B191,"_",C191,$B$3,"_",C191,$B$3,"_A","_",G191))</f>
        <v>IMA_LT1_52-1_81A</v>
      </c>
      <c r="I191" s="6" t="s">
        <v>188</v>
      </c>
      <c r="J191" s="6" t="s">
        <v>188</v>
      </c>
      <c r="K191" s="6" t="s">
        <v>188</v>
      </c>
      <c r="L191" s="6" t="s">
        <v>188</v>
      </c>
      <c r="M191" s="6" t="s">
        <v>280</v>
      </c>
      <c r="N191" s="6"/>
    </row>
    <row r="192" spans="1:14" x14ac:dyDescent="0.25">
      <c r="A192" s="6" t="s">
        <v>191</v>
      </c>
      <c r="B192" s="6" t="str">
        <f>Informações!$C$3</f>
        <v>IMA</v>
      </c>
      <c r="C192" s="6" t="s">
        <v>29</v>
      </c>
      <c r="D192" s="6" t="s">
        <v>30</v>
      </c>
      <c r="E192" s="2" t="s">
        <v>25</v>
      </c>
      <c r="F192" s="6" t="s">
        <v>217</v>
      </c>
      <c r="G192" s="6" t="s">
        <v>196</v>
      </c>
      <c r="H192" s="6" t="str" cm="1">
        <f t="array" ref="H192">_xlfn.IFS(OR(D192="TC",D192="TP",D192="LT"),CONCATENATE(B192,"_",C192,$B$3,"_",C192,$B$3,"_",G192),D192="SECC",CONCATENATE(B192,"_",C192,$B$3,"_",$B$5,"_",G192),D192="SECF",CONCATENATE(B192,"_",C192,$B$3,"_",$B$6,"_",G192),D192="SECT",CONCATENATE(B192,"_",C192,$B$3,"_",$B$7,"_",G192),D192="SECG",CONCATENATE(B192,"_",C192,$B$3,"_",$B$8,"_",G192),D192="DJ",CONCATENATE(B192,"_",C192,$B$3,"_",$B$4,"_",G192),D192="DJ_P",CONCATENATE(B192,"_",C192,$B$3,"_",$B$4,"_P","_",G192),D192="DJ_A",CONCATENATE(B192,"_",C192,$B$3,"_",$B$4,"_A","_",G192),D192="LT_P",CONCATENATE(B192,"_",C192,$B$3,"_",C192,$B$3,"_P","_",G192),D192="LT_A",CONCATENATE(B192,"_",C192,$B$3,"_",C192,$B$3,"_A","_",G192))</f>
        <v>IMA_LT1_52-1_TAL</v>
      </c>
      <c r="I192" s="6" t="s">
        <v>267</v>
      </c>
      <c r="J192" s="6" t="s">
        <v>183</v>
      </c>
      <c r="K192" s="6" t="s">
        <v>184</v>
      </c>
      <c r="L192" s="6" t="s">
        <v>188</v>
      </c>
      <c r="M192" s="6" t="s">
        <v>188</v>
      </c>
      <c r="N192" s="6"/>
    </row>
    <row r="193" spans="1:14" x14ac:dyDescent="0.25">
      <c r="A193" s="6" t="s">
        <v>191</v>
      </c>
      <c r="B193" s="6" t="str">
        <f>Informações!$C$3</f>
        <v>IMA</v>
      </c>
      <c r="C193" s="6" t="s">
        <v>29</v>
      </c>
      <c r="D193" s="6" t="s">
        <v>30</v>
      </c>
      <c r="E193" s="2" t="s">
        <v>25</v>
      </c>
      <c r="F193" s="6" t="s">
        <v>218</v>
      </c>
      <c r="G193" s="6" t="s">
        <v>234</v>
      </c>
      <c r="H193" s="6" t="str" cm="1">
        <f t="array" ref="H193">_xlfn.IFS(OR(D193="TC",D193="TP",D193="LT"),CONCATENATE(B193,"_",C193,$B$3,"_",C193,$B$3,"_",G193),D193="SECC",CONCATENATE(B193,"_",C193,$B$3,"_",$B$5,"_",G193),D193="SECF",CONCATENATE(B193,"_",C193,$B$3,"_",$B$6,"_",G193),D193="SECT",CONCATENATE(B193,"_",C193,$B$3,"_",$B$7,"_",G193),D193="SECG",CONCATENATE(B193,"_",C193,$B$3,"_",$B$8,"_",G193),D193="DJ",CONCATENATE(B193,"_",C193,$B$3,"_",$B$4,"_",G193),D193="DJ_P",CONCATENATE(B193,"_",C193,$B$3,"_",$B$4,"_P","_",G193),D193="DJ_A",CONCATENATE(B193,"_",C193,$B$3,"_",$B$4,"_A","_",G193),D193="LT_P",CONCATENATE(B193,"_",C193,$B$3,"_",C193,$B$3,"_P","_",G193),D193="LT_A",CONCATENATE(B193,"_",C193,$B$3,"_",C193,$B$3,"_A","_",G193))</f>
        <v>IMA_LT1_52-1_TALS</v>
      </c>
      <c r="I193" s="6" t="s">
        <v>267</v>
      </c>
      <c r="J193" s="6" t="s">
        <v>182</v>
      </c>
      <c r="K193" s="6" t="s">
        <v>179</v>
      </c>
      <c r="L193" s="6" t="s">
        <v>188</v>
      </c>
      <c r="M193" s="6" t="s">
        <v>188</v>
      </c>
      <c r="N193" s="6"/>
    </row>
    <row r="194" spans="1:14" x14ac:dyDescent="0.25">
      <c r="A194" s="6" t="s">
        <v>191</v>
      </c>
      <c r="B194" s="6" t="str">
        <f>Informações!$C$3</f>
        <v>IMA</v>
      </c>
      <c r="C194" s="6" t="s">
        <v>29</v>
      </c>
      <c r="D194" s="6" t="s">
        <v>30</v>
      </c>
      <c r="E194" s="2" t="s">
        <v>25</v>
      </c>
      <c r="F194" s="6" t="s">
        <v>219</v>
      </c>
      <c r="G194" s="6" t="s">
        <v>231</v>
      </c>
      <c r="H194" s="6" t="str" cm="1">
        <f t="array" ref="H194">_xlfn.IFS(OR(D194="TC",D194="TP",D194="LT"),CONCATENATE(B194,"_",C194,$B$3,"_",C194,$B$3,"_",G194),D194="SECC",CONCATENATE(B194,"_",C194,$B$3,"_",$B$5,"_",G194),D194="SECF",CONCATENATE(B194,"_",C194,$B$3,"_",$B$6,"_",G194),D194="SECT",CONCATENATE(B194,"_",C194,$B$3,"_",$B$7,"_",G194),D194="SECG",CONCATENATE(B194,"_",C194,$B$3,"_",$B$8,"_",G194),D194="DJ",CONCATENATE(B194,"_",C194,$B$3,"_",$B$4,"_",G194),D194="DJ_P",CONCATENATE(B194,"_",C194,$B$3,"_",$B$4,"_P","_",G194),D194="DJ_A",CONCATENATE(B194,"_",C194,$B$3,"_",$B$4,"_A","_",G194),D194="LT_P",CONCATENATE(B194,"_",C194,$B$3,"_",C194,$B$3,"_P","_",G194),D194="LT_A",CONCATENATE(B194,"_",C194,$B$3,"_",C194,$B$3,"_A","_",G194))</f>
        <v>IMA_LT1_52-1_TALF</v>
      </c>
      <c r="I194" s="6" t="s">
        <v>267</v>
      </c>
      <c r="J194" s="6" t="s">
        <v>182</v>
      </c>
      <c r="K194" s="6" t="s">
        <v>180</v>
      </c>
      <c r="L194" s="6" t="s">
        <v>188</v>
      </c>
      <c r="M194" s="6" t="s">
        <v>188</v>
      </c>
      <c r="N194" s="6"/>
    </row>
    <row r="195" spans="1:14" x14ac:dyDescent="0.25">
      <c r="A195" s="6" t="s">
        <v>191</v>
      </c>
      <c r="B195" s="6" t="str">
        <f>Informações!$C$3</f>
        <v>IMA</v>
      </c>
      <c r="C195" s="6" t="s">
        <v>29</v>
      </c>
      <c r="D195" s="6" t="s">
        <v>30</v>
      </c>
      <c r="E195" s="2" t="s">
        <v>25</v>
      </c>
      <c r="F195" s="6" t="s">
        <v>233</v>
      </c>
      <c r="G195" s="6" t="s">
        <v>232</v>
      </c>
      <c r="H195" s="6" t="str" cm="1">
        <f t="array" ref="H195">_xlfn.IFS(OR(D195="TC",D195="TP",D195="LT"),CONCATENATE(B195,"_",C195,$B$3,"_",C195,$B$3,"_",G195),D195="SECC",CONCATENATE(B195,"_",C195,$B$3,"_",$B$5,"_",G195),D195="SECF",CONCATENATE(B195,"_",C195,$B$3,"_",$B$6,"_",G195),D195="SECT",CONCATENATE(B195,"_",C195,$B$3,"_",$B$7,"_",G195),D195="SECG",CONCATENATE(B195,"_",C195,$B$3,"_",$B$8,"_",G195),D195="DJ",CONCATENATE(B195,"_",C195,$B$3,"_",$B$4,"_",G195),D195="DJ_P",CONCATENATE(B195,"_",C195,$B$3,"_",$B$4,"_P","_",G195),D195="DJ_A",CONCATENATE(B195,"_",C195,$B$3,"_",$B$4,"_A","_",G195),D195="LT_P",CONCATENATE(B195,"_",C195,$B$3,"_",C195,$B$3,"_P","_",G195),D195="LT_A",CONCATENATE(B195,"_",C195,$B$3,"_",C195,$B$3,"_A","_",G195))</f>
        <v>IMA_LT1_52-1_TALB</v>
      </c>
      <c r="I195" s="6" t="s">
        <v>267</v>
      </c>
      <c r="J195" s="6" t="s">
        <v>182</v>
      </c>
      <c r="K195" s="6" t="s">
        <v>179</v>
      </c>
      <c r="L195" s="6" t="s">
        <v>188</v>
      </c>
      <c r="M195" s="6" t="s">
        <v>188</v>
      </c>
      <c r="N195" s="6"/>
    </row>
    <row r="196" spans="1:14" x14ac:dyDescent="0.25">
      <c r="A196" s="6" t="s">
        <v>191</v>
      </c>
      <c r="B196" s="6" t="str">
        <f>Informações!$C$3</f>
        <v>IMA</v>
      </c>
      <c r="C196" s="6" t="s">
        <v>29</v>
      </c>
      <c r="D196" s="6" t="s">
        <v>30</v>
      </c>
      <c r="E196" s="2" t="s">
        <v>25</v>
      </c>
      <c r="F196" s="6" t="s">
        <v>216</v>
      </c>
      <c r="G196" s="6" t="s">
        <v>197</v>
      </c>
      <c r="H196" s="6" t="str" cm="1">
        <f t="array" ref="H196">_xlfn.IFS(OR(D196="TC",D196="TP",D196="LT"),CONCATENATE(B196,"_",C196,$B$3,"_",C196,$B$3,"_",G196),D196="SECC",CONCATENATE(B196,"_",C196,$B$3,"_",$B$5,"_",G196),D196="SECF",CONCATENATE(B196,"_",C196,$B$3,"_",$B$6,"_",G196),D196="SECT",CONCATENATE(B196,"_",C196,$B$3,"_",$B$7,"_",G196),D196="SECG",CONCATENATE(B196,"_",C196,$B$3,"_",$B$8,"_",G196),D196="DJ",CONCATENATE(B196,"_",C196,$B$3,"_",$B$4,"_",G196),D196="DJ_P",CONCATENATE(B196,"_",C196,$B$3,"_",$B$4,"_P","_",G196),D196="DJ_A",CONCATENATE(B196,"_",C196,$B$3,"_",$B$4,"_A","_",G196),D196="LT_P",CONCATENATE(B196,"_",C196,$B$3,"_",C196,$B$3,"_P","_",G196),D196="LT_A",CONCATENATE(B196,"_",C196,$B$3,"_",C196,$B$3,"_A","_",G196))</f>
        <v>IMA_LT1_52-1_TPPM</v>
      </c>
      <c r="I196" s="6" t="s">
        <v>267</v>
      </c>
      <c r="J196" s="6" t="s">
        <v>183</v>
      </c>
      <c r="K196" s="6" t="s">
        <v>184</v>
      </c>
      <c r="L196" s="6" t="s">
        <v>188</v>
      </c>
      <c r="M196" s="6" t="s">
        <v>188</v>
      </c>
      <c r="N196" s="6"/>
    </row>
    <row r="197" spans="1:14" x14ac:dyDescent="0.25">
      <c r="A197" s="6" t="s">
        <v>191</v>
      </c>
      <c r="B197" s="6" t="str">
        <f>Informações!$C$3</f>
        <v>IMA</v>
      </c>
      <c r="C197" s="6" t="s">
        <v>29</v>
      </c>
      <c r="D197" s="6" t="s">
        <v>30</v>
      </c>
      <c r="E197" s="2" t="s">
        <v>25</v>
      </c>
      <c r="F197" s="6" t="s">
        <v>224</v>
      </c>
      <c r="G197" s="6" t="s">
        <v>235</v>
      </c>
      <c r="H197" s="6" t="str" cm="1">
        <f t="array" ref="H197">_xlfn.IFS(OR(D197="TC",D197="TP",D197="LT"),CONCATENATE(B197,"_",C197,$B$3,"_",C197,$B$3,"_",G197),D197="SECC",CONCATENATE(B197,"_",C197,$B$3,"_",$B$5,"_",G197),D197="SECF",CONCATENATE(B197,"_",C197,$B$3,"_",$B$6,"_",G197),D197="SECT",CONCATENATE(B197,"_",C197,$B$3,"_",$B$7,"_",G197),D197="SECG",CONCATENATE(B197,"_",C197,$B$3,"_",$B$8,"_",G197),D197="DJ",CONCATENATE(B197,"_",C197,$B$3,"_",$B$4,"_",G197),D197="DJ_P",CONCATENATE(B197,"_",C197,$B$3,"_",$B$4,"_P","_",G197),D197="DJ_A",CONCATENATE(B197,"_",C197,$B$3,"_",$B$4,"_A","_",G197),D197="LT_P",CONCATENATE(B197,"_",C197,$B$3,"_",C197,$B$3,"_P","_",G197),D197="LT_A",CONCATENATE(B197,"_",C197,$B$3,"_",C197,$B$3,"_A","_",G197))</f>
        <v>IMA_LT1_52-1_TPPS</v>
      </c>
      <c r="I197" s="6" t="s">
        <v>267</v>
      </c>
      <c r="J197" s="6" t="s">
        <v>182</v>
      </c>
      <c r="K197" s="6" t="s">
        <v>179</v>
      </c>
      <c r="L197" s="6" t="s">
        <v>188</v>
      </c>
      <c r="M197" s="6" t="s">
        <v>188</v>
      </c>
      <c r="N197" s="6"/>
    </row>
    <row r="198" spans="1:14" x14ac:dyDescent="0.25">
      <c r="A198" s="6" t="s">
        <v>191</v>
      </c>
      <c r="B198" s="6" t="str">
        <f>Informações!$C$3</f>
        <v>IMA</v>
      </c>
      <c r="C198" s="6" t="s">
        <v>29</v>
      </c>
      <c r="D198" s="6" t="s">
        <v>30</v>
      </c>
      <c r="E198" s="2" t="s">
        <v>25</v>
      </c>
      <c r="F198" s="6" t="s">
        <v>225</v>
      </c>
      <c r="G198" s="6" t="s">
        <v>198</v>
      </c>
      <c r="H198" s="6" t="str" cm="1">
        <f t="array" ref="H198">_xlfn.IFS(OR(D198="TC",D198="TP",D198="LT"),CONCATENATE(B198,"_",C198,$B$3,"_",C198,$B$3,"_",G198),D198="SECC",CONCATENATE(B198,"_",C198,$B$3,"_",$B$5,"_",G198),D198="SECF",CONCATENATE(B198,"_",C198,$B$3,"_",$B$6,"_",G198),D198="SECT",CONCATENATE(B198,"_",C198,$B$3,"_",$B$7,"_",G198),D198="SECG",CONCATENATE(B198,"_",C198,$B$3,"_",$B$8,"_",G198),D198="DJ",CONCATENATE(B198,"_",C198,$B$3,"_",$B$4,"_",G198),D198="DJ_P",CONCATENATE(B198,"_",C198,$B$3,"_",$B$4,"_P","_",G198),D198="DJ_A",CONCATENATE(B198,"_",C198,$B$3,"_",$B$4,"_A","_",G198),D198="LT_P",CONCATENATE(B198,"_",C198,$B$3,"_",C198,$B$3,"_P","_",G198),D198="LT_A",CONCATENATE(B198,"_",C198,$B$3,"_",C198,$B$3,"_A","_",G198))</f>
        <v>IMA_LT1_52-1_TPPF</v>
      </c>
      <c r="I198" s="6" t="s">
        <v>267</v>
      </c>
      <c r="J198" s="6" t="s">
        <v>182</v>
      </c>
      <c r="K198" s="6" t="s">
        <v>180</v>
      </c>
      <c r="L198" s="6" t="s">
        <v>188</v>
      </c>
      <c r="M198" s="6" t="s">
        <v>188</v>
      </c>
      <c r="N198" s="6"/>
    </row>
    <row r="199" spans="1:14" x14ac:dyDescent="0.25">
      <c r="A199" s="6" t="s">
        <v>191</v>
      </c>
      <c r="B199" s="6" t="str">
        <f>Informações!$C$3</f>
        <v>IMA</v>
      </c>
      <c r="C199" s="6" t="s">
        <v>29</v>
      </c>
      <c r="D199" s="6" t="s">
        <v>30</v>
      </c>
      <c r="E199" s="2" t="s">
        <v>25</v>
      </c>
      <c r="F199" s="6" t="s">
        <v>226</v>
      </c>
      <c r="G199" s="6" t="s">
        <v>199</v>
      </c>
      <c r="H199" s="6" t="str" cm="1">
        <f t="array" ref="H199">_xlfn.IFS(OR(D199="TC",D199="TP",D199="LT"),CONCATENATE(B199,"_",C199,$B$3,"_",C199,$B$3,"_",G199),D199="SECC",CONCATENATE(B199,"_",C199,$B$3,"_",$B$5,"_",G199),D199="SECF",CONCATENATE(B199,"_",C199,$B$3,"_",$B$6,"_",G199),D199="SECT",CONCATENATE(B199,"_",C199,$B$3,"_",$B$7,"_",G199),D199="SECG",CONCATENATE(B199,"_",C199,$B$3,"_",$B$8,"_",G199),D199="DJ",CONCATENATE(B199,"_",C199,$B$3,"_",$B$4,"_",G199),D199="DJ_P",CONCATENATE(B199,"_",C199,$B$3,"_",$B$4,"_P","_",G199),D199="DJ_A",CONCATENATE(B199,"_",C199,$B$3,"_",$B$4,"_A","_",G199),D199="LT_P",CONCATENATE(B199,"_",C199,$B$3,"_",C199,$B$3,"_P","_",G199),D199="LT_A",CONCATENATE(B199,"_",C199,$B$3,"_",C199,$B$3,"_A","_",G199))</f>
        <v>IMA_LT1_52-1_81P</v>
      </c>
      <c r="I199" s="6" t="s">
        <v>267</v>
      </c>
      <c r="J199" s="6" t="s">
        <v>182</v>
      </c>
      <c r="K199" s="6" t="s">
        <v>179</v>
      </c>
      <c r="L199" s="6" t="s">
        <v>188</v>
      </c>
      <c r="M199" s="6" t="s">
        <v>188</v>
      </c>
      <c r="N199" s="6"/>
    </row>
    <row r="200" spans="1:14" x14ac:dyDescent="0.25">
      <c r="A200" s="6" t="s">
        <v>191</v>
      </c>
      <c r="B200" s="6" t="str">
        <f>Informações!$C$3</f>
        <v>IMA</v>
      </c>
      <c r="C200" s="6" t="s">
        <v>29</v>
      </c>
      <c r="D200" s="6" t="s">
        <v>30</v>
      </c>
      <c r="E200" s="2" t="s">
        <v>25</v>
      </c>
      <c r="F200" s="6" t="s">
        <v>230</v>
      </c>
      <c r="G200" s="6" t="s">
        <v>200</v>
      </c>
      <c r="H200" s="6" t="str" cm="1">
        <f t="array" ref="H200">_xlfn.IFS(OR(D200="TC",D200="TP",D200="LT"),CONCATENATE(B200,"_",C200,$B$3,"_",C200,$B$3,"_",G200),D200="SECC",CONCATENATE(B200,"_",C200,$B$3,"_",$B$5,"_",G200),D200="SECF",CONCATENATE(B200,"_",C200,$B$3,"_",$B$6,"_",G200),D200="SECT",CONCATENATE(B200,"_",C200,$B$3,"_",$B$7,"_",G200),D200="SECG",CONCATENATE(B200,"_",C200,$B$3,"_",$B$8,"_",G200),D200="DJ",CONCATENATE(B200,"_",C200,$B$3,"_",$B$4,"_",G200),D200="DJ_P",CONCATENATE(B200,"_",C200,$B$3,"_",$B$4,"_P","_",G200),D200="DJ_A",CONCATENATE(B200,"_",C200,$B$3,"_",$B$4,"_A","_",G200),D200="LT_P",CONCATENATE(B200,"_",C200,$B$3,"_",C200,$B$3,"_P","_",G200),D200="LT_A",CONCATENATE(B200,"_",C200,$B$3,"_",C200,$B$3,"_A","_",G200))</f>
        <v>IMA_LT1_52-1_81F</v>
      </c>
      <c r="I200" s="6" t="s">
        <v>267</v>
      </c>
      <c r="J200" s="6" t="s">
        <v>182</v>
      </c>
      <c r="K200" s="6" t="s">
        <v>180</v>
      </c>
      <c r="L200" s="6" t="s">
        <v>188</v>
      </c>
      <c r="M200" s="6" t="s">
        <v>188</v>
      </c>
      <c r="N200" s="6"/>
    </row>
    <row r="201" spans="1:14" x14ac:dyDescent="0.25">
      <c r="A201" s="6" t="s">
        <v>191</v>
      </c>
      <c r="B201" s="6" t="str">
        <f>Informações!$C$3</f>
        <v>IMA</v>
      </c>
      <c r="C201" s="6" t="s">
        <v>29</v>
      </c>
      <c r="D201" s="6" t="s">
        <v>30</v>
      </c>
      <c r="E201" s="2" t="s">
        <v>25</v>
      </c>
      <c r="F201" s="6" t="s">
        <v>227</v>
      </c>
      <c r="G201" s="6" t="s">
        <v>201</v>
      </c>
      <c r="H201" s="6" t="str" cm="1">
        <f t="array" ref="H201">_xlfn.IFS(OR(D201="TC",D201="TP",D201="LT"),CONCATENATE(B201,"_",C201,$B$3,"_",C201,$B$3,"_",G201),D201="SECC",CONCATENATE(B201,"_",C201,$B$3,"_",$B$5,"_",G201),D201="SECF",CONCATENATE(B201,"_",C201,$B$3,"_",$B$6,"_",G201),D201="SECT",CONCATENATE(B201,"_",C201,$B$3,"_",$B$7,"_",G201),D201="SECG",CONCATENATE(B201,"_",C201,$B$3,"_",$B$8,"_",G201),D201="DJ",CONCATENATE(B201,"_",C201,$B$3,"_",$B$4,"_",G201),D201="DJ_P",CONCATENATE(B201,"_",C201,$B$3,"_",$B$4,"_P","_",G201),D201="DJ_A",CONCATENATE(B201,"_",C201,$B$3,"_",$B$4,"_A","_",G201),D201="LT_P",CONCATENATE(B201,"_",C201,$B$3,"_",C201,$B$3,"_P","_",G201),D201="LT_A",CONCATENATE(B201,"_",C201,$B$3,"_",C201,$B$3,"_A","_",G201))</f>
        <v>IMA_LT1_52-1_81A</v>
      </c>
      <c r="I201" s="6" t="s">
        <v>267</v>
      </c>
      <c r="J201" s="6" t="s">
        <v>182</v>
      </c>
      <c r="K201" s="6" t="s">
        <v>179</v>
      </c>
      <c r="L201" s="6" t="s">
        <v>188</v>
      </c>
      <c r="M201" s="6" t="s">
        <v>188</v>
      </c>
      <c r="N201" s="6"/>
    </row>
    <row r="202" spans="1:14" x14ac:dyDescent="0.25">
      <c r="A202" s="6" t="s">
        <v>191</v>
      </c>
      <c r="B202" s="6" t="str">
        <f>Informações!$C$3</f>
        <v>IMA</v>
      </c>
      <c r="C202" s="6" t="s">
        <v>29</v>
      </c>
      <c r="D202" s="6" t="s">
        <v>30</v>
      </c>
      <c r="E202" s="2" t="s">
        <v>25</v>
      </c>
      <c r="F202" s="6" t="s">
        <v>229</v>
      </c>
      <c r="G202" s="6" t="s">
        <v>228</v>
      </c>
      <c r="H202" s="6" t="str" cm="1">
        <f t="array" ref="H202">_xlfn.IFS(OR(D202="TC",D202="TP",D202="LT"),CONCATENATE(B202,"_",C202,$B$3,"_",C202,$B$3,"_",G202),D202="SECC",CONCATENATE(B202,"_",C202,$B$3,"_",$B$5,"_",G202),D202="SECF",CONCATENATE(B202,"_",C202,$B$3,"_",$B$6,"_",G202),D202="SECT",CONCATENATE(B202,"_",C202,$B$3,"_",$B$7,"_",G202),D202="SECG",CONCATENATE(B202,"_",C202,$B$3,"_",$B$8,"_",G202),D202="DJ",CONCATENATE(B202,"_",C202,$B$3,"_",$B$4,"_",G202),D202="DJ_P",CONCATENATE(B202,"_",C202,$B$3,"_",$B$4,"_P","_",G202),D202="DJ_A",CONCATENATE(B202,"_",C202,$B$3,"_",$B$4,"_A","_",G202),D202="LT_P",CONCATENATE(B202,"_",C202,$B$3,"_",C202,$B$3,"_P","_",G202),D202="LT_A",CONCATENATE(B202,"_",C202,$B$3,"_",C202,$B$3,"_A","_",G202))</f>
        <v>IMA_LT1_52-1_81C</v>
      </c>
      <c r="I202" s="6" t="s">
        <v>267</v>
      </c>
      <c r="J202" s="6" t="s">
        <v>182</v>
      </c>
      <c r="K202" s="6" t="s">
        <v>179</v>
      </c>
      <c r="L202" s="6" t="s">
        <v>188</v>
      </c>
      <c r="M202" s="6" t="s">
        <v>188</v>
      </c>
      <c r="N202" s="6"/>
    </row>
  </sheetData>
  <autoFilter ref="A10:K164" xr:uid="{7CBEA51F-8118-4A4D-8379-D3E8D66B28F3}"/>
  <mergeCells count="10">
    <mergeCell ref="A181:N181"/>
    <mergeCell ref="A187:N187"/>
    <mergeCell ref="B7:N7"/>
    <mergeCell ref="B8:N8"/>
    <mergeCell ref="A1:N1"/>
    <mergeCell ref="B2:N2"/>
    <mergeCell ref="B3:N3"/>
    <mergeCell ref="B4:N4"/>
    <mergeCell ref="B5:N5"/>
    <mergeCell ref="B6:N6"/>
  </mergeCells>
  <phoneticPr fontId="5" type="noConversion"/>
  <conditionalFormatting sqref="E9:E180">
    <cfRule type="cellIs" dxfId="191" priority="1" operator="equal">
      <formula>"D"</formula>
    </cfRule>
    <cfRule type="cellIs" dxfId="190" priority="2" operator="equal">
      <formula>"C"</formula>
    </cfRule>
    <cfRule type="cellIs" dxfId="189" priority="3" operator="equal">
      <formula>"A"</formula>
    </cfRule>
  </conditionalFormatting>
  <conditionalFormatting sqref="E182">
    <cfRule type="cellIs" dxfId="188" priority="4" operator="equal">
      <formula>"D"</formula>
    </cfRule>
    <cfRule type="cellIs" dxfId="187" priority="5" operator="equal">
      <formula>"C"</formula>
    </cfRule>
    <cfRule type="cellIs" dxfId="186" priority="6" operator="equal">
      <formula>"A"</formula>
    </cfRule>
  </conditionalFormatting>
  <conditionalFormatting sqref="E186 E188:E1048576">
    <cfRule type="cellIs" dxfId="185" priority="7" operator="equal">
      <formula>"D"</formula>
    </cfRule>
    <cfRule type="cellIs" dxfId="184" priority="8" operator="equal">
      <formula>"C"</formula>
    </cfRule>
    <cfRule type="cellIs" dxfId="183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C288CE2-15F3-4105-ACD2-86D9B26C61E8}">
          <x14:formula1>
            <xm:f>Lista!$E$2:$E$4</xm:f>
          </x14:formula1>
          <xm:sqref>I183:I185 J189:K191 I189:I202 I11:I179</xm:sqref>
        </x14:dataValidation>
        <x14:dataValidation type="list" allowBlank="1" showInputMessage="1" showErrorMessage="1" xr:uid="{C2F959B9-5BA4-4283-998E-5D7DFD3E16F7}">
          <x14:formula1>
            <xm:f>Lista!$D$2:$D$4</xm:f>
          </x14:formula1>
          <xm:sqref>M183:M185 M189:M202 M11:M179</xm:sqref>
        </x14:dataValidation>
        <x14:dataValidation type="list" allowBlank="1" showInputMessage="1" showErrorMessage="1" xr:uid="{50D49D8B-97BA-4728-A42D-ACD81AF56C87}">
          <x14:formula1>
            <xm:f>Lista!$A$2:$A$19</xm:f>
          </x14:formula1>
          <xm:sqref>J192:K202 J183:K185 J11:K179</xm:sqref>
        </x14:dataValidation>
        <x14:dataValidation type="list" allowBlank="1" showInputMessage="1" showErrorMessage="1" xr:uid="{A4C5D032-0AE0-492E-A0E7-B22F90CCF86F}">
          <x14:formula1>
            <xm:f>Lista!$B$2:$B$3</xm:f>
          </x14:formula1>
          <xm:sqref>A11:A179 A183:A185 A189:A202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DCA7-B1B7-4E35-8A71-14431DE8DC97}">
  <sheetPr>
    <tabColor theme="2" tint="-9.9978637043366805E-2"/>
  </sheetPr>
  <dimension ref="A1:N202"/>
  <sheetViews>
    <sheetView topLeftCell="A174" zoomScale="70" zoomScaleNormal="70" workbookViewId="0">
      <selection activeCell="N189" sqref="N189:N202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56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7.28515625" style="1" customWidth="1"/>
    <col min="11" max="11" width="16.28515625" style="1" customWidth="1"/>
    <col min="12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312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306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309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308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310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25">
      <c r="A8" s="2" t="s">
        <v>82</v>
      </c>
      <c r="B8" s="119" t="s">
        <v>311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ht="30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191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IMA_LT2_LT2_IA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IMA_LT2_LT2_IB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IMA_LT2_LT2_IC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IMA_LT2_LT2_VA_B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IMA_LT2_LT2_VB_B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IMA_LT2_LT2_VC_B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A</v>
      </c>
      <c r="G17" s="6" t="s">
        <v>15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IMA_LT2_LT2_VA_L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29</v>
      </c>
      <c r="D18" s="6" t="s">
        <v>28</v>
      </c>
      <c r="E18" s="2" t="s">
        <v>8</v>
      </c>
      <c r="F18" s="6" t="str">
        <f>VLOOKUP(G18,[1]Analog!$A:$B,2,FALSE)</f>
        <v>TENSAO LINHA FASE B</v>
      </c>
      <c r="G18" s="6" t="s">
        <v>16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IMA_LT2_LT2_VB_L</v>
      </c>
      <c r="I18" s="6" t="s">
        <v>267</v>
      </c>
      <c r="J18" s="6" t="s">
        <v>188</v>
      </c>
      <c r="K18" s="6" t="s">
        <v>188</v>
      </c>
      <c r="L18" s="8">
        <v>0.01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29</v>
      </c>
      <c r="D19" s="6" t="s">
        <v>28</v>
      </c>
      <c r="E19" s="2" t="s">
        <v>8</v>
      </c>
      <c r="F19" s="6" t="str">
        <f>VLOOKUP(G19,[1]Analog!$A:$B,2,FALSE)</f>
        <v>TENSAO LINHA FASE C</v>
      </c>
      <c r="G19" s="6" t="s">
        <v>17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IMA_LT2_LT2_VC_L</v>
      </c>
      <c r="I19" s="6" t="s">
        <v>267</v>
      </c>
      <c r="J19" s="6" t="s">
        <v>188</v>
      </c>
      <c r="K19" s="6" t="s">
        <v>188</v>
      </c>
      <c r="L19" s="8">
        <v>0.01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29</v>
      </c>
      <c r="D20" s="6" t="s">
        <v>27</v>
      </c>
      <c r="E20" s="2" t="s">
        <v>8</v>
      </c>
      <c r="F20" s="6" t="str">
        <f>VLOOKUP(G20,[1]Analog!$A:$B,2,FALSE)</f>
        <v>POTENCIA ATIVA</v>
      </c>
      <c r="G20" s="6" t="s">
        <v>18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IMA_LT2_LT2_P</v>
      </c>
      <c r="I20" s="6" t="s">
        <v>267</v>
      </c>
      <c r="J20" s="6" t="s">
        <v>188</v>
      </c>
      <c r="K20" s="6" t="s">
        <v>188</v>
      </c>
      <c r="L20" s="8">
        <v>10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POTENCIA REATIVA</v>
      </c>
      <c r="G21" s="6" t="s">
        <v>19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IMA_LT2_LT2_Q</v>
      </c>
      <c r="I21" s="6" t="s">
        <v>267</v>
      </c>
      <c r="J21" s="6" t="s">
        <v>188</v>
      </c>
      <c r="K21" s="6" t="s">
        <v>188</v>
      </c>
      <c r="L21" s="8">
        <v>10</v>
      </c>
      <c r="M21" s="6" t="s">
        <v>188</v>
      </c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29</v>
      </c>
      <c r="D22" s="6" t="s">
        <v>29</v>
      </c>
      <c r="E22" s="2" t="s">
        <v>8</v>
      </c>
      <c r="F22" s="6" t="str">
        <f>VLOOKUP(G22,[1]Analog!$A:$B,2,FALSE)</f>
        <v>DISTANCIA DEFEITO</v>
      </c>
      <c r="G22" s="6" t="s">
        <v>20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IMA_LT2_LT2_KMDF</v>
      </c>
      <c r="I22" s="6" t="s">
        <v>267</v>
      </c>
      <c r="J22" s="6" t="s">
        <v>188</v>
      </c>
      <c r="K22" s="6" t="s">
        <v>188</v>
      </c>
      <c r="L22" s="8">
        <v>0.01</v>
      </c>
      <c r="M22" s="6" t="s">
        <v>188</v>
      </c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A</v>
      </c>
      <c r="G23" s="6" t="s">
        <v>21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IMA_LT2_LT2_IACC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29</v>
      </c>
      <c r="D24" s="6" t="s">
        <v>27</v>
      </c>
      <c r="E24" s="2" t="s">
        <v>8</v>
      </c>
      <c r="F24" s="6" t="str">
        <f>VLOOKUP(G24,[1]Analog!$A:$B,2,FALSE)</f>
        <v>CORRENTE CURTO CIRCUITO FASE B</v>
      </c>
      <c r="G24" s="6" t="s">
        <v>22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IMA_LT2_LT2_IBCC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29</v>
      </c>
      <c r="D25" s="6" t="s">
        <v>27</v>
      </c>
      <c r="E25" s="2" t="s">
        <v>8</v>
      </c>
      <c r="F25" s="6" t="str">
        <f>VLOOKUP(G25,[1]Analog!$A:$B,2,FALSE)</f>
        <v>CORRENTE CURTO CIRCUITO FASE C</v>
      </c>
      <c r="G25" s="6" t="s">
        <v>23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IMA_LT2_LT2_ICCC</v>
      </c>
      <c r="I25" s="6" t="s">
        <v>267</v>
      </c>
      <c r="J25" s="6" t="s">
        <v>188</v>
      </c>
      <c r="K25" s="6" t="s">
        <v>188</v>
      </c>
      <c r="L25" s="8">
        <v>1</v>
      </c>
      <c r="M25" s="6" t="s">
        <v>188</v>
      </c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29</v>
      </c>
      <c r="D26" s="6" t="s">
        <v>31</v>
      </c>
      <c r="E26" s="7" t="s">
        <v>24</v>
      </c>
      <c r="F26" s="6" t="str">
        <f>VLOOKUP(G26,[1]Discrete!$A:$B,2,FALSE)</f>
        <v>SECCIONADORA CARGA</v>
      </c>
      <c r="G26" s="6" t="s">
        <v>31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IMA_LT2_89-10_SECC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29</v>
      </c>
      <c r="D27" s="6" t="s">
        <v>32</v>
      </c>
      <c r="E27" s="7" t="s">
        <v>24</v>
      </c>
      <c r="F27" s="6" t="str">
        <f>VLOOKUP(G27,[1]Discrete!$A:$B,2,FALSE)</f>
        <v>SECCIONADORA FONTE</v>
      </c>
      <c r="G27" s="6" t="s">
        <v>32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IMA_LT2_89-8_SECF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29</v>
      </c>
      <c r="D28" s="6" t="s">
        <v>33</v>
      </c>
      <c r="E28" s="7" t="s">
        <v>24</v>
      </c>
      <c r="F28" s="6" t="str">
        <f>VLOOKUP(G28,[1]Discrete!$A:$B,2,FALSE)</f>
        <v>SECCIONADORA TRANSFERENCIA</v>
      </c>
      <c r="G28" s="6" t="s">
        <v>33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IMA_LT2_89-12_SECT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str">
        <f>VLOOKUP(G29,[1]Discrete!$A:$B,2,FALSE)</f>
        <v>DISJUNTOR NF</v>
      </c>
      <c r="G29" s="6" t="s">
        <v>34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IMA_LT2_52-2_DJF1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279</v>
      </c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e">
        <f>VLOOKUP(G30,[1]Discrete!$A:$B,2,FALSE)</f>
        <v>#N/A</v>
      </c>
      <c r="G30" s="6">
        <v>79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IMA_LT2_52-2_79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51 - FUNCAO SOBRECORRENTE TEMPORIZADA NEUTRO</v>
      </c>
      <c r="G31" s="6" t="s">
        <v>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IMA_LT2_52-2_51N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29</v>
      </c>
      <c r="D32" s="6" t="s">
        <v>30</v>
      </c>
      <c r="E32" s="7" t="s">
        <v>24</v>
      </c>
      <c r="F32" s="6" t="e">
        <f>VLOOKUP(G32,[1]Discrete!$A:$B,2,FALSE)</f>
        <v>#N/A</v>
      </c>
      <c r="G32" s="6">
        <v>81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IMA_LT2_52-2_81</v>
      </c>
      <c r="I32" s="6" t="s">
        <v>188</v>
      </c>
      <c r="J32" s="6" t="s">
        <v>188</v>
      </c>
      <c r="K32" s="6" t="s">
        <v>188</v>
      </c>
      <c r="L32" s="6" t="s">
        <v>188</v>
      </c>
      <c r="M32" s="6" t="s">
        <v>280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29</v>
      </c>
      <c r="D33" s="6" t="s">
        <v>30</v>
      </c>
      <c r="E33" s="7" t="s">
        <v>24</v>
      </c>
      <c r="F33" s="6" t="str">
        <f>VLOOKUP(G33,[1]Discrete!$A:$B,2,FALSE)</f>
        <v>GRUPO DE AJUSTE FUNCAO 81</v>
      </c>
      <c r="G33" s="6" t="s">
        <v>77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IMA_LT2_52-2_81AJST</v>
      </c>
      <c r="I33" s="6" t="s">
        <v>188</v>
      </c>
      <c r="J33" s="6" t="s">
        <v>188</v>
      </c>
      <c r="K33" s="6" t="s">
        <v>188</v>
      </c>
      <c r="L33" s="6" t="s">
        <v>188</v>
      </c>
      <c r="M33" s="6" t="s">
        <v>280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29</v>
      </c>
      <c r="D34" s="6" t="s">
        <v>30</v>
      </c>
      <c r="E34" s="7" t="s">
        <v>24</v>
      </c>
      <c r="F34" s="6" t="str">
        <f>VLOOKUP(G34,[1]Discrete!$A:$B,2,FALSE)</f>
        <v>25 - FUNCAO SINCRONISMO</v>
      </c>
      <c r="G34" s="6" t="s">
        <v>36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IMA_LT2_52-2_25IE</v>
      </c>
      <c r="I34" s="6" t="s">
        <v>188</v>
      </c>
      <c r="J34" s="6" t="s">
        <v>188</v>
      </c>
      <c r="K34" s="6" t="s">
        <v>188</v>
      </c>
      <c r="L34" s="6" t="s">
        <v>188</v>
      </c>
      <c r="M34" s="6" t="s">
        <v>280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29</v>
      </c>
      <c r="D35" s="6" t="s">
        <v>30</v>
      </c>
      <c r="E35" s="7" t="s">
        <v>24</v>
      </c>
      <c r="F35" s="6" t="e">
        <f>VLOOKUP(G35,[1]Discrete!$A:$B,2,FALSE)</f>
        <v>#N/A</v>
      </c>
      <c r="G35" s="6">
        <v>27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IMA_LT2_52-2_27</v>
      </c>
      <c r="I35" s="6" t="s">
        <v>188</v>
      </c>
      <c r="J35" s="6" t="s">
        <v>188</v>
      </c>
      <c r="K35" s="6" t="s">
        <v>188</v>
      </c>
      <c r="L35" s="6" t="s">
        <v>188</v>
      </c>
      <c r="M35" s="6" t="s">
        <v>280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29</v>
      </c>
      <c r="D36" s="6" t="s">
        <v>30</v>
      </c>
      <c r="E36" s="7" t="s">
        <v>24</v>
      </c>
      <c r="F36" s="6" t="e">
        <f>VLOOKUP(G36,[1]Discrete!$A:$B,2,FALSE)</f>
        <v>#N/A</v>
      </c>
      <c r="G36" s="6">
        <v>59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IMA_LT2_52-2_59</v>
      </c>
      <c r="I36" s="6" t="s">
        <v>188</v>
      </c>
      <c r="J36" s="6" t="s">
        <v>188</v>
      </c>
      <c r="K36" s="6" t="s">
        <v>188</v>
      </c>
      <c r="L36" s="6" t="s">
        <v>188</v>
      </c>
      <c r="M36" s="6" t="s">
        <v>280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29</v>
      </c>
      <c r="D37" s="6" t="s">
        <v>30</v>
      </c>
      <c r="E37" s="7" t="s">
        <v>24</v>
      </c>
      <c r="F37" s="6" t="str">
        <f>VLOOKUP(G37,[1]Discrete!$A:$B,2,FALSE)</f>
        <v>AJUSTE PARA 81 E1</v>
      </c>
      <c r="G37" s="6" t="s">
        <v>72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IMA_LT2_52-2_81U1</v>
      </c>
      <c r="I37" s="6" t="s">
        <v>188</v>
      </c>
      <c r="J37" s="6" t="s">
        <v>188</v>
      </c>
      <c r="K37" s="6" t="s">
        <v>188</v>
      </c>
      <c r="L37" s="6" t="s">
        <v>188</v>
      </c>
      <c r="M37" s="6" t="s">
        <v>280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29</v>
      </c>
      <c r="D38" s="6" t="s">
        <v>30</v>
      </c>
      <c r="E38" s="7" t="s">
        <v>24</v>
      </c>
      <c r="F38" s="6" t="str">
        <f>VLOOKUP(G38,[1]Discrete!$A:$B,2,FALSE)</f>
        <v>AJUSTE PARA 81 E2</v>
      </c>
      <c r="G38" s="6" t="s">
        <v>73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IMA_LT2_52-2_81U2</v>
      </c>
      <c r="I38" s="6" t="s">
        <v>188</v>
      </c>
      <c r="J38" s="6" t="s">
        <v>188</v>
      </c>
      <c r="K38" s="6" t="s">
        <v>188</v>
      </c>
      <c r="L38" s="6" t="s">
        <v>188</v>
      </c>
      <c r="M38" s="6" t="s">
        <v>280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29</v>
      </c>
      <c r="D39" s="6" t="s">
        <v>30</v>
      </c>
      <c r="E39" s="7" t="s">
        <v>24</v>
      </c>
      <c r="F39" s="6" t="str">
        <f>VLOOKUP(G39,[1]Discrete!$A:$B,2,FALSE)</f>
        <v>AJUSTE PARA 81 E3</v>
      </c>
      <c r="G39" s="6" t="s">
        <v>74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IMA_LT2_52-2_81U3</v>
      </c>
      <c r="I39" s="6" t="s">
        <v>188</v>
      </c>
      <c r="J39" s="6" t="s">
        <v>188</v>
      </c>
      <c r="K39" s="6" t="s">
        <v>188</v>
      </c>
      <c r="L39" s="6" t="s">
        <v>188</v>
      </c>
      <c r="M39" s="6" t="s">
        <v>280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29</v>
      </c>
      <c r="D40" s="6" t="s">
        <v>30</v>
      </c>
      <c r="E40" s="7" t="s">
        <v>24</v>
      </c>
      <c r="F40" s="6" t="str">
        <f>VLOOKUP(G40,[1]Discrete!$A:$B,2,FALSE)</f>
        <v>AJUSTE PARA 81 E4</v>
      </c>
      <c r="G40" s="6" t="s">
        <v>75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IMA_LT2_52-2_81U4</v>
      </c>
      <c r="I40" s="6" t="s">
        <v>188</v>
      </c>
      <c r="J40" s="6" t="s">
        <v>188</v>
      </c>
      <c r="K40" s="6" t="s">
        <v>188</v>
      </c>
      <c r="L40" s="6" t="s">
        <v>188</v>
      </c>
      <c r="M40" s="6" t="s">
        <v>280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29</v>
      </c>
      <c r="D41" s="6" t="s">
        <v>30</v>
      </c>
      <c r="E41" s="7" t="s">
        <v>24</v>
      </c>
      <c r="F41" s="6" t="s">
        <v>296</v>
      </c>
      <c r="G41" s="6" t="s">
        <v>76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IMA_LT2_52-2_81U5</v>
      </c>
      <c r="I41" s="6" t="s">
        <v>188</v>
      </c>
      <c r="J41" s="6" t="s">
        <v>188</v>
      </c>
      <c r="K41" s="6" t="s">
        <v>188</v>
      </c>
      <c r="L41" s="6" t="s">
        <v>188</v>
      </c>
      <c r="M41" s="6" t="s">
        <v>280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29</v>
      </c>
      <c r="D42" s="6" t="s">
        <v>31</v>
      </c>
      <c r="E42" s="2" t="s">
        <v>25</v>
      </c>
      <c r="F42" s="6" t="str">
        <f>VLOOKUP(G42,[1]Discrete!$A:$B,2,FALSE)</f>
        <v>SECCIONADORA CARGA</v>
      </c>
      <c r="G42" s="6" t="s">
        <v>31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IMA_LT2_89-10_SECC</v>
      </c>
      <c r="I42" s="6" t="s">
        <v>267</v>
      </c>
      <c r="J42" s="6" t="s">
        <v>281</v>
      </c>
      <c r="K42" s="6" t="s">
        <v>285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29</v>
      </c>
      <c r="D43" s="6" t="s">
        <v>31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IMA_LT2_89-10_43LR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29</v>
      </c>
      <c r="D44" s="6" t="s">
        <v>31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IMA_LT2_89-10_CCFL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29</v>
      </c>
      <c r="D45" s="6" t="s">
        <v>31</v>
      </c>
      <c r="E45" s="2" t="s">
        <v>25</v>
      </c>
      <c r="F45" s="6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IMA_LT2_89-10_OI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29</v>
      </c>
      <c r="D46" s="6" t="s">
        <v>31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IMA_LT2_89-10_LIBM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29</v>
      </c>
      <c r="D47" s="6" t="s">
        <v>32</v>
      </c>
      <c r="E47" s="2" t="s">
        <v>25</v>
      </c>
      <c r="F47" s="6" t="str">
        <f>VLOOKUP(G47,[1]Discrete!$A:$B,2,FALSE)</f>
        <v>SECCIONADORA FONTE</v>
      </c>
      <c r="G47" s="6" t="s">
        <v>32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IMA_LT2_89-8_SECF</v>
      </c>
      <c r="I47" s="6" t="s">
        <v>267</v>
      </c>
      <c r="J47" s="6" t="s">
        <v>281</v>
      </c>
      <c r="K47" s="6" t="s">
        <v>285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29</v>
      </c>
      <c r="D48" s="6" t="s">
        <v>32</v>
      </c>
      <c r="E48" s="2" t="s">
        <v>25</v>
      </c>
      <c r="F48" s="6" t="str">
        <f>VLOOKUP(G48,[1]Discrete!$A:$B,2,FALSE)</f>
        <v>43 - CHAVE LOCAL REMOTO</v>
      </c>
      <c r="G48" s="6" t="s">
        <v>39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IMA_LT2_89-8_43LR</v>
      </c>
      <c r="I48" s="6" t="s">
        <v>267</v>
      </c>
      <c r="J48" s="6" t="s">
        <v>186</v>
      </c>
      <c r="K48" s="6" t="s">
        <v>185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29</v>
      </c>
      <c r="D49" s="6" t="s">
        <v>32</v>
      </c>
      <c r="E49" s="2" t="s">
        <v>25</v>
      </c>
      <c r="F49" s="6" t="str">
        <f>VLOOKUP(G49,[1]Discrete!$A:$B,2,FALSE)</f>
        <v>FALTA VCC</v>
      </c>
      <c r="G49" s="6" t="s">
        <v>42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IMA_LT2_89-8_CCFL</v>
      </c>
      <c r="I49" s="6" t="s">
        <v>267</v>
      </c>
      <c r="J49" s="6" t="s">
        <v>182</v>
      </c>
      <c r="K49" s="6" t="s">
        <v>181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29</v>
      </c>
      <c r="D50" s="6" t="s">
        <v>32</v>
      </c>
      <c r="E50" s="2" t="s">
        <v>25</v>
      </c>
      <c r="F50" s="6" t="str">
        <f>VLOOKUP(G50,[1]Discrete!$A:$B,2,FALSE)</f>
        <v>OPERACAO INDEVIDA SECCIONADORA</v>
      </c>
      <c r="G50" s="6" t="s">
        <v>295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IMA_LT2_89-8_OI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29</v>
      </c>
      <c r="D51" s="6" t="s">
        <v>32</v>
      </c>
      <c r="E51" s="2" t="s">
        <v>25</v>
      </c>
      <c r="F51" s="6" t="str">
        <f>VLOOKUP(G51,[1]Discrete!$A:$B,2,FALSE)</f>
        <v>LIBERA MANOBRA</v>
      </c>
      <c r="G51" s="6" t="s">
        <v>112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IMA_LT2_89-8_LIBM</v>
      </c>
      <c r="I51" s="6" t="s">
        <v>267</v>
      </c>
      <c r="J51" s="6" t="s">
        <v>209</v>
      </c>
      <c r="K51" s="6" t="s">
        <v>210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29</v>
      </c>
      <c r="D52" s="6" t="s">
        <v>33</v>
      </c>
      <c r="E52" s="2" t="s">
        <v>25</v>
      </c>
      <c r="F52" s="6" t="str">
        <f>VLOOKUP(G52,[1]Discrete!$A:$B,2,FALSE)</f>
        <v>SECCIONADORA TRANSFERENCIA</v>
      </c>
      <c r="G52" s="6" t="s">
        <v>33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IMA_LT2_89-12_SECT</v>
      </c>
      <c r="I52" s="6" t="s">
        <v>267</v>
      </c>
      <c r="J52" s="6" t="s">
        <v>281</v>
      </c>
      <c r="K52" s="6" t="s">
        <v>285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29</v>
      </c>
      <c r="D53" s="6" t="s">
        <v>33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IMA_LT2_89-12_43LR</v>
      </c>
      <c r="I53" s="6" t="s">
        <v>267</v>
      </c>
      <c r="J53" s="6" t="s">
        <v>186</v>
      </c>
      <c r="K53" s="6" t="s">
        <v>185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29</v>
      </c>
      <c r="D54" s="6" t="s">
        <v>33</v>
      </c>
      <c r="E54" s="2" t="s">
        <v>25</v>
      </c>
      <c r="F54" s="6" t="str">
        <f>VLOOKUP(G54,[1]Discrete!$A:$B,2,FALSE)</f>
        <v>FALTA VCC</v>
      </c>
      <c r="G54" s="6" t="s">
        <v>42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IMA_LT2_89-12_CCFL</v>
      </c>
      <c r="I54" s="6" t="s">
        <v>267</v>
      </c>
      <c r="J54" s="6" t="s">
        <v>182</v>
      </c>
      <c r="K54" s="6" t="s">
        <v>181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29</v>
      </c>
      <c r="D55" s="6" t="s">
        <v>33</v>
      </c>
      <c r="E55" s="2" t="s">
        <v>25</v>
      </c>
      <c r="F55" s="6" t="str">
        <f>VLOOKUP(G55,[1]Discrete!$A:$B,2,FALSE)</f>
        <v>OPERACAO INDEVIDA SECCIONADORA</v>
      </c>
      <c r="G55" s="6" t="s">
        <v>295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IMA_LT2_89-12_OI</v>
      </c>
      <c r="I55" s="6" t="s">
        <v>267</v>
      </c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29</v>
      </c>
      <c r="D56" s="6" t="s">
        <v>33</v>
      </c>
      <c r="E56" s="2" t="s">
        <v>25</v>
      </c>
      <c r="F56" s="6" t="str">
        <f>VLOOKUP(G56,[1]Discrete!$A:$B,2,FALSE)</f>
        <v>LIBERA MANOBRA</v>
      </c>
      <c r="G56" s="6" t="s">
        <v>112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IMA_LT2_89-12_LIBM</v>
      </c>
      <c r="I56" s="6" t="s">
        <v>267</v>
      </c>
      <c r="J56" s="6" t="s">
        <v>209</v>
      </c>
      <c r="K56" s="6" t="s">
        <v>210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29</v>
      </c>
      <c r="D57" s="6" t="s">
        <v>82</v>
      </c>
      <c r="E57" s="2" t="s">
        <v>25</v>
      </c>
      <c r="F57" s="6" t="str">
        <f>VLOOKUP(G57,[1]Discrete!$A:$B,2,FALSE)</f>
        <v>SECCIONADORA TERRA</v>
      </c>
      <c r="G57" s="6" t="s">
        <v>82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IMA_LT2_29-3_SECG</v>
      </c>
      <c r="I57" s="6" t="s">
        <v>267</v>
      </c>
      <c r="J57" s="6" t="s">
        <v>281</v>
      </c>
      <c r="K57" s="6" t="s">
        <v>285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DISJUNTOR NF</v>
      </c>
      <c r="G58" s="6" t="s">
        <v>34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IMA_LT2_52-2_DJF1</v>
      </c>
      <c r="I58" s="6" t="s">
        <v>267</v>
      </c>
      <c r="J58" s="6" t="s">
        <v>284</v>
      </c>
      <c r="K58" s="6" t="s">
        <v>286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e">
        <f>VLOOKUP(G59,[1]Discrete!$A:$B,2,FALSE)</f>
        <v>#N/A</v>
      </c>
      <c r="G59" s="6">
        <v>79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IMA_LT2_52-2_79</v>
      </c>
      <c r="I59" s="6" t="s">
        <v>267</v>
      </c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29</v>
      </c>
      <c r="D60" s="6" t="s">
        <v>30</v>
      </c>
      <c r="E60" s="2" t="s">
        <v>25</v>
      </c>
      <c r="F60" s="6" t="str">
        <f>VLOOKUP(G60,[1]Discrete!$A:$B,2,FALSE)</f>
        <v>51 - FUNCAO SOBRECORRENTE TEMPORIZADA NEUTRO</v>
      </c>
      <c r="G60" s="6" t="s">
        <v>35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IMA_LT2_52-2_51N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ALARME BAIXA PRESSAO SF6</v>
      </c>
      <c r="G61" s="6" t="s">
        <v>37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IMA_LT2_52-2_SF6A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BLOQUEIO BAIXA PRESSAO SF6</v>
      </c>
      <c r="G62" s="6" t="s">
        <v>49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IMA_LT2_52-2_SF6B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MOLA</v>
      </c>
      <c r="G63" s="6" t="s">
        <v>38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IMA_LT2_52-2_MOLA</v>
      </c>
      <c r="I63" s="6" t="s">
        <v>267</v>
      </c>
      <c r="J63" s="6" t="s">
        <v>283</v>
      </c>
      <c r="K63" s="6" t="s">
        <v>282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43 - CHAVE LOCAL REMOTO</v>
      </c>
      <c r="G64" s="6" t="s">
        <v>39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IMA_LT2_52-2_43LR</v>
      </c>
      <c r="I64" s="6" t="s">
        <v>267</v>
      </c>
      <c r="J64" s="6" t="s">
        <v>186</v>
      </c>
      <c r="K64" s="6" t="s">
        <v>185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29</v>
      </c>
      <c r="D65" s="6" t="s">
        <v>30</v>
      </c>
      <c r="E65" s="2" t="s">
        <v>25</v>
      </c>
      <c r="F65" s="6" t="str">
        <f>VLOOKUP(G65,[1]Discrete!$A:$B,2,FALSE)</f>
        <v>43 - CHAVE TELECOMANDO</v>
      </c>
      <c r="G65" s="6" t="s">
        <v>40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IMA_LT2_52-2_43TC</v>
      </c>
      <c r="I65" s="6" t="s">
        <v>267</v>
      </c>
      <c r="J65" s="6" t="s">
        <v>184</v>
      </c>
      <c r="K65" s="6" t="s">
        <v>183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29</v>
      </c>
      <c r="D66" s="6" t="s">
        <v>30</v>
      </c>
      <c r="E66" s="2" t="s">
        <v>25</v>
      </c>
      <c r="F66" s="6" t="str">
        <f>VLOOKUP(G66,[1]Discrete!$A:$B,2,FALSE)</f>
        <v>BOBINA ABERTURA</v>
      </c>
      <c r="G66" s="6" t="s">
        <v>41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IMA_LT2_52-2_BBAB</v>
      </c>
      <c r="I66" s="6" t="s">
        <v>267</v>
      </c>
      <c r="J66" s="6" t="s">
        <v>182</v>
      </c>
      <c r="K66" s="6" t="s">
        <v>180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BOBINA FECHAMENTO</v>
      </c>
      <c r="G67" s="6" t="s">
        <v>50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IMA_LT2_52-2_BBFC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29</v>
      </c>
      <c r="D68" s="6" t="s">
        <v>30</v>
      </c>
      <c r="E68" s="2" t="s">
        <v>25</v>
      </c>
      <c r="F68" s="6" t="str">
        <f>VLOOKUP(G68,[1]Discrete!$A:$B,2,FALSE)</f>
        <v>FALTA VCC</v>
      </c>
      <c r="G68" s="6" t="s">
        <v>42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IMA_LT2_52-2_CCFL</v>
      </c>
      <c r="I68" s="6" t="s">
        <v>267</v>
      </c>
      <c r="J68" s="6" t="s">
        <v>182</v>
      </c>
      <c r="K68" s="6" t="s">
        <v>187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29</v>
      </c>
      <c r="D69" s="6" t="s">
        <v>30</v>
      </c>
      <c r="E69" s="2" t="s">
        <v>25</v>
      </c>
      <c r="F69" s="6" t="str">
        <f>VLOOKUP(G69,[1]Discrete!$A:$B,2,FALSE)</f>
        <v>FALTA VCA</v>
      </c>
      <c r="G69" s="6" t="s">
        <v>43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IMA_LT2_52-2_CAFL</v>
      </c>
      <c r="I69" s="6" t="s">
        <v>267</v>
      </c>
      <c r="J69" s="6" t="s">
        <v>182</v>
      </c>
      <c r="K69" s="6" t="s">
        <v>187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29</v>
      </c>
      <c r="D70" s="6" t="s">
        <v>30</v>
      </c>
      <c r="E70" s="2" t="s">
        <v>25</v>
      </c>
      <c r="F70" s="6" t="e">
        <f>VLOOKUP(G70,[1]Discrete!$A:$B,2,FALSE)</f>
        <v>#N/A</v>
      </c>
      <c r="G70" s="6">
        <v>81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IMA_LT2_52-2_81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29</v>
      </c>
      <c r="D71" s="6" t="s">
        <v>30</v>
      </c>
      <c r="E71" s="2" t="s">
        <v>25</v>
      </c>
      <c r="F71" s="6" t="str">
        <f>VLOOKUP(G71,[1]Discrete!$A:$B,2,FALSE)</f>
        <v>AJUSTE PARA 81 E1</v>
      </c>
      <c r="G71" s="6" t="s">
        <v>72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IMA_LT2_52-2_81U1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29</v>
      </c>
      <c r="D72" s="6" t="s">
        <v>30</v>
      </c>
      <c r="E72" s="2" t="s">
        <v>25</v>
      </c>
      <c r="F72" s="6" t="str">
        <f>VLOOKUP(G72,[1]Discrete!$A:$B,2,FALSE)</f>
        <v>AJUSTE PARA 81 E2</v>
      </c>
      <c r="G72" s="6" t="s">
        <v>73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IMA_LT2_52-2_81U2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29</v>
      </c>
      <c r="D73" s="6" t="s">
        <v>30</v>
      </c>
      <c r="E73" s="2" t="s">
        <v>25</v>
      </c>
      <c r="F73" s="6" t="str">
        <f>VLOOKUP(G73,[1]Discrete!$A:$B,2,FALSE)</f>
        <v>AJUSTE PARA 81 E3</v>
      </c>
      <c r="G73" s="6" t="s">
        <v>74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IMA_LT2_52-2_81U3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29</v>
      </c>
      <c r="D74" s="6" t="s">
        <v>30</v>
      </c>
      <c r="E74" s="2" t="s">
        <v>25</v>
      </c>
      <c r="F74" s="6" t="str">
        <f>VLOOKUP(G74,[1]Discrete!$A:$B,2,FALSE)</f>
        <v>AJUSTE PARA 81 E4</v>
      </c>
      <c r="G74" s="6" t="s">
        <v>75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IMA_LT2_52-2_81U4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29</v>
      </c>
      <c r="D75" s="6" t="s">
        <v>30</v>
      </c>
      <c r="E75" s="2" t="s">
        <v>25</v>
      </c>
      <c r="F75" s="6" t="s">
        <v>296</v>
      </c>
      <c r="G75" s="6" t="s">
        <v>76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IMA_LT2_52-2_81U5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29</v>
      </c>
      <c r="D76" s="6" t="s">
        <v>30</v>
      </c>
      <c r="E76" s="2" t="s">
        <v>25</v>
      </c>
      <c r="F76" s="6" t="str">
        <f>VLOOKUP(G76,[1]Discrete!$A:$B,2,FALSE)</f>
        <v>62 - FALHA DISJUNTOR BLOQUEIO</v>
      </c>
      <c r="G76" s="6" t="s">
        <v>44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IMA_LT2_52-2_62BF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29</v>
      </c>
      <c r="D77" s="6" t="s">
        <v>30</v>
      </c>
      <c r="E77" s="2" t="s">
        <v>25</v>
      </c>
      <c r="F77" s="6" t="str">
        <f>VLOOKUP(G77,[1]Discrete!$A:$B,2,FALSE)</f>
        <v>79 - RELIGAMENTO BLOQUEADO</v>
      </c>
      <c r="G77" s="6" t="s">
        <v>45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IMA_LT2_52-2_79LO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6" t="str">
        <f>VLOOKUP(G78,[1]Discrete!$A:$B,2,FALSE)</f>
        <v>79 - RELIGAMENTO COM SUCESSO</v>
      </c>
      <c r="G78" s="6" t="s">
        <v>46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IMA_LT2_52-2_79OK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29</v>
      </c>
      <c r="D79" s="6" t="s">
        <v>30</v>
      </c>
      <c r="E79" s="2" t="s">
        <v>25</v>
      </c>
      <c r="F79" s="6" t="str">
        <f>VLOOKUP(G79,[1]Discrete!$A:$B,2,FALSE)</f>
        <v>79 - RELIGAMENTO PRONTO</v>
      </c>
      <c r="G79" s="6" t="s">
        <v>47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IMA_LT2_52-2_79RE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29</v>
      </c>
      <c r="D80" s="6" t="s">
        <v>30</v>
      </c>
      <c r="E80" s="2" t="s">
        <v>25</v>
      </c>
      <c r="F80" s="6" t="str">
        <f>VLOOKUP(G80,[1]Discrete!$A:$B,2,FALSE)</f>
        <v>79 - PARTIDA RELIGAMENTO</v>
      </c>
      <c r="G80" s="6" t="s">
        <v>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IMA_LT2_52-2_79_1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/>
    </row>
    <row r="81" spans="1:14" x14ac:dyDescent="0.25">
      <c r="A81" s="6" t="s">
        <v>191</v>
      </c>
      <c r="B81" s="6" t="str">
        <f>Informações!$C$3</f>
        <v>IMA</v>
      </c>
      <c r="C81" s="6" t="s">
        <v>29</v>
      </c>
      <c r="D81" s="6" t="s">
        <v>205</v>
      </c>
      <c r="E81" s="2" t="s">
        <v>25</v>
      </c>
      <c r="F81" s="6" t="str">
        <f>VLOOKUP(G81,[1]Discrete!$A:$B,2,FALSE)</f>
        <v>62 - FALHA DISJUNTOR BLOQUEIO</v>
      </c>
      <c r="G81" s="6" t="s">
        <v>44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IMA_LT2_52-2_P_62BF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/>
    </row>
    <row r="82" spans="1:14" x14ac:dyDescent="0.25">
      <c r="A82" s="6" t="s">
        <v>191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62 - FALHA DISJUNTOR BLOQUEIO</v>
      </c>
      <c r="G82" s="6" t="s">
        <v>44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IMA_LT2_52-2_A_62BF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/>
    </row>
    <row r="83" spans="1:14" x14ac:dyDescent="0.25">
      <c r="A83" s="6" t="s">
        <v>191</v>
      </c>
      <c r="B83" s="6" t="str">
        <f>Informações!$C$3</f>
        <v>IMA</v>
      </c>
      <c r="C83" s="6" t="s">
        <v>29</v>
      </c>
      <c r="D83" s="6" t="s">
        <v>30</v>
      </c>
      <c r="E83" s="2" t="s">
        <v>25</v>
      </c>
      <c r="F83" s="6" t="str">
        <f>VLOOKUP(G83,[1]Discrete!$A:$B,2,FALSE)</f>
        <v>DEFEITO RELE</v>
      </c>
      <c r="G83" s="6" t="s">
        <v>51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IMA_LT2_52-2_DR</v>
      </c>
      <c r="I83" s="6" t="s">
        <v>267</v>
      </c>
      <c r="J83" s="6" t="s">
        <v>182</v>
      </c>
      <c r="K83" s="6" t="s">
        <v>180</v>
      </c>
      <c r="L83" s="6" t="s">
        <v>188</v>
      </c>
      <c r="M83" s="6" t="s">
        <v>188</v>
      </c>
      <c r="N83" s="6"/>
    </row>
    <row r="84" spans="1:14" x14ac:dyDescent="0.25">
      <c r="A84" s="6" t="s">
        <v>191</v>
      </c>
      <c r="B84" s="6" t="str">
        <f>Informações!$C$3</f>
        <v>IMA</v>
      </c>
      <c r="C84" s="6" t="s">
        <v>29</v>
      </c>
      <c r="D84" s="6" t="s">
        <v>30</v>
      </c>
      <c r="E84" s="2" t="s">
        <v>25</v>
      </c>
      <c r="F84" s="6" t="str">
        <f>VLOOKUP(G84,[1]Discrete!$A:$B,2,FALSE)</f>
        <v>MINI DISJUNTOR LT</v>
      </c>
      <c r="G84" s="6" t="s">
        <v>52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IMA_LT2_52-2_MDLT</v>
      </c>
      <c r="I84" s="6" t="s">
        <v>267</v>
      </c>
      <c r="J84" s="6" t="s">
        <v>284</v>
      </c>
      <c r="K84" s="6" t="s">
        <v>286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29</v>
      </c>
      <c r="D85" s="6" t="s">
        <v>30</v>
      </c>
      <c r="E85" s="2" t="s">
        <v>25</v>
      </c>
      <c r="F85" s="6" t="str">
        <f>VLOOKUP(G85,[1]Discrete!$A:$B,2,FALSE)</f>
        <v>MINI DISJUNTOR BARRA PAINEL</v>
      </c>
      <c r="G85" s="6" t="s">
        <v>53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IMA_LT2_52-2_MDBC</v>
      </c>
      <c r="I85" s="6" t="s">
        <v>267</v>
      </c>
      <c r="J85" s="6" t="s">
        <v>284</v>
      </c>
      <c r="K85" s="6" t="s">
        <v>286</v>
      </c>
      <c r="L85" s="6" t="s">
        <v>188</v>
      </c>
      <c r="M85" s="6" t="s">
        <v>188</v>
      </c>
      <c r="N85" s="6"/>
    </row>
    <row r="86" spans="1:14" x14ac:dyDescent="0.25">
      <c r="A86" s="6" t="s">
        <v>191</v>
      </c>
      <c r="B86" s="6" t="str">
        <f>Informações!$C$3</f>
        <v>IMA</v>
      </c>
      <c r="C86" s="6" t="s">
        <v>29</v>
      </c>
      <c r="D86" s="6" t="s">
        <v>205</v>
      </c>
      <c r="E86" s="2" t="s">
        <v>25</v>
      </c>
      <c r="F86" s="6" t="str">
        <f>VLOOKUP(G86,[1]Discrete!$A:$B,2,FALSE)</f>
        <v>FASE A</v>
      </c>
      <c r="G86" s="6" t="s">
        <v>54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IMA_LT2_52-2_P_FA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/>
    </row>
    <row r="87" spans="1:14" x14ac:dyDescent="0.25">
      <c r="A87" s="6" t="s">
        <v>191</v>
      </c>
      <c r="B87" s="6" t="str">
        <f>Informações!$C$3</f>
        <v>IMA</v>
      </c>
      <c r="C87" s="6" t="s">
        <v>29</v>
      </c>
      <c r="D87" s="6" t="s">
        <v>205</v>
      </c>
      <c r="E87" s="2" t="s">
        <v>25</v>
      </c>
      <c r="F87" s="6" t="str">
        <f>VLOOKUP(G87,[1]Discrete!$A:$B,2,FALSE)</f>
        <v>FASE B</v>
      </c>
      <c r="G87" s="6" t="s">
        <v>55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IMA_LT2_52-2_P_FB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/>
    </row>
    <row r="88" spans="1:14" x14ac:dyDescent="0.25">
      <c r="A88" s="6" t="s">
        <v>191</v>
      </c>
      <c r="B88" s="6" t="str">
        <f>Informações!$C$3</f>
        <v>IMA</v>
      </c>
      <c r="C88" s="6" t="s">
        <v>29</v>
      </c>
      <c r="D88" s="6" t="s">
        <v>205</v>
      </c>
      <c r="E88" s="2" t="s">
        <v>25</v>
      </c>
      <c r="F88" s="6" t="str">
        <f>VLOOKUP(G88,[1]Discrete!$A:$B,2,FALSE)</f>
        <v>NEUTRO</v>
      </c>
      <c r="G88" s="6" t="s">
        <v>420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IMA_LT2_52-2_P_N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/>
    </row>
    <row r="89" spans="1:14" x14ac:dyDescent="0.25">
      <c r="A89" s="6" t="s">
        <v>191</v>
      </c>
      <c r="B89" s="6" t="str">
        <f>Informações!$C$3</f>
        <v>IMA</v>
      </c>
      <c r="C89" s="6" t="s">
        <v>29</v>
      </c>
      <c r="D89" s="6" t="s">
        <v>205</v>
      </c>
      <c r="E89" s="2" t="s">
        <v>25</v>
      </c>
      <c r="F89" s="6" t="str">
        <f>VLOOKUP(G89,[1]Discrete!$A:$B,2,FALSE)</f>
        <v>FASE C</v>
      </c>
      <c r="G89" s="6" t="s">
        <v>56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IMA_LT2_52-2_P_FC</v>
      </c>
      <c r="I89" s="6" t="s">
        <v>267</v>
      </c>
      <c r="J89" s="6" t="s">
        <v>182</v>
      </c>
      <c r="K89" s="6" t="s">
        <v>179</v>
      </c>
      <c r="L89" s="6" t="s">
        <v>188</v>
      </c>
      <c r="M89" s="6" t="s">
        <v>188</v>
      </c>
      <c r="N89" s="6"/>
    </row>
    <row r="90" spans="1:14" x14ac:dyDescent="0.25">
      <c r="A90" s="6" t="s">
        <v>191</v>
      </c>
      <c r="B90" s="6" t="str">
        <f>Informações!$C$3</f>
        <v>IMA</v>
      </c>
      <c r="C90" s="6" t="s">
        <v>29</v>
      </c>
      <c r="D90" s="6" t="s">
        <v>204</v>
      </c>
      <c r="E90" s="2" t="s">
        <v>25</v>
      </c>
      <c r="F90" s="6" t="str">
        <f>VLOOKUP(G90,[1]Discrete!$A:$B,2,FALSE)</f>
        <v>FASE A</v>
      </c>
      <c r="G90" s="6" t="s">
        <v>54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IMA_LT2_52-2_A_FA</v>
      </c>
      <c r="I90" s="6" t="s">
        <v>267</v>
      </c>
      <c r="J90" s="6" t="s">
        <v>182</v>
      </c>
      <c r="K90" s="6" t="s">
        <v>179</v>
      </c>
      <c r="L90" s="6" t="s">
        <v>188</v>
      </c>
      <c r="M90" s="6" t="s">
        <v>188</v>
      </c>
      <c r="N90" s="6"/>
    </row>
    <row r="91" spans="1:14" x14ac:dyDescent="0.25">
      <c r="A91" s="6" t="s">
        <v>191</v>
      </c>
      <c r="B91" s="6" t="str">
        <f>Informações!$C$3</f>
        <v>IMA</v>
      </c>
      <c r="C91" s="6" t="s">
        <v>29</v>
      </c>
      <c r="D91" s="6" t="s">
        <v>204</v>
      </c>
      <c r="E91" s="2" t="s">
        <v>25</v>
      </c>
      <c r="F91" s="6" t="str">
        <f>VLOOKUP(G91,[1]Discrete!$A:$B,2,FALSE)</f>
        <v>FASE B</v>
      </c>
      <c r="G91" s="6" t="s">
        <v>55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IMA_LT2_52-2_A_FB</v>
      </c>
      <c r="I91" s="6" t="s">
        <v>267</v>
      </c>
      <c r="J91" s="6" t="s">
        <v>182</v>
      </c>
      <c r="K91" s="6" t="s">
        <v>179</v>
      </c>
      <c r="L91" s="6" t="s">
        <v>188</v>
      </c>
      <c r="M91" s="6" t="s">
        <v>188</v>
      </c>
      <c r="N91" s="6"/>
    </row>
    <row r="92" spans="1:14" x14ac:dyDescent="0.25">
      <c r="A92" s="6" t="s">
        <v>191</v>
      </c>
      <c r="B92" s="6" t="str">
        <f>Informações!$C$3</f>
        <v>IMA</v>
      </c>
      <c r="C92" s="6" t="s">
        <v>29</v>
      </c>
      <c r="D92" s="6" t="s">
        <v>204</v>
      </c>
      <c r="E92" s="2" t="s">
        <v>25</v>
      </c>
      <c r="F92" s="6" t="str">
        <f>VLOOKUP(G92,[1]Discrete!$A:$B,2,FALSE)</f>
        <v>FASE C</v>
      </c>
      <c r="G92" s="6" t="s">
        <v>56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IMA_LT2_52-2_A_FC</v>
      </c>
      <c r="I92" s="6" t="s">
        <v>267</v>
      </c>
      <c r="J92" s="6" t="s">
        <v>182</v>
      </c>
      <c r="K92" s="6" t="s">
        <v>179</v>
      </c>
      <c r="L92" s="6" t="s">
        <v>188</v>
      </c>
      <c r="M92" s="6" t="s">
        <v>188</v>
      </c>
      <c r="N92" s="6"/>
    </row>
    <row r="93" spans="1:14" x14ac:dyDescent="0.25">
      <c r="A93" s="6" t="s">
        <v>191</v>
      </c>
      <c r="B93" s="6" t="str">
        <f>Informações!$C$3</f>
        <v>IMA</v>
      </c>
      <c r="C93" s="6" t="s">
        <v>29</v>
      </c>
      <c r="D93" s="6" t="s">
        <v>204</v>
      </c>
      <c r="E93" s="2" t="s">
        <v>25</v>
      </c>
      <c r="F93" s="6" t="str">
        <f>VLOOKUP(G93,[1]Discrete!$A:$B,2,FALSE)</f>
        <v>NEUTRO</v>
      </c>
      <c r="G93" s="6" t="s">
        <v>420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IMA_LT2_52-2_A_N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/>
    </row>
    <row r="94" spans="1:14" x14ac:dyDescent="0.25">
      <c r="A94" s="6" t="s">
        <v>191</v>
      </c>
      <c r="B94" s="6" t="str">
        <f>Informações!$C$3</f>
        <v>IMA</v>
      </c>
      <c r="C94" s="6" t="s">
        <v>29</v>
      </c>
      <c r="D94" s="6" t="s">
        <v>30</v>
      </c>
      <c r="E94" s="2" t="s">
        <v>25</v>
      </c>
      <c r="F94" s="6" t="str">
        <f>VLOOKUP(G94,[1]Discrete!$A:$B,2,FALSE)</f>
        <v>86 - BLOQUEIO DEFEITO DISJUNTOR</v>
      </c>
      <c r="G94" s="6" t="s">
        <v>57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IMA_LT2_52-2_86BF</v>
      </c>
      <c r="I94" s="6" t="s">
        <v>267</v>
      </c>
      <c r="J94" s="6" t="s">
        <v>182</v>
      </c>
      <c r="K94" s="6" t="s">
        <v>179</v>
      </c>
      <c r="L94" s="6" t="s">
        <v>188</v>
      </c>
      <c r="M94" s="6" t="s">
        <v>188</v>
      </c>
      <c r="N94" s="6"/>
    </row>
    <row r="95" spans="1:14" x14ac:dyDescent="0.25">
      <c r="A95" s="6" t="s">
        <v>191</v>
      </c>
      <c r="B95" s="6" t="str">
        <f>Informações!$C$3</f>
        <v>IMA</v>
      </c>
      <c r="C95" s="6" t="s">
        <v>29</v>
      </c>
      <c r="D95" s="6" t="s">
        <v>205</v>
      </c>
      <c r="E95" s="2" t="s">
        <v>25</v>
      </c>
      <c r="F95" s="6" t="str">
        <f>VLOOKUP(G95,[1]Discrete!$A:$B,2,FALSE)</f>
        <v>67 - DIRECIONAL SOBRECORRENTE FASE E1</v>
      </c>
      <c r="G95" s="6" t="s">
        <v>61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IMA_LT2_52-2_P_67F1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/>
    </row>
    <row r="96" spans="1:14" x14ac:dyDescent="0.25">
      <c r="A96" s="6" t="s">
        <v>191</v>
      </c>
      <c r="B96" s="6" t="str">
        <f>Informações!$C$3</f>
        <v>IMA</v>
      </c>
      <c r="C96" s="6" t="s">
        <v>29</v>
      </c>
      <c r="D96" s="6" t="s">
        <v>205</v>
      </c>
      <c r="E96" s="2" t="s">
        <v>25</v>
      </c>
      <c r="F96" s="6" t="str">
        <f>VLOOKUP(G96,[1]Discrete!$A:$B,2,FALSE)</f>
        <v>67 - DIRECIONAL SOBRECORRENTE FASE E2</v>
      </c>
      <c r="G96" s="6" t="s">
        <v>62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IMA_LT2_52-2_P_67F2</v>
      </c>
      <c r="I96" s="6" t="s">
        <v>267</v>
      </c>
      <c r="J96" s="6" t="s">
        <v>182</v>
      </c>
      <c r="K96" s="6" t="s">
        <v>179</v>
      </c>
      <c r="L96" s="6" t="s">
        <v>188</v>
      </c>
      <c r="M96" s="6" t="s">
        <v>188</v>
      </c>
      <c r="N96" s="6"/>
    </row>
    <row r="97" spans="1:14" x14ac:dyDescent="0.25">
      <c r="A97" s="6" t="s">
        <v>191</v>
      </c>
      <c r="B97" s="6" t="str">
        <f>Informações!$C$3</f>
        <v>IMA</v>
      </c>
      <c r="C97" s="6" t="s">
        <v>29</v>
      </c>
      <c r="D97" s="6" t="s">
        <v>205</v>
      </c>
      <c r="E97" s="2" t="s">
        <v>25</v>
      </c>
      <c r="F97" s="6" t="str">
        <f>VLOOKUP(G97,[1]Discrete!$A:$B,2,FALSE)</f>
        <v>67 - DIRECIONAL SOBRECORRENTE NEUTRO E1</v>
      </c>
      <c r="G97" s="6" t="s">
        <v>58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IMA_LT2_52-2_P_67N1</v>
      </c>
      <c r="I97" s="6" t="s">
        <v>267</v>
      </c>
      <c r="J97" s="6" t="s">
        <v>182</v>
      </c>
      <c r="K97" s="6" t="s">
        <v>179</v>
      </c>
      <c r="L97" s="6" t="s">
        <v>188</v>
      </c>
      <c r="M97" s="6" t="s">
        <v>188</v>
      </c>
      <c r="N97" s="6"/>
    </row>
    <row r="98" spans="1:14" x14ac:dyDescent="0.25">
      <c r="A98" s="6" t="s">
        <v>191</v>
      </c>
      <c r="B98" s="6" t="str">
        <f>Informações!$C$3</f>
        <v>IMA</v>
      </c>
      <c r="C98" s="6" t="s">
        <v>29</v>
      </c>
      <c r="D98" s="6" t="s">
        <v>205</v>
      </c>
      <c r="E98" s="2" t="s">
        <v>25</v>
      </c>
      <c r="F98" s="6" t="str">
        <f>VLOOKUP(G98,[1]Discrete!$A:$B,2,FALSE)</f>
        <v>67 - DIRECIONAL SOBRECORRENTE NEUTRO E2</v>
      </c>
      <c r="G98" s="6" t="s">
        <v>59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IMA_LT2_52-2_P_67N2</v>
      </c>
      <c r="I98" s="6" t="s">
        <v>267</v>
      </c>
      <c r="J98" s="6" t="s">
        <v>182</v>
      </c>
      <c r="K98" s="6" t="s">
        <v>179</v>
      </c>
      <c r="L98" s="6" t="s">
        <v>188</v>
      </c>
      <c r="M98" s="6" t="s">
        <v>188</v>
      </c>
      <c r="N98" s="6"/>
    </row>
    <row r="99" spans="1:14" x14ac:dyDescent="0.25">
      <c r="A99" s="6" t="s">
        <v>191</v>
      </c>
      <c r="B99" s="6" t="str">
        <f>Informações!$C$3</f>
        <v>IMA</v>
      </c>
      <c r="C99" s="6" t="s">
        <v>29</v>
      </c>
      <c r="D99" s="6" t="s">
        <v>205</v>
      </c>
      <c r="E99" s="2" t="s">
        <v>25</v>
      </c>
      <c r="F99" s="6" t="str">
        <f>VLOOKUP(G99,[1]Discrete!$A:$B,2,FALSE)</f>
        <v>67 - DIRECIONAL SOBRECORRENTE FASE TEMPORIZADO</v>
      </c>
      <c r="G99" s="6" t="s">
        <v>60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IMA_LT2_52-2_P_67FT</v>
      </c>
      <c r="I99" s="6" t="s">
        <v>267</v>
      </c>
      <c r="J99" s="6" t="s">
        <v>182</v>
      </c>
      <c r="K99" s="6" t="s">
        <v>179</v>
      </c>
      <c r="L99" s="6" t="s">
        <v>188</v>
      </c>
      <c r="M99" s="6" t="s">
        <v>188</v>
      </c>
      <c r="N99" s="6"/>
    </row>
    <row r="100" spans="1:14" x14ac:dyDescent="0.25">
      <c r="A100" s="6" t="s">
        <v>191</v>
      </c>
      <c r="B100" s="6" t="str">
        <f>Informações!$C$3</f>
        <v>IMA</v>
      </c>
      <c r="C100" s="6" t="s">
        <v>29</v>
      </c>
      <c r="D100" s="6" t="s">
        <v>205</v>
      </c>
      <c r="E100" s="2" t="s">
        <v>25</v>
      </c>
      <c r="F100" s="6" t="str">
        <f>VLOOKUP(G100,[1]Discrete!$A:$B,2,FALSE)</f>
        <v>67 - DIRECIONAL SOBRECORRENTE NEUTRO TEMPORIZADO</v>
      </c>
      <c r="G100" s="6" t="s">
        <v>63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IMA_LT2_52-2_P_67NT</v>
      </c>
      <c r="I100" s="6" t="s">
        <v>267</v>
      </c>
      <c r="J100" s="6" t="s">
        <v>182</v>
      </c>
      <c r="K100" s="6" t="s">
        <v>179</v>
      </c>
      <c r="L100" s="6" t="s">
        <v>188</v>
      </c>
      <c r="M100" s="6" t="s">
        <v>188</v>
      </c>
      <c r="N100" s="6"/>
    </row>
    <row r="101" spans="1:14" x14ac:dyDescent="0.25">
      <c r="A101" s="6" t="s">
        <v>191</v>
      </c>
      <c r="B101" s="6" t="str">
        <f>Informações!$C$3</f>
        <v>IMA</v>
      </c>
      <c r="C101" s="6" t="s">
        <v>29</v>
      </c>
      <c r="D101" s="6" t="s">
        <v>204</v>
      </c>
      <c r="E101" s="2" t="s">
        <v>25</v>
      </c>
      <c r="F101" s="6" t="str">
        <f>VLOOKUP(G101,[1]Discrete!$A:$B,2,FALSE)</f>
        <v>67 - DIRECIONAL SOBRECORRENTE FASE E1</v>
      </c>
      <c r="G101" s="6" t="s">
        <v>61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IMA_LT2_52-2_A_67F1</v>
      </c>
      <c r="I101" s="6" t="s">
        <v>267</v>
      </c>
      <c r="J101" s="6" t="s">
        <v>182</v>
      </c>
      <c r="K101" s="6" t="s">
        <v>179</v>
      </c>
      <c r="L101" s="6" t="s">
        <v>188</v>
      </c>
      <c r="M101" s="6" t="s">
        <v>188</v>
      </c>
      <c r="N101" s="6"/>
    </row>
    <row r="102" spans="1:14" x14ac:dyDescent="0.25">
      <c r="A102" s="6" t="s">
        <v>191</v>
      </c>
      <c r="B102" s="6" t="str">
        <f>Informações!$C$3</f>
        <v>IMA</v>
      </c>
      <c r="C102" s="6" t="s">
        <v>29</v>
      </c>
      <c r="D102" s="6" t="s">
        <v>204</v>
      </c>
      <c r="E102" s="2" t="s">
        <v>25</v>
      </c>
      <c r="F102" s="6" t="str">
        <f>VLOOKUP(G102,[1]Discrete!$A:$B,2,FALSE)</f>
        <v>67 - DIRECIONAL SOBRECORRENTE FASE E2</v>
      </c>
      <c r="G102" s="6" t="s">
        <v>62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IMA_LT2_52-2_A_67F2</v>
      </c>
      <c r="I102" s="6" t="s">
        <v>267</v>
      </c>
      <c r="J102" s="6" t="s">
        <v>182</v>
      </c>
      <c r="K102" s="6" t="s">
        <v>179</v>
      </c>
      <c r="L102" s="6" t="s">
        <v>188</v>
      </c>
      <c r="M102" s="6" t="s">
        <v>188</v>
      </c>
      <c r="N102" s="6"/>
    </row>
    <row r="103" spans="1:14" x14ac:dyDescent="0.25">
      <c r="A103" s="6" t="s">
        <v>191</v>
      </c>
      <c r="B103" s="6" t="str">
        <f>Informações!$C$3</f>
        <v>IMA</v>
      </c>
      <c r="C103" s="6" t="s">
        <v>29</v>
      </c>
      <c r="D103" s="6" t="s">
        <v>204</v>
      </c>
      <c r="E103" s="2" t="s">
        <v>25</v>
      </c>
      <c r="F103" s="6" t="str">
        <f>VLOOKUP(G103,[1]Discrete!$A:$B,2,FALSE)</f>
        <v>67 - DIRECIONAL SOBRECORRENTE NEUTRO E1</v>
      </c>
      <c r="G103" s="6" t="s">
        <v>58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IMA_LT2_52-2_A_67N1</v>
      </c>
      <c r="I103" s="6" t="s">
        <v>267</v>
      </c>
      <c r="J103" s="6" t="s">
        <v>182</v>
      </c>
      <c r="K103" s="6" t="s">
        <v>179</v>
      </c>
      <c r="L103" s="6" t="s">
        <v>188</v>
      </c>
      <c r="M103" s="6" t="s">
        <v>188</v>
      </c>
      <c r="N103" s="6"/>
    </row>
    <row r="104" spans="1:14" x14ac:dyDescent="0.25">
      <c r="A104" s="6" t="s">
        <v>191</v>
      </c>
      <c r="B104" s="6" t="str">
        <f>Informações!$C$3</f>
        <v>IMA</v>
      </c>
      <c r="C104" s="6" t="s">
        <v>29</v>
      </c>
      <c r="D104" s="6" t="s">
        <v>204</v>
      </c>
      <c r="E104" s="2" t="s">
        <v>25</v>
      </c>
      <c r="F104" s="6" t="str">
        <f>VLOOKUP(G104,[1]Discrete!$A:$B,2,FALSE)</f>
        <v>67 - DIRECIONAL SOBRECORRENTE NEUTRO E2</v>
      </c>
      <c r="G104" s="6" t="s">
        <v>59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IMA_LT2_52-2_A_67N2</v>
      </c>
      <c r="I104" s="6" t="s">
        <v>267</v>
      </c>
      <c r="J104" s="6" t="s">
        <v>182</v>
      </c>
      <c r="K104" s="6" t="s">
        <v>179</v>
      </c>
      <c r="L104" s="6" t="s">
        <v>188</v>
      </c>
      <c r="M104" s="6" t="s">
        <v>188</v>
      </c>
      <c r="N104" s="6"/>
    </row>
    <row r="105" spans="1:14" x14ac:dyDescent="0.25">
      <c r="A105" s="6" t="s">
        <v>191</v>
      </c>
      <c r="B105" s="6" t="str">
        <f>Informações!$C$3</f>
        <v>IMA</v>
      </c>
      <c r="C105" s="6" t="s">
        <v>29</v>
      </c>
      <c r="D105" s="6" t="s">
        <v>204</v>
      </c>
      <c r="E105" s="2" t="s">
        <v>25</v>
      </c>
      <c r="F105" s="6" t="str">
        <f>VLOOKUP(G105,[1]Discrete!$A:$B,2,FALSE)</f>
        <v>67 - DIRECIONAL SOBRECORRENTE FASE TEMPORIZADO</v>
      </c>
      <c r="G105" s="6" t="s">
        <v>60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IMA_LT2_52-2_A_67FT</v>
      </c>
      <c r="I105" s="6" t="s">
        <v>267</v>
      </c>
      <c r="J105" s="6" t="s">
        <v>182</v>
      </c>
      <c r="K105" s="6" t="s">
        <v>179</v>
      </c>
      <c r="L105" s="6" t="s">
        <v>188</v>
      </c>
      <c r="M105" s="6" t="s">
        <v>188</v>
      </c>
      <c r="N105" s="6"/>
    </row>
    <row r="106" spans="1:14" x14ac:dyDescent="0.25">
      <c r="A106" s="6" t="s">
        <v>191</v>
      </c>
      <c r="B106" s="6" t="str">
        <f>Informações!$C$3</f>
        <v>IMA</v>
      </c>
      <c r="C106" s="6" t="s">
        <v>29</v>
      </c>
      <c r="D106" s="6" t="s">
        <v>204</v>
      </c>
      <c r="E106" s="2" t="s">
        <v>25</v>
      </c>
      <c r="F106" s="6" t="str">
        <f>VLOOKUP(G106,[1]Discrete!$A:$B,2,FALSE)</f>
        <v>67 - DIRECIONAL SOBRECORRENTE NEUTRO TEMPORIZADO</v>
      </c>
      <c r="G106" s="6" t="s">
        <v>63</v>
      </c>
      <c r="H106" s="6" t="str" cm="1">
        <f t="array" ref="H106">_xlfn.IFS(OR(D106="TC",D106="TP",D106="LT"),CONCATENATE(B106,"_",C106,$B$3,"_",C106,$B$3,"_",G106),D106="SECC",CONCATENATE(B106,"_",C106,$B$3,"_",$B$5,"_",G106),D106="SECF",CONCATENATE(B106,"_",C106,$B$3,"_",$B$6,"_",G106),D106="SECT",CONCATENATE(B106,"_",C106,$B$3,"_",$B$7,"_",G106),D106="SECG",CONCATENATE(B106,"_",C106,$B$3,"_",$B$8,"_",G106),D106="DJ",CONCATENATE(B106,"_",C106,$B$3,"_",$B$4,"_",G106),D106="DJ_P",CONCATENATE(B106,"_",C106,$B$3,"_",$B$4,"_P","_",G106),D106="DJ_A",CONCATENATE(B106,"_",C106,$B$3,"_",$B$4,"_A","_",G106),D106="LT_P",CONCATENATE(B106,"_",C106,$B$3,"_",C106,$B$3,"_P","_",G106),D106="LT_A",CONCATENATE(B106,"_",C106,$B$3,"_",C106,$B$3,"_A","_",G106))</f>
        <v>IMA_LT2_52-2_A_67NT</v>
      </c>
      <c r="I106" s="6" t="s">
        <v>267</v>
      </c>
      <c r="J106" s="6" t="s">
        <v>182</v>
      </c>
      <c r="K106" s="6" t="s">
        <v>179</v>
      </c>
      <c r="L106" s="6" t="s">
        <v>188</v>
      </c>
      <c r="M106" s="6" t="s">
        <v>188</v>
      </c>
      <c r="N106" s="6"/>
    </row>
    <row r="107" spans="1:14" x14ac:dyDescent="0.25">
      <c r="A107" s="6" t="s">
        <v>191</v>
      </c>
      <c r="B107" s="6" t="str">
        <f>Informações!$C$3</f>
        <v>IMA</v>
      </c>
      <c r="C107" s="6" t="s">
        <v>29</v>
      </c>
      <c r="D107" s="6" t="s">
        <v>206</v>
      </c>
      <c r="E107" s="2" t="s">
        <v>25</v>
      </c>
      <c r="F107" s="6" t="str">
        <f>VLOOKUP(G107,[1]Discrete!$A:$B,2,FALSE)</f>
        <v>21 - TRIP ZONA 1</v>
      </c>
      <c r="G107" s="6" t="s">
        <v>64</v>
      </c>
      <c r="H107" s="6" t="str" cm="1">
        <f t="array" ref="H107">_xlfn.IFS(OR(D107="TC",D107="TP",D107="LT"),CONCATENATE(B107,"_",C107,$B$3,"_",C107,$B$3,"_",G107),D107="SECC",CONCATENATE(B107,"_",C107,$B$3,"_",$B$5,"_",G107),D107="SECF",CONCATENATE(B107,"_",C107,$B$3,"_",$B$6,"_",G107),D107="SECT",CONCATENATE(B107,"_",C107,$B$3,"_",$B$7,"_",G107),D107="SECG",CONCATENATE(B107,"_",C107,$B$3,"_",$B$8,"_",G107),D107="DJ",CONCATENATE(B107,"_",C107,$B$3,"_",$B$4,"_",G107),D107="DJ_P",CONCATENATE(B107,"_",C107,$B$3,"_",$B$4,"_P","_",G107),D107="DJ_A",CONCATENATE(B107,"_",C107,$B$3,"_",$B$4,"_A","_",G107),D107="LT_P",CONCATENATE(B107,"_",C107,$B$3,"_",C107,$B$3,"_P","_",G107),D107="LT_A",CONCATENATE(B107,"_",C107,$B$3,"_",C107,$B$3,"_A","_",G107))</f>
        <v>IMA_LT2_LT2_P_21Z1</v>
      </c>
      <c r="I107" s="6" t="s">
        <v>267</v>
      </c>
      <c r="J107" s="6" t="s">
        <v>182</v>
      </c>
      <c r="K107" s="6" t="s">
        <v>179</v>
      </c>
      <c r="L107" s="6" t="s">
        <v>188</v>
      </c>
      <c r="M107" s="6" t="s">
        <v>188</v>
      </c>
      <c r="N107" s="6"/>
    </row>
    <row r="108" spans="1:14" x14ac:dyDescent="0.25">
      <c r="A108" s="6" t="s">
        <v>191</v>
      </c>
      <c r="B108" s="6" t="str">
        <f>Informações!$C$3</f>
        <v>IMA</v>
      </c>
      <c r="C108" s="6" t="s">
        <v>29</v>
      </c>
      <c r="D108" s="6" t="s">
        <v>206</v>
      </c>
      <c r="E108" s="2" t="s">
        <v>25</v>
      </c>
      <c r="F108" s="6" t="str">
        <f>VLOOKUP(G108,[1]Discrete!$A:$B,2,FALSE)</f>
        <v>21 - TRIP ZONA 2</v>
      </c>
      <c r="G108" s="6" t="s">
        <v>65</v>
      </c>
      <c r="H108" s="6" t="str" cm="1">
        <f t="array" ref="H108">_xlfn.IFS(OR(D108="TC",D108="TP",D108="LT"),CONCATENATE(B108,"_",C108,$B$3,"_",C108,$B$3,"_",G108),D108="SECC",CONCATENATE(B108,"_",C108,$B$3,"_",$B$5,"_",G108),D108="SECF",CONCATENATE(B108,"_",C108,$B$3,"_",$B$6,"_",G108),D108="SECT",CONCATENATE(B108,"_",C108,$B$3,"_",$B$7,"_",G108),D108="SECG",CONCATENATE(B108,"_",C108,$B$3,"_",$B$8,"_",G108),D108="DJ",CONCATENATE(B108,"_",C108,$B$3,"_",$B$4,"_",G108),D108="DJ_P",CONCATENATE(B108,"_",C108,$B$3,"_",$B$4,"_P","_",G108),D108="DJ_A",CONCATENATE(B108,"_",C108,$B$3,"_",$B$4,"_A","_",G108),D108="LT_P",CONCATENATE(B108,"_",C108,$B$3,"_",C108,$B$3,"_P","_",G108),D108="LT_A",CONCATENATE(B108,"_",C108,$B$3,"_",C108,$B$3,"_A","_",G108))</f>
        <v>IMA_LT2_LT2_P_21Z2</v>
      </c>
      <c r="I108" s="6" t="s">
        <v>267</v>
      </c>
      <c r="J108" s="6" t="s">
        <v>182</v>
      </c>
      <c r="K108" s="6" t="s">
        <v>179</v>
      </c>
      <c r="L108" s="6" t="s">
        <v>188</v>
      </c>
      <c r="M108" s="6" t="s">
        <v>188</v>
      </c>
      <c r="N108" s="6"/>
    </row>
    <row r="109" spans="1:14" x14ac:dyDescent="0.25">
      <c r="A109" s="6" t="s">
        <v>191</v>
      </c>
      <c r="B109" s="6" t="str">
        <f>Informações!$C$3</f>
        <v>IMA</v>
      </c>
      <c r="C109" s="6" t="s">
        <v>29</v>
      </c>
      <c r="D109" s="6" t="s">
        <v>206</v>
      </c>
      <c r="E109" s="2" t="s">
        <v>25</v>
      </c>
      <c r="F109" s="6" t="str">
        <f>VLOOKUP(G109,[1]Discrete!$A:$B,2,FALSE)</f>
        <v>21 - TRIP ZONA 3</v>
      </c>
      <c r="G109" s="6" t="s">
        <v>66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IMA_LT2_LT2_P_21Z3</v>
      </c>
      <c r="I109" s="6" t="s">
        <v>267</v>
      </c>
      <c r="J109" s="6" t="s">
        <v>182</v>
      </c>
      <c r="K109" s="6" t="s">
        <v>179</v>
      </c>
      <c r="L109" s="6" t="s">
        <v>188</v>
      </c>
      <c r="M109" s="6" t="s">
        <v>188</v>
      </c>
      <c r="N109" s="6"/>
    </row>
    <row r="110" spans="1:14" x14ac:dyDescent="0.25">
      <c r="A110" s="6" t="s">
        <v>191</v>
      </c>
      <c r="B110" s="6" t="str">
        <f>Informações!$C$3</f>
        <v>IMA</v>
      </c>
      <c r="C110" s="6" t="s">
        <v>29</v>
      </c>
      <c r="D110" s="6" t="s">
        <v>206</v>
      </c>
      <c r="E110" s="2" t="s">
        <v>25</v>
      </c>
      <c r="F110" s="6" t="str">
        <f>VLOOKUP(G110,[1]Discrete!$A:$B,2,FALSE)</f>
        <v>21 - TRIP ZONA 4</v>
      </c>
      <c r="G110" s="6" t="s">
        <v>67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IMA_LT2_LT2_P_21Z4</v>
      </c>
      <c r="I110" s="6" t="s">
        <v>267</v>
      </c>
      <c r="J110" s="6" t="s">
        <v>182</v>
      </c>
      <c r="K110" s="6" t="s">
        <v>179</v>
      </c>
      <c r="L110" s="6" t="s">
        <v>188</v>
      </c>
      <c r="M110" s="6" t="s">
        <v>188</v>
      </c>
      <c r="N110" s="6"/>
    </row>
    <row r="111" spans="1:14" x14ac:dyDescent="0.25">
      <c r="A111" s="6" t="s">
        <v>191</v>
      </c>
      <c r="B111" s="6" t="str">
        <f>Informações!$C$3</f>
        <v>IMA</v>
      </c>
      <c r="C111" s="6" t="s">
        <v>29</v>
      </c>
      <c r="D111" s="6" t="s">
        <v>206</v>
      </c>
      <c r="E111" s="2" t="s">
        <v>25</v>
      </c>
      <c r="F111" s="6" t="str">
        <f>VLOOKUP(G111,[1]Discrete!$A:$B,2,FALSE)</f>
        <v>21 - TRIP ZONA 5</v>
      </c>
      <c r="G111" s="6" t="s">
        <v>68</v>
      </c>
      <c r="H111" s="6" t="str" cm="1">
        <f t="array" ref="H111">_xlfn.IFS(OR(D111="TC",D111="TP",D111="LT"),CONCATENATE(B111,"_",C111,$B$3,"_",C111,$B$3,"_",G111),D111="SECC",CONCATENATE(B111,"_",C111,$B$3,"_",$B$5,"_",G111),D111="SECF",CONCATENATE(B111,"_",C111,$B$3,"_",$B$6,"_",G111),D111="SECT",CONCATENATE(B111,"_",C111,$B$3,"_",$B$7,"_",G111),D111="SECG",CONCATENATE(B111,"_",C111,$B$3,"_",$B$8,"_",G111),D111="DJ",CONCATENATE(B111,"_",C111,$B$3,"_",$B$4,"_",G111),D111="DJ_P",CONCATENATE(B111,"_",C111,$B$3,"_",$B$4,"_P","_",G111),D111="DJ_A",CONCATENATE(B111,"_",C111,$B$3,"_",$B$4,"_A","_",G111),D111="LT_P",CONCATENATE(B111,"_",C111,$B$3,"_",C111,$B$3,"_P","_",G111),D111="LT_A",CONCATENATE(B111,"_",C111,$B$3,"_",C111,$B$3,"_A","_",G111))</f>
        <v>IMA_LT2_LT2_P_21Z5</v>
      </c>
      <c r="I111" s="6" t="s">
        <v>267</v>
      </c>
      <c r="J111" s="6" t="s">
        <v>182</v>
      </c>
      <c r="K111" s="6" t="s">
        <v>179</v>
      </c>
      <c r="L111" s="6" t="s">
        <v>188</v>
      </c>
      <c r="M111" s="6" t="s">
        <v>188</v>
      </c>
      <c r="N111" s="6"/>
    </row>
    <row r="112" spans="1:14" x14ac:dyDescent="0.25">
      <c r="A112" s="6" t="s">
        <v>191</v>
      </c>
      <c r="B112" s="6" t="str">
        <f>Informações!$C$3</f>
        <v>IMA</v>
      </c>
      <c r="C112" s="6" t="s">
        <v>29</v>
      </c>
      <c r="D112" s="6" t="s">
        <v>207</v>
      </c>
      <c r="E112" s="2" t="s">
        <v>25</v>
      </c>
      <c r="F112" s="6" t="str">
        <f>VLOOKUP(G112,[1]Discrete!$A:$B,2,FALSE)</f>
        <v>21 - TRIP ZONA 1</v>
      </c>
      <c r="G112" s="6" t="s">
        <v>64</v>
      </c>
      <c r="H112" s="6" t="str" cm="1">
        <f t="array" ref="H112">_xlfn.IFS(OR(D112="TC",D112="TP",D112="LT"),CONCATENATE(B112,"_",C112,$B$3,"_",C112,$B$3,"_",G112),D112="SECC",CONCATENATE(B112,"_",C112,$B$3,"_",$B$5,"_",G112),D112="SECF",CONCATENATE(B112,"_",C112,$B$3,"_",$B$6,"_",G112),D112="SECT",CONCATENATE(B112,"_",C112,$B$3,"_",$B$7,"_",G112),D112="SECG",CONCATENATE(B112,"_",C112,$B$3,"_",$B$8,"_",G112),D112="DJ",CONCATENATE(B112,"_",C112,$B$3,"_",$B$4,"_",G112),D112="DJ_P",CONCATENATE(B112,"_",C112,$B$3,"_",$B$4,"_P","_",G112),D112="DJ_A",CONCATENATE(B112,"_",C112,$B$3,"_",$B$4,"_A","_",G112),D112="LT_P",CONCATENATE(B112,"_",C112,$B$3,"_",C112,$B$3,"_P","_",G112),D112="LT_A",CONCATENATE(B112,"_",C112,$B$3,"_",C112,$B$3,"_A","_",G112))</f>
        <v>IMA_LT2_LT2_A_21Z1</v>
      </c>
      <c r="I112" s="6" t="s">
        <v>267</v>
      </c>
      <c r="J112" s="6" t="s">
        <v>182</v>
      </c>
      <c r="K112" s="6" t="s">
        <v>179</v>
      </c>
      <c r="L112" s="6" t="s">
        <v>188</v>
      </c>
      <c r="M112" s="6" t="s">
        <v>188</v>
      </c>
      <c r="N112" s="6"/>
    </row>
    <row r="113" spans="1:14" x14ac:dyDescent="0.25">
      <c r="A113" s="6" t="s">
        <v>191</v>
      </c>
      <c r="B113" s="6" t="str">
        <f>Informações!$C$3</f>
        <v>IMA</v>
      </c>
      <c r="C113" s="6" t="s">
        <v>29</v>
      </c>
      <c r="D113" s="6" t="s">
        <v>207</v>
      </c>
      <c r="E113" s="2" t="s">
        <v>25</v>
      </c>
      <c r="F113" s="6" t="str">
        <f>VLOOKUP(G113,[1]Discrete!$A:$B,2,FALSE)</f>
        <v>21 - TRIP ZONA 2</v>
      </c>
      <c r="G113" s="6" t="s">
        <v>65</v>
      </c>
      <c r="H113" s="6" t="str" cm="1">
        <f t="array" ref="H113">_xlfn.IFS(OR(D113="TC",D113="TP",D113="LT"),CONCATENATE(B113,"_",C113,$B$3,"_",C113,$B$3,"_",G113),D113="SECC",CONCATENATE(B113,"_",C113,$B$3,"_",$B$5,"_",G113),D113="SECF",CONCATENATE(B113,"_",C113,$B$3,"_",$B$6,"_",G113),D113="SECT",CONCATENATE(B113,"_",C113,$B$3,"_",$B$7,"_",G113),D113="SECG",CONCATENATE(B113,"_",C113,$B$3,"_",$B$8,"_",G113),D113="DJ",CONCATENATE(B113,"_",C113,$B$3,"_",$B$4,"_",G113),D113="DJ_P",CONCATENATE(B113,"_",C113,$B$3,"_",$B$4,"_P","_",G113),D113="DJ_A",CONCATENATE(B113,"_",C113,$B$3,"_",$B$4,"_A","_",G113),D113="LT_P",CONCATENATE(B113,"_",C113,$B$3,"_",C113,$B$3,"_P","_",G113),D113="LT_A",CONCATENATE(B113,"_",C113,$B$3,"_",C113,$B$3,"_A","_",G113))</f>
        <v>IMA_LT2_LT2_A_21Z2</v>
      </c>
      <c r="I113" s="6" t="s">
        <v>267</v>
      </c>
      <c r="J113" s="6" t="s">
        <v>182</v>
      </c>
      <c r="K113" s="6" t="s">
        <v>179</v>
      </c>
      <c r="L113" s="6" t="s">
        <v>188</v>
      </c>
      <c r="M113" s="6" t="s">
        <v>188</v>
      </c>
      <c r="N113" s="6"/>
    </row>
    <row r="114" spans="1:14" x14ac:dyDescent="0.25">
      <c r="A114" s="6" t="s">
        <v>191</v>
      </c>
      <c r="B114" s="6" t="str">
        <f>Informações!$C$3</f>
        <v>IMA</v>
      </c>
      <c r="C114" s="6" t="s">
        <v>29</v>
      </c>
      <c r="D114" s="6" t="s">
        <v>207</v>
      </c>
      <c r="E114" s="2" t="s">
        <v>25</v>
      </c>
      <c r="F114" s="6" t="str">
        <f>VLOOKUP(G114,[1]Discrete!$A:$B,2,FALSE)</f>
        <v>21 - TRIP ZONA 3</v>
      </c>
      <c r="G114" s="6" t="s">
        <v>66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IMA_LT2_LT2_A_21Z3</v>
      </c>
      <c r="I114" s="6" t="s">
        <v>267</v>
      </c>
      <c r="J114" s="6" t="s">
        <v>182</v>
      </c>
      <c r="K114" s="6" t="s">
        <v>179</v>
      </c>
      <c r="L114" s="6" t="s">
        <v>188</v>
      </c>
      <c r="M114" s="6" t="s">
        <v>188</v>
      </c>
      <c r="N114" s="6"/>
    </row>
    <row r="115" spans="1:14" x14ac:dyDescent="0.25">
      <c r="A115" s="6" t="s">
        <v>191</v>
      </c>
      <c r="B115" s="6" t="str">
        <f>Informações!$C$3</f>
        <v>IMA</v>
      </c>
      <c r="C115" s="6" t="s">
        <v>29</v>
      </c>
      <c r="D115" s="6" t="s">
        <v>207</v>
      </c>
      <c r="E115" s="2" t="s">
        <v>25</v>
      </c>
      <c r="F115" s="6" t="str">
        <f>VLOOKUP(G115,[1]Discrete!$A:$B,2,FALSE)</f>
        <v>21 - TRIP ZONA 4</v>
      </c>
      <c r="G115" s="6" t="s">
        <v>67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IMA_LT2_LT2_A_21Z4</v>
      </c>
      <c r="I115" s="6" t="s">
        <v>267</v>
      </c>
      <c r="J115" s="6" t="s">
        <v>182</v>
      </c>
      <c r="K115" s="6" t="s">
        <v>179</v>
      </c>
      <c r="L115" s="6" t="s">
        <v>188</v>
      </c>
      <c r="M115" s="6" t="s">
        <v>188</v>
      </c>
      <c r="N115" s="6"/>
    </row>
    <row r="116" spans="1:14" x14ac:dyDescent="0.25">
      <c r="A116" s="6" t="s">
        <v>191</v>
      </c>
      <c r="B116" s="6" t="str">
        <f>Informações!$C$3</f>
        <v>IMA</v>
      </c>
      <c r="C116" s="6" t="s">
        <v>29</v>
      </c>
      <c r="D116" s="6" t="s">
        <v>207</v>
      </c>
      <c r="E116" s="2" t="s">
        <v>25</v>
      </c>
      <c r="F116" s="6" t="str">
        <f>VLOOKUP(G116,[1]Discrete!$A:$B,2,FALSE)</f>
        <v>21 - TRIP ZONA 5</v>
      </c>
      <c r="G116" s="6" t="s">
        <v>68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IMA_LT2_LT2_A_21Z5</v>
      </c>
      <c r="I116" s="6" t="s">
        <v>267</v>
      </c>
      <c r="J116" s="6" t="s">
        <v>182</v>
      </c>
      <c r="K116" s="6" t="s">
        <v>179</v>
      </c>
      <c r="L116" s="6" t="s">
        <v>188</v>
      </c>
      <c r="M116" s="6" t="s">
        <v>188</v>
      </c>
      <c r="N116" s="6"/>
    </row>
    <row r="117" spans="1:14" x14ac:dyDescent="0.25">
      <c r="A117" s="6" t="s">
        <v>191</v>
      </c>
      <c r="B117" s="6" t="str">
        <f>Informações!$C$3</f>
        <v>IMA</v>
      </c>
      <c r="C117" s="6" t="s">
        <v>29</v>
      </c>
      <c r="D117" s="6" t="s">
        <v>29</v>
      </c>
      <c r="E117" s="2" t="s">
        <v>25</v>
      </c>
      <c r="F117" s="6" t="e">
        <f>VLOOKUP(G117,[1]Discrete!$A:$B,2,FALSE)</f>
        <v>#N/A</v>
      </c>
      <c r="G117" s="6">
        <v>21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IMA_LT2_LT2_21</v>
      </c>
      <c r="I117" s="6" t="s">
        <v>267</v>
      </c>
      <c r="J117" s="6" t="s">
        <v>182</v>
      </c>
      <c r="K117" s="6" t="s">
        <v>179</v>
      </c>
      <c r="L117" s="6" t="s">
        <v>188</v>
      </c>
      <c r="M117" s="6" t="s">
        <v>188</v>
      </c>
      <c r="N117" s="6"/>
    </row>
    <row r="118" spans="1:14" x14ac:dyDescent="0.25">
      <c r="A118" s="6" t="s">
        <v>191</v>
      </c>
      <c r="B118" s="6" t="str">
        <f>Informações!$C$3</f>
        <v>IMA</v>
      </c>
      <c r="C118" s="6" t="s">
        <v>29</v>
      </c>
      <c r="D118" s="6" t="s">
        <v>205</v>
      </c>
      <c r="E118" s="2" t="s">
        <v>25</v>
      </c>
      <c r="F118" s="6" t="str">
        <f>VLOOKUP(G118,[1]Discrete!$A:$B,2,FALSE)</f>
        <v>27 - TRIP SUBTENSAO</v>
      </c>
      <c r="G118" s="6" t="s">
        <v>69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IMA_LT2_52-2_P_27_T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6"/>
    </row>
    <row r="119" spans="1:14" x14ac:dyDescent="0.25">
      <c r="A119" s="6" t="s">
        <v>191</v>
      </c>
      <c r="B119" s="6" t="str">
        <f>Informações!$C$3</f>
        <v>IMA</v>
      </c>
      <c r="C119" s="6" t="s">
        <v>29</v>
      </c>
      <c r="D119" s="6" t="s">
        <v>205</v>
      </c>
      <c r="E119" s="2" t="s">
        <v>25</v>
      </c>
      <c r="F119" s="6" t="str">
        <f>VLOOKUP(G119,[1]Discrete!$A:$B,2,FALSE)</f>
        <v>59 - TRIP SOBRETENSAO</v>
      </c>
      <c r="G119" s="6" t="s">
        <v>70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IMA_LT2_52-2_P_59_T</v>
      </c>
      <c r="I119" s="6" t="s">
        <v>267</v>
      </c>
      <c r="J119" s="6" t="s">
        <v>182</v>
      </c>
      <c r="K119" s="6" t="s">
        <v>179</v>
      </c>
      <c r="L119" s="6" t="s">
        <v>188</v>
      </c>
      <c r="M119" s="6" t="s">
        <v>188</v>
      </c>
      <c r="N119" s="6"/>
    </row>
    <row r="120" spans="1:14" x14ac:dyDescent="0.25">
      <c r="A120" s="6" t="s">
        <v>191</v>
      </c>
      <c r="B120" s="6" t="str">
        <f>Informações!$C$3</f>
        <v>IMA</v>
      </c>
      <c r="C120" s="6" t="s">
        <v>29</v>
      </c>
      <c r="D120" s="6" t="s">
        <v>204</v>
      </c>
      <c r="E120" s="2" t="s">
        <v>25</v>
      </c>
      <c r="F120" s="6" t="str">
        <f>VLOOKUP(G120,[1]Discrete!$A:$B,2,FALSE)</f>
        <v>27 - TRIP SUBTENSAO</v>
      </c>
      <c r="G120" s="6" t="s">
        <v>69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IMA_LT2_52-2_A_27_T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6"/>
    </row>
    <row r="121" spans="1:14" x14ac:dyDescent="0.25">
      <c r="A121" s="6" t="s">
        <v>191</v>
      </c>
      <c r="B121" s="6" t="str">
        <f>Informações!$C$3</f>
        <v>IMA</v>
      </c>
      <c r="C121" s="6" t="s">
        <v>29</v>
      </c>
      <c r="D121" s="6" t="s">
        <v>204</v>
      </c>
      <c r="E121" s="2" t="s">
        <v>25</v>
      </c>
      <c r="F121" s="6" t="str">
        <f>VLOOKUP(G121,[1]Discrete!$A:$B,2,FALSE)</f>
        <v>59 - TRIP SOBRETENSAO</v>
      </c>
      <c r="G121" s="6" t="s">
        <v>70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IMA_LT2_52-2_A_59_T</v>
      </c>
      <c r="I121" s="6" t="s">
        <v>267</v>
      </c>
      <c r="J121" s="6" t="s">
        <v>182</v>
      </c>
      <c r="K121" s="6" t="s">
        <v>179</v>
      </c>
      <c r="L121" s="6" t="s">
        <v>188</v>
      </c>
      <c r="M121" s="6" t="s">
        <v>188</v>
      </c>
      <c r="N121" s="6"/>
    </row>
    <row r="122" spans="1:14" x14ac:dyDescent="0.25">
      <c r="A122" s="6" t="s">
        <v>191</v>
      </c>
      <c r="B122" s="6" t="str">
        <f>Informações!$C$3</f>
        <v>IMA</v>
      </c>
      <c r="C122" s="6" t="s">
        <v>29</v>
      </c>
      <c r="D122" s="6" t="s">
        <v>30</v>
      </c>
      <c r="E122" s="2" t="s">
        <v>25</v>
      </c>
      <c r="F122" s="6" t="e">
        <f>VLOOKUP(G122,[1]Discrete!$A:$B,2,FALSE)</f>
        <v>#N/A</v>
      </c>
      <c r="G122" s="6">
        <v>27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IMA_LT2_52-2_27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6"/>
    </row>
    <row r="123" spans="1:14" x14ac:dyDescent="0.25">
      <c r="A123" s="6" t="s">
        <v>191</v>
      </c>
      <c r="B123" s="6" t="str">
        <f>Informações!$C$3</f>
        <v>IMA</v>
      </c>
      <c r="C123" s="6" t="s">
        <v>29</v>
      </c>
      <c r="D123" s="6" t="s">
        <v>30</v>
      </c>
      <c r="E123" s="2" t="s">
        <v>25</v>
      </c>
      <c r="F123" s="6" t="e">
        <f>VLOOKUP(G123,[1]Discrete!$A:$B,2,FALSE)</f>
        <v>#N/A</v>
      </c>
      <c r="G123" s="6">
        <v>59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IMA_LT2_52-2_59</v>
      </c>
      <c r="I123" s="6" t="s">
        <v>267</v>
      </c>
      <c r="J123" s="6" t="s">
        <v>182</v>
      </c>
      <c r="K123" s="6" t="s">
        <v>179</v>
      </c>
      <c r="L123" s="6" t="s">
        <v>188</v>
      </c>
      <c r="M123" s="6" t="s">
        <v>188</v>
      </c>
      <c r="N123" s="6"/>
    </row>
    <row r="124" spans="1:14" x14ac:dyDescent="0.25">
      <c r="A124" s="6" t="s">
        <v>191</v>
      </c>
      <c r="B124" s="6" t="str">
        <f>Informações!$C$3</f>
        <v>IMA</v>
      </c>
      <c r="C124" s="6" t="s">
        <v>29</v>
      </c>
      <c r="D124" s="6" t="s">
        <v>205</v>
      </c>
      <c r="E124" s="2" t="s">
        <v>25</v>
      </c>
      <c r="F124" s="6" t="str">
        <f>VLOOKUP(G124,[1]Discrete!$A:$B,2,FALSE)</f>
        <v>81 - TRIP SUB FREQUENCIA</v>
      </c>
      <c r="G124" s="6" t="s">
        <v>71</v>
      </c>
      <c r="H124" s="6" t="str" cm="1">
        <f t="array" ref="H124">_xlfn.IFS(OR(D124="TC",D124="TP",D124="LT"),CONCATENATE(B124,"_",C124,$B$3,"_",C124,$B$3,"_",G124),D124="SECC",CONCATENATE(B124,"_",C124,$B$3,"_",$B$5,"_",G124),D124="SECF",CONCATENATE(B124,"_",C124,$B$3,"_",$B$6,"_",G124),D124="SECT",CONCATENATE(B124,"_",C124,$B$3,"_",$B$7,"_",G124),D124="SECG",CONCATENATE(B124,"_",C124,$B$3,"_",$B$8,"_",G124),D124="DJ",CONCATENATE(B124,"_",C124,$B$3,"_",$B$4,"_",G124),D124="DJ_P",CONCATENATE(B124,"_",C124,$B$3,"_",$B$4,"_P","_",G124),D124="DJ_A",CONCATENATE(B124,"_",C124,$B$3,"_",$B$4,"_A","_",G124),D124="LT_P",CONCATENATE(B124,"_",C124,$B$3,"_",C124,$B$3,"_P","_",G124),D124="LT_A",CONCATENATE(B124,"_",C124,$B$3,"_",C124,$B$3,"_A","_",G124))</f>
        <v>IMA_LT2_52-2_P_81SU</v>
      </c>
      <c r="I124" s="6" t="s">
        <v>267</v>
      </c>
      <c r="J124" s="6" t="s">
        <v>182</v>
      </c>
      <c r="K124" s="6" t="s">
        <v>179</v>
      </c>
      <c r="L124" s="6" t="s">
        <v>188</v>
      </c>
      <c r="M124" s="6" t="s">
        <v>188</v>
      </c>
      <c r="N124" s="6"/>
    </row>
    <row r="125" spans="1:14" x14ac:dyDescent="0.25">
      <c r="A125" s="6" t="s">
        <v>191</v>
      </c>
      <c r="B125" s="6" t="str">
        <f>Informações!$C$3</f>
        <v>IMA</v>
      </c>
      <c r="C125" s="6" t="s">
        <v>29</v>
      </c>
      <c r="D125" s="6" t="s">
        <v>205</v>
      </c>
      <c r="E125" s="2" t="s">
        <v>25</v>
      </c>
      <c r="F125" s="6" t="str">
        <f>VLOOKUP(G125,[1]Discrete!$A:$B,2,FALSE)</f>
        <v>81 - TRIP SUB/SOBRE FREQUENCIA E1</v>
      </c>
      <c r="G125" s="17" t="s">
        <v>353</v>
      </c>
      <c r="H125" s="6" t="str" cm="1">
        <f t="array" ref="H125">_xlfn.IFS(OR(D125="TC",D125="TP",D125="LT"),CONCATENATE(B125,"_",C125,$B$3,"_",C125,$B$3,"_",G125),D125="SECC",CONCATENATE(B125,"_",C125,$B$3,"_",$B$5,"_",G125),D125="SECF",CONCATENATE(B125,"_",C125,$B$3,"_",$B$6,"_",G125),D125="SECT",CONCATENATE(B125,"_",C125,$B$3,"_",$B$7,"_",G125),D125="SECG",CONCATENATE(B125,"_",C125,$B$3,"_",$B$8,"_",G125),D125="DJ",CONCATENATE(B125,"_",C125,$B$3,"_",$B$4,"_",G125),D125="DJ_P",CONCATENATE(B125,"_",C125,$B$3,"_",$B$4,"_P","_",G125),D125="DJ_A",CONCATENATE(B125,"_",C125,$B$3,"_",$B$4,"_A","_",G125),D125="LT_P",CONCATENATE(B125,"_",C125,$B$3,"_",C125,$B$3,"_P","_",G125),D125="LT_A",CONCATENATE(B125,"_",C125,$B$3,"_",C125,$B$3,"_A","_",G125))</f>
        <v>IMA_LT2_52-2_P_81E1</v>
      </c>
      <c r="I125" s="6" t="s">
        <v>267</v>
      </c>
      <c r="J125" s="6" t="s">
        <v>182</v>
      </c>
      <c r="K125" s="6" t="s">
        <v>179</v>
      </c>
      <c r="L125" s="6" t="s">
        <v>188</v>
      </c>
      <c r="M125" s="6" t="s">
        <v>188</v>
      </c>
      <c r="N125" s="6"/>
    </row>
    <row r="126" spans="1:14" x14ac:dyDescent="0.25">
      <c r="A126" s="6" t="s">
        <v>191</v>
      </c>
      <c r="B126" s="6" t="str">
        <f>Informações!$C$3</f>
        <v>IMA</v>
      </c>
      <c r="C126" s="6" t="s">
        <v>29</v>
      </c>
      <c r="D126" s="6" t="s">
        <v>205</v>
      </c>
      <c r="E126" s="2" t="s">
        <v>25</v>
      </c>
      <c r="F126" s="6" t="str">
        <f>VLOOKUP(G126,[1]Discrete!$A:$B,2,FALSE)</f>
        <v>81 - TRIP SUB/SOBRE FREQUENCIA E2</v>
      </c>
      <c r="G126" s="17" t="s">
        <v>354</v>
      </c>
      <c r="H126" s="6" t="str" cm="1">
        <f t="array" ref="H126">_xlfn.IFS(OR(D126="TC",D126="TP",D126="LT"),CONCATENATE(B126,"_",C126,$B$3,"_",C126,$B$3,"_",G126),D126="SECC",CONCATENATE(B126,"_",C126,$B$3,"_",$B$5,"_",G126),D126="SECF",CONCATENATE(B126,"_",C126,$B$3,"_",$B$6,"_",G126),D126="SECT",CONCATENATE(B126,"_",C126,$B$3,"_",$B$7,"_",G126),D126="SECG",CONCATENATE(B126,"_",C126,$B$3,"_",$B$8,"_",G126),D126="DJ",CONCATENATE(B126,"_",C126,$B$3,"_",$B$4,"_",G126),D126="DJ_P",CONCATENATE(B126,"_",C126,$B$3,"_",$B$4,"_P","_",G126),D126="DJ_A",CONCATENATE(B126,"_",C126,$B$3,"_",$B$4,"_A","_",G126),D126="LT_P",CONCATENATE(B126,"_",C126,$B$3,"_",C126,$B$3,"_P","_",G126),D126="LT_A",CONCATENATE(B126,"_",C126,$B$3,"_",C126,$B$3,"_A","_",G126))</f>
        <v>IMA_LT2_52-2_P_81E2</v>
      </c>
      <c r="I126" s="6" t="s">
        <v>267</v>
      </c>
      <c r="J126" s="6" t="s">
        <v>182</v>
      </c>
      <c r="K126" s="6" t="s">
        <v>179</v>
      </c>
      <c r="L126" s="6" t="s">
        <v>188</v>
      </c>
      <c r="M126" s="6" t="s">
        <v>188</v>
      </c>
      <c r="N126" s="6"/>
    </row>
    <row r="127" spans="1:14" x14ac:dyDescent="0.25">
      <c r="A127" s="6" t="s">
        <v>191</v>
      </c>
      <c r="B127" s="6" t="str">
        <f>Informações!$C$3</f>
        <v>IMA</v>
      </c>
      <c r="C127" s="6" t="s">
        <v>29</v>
      </c>
      <c r="D127" s="6" t="s">
        <v>205</v>
      </c>
      <c r="E127" s="2" t="s">
        <v>25</v>
      </c>
      <c r="F127" s="6" t="str">
        <f>VLOOKUP(G127,[1]Discrete!$A:$B,2,FALSE)</f>
        <v>81 - TRIP SUB/SOBRE FREQUENCIA E3</v>
      </c>
      <c r="G127" s="17" t="s">
        <v>355</v>
      </c>
      <c r="H127" s="6" t="str" cm="1">
        <f t="array" ref="H127">_xlfn.IFS(OR(D127="TC",D127="TP",D127="LT"),CONCATENATE(B127,"_",C127,$B$3,"_",C127,$B$3,"_",G127),D127="SECC",CONCATENATE(B127,"_",C127,$B$3,"_",$B$5,"_",G127),D127="SECF",CONCATENATE(B127,"_",C127,$B$3,"_",$B$6,"_",G127),D127="SECT",CONCATENATE(B127,"_",C127,$B$3,"_",$B$7,"_",G127),D127="SECG",CONCATENATE(B127,"_",C127,$B$3,"_",$B$8,"_",G127),D127="DJ",CONCATENATE(B127,"_",C127,$B$3,"_",$B$4,"_",G127),D127="DJ_P",CONCATENATE(B127,"_",C127,$B$3,"_",$B$4,"_P","_",G127),D127="DJ_A",CONCATENATE(B127,"_",C127,$B$3,"_",$B$4,"_A","_",G127),D127="LT_P",CONCATENATE(B127,"_",C127,$B$3,"_",C127,$B$3,"_P","_",G127),D127="LT_A",CONCATENATE(B127,"_",C127,$B$3,"_",C127,$B$3,"_A","_",G127))</f>
        <v>IMA_LT2_52-2_P_81E3</v>
      </c>
      <c r="I127" s="6" t="s">
        <v>267</v>
      </c>
      <c r="J127" s="6" t="s">
        <v>182</v>
      </c>
      <c r="K127" s="6" t="s">
        <v>179</v>
      </c>
      <c r="L127" s="6" t="s">
        <v>188</v>
      </c>
      <c r="M127" s="6" t="s">
        <v>188</v>
      </c>
      <c r="N127" s="6"/>
    </row>
    <row r="128" spans="1:14" x14ac:dyDescent="0.25">
      <c r="A128" s="6" t="s">
        <v>191</v>
      </c>
      <c r="B128" s="6" t="str">
        <f>Informações!$C$3</f>
        <v>IMA</v>
      </c>
      <c r="C128" s="6" t="s">
        <v>29</v>
      </c>
      <c r="D128" s="6" t="s">
        <v>205</v>
      </c>
      <c r="E128" s="2" t="s">
        <v>25</v>
      </c>
      <c r="F128" s="6" t="str">
        <f>VLOOKUP(G128,[1]Discrete!$A:$B,2,FALSE)</f>
        <v>81 - TRIP SUB/SOBRE FREQUENCIA E4</v>
      </c>
      <c r="G128" s="17" t="s">
        <v>356</v>
      </c>
      <c r="H128" s="6" t="str" cm="1">
        <f t="array" ref="H128">_xlfn.IFS(OR(D128="TC",D128="TP",D128="LT"),CONCATENATE(B128,"_",C128,$B$3,"_",C128,$B$3,"_",G128),D128="SECC",CONCATENATE(B128,"_",C128,$B$3,"_",$B$5,"_",G128),D128="SECF",CONCATENATE(B128,"_",C128,$B$3,"_",$B$6,"_",G128),D128="SECT",CONCATENATE(B128,"_",C128,$B$3,"_",$B$7,"_",G128),D128="SECG",CONCATENATE(B128,"_",C128,$B$3,"_",$B$8,"_",G128),D128="DJ",CONCATENATE(B128,"_",C128,$B$3,"_",$B$4,"_",G128),D128="DJ_P",CONCATENATE(B128,"_",C128,$B$3,"_",$B$4,"_P","_",G128),D128="DJ_A",CONCATENATE(B128,"_",C128,$B$3,"_",$B$4,"_A","_",G128),D128="LT_P",CONCATENATE(B128,"_",C128,$B$3,"_",C128,$B$3,"_P","_",G128),D128="LT_A",CONCATENATE(B128,"_",C128,$B$3,"_",C128,$B$3,"_A","_",G128))</f>
        <v>IMA_LT2_52-2_P_81E4</v>
      </c>
      <c r="I128" s="6" t="s">
        <v>267</v>
      </c>
      <c r="J128" s="6" t="s">
        <v>182</v>
      </c>
      <c r="K128" s="6" t="s">
        <v>179</v>
      </c>
      <c r="L128" s="6" t="s">
        <v>188</v>
      </c>
      <c r="M128" s="6" t="s">
        <v>188</v>
      </c>
      <c r="N128" s="6"/>
    </row>
    <row r="129" spans="1:14" x14ac:dyDescent="0.25">
      <c r="A129" s="6" t="s">
        <v>191</v>
      </c>
      <c r="B129" s="6" t="str">
        <f>Informações!$C$3</f>
        <v>IMA</v>
      </c>
      <c r="C129" s="6" t="s">
        <v>29</v>
      </c>
      <c r="D129" s="6" t="s">
        <v>205</v>
      </c>
      <c r="E129" s="2" t="s">
        <v>25</v>
      </c>
      <c r="F129" s="6" t="s">
        <v>358</v>
      </c>
      <c r="G129" s="17" t="s">
        <v>357</v>
      </c>
      <c r="H129" s="6" t="str" cm="1">
        <f t="array" ref="H129">_xlfn.IFS(OR(D129="TC",D129="TP",D129="LT"),CONCATENATE(B129,"_",C129,$B$3,"_",C129,$B$3,"_",G129),D129="SECC",CONCATENATE(B129,"_",C129,$B$3,"_",$B$5,"_",G129),D129="SECF",CONCATENATE(B129,"_",C129,$B$3,"_",$B$6,"_",G129),D129="SECT",CONCATENATE(B129,"_",C129,$B$3,"_",$B$7,"_",G129),D129="SECG",CONCATENATE(B129,"_",C129,$B$3,"_",$B$8,"_",G129),D129="DJ",CONCATENATE(B129,"_",C129,$B$3,"_",$B$4,"_",G129),D129="DJ_P",CONCATENATE(B129,"_",C129,$B$3,"_",$B$4,"_P","_",G129),D129="DJ_A",CONCATENATE(B129,"_",C129,$B$3,"_",$B$4,"_A","_",G129),D129="LT_P",CONCATENATE(B129,"_",C129,$B$3,"_",C129,$B$3,"_P","_",G129),D129="LT_A",CONCATENATE(B129,"_",C129,$B$3,"_",C129,$B$3,"_A","_",G129))</f>
        <v>IMA_LT2_52-2_P_81E5</v>
      </c>
      <c r="I129" s="6" t="s">
        <v>267</v>
      </c>
      <c r="J129" s="6" t="s">
        <v>182</v>
      </c>
      <c r="K129" s="6" t="s">
        <v>179</v>
      </c>
      <c r="L129" s="6" t="s">
        <v>188</v>
      </c>
      <c r="M129" s="6" t="s">
        <v>188</v>
      </c>
      <c r="N129" s="6"/>
    </row>
    <row r="130" spans="1:14" x14ac:dyDescent="0.25">
      <c r="A130" s="6" t="s">
        <v>191</v>
      </c>
      <c r="B130" s="6" t="str">
        <f>Informações!$C$3</f>
        <v>IMA</v>
      </c>
      <c r="C130" s="6" t="s">
        <v>29</v>
      </c>
      <c r="D130" s="6" t="s">
        <v>204</v>
      </c>
      <c r="E130" s="2" t="s">
        <v>25</v>
      </c>
      <c r="F130" s="6" t="str">
        <f>VLOOKUP(G130,[1]Discrete!$A:$B,2,FALSE)</f>
        <v>81 - TRIP SUB FREQUENCIA</v>
      </c>
      <c r="G130" s="6" t="s">
        <v>71</v>
      </c>
      <c r="H130" s="6" t="str" cm="1">
        <f t="array" ref="H130">_xlfn.IFS(OR(D130="TC",D130="TP",D130="LT"),CONCATENATE(B130,"_",C130,$B$3,"_",C130,$B$3,"_",G130),D130="SECC",CONCATENATE(B130,"_",C130,$B$3,"_",$B$5,"_",G130),D130="SECF",CONCATENATE(B130,"_",C130,$B$3,"_",$B$6,"_",G130),D130="SECT",CONCATENATE(B130,"_",C130,$B$3,"_",$B$7,"_",G130),D130="SECG",CONCATENATE(B130,"_",C130,$B$3,"_",$B$8,"_",G130),D130="DJ",CONCATENATE(B130,"_",C130,$B$3,"_",$B$4,"_",G130),D130="DJ_P",CONCATENATE(B130,"_",C130,$B$3,"_",$B$4,"_P","_",G130),D130="DJ_A",CONCATENATE(B130,"_",C130,$B$3,"_",$B$4,"_A","_",G130),D130="LT_P",CONCATENATE(B130,"_",C130,$B$3,"_",C130,$B$3,"_P","_",G130),D130="LT_A",CONCATENATE(B130,"_",C130,$B$3,"_",C130,$B$3,"_A","_",G130))</f>
        <v>IMA_LT2_52-2_A_81SU</v>
      </c>
      <c r="I130" s="6" t="s">
        <v>267</v>
      </c>
      <c r="J130" s="6" t="s">
        <v>182</v>
      </c>
      <c r="K130" s="6" t="s">
        <v>179</v>
      </c>
      <c r="L130" s="6" t="s">
        <v>188</v>
      </c>
      <c r="M130" s="6" t="s">
        <v>188</v>
      </c>
      <c r="N130" s="6"/>
    </row>
    <row r="131" spans="1:14" x14ac:dyDescent="0.25">
      <c r="A131" s="6" t="s">
        <v>191</v>
      </c>
      <c r="B131" s="6" t="str">
        <f>Informações!$C$3</f>
        <v>IMA</v>
      </c>
      <c r="C131" s="6" t="s">
        <v>29</v>
      </c>
      <c r="D131" s="6" t="s">
        <v>204</v>
      </c>
      <c r="E131" s="2" t="s">
        <v>25</v>
      </c>
      <c r="F131" s="6" t="str">
        <f>VLOOKUP(G131,[1]Discrete!$A:$B,2,FALSE)</f>
        <v>81 - TRIP SUB/SOBRE FREQUENCIA E1</v>
      </c>
      <c r="G131" s="17" t="s">
        <v>353</v>
      </c>
      <c r="H131" s="6" t="str" cm="1">
        <f t="array" ref="H131">_xlfn.IFS(OR(D131="TC",D131="TP",D131="LT"),CONCATENATE(B131,"_",C131,$B$3,"_",C131,$B$3,"_",G131),D131="SECC",CONCATENATE(B131,"_",C131,$B$3,"_",$B$5,"_",G131),D131="SECF",CONCATENATE(B131,"_",C131,$B$3,"_",$B$6,"_",G131),D131="SECT",CONCATENATE(B131,"_",C131,$B$3,"_",$B$7,"_",G131),D131="SECG",CONCATENATE(B131,"_",C131,$B$3,"_",$B$8,"_",G131),D131="DJ",CONCATENATE(B131,"_",C131,$B$3,"_",$B$4,"_",G131),D131="DJ_P",CONCATENATE(B131,"_",C131,$B$3,"_",$B$4,"_P","_",G131),D131="DJ_A",CONCATENATE(B131,"_",C131,$B$3,"_",$B$4,"_A","_",G131),D131="LT_P",CONCATENATE(B131,"_",C131,$B$3,"_",C131,$B$3,"_P","_",G131),D131="LT_A",CONCATENATE(B131,"_",C131,$B$3,"_",C131,$B$3,"_A","_",G131))</f>
        <v>IMA_LT2_52-2_A_81E1</v>
      </c>
      <c r="I131" s="6" t="s">
        <v>267</v>
      </c>
      <c r="J131" s="6" t="s">
        <v>182</v>
      </c>
      <c r="K131" s="6" t="s">
        <v>179</v>
      </c>
      <c r="L131" s="6" t="s">
        <v>188</v>
      </c>
      <c r="M131" s="6" t="s">
        <v>188</v>
      </c>
      <c r="N131" s="6"/>
    </row>
    <row r="132" spans="1:14" x14ac:dyDescent="0.25">
      <c r="A132" s="6" t="s">
        <v>191</v>
      </c>
      <c r="B132" s="6" t="str">
        <f>Informações!$C$3</f>
        <v>IMA</v>
      </c>
      <c r="C132" s="6" t="s">
        <v>29</v>
      </c>
      <c r="D132" s="6" t="s">
        <v>204</v>
      </c>
      <c r="E132" s="2" t="s">
        <v>25</v>
      </c>
      <c r="F132" s="6" t="str">
        <f>VLOOKUP(G132,[1]Discrete!$A:$B,2,FALSE)</f>
        <v>81 - TRIP SUB/SOBRE FREQUENCIA E2</v>
      </c>
      <c r="G132" s="17" t="s">
        <v>354</v>
      </c>
      <c r="H132" s="6" t="str" cm="1">
        <f t="array" ref="H132">_xlfn.IFS(OR(D132="TC",D132="TP",D132="LT"),CONCATENATE(B132,"_",C132,$B$3,"_",C132,$B$3,"_",G132),D132="SECC",CONCATENATE(B132,"_",C132,$B$3,"_",$B$5,"_",G132),D132="SECF",CONCATENATE(B132,"_",C132,$B$3,"_",$B$6,"_",G132),D132="SECT",CONCATENATE(B132,"_",C132,$B$3,"_",$B$7,"_",G132),D132="SECG",CONCATENATE(B132,"_",C132,$B$3,"_",$B$8,"_",G132),D132="DJ",CONCATENATE(B132,"_",C132,$B$3,"_",$B$4,"_",G132),D132="DJ_P",CONCATENATE(B132,"_",C132,$B$3,"_",$B$4,"_P","_",G132),D132="DJ_A",CONCATENATE(B132,"_",C132,$B$3,"_",$B$4,"_A","_",G132),D132="LT_P",CONCATENATE(B132,"_",C132,$B$3,"_",C132,$B$3,"_P","_",G132),D132="LT_A",CONCATENATE(B132,"_",C132,$B$3,"_",C132,$B$3,"_A","_",G132))</f>
        <v>IMA_LT2_52-2_A_81E2</v>
      </c>
      <c r="I132" s="6" t="s">
        <v>267</v>
      </c>
      <c r="J132" s="6" t="s">
        <v>182</v>
      </c>
      <c r="K132" s="6" t="s">
        <v>179</v>
      </c>
      <c r="L132" s="6" t="s">
        <v>188</v>
      </c>
      <c r="M132" s="6" t="s">
        <v>188</v>
      </c>
      <c r="N132" s="6"/>
    </row>
    <row r="133" spans="1:14" x14ac:dyDescent="0.25">
      <c r="A133" s="6" t="s">
        <v>191</v>
      </c>
      <c r="B133" s="6" t="str">
        <f>Informações!$C$3</f>
        <v>IMA</v>
      </c>
      <c r="C133" s="6" t="s">
        <v>29</v>
      </c>
      <c r="D133" s="6" t="s">
        <v>204</v>
      </c>
      <c r="E133" s="2" t="s">
        <v>25</v>
      </c>
      <c r="F133" s="6" t="str">
        <f>VLOOKUP(G133,[1]Discrete!$A:$B,2,FALSE)</f>
        <v>81 - TRIP SUB/SOBRE FREQUENCIA E3</v>
      </c>
      <c r="G133" s="17" t="s">
        <v>355</v>
      </c>
      <c r="H133" s="6" t="str" cm="1">
        <f t="array" ref="H133">_xlfn.IFS(OR(D133="TC",D133="TP",D133="LT"),CONCATENATE(B133,"_",C133,$B$3,"_",C133,$B$3,"_",G133),D133="SECC",CONCATENATE(B133,"_",C133,$B$3,"_",$B$5,"_",G133),D133="SECF",CONCATENATE(B133,"_",C133,$B$3,"_",$B$6,"_",G133),D133="SECT",CONCATENATE(B133,"_",C133,$B$3,"_",$B$7,"_",G133),D133="SECG",CONCATENATE(B133,"_",C133,$B$3,"_",$B$8,"_",G133),D133="DJ",CONCATENATE(B133,"_",C133,$B$3,"_",$B$4,"_",G133),D133="DJ_P",CONCATENATE(B133,"_",C133,$B$3,"_",$B$4,"_P","_",G133),D133="DJ_A",CONCATENATE(B133,"_",C133,$B$3,"_",$B$4,"_A","_",G133),D133="LT_P",CONCATENATE(B133,"_",C133,$B$3,"_",C133,$B$3,"_P","_",G133),D133="LT_A",CONCATENATE(B133,"_",C133,$B$3,"_",C133,$B$3,"_A","_",G133))</f>
        <v>IMA_LT2_52-2_A_81E3</v>
      </c>
      <c r="I133" s="6" t="s">
        <v>267</v>
      </c>
      <c r="J133" s="6" t="s">
        <v>182</v>
      </c>
      <c r="K133" s="6" t="s">
        <v>179</v>
      </c>
      <c r="L133" s="6" t="s">
        <v>188</v>
      </c>
      <c r="M133" s="6" t="s">
        <v>188</v>
      </c>
      <c r="N133" s="6"/>
    </row>
    <row r="134" spans="1:14" x14ac:dyDescent="0.25">
      <c r="A134" s="6" t="s">
        <v>191</v>
      </c>
      <c r="B134" s="6" t="str">
        <f>Informações!$C$3</f>
        <v>IMA</v>
      </c>
      <c r="C134" s="6" t="s">
        <v>29</v>
      </c>
      <c r="D134" s="6" t="s">
        <v>204</v>
      </c>
      <c r="E134" s="2" t="s">
        <v>25</v>
      </c>
      <c r="F134" s="6" t="str">
        <f>VLOOKUP(G134,[1]Discrete!$A:$B,2,FALSE)</f>
        <v>81 - TRIP SUB/SOBRE FREQUENCIA E4</v>
      </c>
      <c r="G134" s="17" t="s">
        <v>356</v>
      </c>
      <c r="H134" s="6" t="str" cm="1">
        <f t="array" ref="H134">_xlfn.IFS(OR(D134="TC",D134="TP",D134="LT"),CONCATENATE(B134,"_",C134,$B$3,"_",C134,$B$3,"_",G134),D134="SECC",CONCATENATE(B134,"_",C134,$B$3,"_",$B$5,"_",G134),D134="SECF",CONCATENATE(B134,"_",C134,$B$3,"_",$B$6,"_",G134),D134="SECT",CONCATENATE(B134,"_",C134,$B$3,"_",$B$7,"_",G134),D134="SECG",CONCATENATE(B134,"_",C134,$B$3,"_",$B$8,"_",G134),D134="DJ",CONCATENATE(B134,"_",C134,$B$3,"_",$B$4,"_",G134),D134="DJ_P",CONCATENATE(B134,"_",C134,$B$3,"_",$B$4,"_P","_",G134),D134="DJ_A",CONCATENATE(B134,"_",C134,$B$3,"_",$B$4,"_A","_",G134),D134="LT_P",CONCATENATE(B134,"_",C134,$B$3,"_",C134,$B$3,"_P","_",G134),D134="LT_A",CONCATENATE(B134,"_",C134,$B$3,"_",C134,$B$3,"_A","_",G134))</f>
        <v>IMA_LT2_52-2_A_81E4</v>
      </c>
      <c r="I134" s="6" t="s">
        <v>267</v>
      </c>
      <c r="J134" s="6" t="s">
        <v>182</v>
      </c>
      <c r="K134" s="6" t="s">
        <v>179</v>
      </c>
      <c r="L134" s="6" t="s">
        <v>188</v>
      </c>
      <c r="M134" s="6" t="s">
        <v>188</v>
      </c>
      <c r="N134" s="6"/>
    </row>
    <row r="135" spans="1:14" x14ac:dyDescent="0.25">
      <c r="A135" s="6" t="s">
        <v>191</v>
      </c>
      <c r="B135" s="6" t="str">
        <f>Informações!$C$3</f>
        <v>IMA</v>
      </c>
      <c r="C135" s="6" t="s">
        <v>29</v>
      </c>
      <c r="D135" s="6" t="s">
        <v>204</v>
      </c>
      <c r="E135" s="2" t="s">
        <v>25</v>
      </c>
      <c r="F135" s="6" t="s">
        <v>358</v>
      </c>
      <c r="G135" s="17" t="s">
        <v>357</v>
      </c>
      <c r="H135" s="6" t="str" cm="1">
        <f t="array" ref="H135">_xlfn.IFS(OR(D135="TC",D135="TP",D135="LT"),CONCATENATE(B135,"_",C135,$B$3,"_",C135,$B$3,"_",G135),D135="SECC",CONCATENATE(B135,"_",C135,$B$3,"_",$B$5,"_",G135),D135="SECF",CONCATENATE(B135,"_",C135,$B$3,"_",$B$6,"_",G135),D135="SECT",CONCATENATE(B135,"_",C135,$B$3,"_",$B$7,"_",G135),D135="SECG",CONCATENATE(B135,"_",C135,$B$3,"_",$B$8,"_",G135),D135="DJ",CONCATENATE(B135,"_",C135,$B$3,"_",$B$4,"_",G135),D135="DJ_P",CONCATENATE(B135,"_",C135,$B$3,"_",$B$4,"_P","_",G135),D135="DJ_A",CONCATENATE(B135,"_",C135,$B$3,"_",$B$4,"_A","_",G135),D135="LT_P",CONCATENATE(B135,"_",C135,$B$3,"_",C135,$B$3,"_P","_",G135),D135="LT_A",CONCATENATE(B135,"_",C135,$B$3,"_",C135,$B$3,"_A","_",G135))</f>
        <v>IMA_LT2_52-2_A_81E5</v>
      </c>
      <c r="I135" s="6" t="s">
        <v>267</v>
      </c>
      <c r="J135" s="6" t="s">
        <v>182</v>
      </c>
      <c r="K135" s="6" t="s">
        <v>179</v>
      </c>
      <c r="L135" s="6" t="s">
        <v>188</v>
      </c>
      <c r="M135" s="6" t="s">
        <v>188</v>
      </c>
      <c r="N135" s="6"/>
    </row>
    <row r="136" spans="1:14" x14ac:dyDescent="0.25">
      <c r="A136" s="6" t="s">
        <v>191</v>
      </c>
      <c r="B136" s="6" t="str">
        <f>Informações!$C$3</f>
        <v>IMA</v>
      </c>
      <c r="C136" s="6" t="s">
        <v>29</v>
      </c>
      <c r="D136" s="6" t="s">
        <v>206</v>
      </c>
      <c r="E136" s="2" t="s">
        <v>25</v>
      </c>
      <c r="F136" s="6" t="str">
        <f>VLOOKUP(G136,[1]Discrete!$A:$B,2,FALSE)</f>
        <v>FALHA COMUNICACAO</v>
      </c>
      <c r="G136" s="6" t="s">
        <v>78</v>
      </c>
      <c r="H136" s="6" t="str" cm="1">
        <f t="array" ref="H136">_xlfn.IFS(OR(D136="TC",D136="TP",D136="LT"),CONCATENATE(B136,"_",C136,$B$3,"_",C136,$B$3,"_",G136),D136="SECC",CONCATENATE(B136,"_",C136,$B$3,"_",$B$5,"_",G136),D136="SECF",CONCATENATE(B136,"_",C136,$B$3,"_",$B$6,"_",G136),D136="SECT",CONCATENATE(B136,"_",C136,$B$3,"_",$B$7,"_",G136),D136="SECG",CONCATENATE(B136,"_",C136,$B$3,"_",$B$8,"_",G136),D136="DJ",CONCATENATE(B136,"_",C136,$B$3,"_",$B$4,"_",G136),D136="DJ_P",CONCATENATE(B136,"_",C136,$B$3,"_",$B$4,"_P","_",G136),D136="DJ_A",CONCATENATE(B136,"_",C136,$B$3,"_",$B$4,"_A","_",G136),D136="LT_P",CONCATENATE(B136,"_",C136,$B$3,"_",C136,$B$3,"_P","_",G136),D136="LT_A",CONCATENATE(B136,"_",C136,$B$3,"_",C136,$B$3,"_A","_",G136))</f>
        <v>IMA_LT2_LT2_P_FCOM</v>
      </c>
      <c r="I136" s="6" t="s">
        <v>267</v>
      </c>
      <c r="J136" s="6" t="s">
        <v>182</v>
      </c>
      <c r="K136" s="6" t="s">
        <v>180</v>
      </c>
      <c r="L136" s="6" t="s">
        <v>188</v>
      </c>
      <c r="M136" s="6" t="s">
        <v>188</v>
      </c>
      <c r="N136" s="6"/>
    </row>
    <row r="137" spans="1:14" x14ac:dyDescent="0.25">
      <c r="A137" s="6" t="s">
        <v>191</v>
      </c>
      <c r="B137" s="6" t="str">
        <f>Informações!$C$3</f>
        <v>IMA</v>
      </c>
      <c r="C137" s="6" t="s">
        <v>29</v>
      </c>
      <c r="D137" s="6" t="s">
        <v>30</v>
      </c>
      <c r="E137" s="2" t="s">
        <v>25</v>
      </c>
      <c r="F137" s="6" t="str">
        <f>VLOOKUP(G137,[1]Discrete!$A:$B,2,FALSE)</f>
        <v>FALTA VCC COMANDO</v>
      </c>
      <c r="G137" s="6" t="s">
        <v>79</v>
      </c>
      <c r="H137" s="6" t="str" cm="1">
        <f t="array" ref="H137">_xlfn.IFS(OR(D137="TC",D137="TP",D137="LT"),CONCATENATE(B137,"_",C137,$B$3,"_",C137,$B$3,"_",G137),D137="SECC",CONCATENATE(B137,"_",C137,$B$3,"_",$B$5,"_",G137),D137="SECF",CONCATENATE(B137,"_",C137,$B$3,"_",$B$6,"_",G137),D137="SECT",CONCATENATE(B137,"_",C137,$B$3,"_",$B$7,"_",G137),D137="SECG",CONCATENATE(B137,"_",C137,$B$3,"_",$B$8,"_",G137),D137="DJ",CONCATENATE(B137,"_",C137,$B$3,"_",$B$4,"_",G137),D137="DJ_P",CONCATENATE(B137,"_",C137,$B$3,"_",$B$4,"_P","_",G137),D137="DJ_A",CONCATENATE(B137,"_",C137,$B$3,"_",$B$4,"_A","_",G137),D137="LT_P",CONCATENATE(B137,"_",C137,$B$3,"_",C137,$B$3,"_P","_",G137),D137="LT_A",CONCATENATE(B137,"_",C137,$B$3,"_",C137,$B$3,"_A","_",G137))</f>
        <v>IMA_LT2_52-2_CCCO</v>
      </c>
      <c r="I137" s="6" t="s">
        <v>267</v>
      </c>
      <c r="J137" s="6" t="s">
        <v>182</v>
      </c>
      <c r="K137" s="6" t="s">
        <v>187</v>
      </c>
      <c r="L137" s="6" t="s">
        <v>188</v>
      </c>
      <c r="M137" s="6" t="s">
        <v>188</v>
      </c>
      <c r="N137" s="6"/>
    </row>
    <row r="138" spans="1:14" x14ac:dyDescent="0.25">
      <c r="A138" s="6" t="s">
        <v>191</v>
      </c>
      <c r="B138" s="6" t="str">
        <f>Informações!$C$3</f>
        <v>IMA</v>
      </c>
      <c r="C138" s="6" t="s">
        <v>29</v>
      </c>
      <c r="D138" s="6" t="s">
        <v>30</v>
      </c>
      <c r="E138" s="2" t="s">
        <v>25</v>
      </c>
      <c r="F138" s="6" t="str">
        <f>VLOOKUP(G138,[1]Discrete!$A:$B,2,FALSE)</f>
        <v>FALTA VCC MOTOR</v>
      </c>
      <c r="G138" s="6" t="s">
        <v>80</v>
      </c>
      <c r="H138" s="6" t="str" cm="1">
        <f t="array" ref="H138">_xlfn.IFS(OR(D138="TC",D138="TP",D138="LT"),CONCATENATE(B138,"_",C138,$B$3,"_",C138,$B$3,"_",G138),D138="SECC",CONCATENATE(B138,"_",C138,$B$3,"_",$B$5,"_",G138),D138="SECF",CONCATENATE(B138,"_",C138,$B$3,"_",$B$6,"_",G138),D138="SECT",CONCATENATE(B138,"_",C138,$B$3,"_",$B$7,"_",G138),D138="SECG",CONCATENATE(B138,"_",C138,$B$3,"_",$B$8,"_",G138),D138="DJ",CONCATENATE(B138,"_",C138,$B$3,"_",$B$4,"_",G138),D138="DJ_P",CONCATENATE(B138,"_",C138,$B$3,"_",$B$4,"_P","_",G138),D138="DJ_A",CONCATENATE(B138,"_",C138,$B$3,"_",$B$4,"_A","_",G138),D138="LT_P",CONCATENATE(B138,"_",C138,$B$3,"_",C138,$B$3,"_P","_",G138),D138="LT_A",CONCATENATE(B138,"_",C138,$B$3,"_",C138,$B$3,"_A","_",G138))</f>
        <v>IMA_LT2_52-2_CCMO</v>
      </c>
      <c r="I138" s="6" t="s">
        <v>267</v>
      </c>
      <c r="J138" s="6" t="s">
        <v>182</v>
      </c>
      <c r="K138" s="6" t="s">
        <v>187</v>
      </c>
      <c r="L138" s="6" t="s">
        <v>188</v>
      </c>
      <c r="M138" s="6" t="s">
        <v>188</v>
      </c>
      <c r="N138" s="6"/>
    </row>
    <row r="139" spans="1:14" x14ac:dyDescent="0.25">
      <c r="A139" s="6" t="s">
        <v>191</v>
      </c>
      <c r="B139" s="6" t="str">
        <f>Informações!$C$3</f>
        <v>IMA</v>
      </c>
      <c r="C139" s="6" t="s">
        <v>29</v>
      </c>
      <c r="D139" s="6" t="s">
        <v>29</v>
      </c>
      <c r="E139" s="2" t="s">
        <v>25</v>
      </c>
      <c r="F139" s="6" t="str">
        <f>VLOOKUP(G139,[1]Discrete!$A:$B,2,FALSE)</f>
        <v>FALHA FUSIVEL TP</v>
      </c>
      <c r="G139" s="6" t="s">
        <v>81</v>
      </c>
      <c r="H139" s="6" t="str" cm="1">
        <f t="array" ref="H139">_xlfn.IFS(OR(D139="TC",D139="TP",D139="LT"),CONCATENATE(B139,"_",C139,$B$3,"_",C139,$B$3,"_",G139),D139="SECC",CONCATENATE(B139,"_",C139,$B$3,"_",$B$5,"_",G139),D139="SECF",CONCATENATE(B139,"_",C139,$B$3,"_",$B$6,"_",G139),D139="SECT",CONCATENATE(B139,"_",C139,$B$3,"_",$B$7,"_",G139),D139="SECG",CONCATENATE(B139,"_",C139,$B$3,"_",$B$8,"_",G139),D139="DJ",CONCATENATE(B139,"_",C139,$B$3,"_",$B$4,"_",G139),D139="DJ_P",CONCATENATE(B139,"_",C139,$B$3,"_",$B$4,"_P","_",G139),D139="DJ_A",CONCATENATE(B139,"_",C139,$B$3,"_",$B$4,"_A","_",G139),D139="LT_P",CONCATENATE(B139,"_",C139,$B$3,"_",C139,$B$3,"_P","_",G139),D139="LT_A",CONCATENATE(B139,"_",C139,$B$3,"_",C139,$B$3,"_A","_",G139))</f>
        <v>IMA_LT2_LT2_FUTP</v>
      </c>
      <c r="I139" s="6" t="s">
        <v>267</v>
      </c>
      <c r="J139" s="6" t="s">
        <v>182</v>
      </c>
      <c r="K139" s="6" t="s">
        <v>180</v>
      </c>
      <c r="L139" s="6" t="s">
        <v>188</v>
      </c>
      <c r="M139" s="6" t="s">
        <v>188</v>
      </c>
      <c r="N139" s="6"/>
    </row>
    <row r="140" spans="1:14" x14ac:dyDescent="0.25">
      <c r="A140" s="6" t="s">
        <v>191</v>
      </c>
      <c r="B140" s="6" t="str">
        <f>Informações!$C$3</f>
        <v>IMA</v>
      </c>
      <c r="C140" s="6" t="s">
        <v>29</v>
      </c>
      <c r="D140" s="6" t="s">
        <v>29</v>
      </c>
      <c r="E140" s="2" t="s">
        <v>25</v>
      </c>
      <c r="F140" s="6" t="str">
        <f>VLOOKUP(G140,[1]Discrete!$A:$B,2,FALSE)</f>
        <v>25 - FALHA SINCRONISMO</v>
      </c>
      <c r="G140" s="6" t="s">
        <v>155</v>
      </c>
      <c r="H140" s="6" t="str" cm="1">
        <f t="array" ref="H140">_xlfn.IFS(OR(D140="TC",D140="TP",D140="LT"),CONCATENATE(B140,"_",C140,$B$3,"_",C140,$B$3,"_",G140),D140="SECC",CONCATENATE(B140,"_",C140,$B$3,"_",$B$5,"_",G140),D140="SECF",CONCATENATE(B140,"_",C140,$B$3,"_",$B$6,"_",G140),D140="SECT",CONCATENATE(B140,"_",C140,$B$3,"_",$B$7,"_",G140),D140="SECG",CONCATENATE(B140,"_",C140,$B$3,"_",$B$8,"_",G140),D140="DJ",CONCATENATE(B140,"_",C140,$B$3,"_",$B$4,"_",G140),D140="DJ_P",CONCATENATE(B140,"_",C140,$B$3,"_",$B$4,"_P","_",G140),D140="DJ_A",CONCATENATE(B140,"_",C140,$B$3,"_",$B$4,"_A","_",G140),D140="LT_P",CONCATENATE(B140,"_",C140,$B$3,"_",C140,$B$3,"_P","_",G140),D140="LT_A",CONCATENATE(B140,"_",C140,$B$3,"_",C140,$B$3,"_A","_",G140))</f>
        <v>IMA_LT2_LT2_25ER</v>
      </c>
      <c r="I140" s="6" t="s">
        <v>267</v>
      </c>
      <c r="J140" s="6" t="s">
        <v>182</v>
      </c>
      <c r="K140" s="6" t="s">
        <v>179</v>
      </c>
      <c r="L140" s="6" t="s">
        <v>188</v>
      </c>
      <c r="M140" s="6" t="s">
        <v>188</v>
      </c>
      <c r="N140" s="6"/>
    </row>
    <row r="141" spans="1:14" x14ac:dyDescent="0.25">
      <c r="A141" s="6" t="s">
        <v>191</v>
      </c>
      <c r="B141" s="6" t="str">
        <f>Informações!$C$3</f>
        <v>IMA</v>
      </c>
      <c r="C141" s="6" t="s">
        <v>29</v>
      </c>
      <c r="D141" s="6" t="s">
        <v>29</v>
      </c>
      <c r="E141" s="2" t="s">
        <v>25</v>
      </c>
      <c r="F141" s="6" t="str">
        <f>VLOOKUP(G141,[1]Discrete!$A:$B,2,FALSE)</f>
        <v>25 - TRIP DIFERENCA DE ANGULO</v>
      </c>
      <c r="G141" s="6" t="s">
        <v>156</v>
      </c>
      <c r="H141" s="6" t="str" cm="1">
        <f t="array" ref="H141">_xlfn.IFS(OR(D141="TC",D141="TP",D141="LT"),CONCATENATE(B141,"_",C141,$B$3,"_",C141,$B$3,"_",G141),D141="SECC",CONCATENATE(B141,"_",C141,$B$3,"_",$B$5,"_",G141),D141="SECF",CONCATENATE(B141,"_",C141,$B$3,"_",$B$6,"_",G141),D141="SECT",CONCATENATE(B141,"_",C141,$B$3,"_",$B$7,"_",G141),D141="SECG",CONCATENATE(B141,"_",C141,$B$3,"_",$B$8,"_",G141),D141="DJ",CONCATENATE(B141,"_",C141,$B$3,"_",$B$4,"_",G141),D141="DJ_P",CONCATENATE(B141,"_",C141,$B$3,"_",$B$4,"_P","_",G141),D141="DJ_A",CONCATENATE(B141,"_",C141,$B$3,"_",$B$4,"_A","_",G141),D141="LT_P",CONCATENATE(B141,"_",C141,$B$3,"_",C141,$B$3,"_P","_",G141),D141="LT_A",CONCATENATE(B141,"_",C141,$B$3,"_",C141,$B$3,"_A","_",G141))</f>
        <v>IMA_LT2_LT2_25AT</v>
      </c>
      <c r="I141" s="6" t="s">
        <v>267</v>
      </c>
      <c r="J141" s="6" t="s">
        <v>182</v>
      </c>
      <c r="K141" s="6" t="s">
        <v>179</v>
      </c>
      <c r="L141" s="6" t="s">
        <v>188</v>
      </c>
      <c r="M141" s="6" t="s">
        <v>188</v>
      </c>
      <c r="N141" s="6"/>
    </row>
    <row r="142" spans="1:14" x14ac:dyDescent="0.25">
      <c r="A142" s="6" t="s">
        <v>191</v>
      </c>
      <c r="B142" s="6" t="str">
        <f>Informações!$C$3</f>
        <v>IMA</v>
      </c>
      <c r="C142" s="6" t="s">
        <v>29</v>
      </c>
      <c r="D142" s="6" t="s">
        <v>29</v>
      </c>
      <c r="E142" s="2" t="s">
        <v>25</v>
      </c>
      <c r="F142" s="6" t="str">
        <f>VLOOKUP(G142,[1]Discrete!$A:$B,2,FALSE)</f>
        <v>25 - TRIP DIFERENCA FREQUENCIA</v>
      </c>
      <c r="G142" s="6" t="s">
        <v>157</v>
      </c>
      <c r="H142" s="6" t="str" cm="1">
        <f t="array" ref="H142">_xlfn.IFS(OR(D142="TC",D142="TP",D142="LT"),CONCATENATE(B142,"_",C142,$B$3,"_",C142,$B$3,"_",G142),D142="SECC",CONCATENATE(B142,"_",C142,$B$3,"_",$B$5,"_",G142),D142="SECF",CONCATENATE(B142,"_",C142,$B$3,"_",$B$6,"_",G142),D142="SECT",CONCATENATE(B142,"_",C142,$B$3,"_",$B$7,"_",G142),D142="SECG",CONCATENATE(B142,"_",C142,$B$3,"_",$B$8,"_",G142),D142="DJ",CONCATENATE(B142,"_",C142,$B$3,"_",$B$4,"_",G142),D142="DJ_P",CONCATENATE(B142,"_",C142,$B$3,"_",$B$4,"_P","_",G142),D142="DJ_A",CONCATENATE(B142,"_",C142,$B$3,"_",$B$4,"_A","_",G142),D142="LT_P",CONCATENATE(B142,"_",C142,$B$3,"_",C142,$B$3,"_P","_",G142),D142="LT_A",CONCATENATE(B142,"_",C142,$B$3,"_",C142,$B$3,"_A","_",G142))</f>
        <v>IMA_LT2_LT2_25FT</v>
      </c>
      <c r="I142" s="6" t="s">
        <v>267</v>
      </c>
      <c r="J142" s="6" t="s">
        <v>182</v>
      </c>
      <c r="K142" s="6" t="s">
        <v>179</v>
      </c>
      <c r="L142" s="6" t="s">
        <v>188</v>
      </c>
      <c r="M142" s="6" t="s">
        <v>188</v>
      </c>
      <c r="N142" s="6"/>
    </row>
    <row r="143" spans="1:14" x14ac:dyDescent="0.25">
      <c r="A143" s="6" t="s">
        <v>191</v>
      </c>
      <c r="B143" s="6" t="str">
        <f>Informações!$C$3</f>
        <v>IMA</v>
      </c>
      <c r="C143" s="6" t="s">
        <v>29</v>
      </c>
      <c r="D143" s="6" t="s">
        <v>29</v>
      </c>
      <c r="E143" s="2" t="s">
        <v>25</v>
      </c>
      <c r="F143" s="6" t="str">
        <f>VLOOKUP(G143,[1]Discrete!$A:$B,2,FALSE)</f>
        <v>25 - TRIP DIFERENCA TENSAO</v>
      </c>
      <c r="G143" s="6" t="s">
        <v>158</v>
      </c>
      <c r="H143" s="6" t="str" cm="1">
        <f t="array" ref="H143">_xlfn.IFS(OR(D143="TC",D143="TP",D143="LT"),CONCATENATE(B143,"_",C143,$B$3,"_",C143,$B$3,"_",G143),D143="SECC",CONCATENATE(B143,"_",C143,$B$3,"_",$B$5,"_",G143),D143="SECF",CONCATENATE(B143,"_",C143,$B$3,"_",$B$6,"_",G143),D143="SECT",CONCATENATE(B143,"_",C143,$B$3,"_",$B$7,"_",G143),D143="SECG",CONCATENATE(B143,"_",C143,$B$3,"_",$B$8,"_",G143),D143="DJ",CONCATENATE(B143,"_",C143,$B$3,"_",$B$4,"_",G143),D143="DJ_P",CONCATENATE(B143,"_",C143,$B$3,"_",$B$4,"_P","_",G143),D143="DJ_A",CONCATENATE(B143,"_",C143,$B$3,"_",$B$4,"_A","_",G143),D143="LT_P",CONCATENATE(B143,"_",C143,$B$3,"_",C143,$B$3,"_P","_",G143),D143="LT_A",CONCATENATE(B143,"_",C143,$B$3,"_",C143,$B$3,"_A","_",G143))</f>
        <v>IMA_LT2_LT2_25VT</v>
      </c>
      <c r="I143" s="6" t="s">
        <v>267</v>
      </c>
      <c r="J143" s="6" t="s">
        <v>182</v>
      </c>
      <c r="K143" s="6" t="s">
        <v>179</v>
      </c>
      <c r="L143" s="6" t="s">
        <v>188</v>
      </c>
      <c r="M143" s="6" t="s">
        <v>188</v>
      </c>
      <c r="N143" s="6"/>
    </row>
    <row r="144" spans="1:14" x14ac:dyDescent="0.25">
      <c r="A144" s="6" t="s">
        <v>191</v>
      </c>
      <c r="B144" s="6" t="str">
        <f>Informações!$C$3</f>
        <v>IMA</v>
      </c>
      <c r="C144" s="6" t="s">
        <v>29</v>
      </c>
      <c r="D144" s="6" t="s">
        <v>30</v>
      </c>
      <c r="E144" s="2" t="s">
        <v>25</v>
      </c>
      <c r="F144" s="6" t="str">
        <f>VLOOKUP(G144,[1]Discrete!$A:$B,2,FALSE)</f>
        <v>25 - FUNCAO SINCRONISMO</v>
      </c>
      <c r="G144" s="6" t="s">
        <v>36</v>
      </c>
      <c r="H144" s="6" t="str" cm="1">
        <f t="array" ref="H144">_xlfn.IFS(OR(D144="TC",D144="TP",D144="LT"),CONCATENATE(B144,"_",C144,$B$3,"_",C144,$B$3,"_",G144),D144="SECC",CONCATENATE(B144,"_",C144,$B$3,"_",$B$5,"_",G144),D144="SECF",CONCATENATE(B144,"_",C144,$B$3,"_",$B$6,"_",G144),D144="SECT",CONCATENATE(B144,"_",C144,$B$3,"_",$B$7,"_",G144),D144="SECG",CONCATENATE(B144,"_",C144,$B$3,"_",$B$8,"_",G144),D144="DJ",CONCATENATE(B144,"_",C144,$B$3,"_",$B$4,"_",G144),D144="DJ_P",CONCATENATE(B144,"_",C144,$B$3,"_",$B$4,"_P","_",G144),D144="DJ_A",CONCATENATE(B144,"_",C144,$B$3,"_",$B$4,"_A","_",G144),D144="LT_P",CONCATENATE(B144,"_",C144,$B$3,"_",C144,$B$3,"_P","_",G144),D144="LT_A",CONCATENATE(B144,"_",C144,$B$3,"_",C144,$B$3,"_A","_",G144))</f>
        <v>IMA_LT2_52-2_25IE</v>
      </c>
      <c r="I144" s="6" t="s">
        <v>267</v>
      </c>
      <c r="J144" s="6" t="s">
        <v>182</v>
      </c>
      <c r="K144" s="6" t="s">
        <v>179</v>
      </c>
      <c r="L144" s="6" t="s">
        <v>188</v>
      </c>
      <c r="M144" s="6" t="s">
        <v>188</v>
      </c>
      <c r="N144" s="6"/>
    </row>
    <row r="145" spans="1:14" x14ac:dyDescent="0.25">
      <c r="A145" s="6" t="s">
        <v>191</v>
      </c>
      <c r="B145" s="6" t="str">
        <f>Informações!$C$3</f>
        <v>IMA</v>
      </c>
      <c r="C145" s="6" t="s">
        <v>29</v>
      </c>
      <c r="D145" s="6" t="s">
        <v>206</v>
      </c>
      <c r="E145" s="2" t="s">
        <v>25</v>
      </c>
      <c r="F145" s="6" t="e">
        <f>VLOOKUP(G145,[1]Discrete!$A:$B,2,FALSE)</f>
        <v>#N/A</v>
      </c>
      <c r="G145" s="6" t="s">
        <v>159</v>
      </c>
      <c r="H145" s="6" t="str" cm="1">
        <f t="array" ref="H145">_xlfn.IFS(OR(D145="TC",D145="TP",D145="LT"),CONCATENATE(B145,"_",C145,$B$3,"_",C145,$B$3,"_",G145),D145="SECC",CONCATENATE(B145,"_",C145,$B$3,"_",$B$5,"_",G145),D145="SECF",CONCATENATE(B145,"_",C145,$B$3,"_",$B$6,"_",G145),D145="SECT",CONCATENATE(B145,"_",C145,$B$3,"_",$B$7,"_",G145),D145="SECG",CONCATENATE(B145,"_",C145,$B$3,"_",$B$8,"_",G145),D145="DJ",CONCATENATE(B145,"_",C145,$B$3,"_",$B$4,"_",G145),D145="DJ_P",CONCATENATE(B145,"_",C145,$B$3,"_",$B$4,"_P","_",G145),D145="DJ_A",CONCATENATE(B145,"_",C145,$B$3,"_",$B$4,"_A","_",G145),D145="LT_P",CONCATENATE(B145,"_",C145,$B$3,"_",C145,$B$3,"_P","_",G145),D145="LT_A",CONCATENATE(B145,"_",C145,$B$3,"_",C145,$B$3,"_A","_",G145))</f>
        <v>IMA_LT2_LT2_P_SOFT</v>
      </c>
      <c r="I145" s="6" t="s">
        <v>267</v>
      </c>
      <c r="J145" s="6" t="s">
        <v>182</v>
      </c>
      <c r="K145" s="6" t="s">
        <v>179</v>
      </c>
      <c r="L145" s="6" t="s">
        <v>188</v>
      </c>
      <c r="M145" s="6" t="s">
        <v>188</v>
      </c>
      <c r="N145" s="6"/>
    </row>
    <row r="146" spans="1:14" x14ac:dyDescent="0.25">
      <c r="A146" s="6" t="s">
        <v>191</v>
      </c>
      <c r="B146" s="6" t="str">
        <f>Informações!$C$3</f>
        <v>IMA</v>
      </c>
      <c r="C146" s="6" t="s">
        <v>29</v>
      </c>
      <c r="D146" s="6" t="s">
        <v>207</v>
      </c>
      <c r="E146" s="2" t="s">
        <v>25</v>
      </c>
      <c r="F146" s="6" t="e">
        <f>VLOOKUP(G146,[1]Discrete!$A:$B,2,FALSE)</f>
        <v>#N/A</v>
      </c>
      <c r="G146" s="6" t="s">
        <v>159</v>
      </c>
      <c r="H146" s="6" t="str" cm="1">
        <f t="array" ref="H146">_xlfn.IFS(OR(D146="TC",D146="TP",D146="LT"),CONCATENATE(B146,"_",C146,$B$3,"_",C146,$B$3,"_",G146),D146="SECC",CONCATENATE(B146,"_",C146,$B$3,"_",$B$5,"_",G146),D146="SECF",CONCATENATE(B146,"_",C146,$B$3,"_",$B$6,"_",G146),D146="SECT",CONCATENATE(B146,"_",C146,$B$3,"_",$B$7,"_",G146),D146="SECG",CONCATENATE(B146,"_",C146,$B$3,"_",$B$8,"_",G146),D146="DJ",CONCATENATE(B146,"_",C146,$B$3,"_",$B$4,"_",G146),D146="DJ_P",CONCATENATE(B146,"_",C146,$B$3,"_",$B$4,"_P","_",G146),D146="DJ_A",CONCATENATE(B146,"_",C146,$B$3,"_",$B$4,"_A","_",G146),D146="LT_P",CONCATENATE(B146,"_",C146,$B$3,"_",C146,$B$3,"_P","_",G146),D146="LT_A",CONCATENATE(B146,"_",C146,$B$3,"_",C146,$B$3,"_A","_",G146))</f>
        <v>IMA_LT2_LT2_A_SOFT</v>
      </c>
      <c r="I146" s="6" t="s">
        <v>267</v>
      </c>
      <c r="J146" s="6" t="s">
        <v>182</v>
      </c>
      <c r="K146" s="6" t="s">
        <v>179</v>
      </c>
      <c r="L146" s="6" t="s">
        <v>188</v>
      </c>
      <c r="M146" s="6" t="s">
        <v>188</v>
      </c>
      <c r="N146" s="6"/>
    </row>
    <row r="147" spans="1:14" x14ac:dyDescent="0.25">
      <c r="A147" s="6" t="s">
        <v>191</v>
      </c>
      <c r="B147" s="6" t="str">
        <f>Informações!$C$3</f>
        <v>IMA</v>
      </c>
      <c r="C147" s="6" t="s">
        <v>29</v>
      </c>
      <c r="D147" s="6" t="s">
        <v>206</v>
      </c>
      <c r="E147" s="2" t="s">
        <v>25</v>
      </c>
      <c r="F147" s="6" t="str">
        <f>VLOOKUP(G147,[1]Discrete!$A:$B,2,FALSE)</f>
        <v>87 - TRIP DIFERENCIAL LINHA</v>
      </c>
      <c r="G147" s="6" t="s">
        <v>160</v>
      </c>
      <c r="H147" s="6" t="str" cm="1">
        <f t="array" ref="H147">_xlfn.IFS(OR(D147="TC",D147="TP",D147="LT"),CONCATENATE(B147,"_",C147,$B$3,"_",C147,$B$3,"_",G147),D147="SECC",CONCATENATE(B147,"_",C147,$B$3,"_",$B$5,"_",G147),D147="SECF",CONCATENATE(B147,"_",C147,$B$3,"_",$B$6,"_",G147),D147="SECT",CONCATENATE(B147,"_",C147,$B$3,"_",$B$7,"_",G147),D147="SECG",CONCATENATE(B147,"_",C147,$B$3,"_",$B$8,"_",G147),D147="DJ",CONCATENATE(B147,"_",C147,$B$3,"_",$B$4,"_",G147),D147="DJ_P",CONCATENATE(B147,"_",C147,$B$3,"_",$B$4,"_P","_",G147),D147="DJ_A",CONCATENATE(B147,"_",C147,$B$3,"_",$B$4,"_A","_",G147),D147="LT_P",CONCATENATE(B147,"_",C147,$B$3,"_",C147,$B$3,"_P","_",G147),D147="LT_A",CONCATENATE(B147,"_",C147,$B$3,"_",C147,$B$3,"_A","_",G147))</f>
        <v>IMA_LT2_LT2_P_87LT</v>
      </c>
      <c r="I147" s="6" t="s">
        <v>267</v>
      </c>
      <c r="J147" s="6" t="s">
        <v>182</v>
      </c>
      <c r="K147" s="6" t="s">
        <v>179</v>
      </c>
      <c r="L147" s="6" t="s">
        <v>188</v>
      </c>
      <c r="M147" s="6" t="s">
        <v>188</v>
      </c>
      <c r="N147" s="6"/>
    </row>
    <row r="148" spans="1:14" x14ac:dyDescent="0.25">
      <c r="A148" s="6" t="s">
        <v>191</v>
      </c>
      <c r="B148" s="6" t="str">
        <f>Informações!$C$3</f>
        <v>IMA</v>
      </c>
      <c r="C148" s="6" t="s">
        <v>29</v>
      </c>
      <c r="D148" s="6" t="s">
        <v>206</v>
      </c>
      <c r="E148" s="2" t="s">
        <v>25</v>
      </c>
      <c r="F148" s="6" t="str">
        <f>VLOOKUP(G148,[1]Discrete!$A:$B,2,FALSE)</f>
        <v>87 - DIFERENCIAL BLOQUEIO</v>
      </c>
      <c r="G148" s="6" t="s">
        <v>161</v>
      </c>
      <c r="H148" s="6" t="str" cm="1">
        <f t="array" ref="H148">_xlfn.IFS(OR(D148="TC",D148="TP",D148="LT"),CONCATENATE(B148,"_",C148,$B$3,"_",C148,$B$3,"_",G148),D148="SECC",CONCATENATE(B148,"_",C148,$B$3,"_",$B$5,"_",G148),D148="SECF",CONCATENATE(B148,"_",C148,$B$3,"_",$B$6,"_",G148),D148="SECT",CONCATENATE(B148,"_",C148,$B$3,"_",$B$7,"_",G148),D148="SECG",CONCATENATE(B148,"_",C148,$B$3,"_",$B$8,"_",G148),D148="DJ",CONCATENATE(B148,"_",C148,$B$3,"_",$B$4,"_",G148),D148="DJ_P",CONCATENATE(B148,"_",C148,$B$3,"_",$B$4,"_P","_",G148),D148="DJ_A",CONCATENATE(B148,"_",C148,$B$3,"_",$B$4,"_A","_",G148),D148="LT_P",CONCATENATE(B148,"_",C148,$B$3,"_",C148,$B$3,"_P","_",G148),D148="LT_A",CONCATENATE(B148,"_",C148,$B$3,"_",C148,$B$3,"_A","_",G148))</f>
        <v>IMA_LT2_LT2_P_87BL</v>
      </c>
      <c r="I148" s="6" t="s">
        <v>267</v>
      </c>
      <c r="J148" s="6" t="s">
        <v>182</v>
      </c>
      <c r="K148" s="6" t="s">
        <v>179</v>
      </c>
      <c r="L148" s="6" t="s">
        <v>188</v>
      </c>
      <c r="M148" s="6" t="s">
        <v>188</v>
      </c>
      <c r="N148" s="6"/>
    </row>
    <row r="149" spans="1:14" x14ac:dyDescent="0.25">
      <c r="A149" s="6" t="s">
        <v>191</v>
      </c>
      <c r="B149" s="6" t="str">
        <f>Informações!$C$3</f>
        <v>IMA</v>
      </c>
      <c r="C149" s="6" t="s">
        <v>29</v>
      </c>
      <c r="D149" s="6" t="s">
        <v>207</v>
      </c>
      <c r="E149" s="2" t="s">
        <v>25</v>
      </c>
      <c r="F149" s="6" t="str">
        <f>VLOOKUP(G149,[1]Discrete!$A:$B,2,FALSE)</f>
        <v>87 - TRIP DIFERENCIAL LINHA</v>
      </c>
      <c r="G149" s="6" t="s">
        <v>160</v>
      </c>
      <c r="H149" s="6" t="str" cm="1">
        <f t="array" ref="H149">_xlfn.IFS(OR(D149="TC",D149="TP",D149="LT"),CONCATENATE(B149,"_",C149,$B$3,"_",C149,$B$3,"_",G149),D149="SECC",CONCATENATE(B149,"_",C149,$B$3,"_",$B$5,"_",G149),D149="SECF",CONCATENATE(B149,"_",C149,$B$3,"_",$B$6,"_",G149),D149="SECT",CONCATENATE(B149,"_",C149,$B$3,"_",$B$7,"_",G149),D149="SECG",CONCATENATE(B149,"_",C149,$B$3,"_",$B$8,"_",G149),D149="DJ",CONCATENATE(B149,"_",C149,$B$3,"_",$B$4,"_",G149),D149="DJ_P",CONCATENATE(B149,"_",C149,$B$3,"_",$B$4,"_P","_",G149),D149="DJ_A",CONCATENATE(B149,"_",C149,$B$3,"_",$B$4,"_A","_",G149),D149="LT_P",CONCATENATE(B149,"_",C149,$B$3,"_",C149,$B$3,"_P","_",G149),D149="LT_A",CONCATENATE(B149,"_",C149,$B$3,"_",C149,$B$3,"_A","_",G149))</f>
        <v>IMA_LT2_LT2_A_87LT</v>
      </c>
      <c r="I149" s="6" t="s">
        <v>267</v>
      </c>
      <c r="J149" s="6" t="s">
        <v>182</v>
      </c>
      <c r="K149" s="6" t="s">
        <v>179</v>
      </c>
      <c r="L149" s="6" t="s">
        <v>188</v>
      </c>
      <c r="M149" s="6" t="s">
        <v>188</v>
      </c>
      <c r="N149" s="6"/>
    </row>
    <row r="150" spans="1:14" x14ac:dyDescent="0.25">
      <c r="A150" s="6" t="s">
        <v>191</v>
      </c>
      <c r="B150" s="6" t="str">
        <f>Informações!$C$3</f>
        <v>IMA</v>
      </c>
      <c r="C150" s="6" t="s">
        <v>29</v>
      </c>
      <c r="D150" s="6" t="s">
        <v>207</v>
      </c>
      <c r="E150" s="2" t="s">
        <v>25</v>
      </c>
      <c r="F150" s="6" t="str">
        <f>VLOOKUP(G150,[1]Discrete!$A:$B,2,FALSE)</f>
        <v>87 - DIFERENCIAL BLOQUEIO</v>
      </c>
      <c r="G150" s="6" t="s">
        <v>161</v>
      </c>
      <c r="H150" s="6" t="str" cm="1">
        <f t="array" ref="H150">_xlfn.IFS(OR(D150="TC",D150="TP",D150="LT"),CONCATENATE(B150,"_",C150,$B$3,"_",C150,$B$3,"_",G150),D150="SECC",CONCATENATE(B150,"_",C150,$B$3,"_",$B$5,"_",G150),D150="SECF",CONCATENATE(B150,"_",C150,$B$3,"_",$B$6,"_",G150),D150="SECT",CONCATENATE(B150,"_",C150,$B$3,"_",$B$7,"_",G150),D150="SECG",CONCATENATE(B150,"_",C150,$B$3,"_",$B$8,"_",G150),D150="DJ",CONCATENATE(B150,"_",C150,$B$3,"_",$B$4,"_",G150),D150="DJ_P",CONCATENATE(B150,"_",C150,$B$3,"_",$B$4,"_P","_",G150),D150="DJ_A",CONCATENATE(B150,"_",C150,$B$3,"_",$B$4,"_A","_",G150),D150="LT_P",CONCATENATE(B150,"_",C150,$B$3,"_",C150,$B$3,"_P","_",G150),D150="LT_A",CONCATENATE(B150,"_",C150,$B$3,"_",C150,$B$3,"_A","_",G150))</f>
        <v>IMA_LT2_LT2_A_87BL</v>
      </c>
      <c r="I150" s="6" t="s">
        <v>267</v>
      </c>
      <c r="J150" s="6" t="s">
        <v>182</v>
      </c>
      <c r="K150" s="6" t="s">
        <v>179</v>
      </c>
      <c r="L150" s="6" t="s">
        <v>188</v>
      </c>
      <c r="M150" s="6" t="s">
        <v>188</v>
      </c>
      <c r="N150" s="6"/>
    </row>
    <row r="151" spans="1:14" x14ac:dyDescent="0.25">
      <c r="A151" s="6" t="s">
        <v>191</v>
      </c>
      <c r="B151" s="6" t="str">
        <f>Informações!$C$3</f>
        <v>IMA</v>
      </c>
      <c r="C151" s="6" t="s">
        <v>29</v>
      </c>
      <c r="D151" s="6" t="s">
        <v>29</v>
      </c>
      <c r="E151" s="2" t="s">
        <v>25</v>
      </c>
      <c r="F151" s="6" t="str">
        <f>VLOOKUP(G151,[1]Discrete!$A:$B,2,FALSE)</f>
        <v>FALHA SINCRONISMO HORA</v>
      </c>
      <c r="G151" s="6" t="s">
        <v>162</v>
      </c>
      <c r="H151" s="6" t="str" cm="1">
        <f t="array" ref="H151">_xlfn.IFS(OR(D151="TC",D151="TP",D151="LT"),CONCATENATE(B151,"_",C151,$B$3,"_",C151,$B$3,"_",G151),D151="SECC",CONCATENATE(B151,"_",C151,$B$3,"_",$B$5,"_",G151),D151="SECF",CONCATENATE(B151,"_",C151,$B$3,"_",$B$6,"_",G151),D151="SECT",CONCATENATE(B151,"_",C151,$B$3,"_",$B$7,"_",G151),D151="SECG",CONCATENATE(B151,"_",C151,$B$3,"_",$B$8,"_",G151),D151="DJ",CONCATENATE(B151,"_",C151,$B$3,"_",$B$4,"_",G151),D151="DJ_P",CONCATENATE(B151,"_",C151,$B$3,"_",$B$4,"_P","_",G151),D151="DJ_A",CONCATENATE(B151,"_",C151,$B$3,"_",$B$4,"_A","_",G151),D151="LT_P",CONCATENATE(B151,"_",C151,$B$3,"_",C151,$B$3,"_P","_",G151),D151="LT_A",CONCATENATE(B151,"_",C151,$B$3,"_",C151,$B$3,"_A","_",G151))</f>
        <v>IMA_LT2_LT2_FSIH</v>
      </c>
      <c r="I151" s="6" t="s">
        <v>267</v>
      </c>
      <c r="J151" s="6" t="s">
        <v>182</v>
      </c>
      <c r="K151" s="6" t="s">
        <v>180</v>
      </c>
      <c r="L151" s="6" t="s">
        <v>188</v>
      </c>
      <c r="M151" s="6" t="s">
        <v>188</v>
      </c>
      <c r="N151" s="6"/>
    </row>
    <row r="152" spans="1:14" x14ac:dyDescent="0.25">
      <c r="A152" s="6" t="s">
        <v>191</v>
      </c>
      <c r="B152" s="6" t="str">
        <f>Informações!$C$3</f>
        <v>IMA</v>
      </c>
      <c r="C152" s="6" t="s">
        <v>29</v>
      </c>
      <c r="D152" s="6" t="s">
        <v>29</v>
      </c>
      <c r="E152" s="2" t="s">
        <v>25</v>
      </c>
      <c r="F152" s="6" t="str">
        <f>VLOOKUP(G152,[1]Discrete!$A:$B,2,FALSE)</f>
        <v>PERDA DE POTENCIAL</v>
      </c>
      <c r="G152" s="6" t="s">
        <v>208</v>
      </c>
      <c r="H152" s="6" t="str" cm="1">
        <f t="array" ref="H152">_xlfn.IFS(OR(D152="TC",D152="TP",D152="LT"),CONCATENATE(B152,"_",C152,$B$3,"_",C152,$B$3,"_",G152),D152="SECC",CONCATENATE(B152,"_",C152,$B$3,"_",$B$5,"_",G152),D152="SECF",CONCATENATE(B152,"_",C152,$B$3,"_",$B$6,"_",G152),D152="SECT",CONCATENATE(B152,"_",C152,$B$3,"_",$B$7,"_",G152),D152="SECG",CONCATENATE(B152,"_",C152,$B$3,"_",$B$8,"_",G152),D152="DJ",CONCATENATE(B152,"_",C152,$B$3,"_",$B$4,"_",G152),D152="DJ_P",CONCATENATE(B152,"_",C152,$B$3,"_",$B$4,"_P","_",G152),D152="DJ_A",CONCATENATE(B152,"_",C152,$B$3,"_",$B$4,"_A","_",G152),D152="LT_P",CONCATENATE(B152,"_",C152,$B$3,"_",C152,$B$3,"_P","_",G152),D152="LT_A",CONCATENATE(B152,"_",C152,$B$3,"_",C152,$B$3,"_A","_",G152))</f>
        <v>IMA_LT2_LT2_PPOT</v>
      </c>
      <c r="I152" s="6" t="s">
        <v>267</v>
      </c>
      <c r="J152" s="6" t="s">
        <v>182</v>
      </c>
      <c r="K152" s="6" t="s">
        <v>179</v>
      </c>
      <c r="L152" s="6" t="s">
        <v>188</v>
      </c>
      <c r="M152" s="6" t="s">
        <v>188</v>
      </c>
      <c r="N152" s="6"/>
    </row>
    <row r="153" spans="1:14" x14ac:dyDescent="0.25">
      <c r="A153" s="6" t="s">
        <v>191</v>
      </c>
      <c r="B153" s="6" t="str">
        <f>Informações!$C$3</f>
        <v>IMA</v>
      </c>
      <c r="C153" s="6" t="s">
        <v>29</v>
      </c>
      <c r="D153" s="6" t="s">
        <v>206</v>
      </c>
      <c r="E153" s="2" t="s">
        <v>25</v>
      </c>
      <c r="F153" s="6" t="str">
        <f>VLOOKUP(G153,[1]Discrete!$A:$B,2,FALSE)</f>
        <v>50 - SOBRECORRENTE INSTANTANEA FASE E1</v>
      </c>
      <c r="G153" s="6" t="s">
        <v>94</v>
      </c>
      <c r="H153" s="6" t="str" cm="1">
        <f t="array" ref="H153">_xlfn.IFS(OR(D153="TC",D153="TP",D153="LT"),CONCATENATE(B153,"_",C153,$B$3,"_",C153,$B$3,"_",G153),D153="SECC",CONCATENATE(B153,"_",C153,$B$3,"_",$B$5,"_",G153),D153="SECF",CONCATENATE(B153,"_",C153,$B$3,"_",$B$6,"_",G153),D153="SECT",CONCATENATE(B153,"_",C153,$B$3,"_",$B$7,"_",G153),D153="SECG",CONCATENATE(B153,"_",C153,$B$3,"_",$B$8,"_",G153),D153="DJ",CONCATENATE(B153,"_",C153,$B$3,"_",$B$4,"_",G153),D153="DJ_P",CONCATENATE(B153,"_",C153,$B$3,"_",$B$4,"_P","_",G153),D153="DJ_A",CONCATENATE(B153,"_",C153,$B$3,"_",$B$4,"_A","_",G153),D153="LT_P",CONCATENATE(B153,"_",C153,$B$3,"_",C153,$B$3,"_P","_",G153),D153="LT_A",CONCATENATE(B153,"_",C153,$B$3,"_",C153,$B$3,"_A","_",G153))</f>
        <v>IMA_LT2_LT2_P_50F1</v>
      </c>
      <c r="I153" s="6" t="s">
        <v>267</v>
      </c>
      <c r="J153" s="6" t="s">
        <v>182</v>
      </c>
      <c r="K153" s="6" t="s">
        <v>179</v>
      </c>
      <c r="L153" s="6"/>
      <c r="M153" s="6"/>
      <c r="N153" s="6"/>
    </row>
    <row r="154" spans="1:14" x14ac:dyDescent="0.25">
      <c r="A154" s="6" t="s">
        <v>191</v>
      </c>
      <c r="B154" s="6" t="str">
        <f>Informações!$C$3</f>
        <v>IMA</v>
      </c>
      <c r="C154" s="6" t="s">
        <v>29</v>
      </c>
      <c r="D154" s="6" t="s">
        <v>206</v>
      </c>
      <c r="E154" s="2" t="s">
        <v>25</v>
      </c>
      <c r="F154" s="6" t="str">
        <f>VLOOKUP(G154,[1]Discrete!$A:$B,2,FALSE)</f>
        <v>50 - SOBRECORRENTE INSTANTANEA FASE E2</v>
      </c>
      <c r="G154" s="6" t="s">
        <v>95</v>
      </c>
      <c r="H154" s="6" t="str" cm="1">
        <f t="array" ref="H154">_xlfn.IFS(OR(D154="TC",D154="TP",D154="LT"),CONCATENATE(B154,"_",C154,$B$3,"_",C154,$B$3,"_",G154),D154="SECC",CONCATENATE(B154,"_",C154,$B$3,"_",$B$5,"_",G154),D154="SECF",CONCATENATE(B154,"_",C154,$B$3,"_",$B$6,"_",G154),D154="SECT",CONCATENATE(B154,"_",C154,$B$3,"_",$B$7,"_",G154),D154="SECG",CONCATENATE(B154,"_",C154,$B$3,"_",$B$8,"_",G154),D154="DJ",CONCATENATE(B154,"_",C154,$B$3,"_",$B$4,"_",G154),D154="DJ_P",CONCATENATE(B154,"_",C154,$B$3,"_",$B$4,"_P","_",G154),D154="DJ_A",CONCATENATE(B154,"_",C154,$B$3,"_",$B$4,"_A","_",G154),D154="LT_P",CONCATENATE(B154,"_",C154,$B$3,"_",C154,$B$3,"_P","_",G154),D154="LT_A",CONCATENATE(B154,"_",C154,$B$3,"_",C154,$B$3,"_A","_",G154))</f>
        <v>IMA_LT2_LT2_P_50F2</v>
      </c>
      <c r="I154" s="6" t="s">
        <v>267</v>
      </c>
      <c r="J154" s="6" t="s">
        <v>182</v>
      </c>
      <c r="K154" s="6" t="s">
        <v>179</v>
      </c>
      <c r="L154" s="6"/>
      <c r="M154" s="6"/>
      <c r="N154" s="6"/>
    </row>
    <row r="155" spans="1:14" x14ac:dyDescent="0.25">
      <c r="A155" s="6" t="s">
        <v>191</v>
      </c>
      <c r="B155" s="6" t="str">
        <f>Informações!$C$3</f>
        <v>IMA</v>
      </c>
      <c r="C155" s="6" t="s">
        <v>29</v>
      </c>
      <c r="D155" s="6" t="s">
        <v>206</v>
      </c>
      <c r="E155" s="2" t="s">
        <v>25</v>
      </c>
      <c r="F155" s="6" t="str">
        <f>VLOOKUP(G155,[1]Discrete!$A:$B,2,FALSE)</f>
        <v>50 - SOBRECORRENTE INSTANTANEA NEUTRO E1</v>
      </c>
      <c r="G155" s="6" t="s">
        <v>96</v>
      </c>
      <c r="H155" s="6" t="str" cm="1">
        <f t="array" ref="H155">_xlfn.IFS(OR(D155="TC",D155="TP",D155="LT"),CONCATENATE(B155,"_",C155,$B$3,"_",C155,$B$3,"_",G155),D155="SECC",CONCATENATE(B155,"_",C155,$B$3,"_",$B$5,"_",G155),D155="SECF",CONCATENATE(B155,"_",C155,$B$3,"_",$B$6,"_",G155),D155="SECT",CONCATENATE(B155,"_",C155,$B$3,"_",$B$7,"_",G155),D155="SECG",CONCATENATE(B155,"_",C155,$B$3,"_",$B$8,"_",G155),D155="DJ",CONCATENATE(B155,"_",C155,$B$3,"_",$B$4,"_",G155),D155="DJ_P",CONCATENATE(B155,"_",C155,$B$3,"_",$B$4,"_P","_",G155),D155="DJ_A",CONCATENATE(B155,"_",C155,$B$3,"_",$B$4,"_A","_",G155),D155="LT_P",CONCATENATE(B155,"_",C155,$B$3,"_",C155,$B$3,"_P","_",G155),D155="LT_A",CONCATENATE(B155,"_",C155,$B$3,"_",C155,$B$3,"_A","_",G155))</f>
        <v>IMA_LT2_LT2_P_50N1</v>
      </c>
      <c r="I155" s="6" t="s">
        <v>267</v>
      </c>
      <c r="J155" s="6" t="s">
        <v>182</v>
      </c>
      <c r="K155" s="6" t="s">
        <v>179</v>
      </c>
      <c r="L155" s="6"/>
      <c r="M155" s="6"/>
      <c r="N155" s="6"/>
    </row>
    <row r="156" spans="1:14" x14ac:dyDescent="0.25">
      <c r="A156" s="6" t="s">
        <v>191</v>
      </c>
      <c r="B156" s="6" t="str">
        <f>Informações!$C$3</f>
        <v>IMA</v>
      </c>
      <c r="C156" s="6" t="s">
        <v>29</v>
      </c>
      <c r="D156" s="6" t="s">
        <v>206</v>
      </c>
      <c r="E156" s="2" t="s">
        <v>25</v>
      </c>
      <c r="F156" s="6" t="str">
        <f>VLOOKUP(G156,[1]Discrete!$A:$B,2,FALSE)</f>
        <v>50 - SOBRECORRENTE INSTANTANEA NEUTRO E2</v>
      </c>
      <c r="G156" s="6" t="s">
        <v>97</v>
      </c>
      <c r="H156" s="6" t="str" cm="1">
        <f t="array" ref="H156">_xlfn.IFS(OR(D156="TC",D156="TP",D156="LT"),CONCATENATE(B156,"_",C156,$B$3,"_",C156,$B$3,"_",G156),D156="SECC",CONCATENATE(B156,"_",C156,$B$3,"_",$B$5,"_",G156),D156="SECF",CONCATENATE(B156,"_",C156,$B$3,"_",$B$6,"_",G156),D156="SECT",CONCATENATE(B156,"_",C156,$B$3,"_",$B$7,"_",G156),D156="SECG",CONCATENATE(B156,"_",C156,$B$3,"_",$B$8,"_",G156),D156="DJ",CONCATENATE(B156,"_",C156,$B$3,"_",$B$4,"_",G156),D156="DJ_P",CONCATENATE(B156,"_",C156,$B$3,"_",$B$4,"_P","_",G156),D156="DJ_A",CONCATENATE(B156,"_",C156,$B$3,"_",$B$4,"_A","_",G156),D156="LT_P",CONCATENATE(B156,"_",C156,$B$3,"_",C156,$B$3,"_P","_",G156),D156="LT_A",CONCATENATE(B156,"_",C156,$B$3,"_",C156,$B$3,"_A","_",G156))</f>
        <v>IMA_LT2_LT2_P_50N2</v>
      </c>
      <c r="I156" s="6" t="s">
        <v>267</v>
      </c>
      <c r="J156" s="6" t="s">
        <v>182</v>
      </c>
      <c r="K156" s="6" t="s">
        <v>179</v>
      </c>
      <c r="L156" s="6"/>
      <c r="M156" s="6"/>
      <c r="N156" s="6"/>
    </row>
    <row r="157" spans="1:14" x14ac:dyDescent="0.25">
      <c r="A157" s="6" t="s">
        <v>191</v>
      </c>
      <c r="B157" s="6" t="str">
        <f>Informações!$C$3</f>
        <v>IMA</v>
      </c>
      <c r="C157" s="6" t="s">
        <v>29</v>
      </c>
      <c r="D157" s="6" t="s">
        <v>206</v>
      </c>
      <c r="E157" s="2" t="s">
        <v>25</v>
      </c>
      <c r="F157" s="6" t="str">
        <f>VLOOKUP(G157,[1]Discrete!$A:$B,2,FALSE)</f>
        <v>50 - SOBRECORRENTE INSTANTANEA FASE</v>
      </c>
      <c r="G157" s="6" t="s">
        <v>416</v>
      </c>
      <c r="H157" s="6" t="str" cm="1">
        <f t="array" ref="H157">_xlfn.IFS(OR(D157="TC",D157="TP",D157="LT"),CONCATENATE(B157,"_",C157,$B$3,"_",C157,$B$3,"_",G157),D157="SECC",CONCATENATE(B157,"_",C157,$B$3,"_",$B$5,"_",G157),D157="SECF",CONCATENATE(B157,"_",C157,$B$3,"_",$B$6,"_",G157),D157="SECT",CONCATENATE(B157,"_",C157,$B$3,"_",$B$7,"_",G157),D157="SECG",CONCATENATE(B157,"_",C157,$B$3,"_",$B$8,"_",G157),D157="DJ",CONCATENATE(B157,"_",C157,$B$3,"_",$B$4,"_",G157),D157="DJ_P",CONCATENATE(B157,"_",C157,$B$3,"_",$B$4,"_P","_",G157),D157="DJ_A",CONCATENATE(B157,"_",C157,$B$3,"_",$B$4,"_A","_",G157),D157="LT_P",CONCATENATE(B157,"_",C157,$B$3,"_",C157,$B$3,"_P","_",G157),D157="LT_A",CONCATENATE(B157,"_",C157,$B$3,"_",C157,$B$3,"_A","_",G157))</f>
        <v>IMA_LT2_LT2_P_50F</v>
      </c>
      <c r="I157" s="6" t="s">
        <v>267</v>
      </c>
      <c r="J157" s="6" t="s">
        <v>182</v>
      </c>
      <c r="K157" s="6" t="s">
        <v>179</v>
      </c>
      <c r="L157" s="6"/>
      <c r="M157" s="6"/>
      <c r="N157" s="6"/>
    </row>
    <row r="158" spans="1:14" x14ac:dyDescent="0.25">
      <c r="A158" s="6" t="s">
        <v>191</v>
      </c>
      <c r="B158" s="6" t="str">
        <f>Informações!$C$3</f>
        <v>IMA</v>
      </c>
      <c r="C158" s="6" t="s">
        <v>29</v>
      </c>
      <c r="D158" s="6" t="s">
        <v>206</v>
      </c>
      <c r="E158" s="2" t="s">
        <v>25</v>
      </c>
      <c r="F158" s="6" t="str">
        <f>VLOOKUP(G158,[1]Discrete!$A:$B,2,FALSE)</f>
        <v>50 - SOBRECORRENTE INSTANTANEA NEUTRO</v>
      </c>
      <c r="G158" s="6" t="s">
        <v>417</v>
      </c>
      <c r="H158" s="6" t="str" cm="1">
        <f t="array" ref="H158">_xlfn.IFS(OR(D158="TC",D158="TP",D158="LT"),CONCATENATE(B158,"_",C158,$B$3,"_",C158,$B$3,"_",G158),D158="SECC",CONCATENATE(B158,"_",C158,$B$3,"_",$B$5,"_",G158),D158="SECF",CONCATENATE(B158,"_",C158,$B$3,"_",$B$6,"_",G158),D158="SECT",CONCATENATE(B158,"_",C158,$B$3,"_",$B$7,"_",G158),D158="SECG",CONCATENATE(B158,"_",C158,$B$3,"_",$B$8,"_",G158),D158="DJ",CONCATENATE(B158,"_",C158,$B$3,"_",$B$4,"_",G158),D158="DJ_P",CONCATENATE(B158,"_",C158,$B$3,"_",$B$4,"_P","_",G158),D158="DJ_A",CONCATENATE(B158,"_",C158,$B$3,"_",$B$4,"_A","_",G158),D158="LT_P",CONCATENATE(B158,"_",C158,$B$3,"_",C158,$B$3,"_P","_",G158),D158="LT_A",CONCATENATE(B158,"_",C158,$B$3,"_",C158,$B$3,"_A","_",G158))</f>
        <v>IMA_LT2_LT2_P_50N</v>
      </c>
      <c r="I158" s="6" t="s">
        <v>267</v>
      </c>
      <c r="J158" s="6" t="s">
        <v>182</v>
      </c>
      <c r="K158" s="6" t="s">
        <v>179</v>
      </c>
      <c r="L158" s="6"/>
      <c r="M158" s="6"/>
      <c r="N158" s="6"/>
    </row>
    <row r="159" spans="1:14" x14ac:dyDescent="0.25">
      <c r="A159" s="6" t="s">
        <v>191</v>
      </c>
      <c r="B159" s="6" t="str">
        <f>Informações!$C$3</f>
        <v>IMA</v>
      </c>
      <c r="C159" s="6" t="s">
        <v>29</v>
      </c>
      <c r="D159" s="6" t="s">
        <v>206</v>
      </c>
      <c r="E159" s="2" t="s">
        <v>25</v>
      </c>
      <c r="F159" s="6" t="str">
        <f>VLOOKUP(G159,[1]Discrete!$A:$B,2,FALSE)</f>
        <v>51 - SOBRECORRENTE TEMPORIZADA FASE E1</v>
      </c>
      <c r="G159" s="6" t="s">
        <v>418</v>
      </c>
      <c r="H159" s="6" t="str" cm="1">
        <f t="array" ref="H159">_xlfn.IFS(OR(D159="TC",D159="TP",D159="LT"),CONCATENATE(B159,"_",C159,$B$3,"_",C159,$B$3,"_",G159),D159="SECC",CONCATENATE(B159,"_",C159,$B$3,"_",$B$5,"_",G159),D159="SECF",CONCATENATE(B159,"_",C159,$B$3,"_",$B$6,"_",G159),D159="SECT",CONCATENATE(B159,"_",C159,$B$3,"_",$B$7,"_",G159),D159="SECG",CONCATENATE(B159,"_",C159,$B$3,"_",$B$8,"_",G159),D159="DJ",CONCATENATE(B159,"_",C159,$B$3,"_",$B$4,"_",G159),D159="DJ_P",CONCATENATE(B159,"_",C159,$B$3,"_",$B$4,"_P","_",G159),D159="DJ_A",CONCATENATE(B159,"_",C159,$B$3,"_",$B$4,"_A","_",G159),D159="LT_P",CONCATENATE(B159,"_",C159,$B$3,"_",C159,$B$3,"_P","_",G159),D159="LT_A",CONCATENATE(B159,"_",C159,$B$3,"_",C159,$B$3,"_A","_",G159))</f>
        <v>IMA_LT2_LT2_P_51F1</v>
      </c>
      <c r="I159" s="6" t="s">
        <v>267</v>
      </c>
      <c r="J159" s="6" t="s">
        <v>182</v>
      </c>
      <c r="K159" s="6" t="s">
        <v>179</v>
      </c>
      <c r="L159" s="6"/>
      <c r="M159" s="6"/>
      <c r="N159" s="6"/>
    </row>
    <row r="160" spans="1:14" x14ac:dyDescent="0.25">
      <c r="A160" s="6" t="s">
        <v>191</v>
      </c>
      <c r="B160" s="6" t="str">
        <f>Informações!$C$3</f>
        <v>IMA</v>
      </c>
      <c r="C160" s="6" t="s">
        <v>29</v>
      </c>
      <c r="D160" s="6" t="s">
        <v>206</v>
      </c>
      <c r="E160" s="2" t="s">
        <v>25</v>
      </c>
      <c r="F160" s="6" t="str">
        <f>VLOOKUP(G160,[1]Discrete!$A:$B,2,FALSE)</f>
        <v>51 - SOBRECORRENTE TEMPORIZADA FASE E2</v>
      </c>
      <c r="G160" s="6" t="s">
        <v>419</v>
      </c>
      <c r="H160" s="6" t="str" cm="1">
        <f t="array" ref="H160">_xlfn.IFS(OR(D160="TC",D160="TP",D160="LT"),CONCATENATE(B160,"_",C160,$B$3,"_",C160,$B$3,"_",G160),D160="SECC",CONCATENATE(B160,"_",C160,$B$3,"_",$B$5,"_",G160),D160="SECF",CONCATENATE(B160,"_",C160,$B$3,"_",$B$6,"_",G160),D160="SECT",CONCATENATE(B160,"_",C160,$B$3,"_",$B$7,"_",G160),D160="SECG",CONCATENATE(B160,"_",C160,$B$3,"_",$B$8,"_",G160),D160="DJ",CONCATENATE(B160,"_",C160,$B$3,"_",$B$4,"_",G160),D160="DJ_P",CONCATENATE(B160,"_",C160,$B$3,"_",$B$4,"_P","_",G160),D160="DJ_A",CONCATENATE(B160,"_",C160,$B$3,"_",$B$4,"_A","_",G160),D160="LT_P",CONCATENATE(B160,"_",C160,$B$3,"_",C160,$B$3,"_P","_",G160),D160="LT_A",CONCATENATE(B160,"_",C160,$B$3,"_",C160,$B$3,"_A","_",G160))</f>
        <v>IMA_LT2_LT2_P_51F2</v>
      </c>
      <c r="I160" s="6" t="s">
        <v>267</v>
      </c>
      <c r="J160" s="6" t="s">
        <v>182</v>
      </c>
      <c r="K160" s="6" t="s">
        <v>179</v>
      </c>
      <c r="L160" s="6"/>
      <c r="M160" s="6"/>
      <c r="N160" s="6"/>
    </row>
    <row r="161" spans="1:14" x14ac:dyDescent="0.25">
      <c r="A161" s="6" t="s">
        <v>191</v>
      </c>
      <c r="B161" s="6" t="str">
        <f>Informações!$C$3</f>
        <v>IMA</v>
      </c>
      <c r="C161" s="6" t="s">
        <v>29</v>
      </c>
      <c r="D161" s="6" t="s">
        <v>206</v>
      </c>
      <c r="E161" s="2" t="s">
        <v>25</v>
      </c>
      <c r="F161" s="6" t="str">
        <f>VLOOKUP(G161,[1]Discrete!$A:$B,2,FALSE)</f>
        <v>51 - SOBRECORRENTE TEMPORIZADA NEUTRO E1</v>
      </c>
      <c r="G161" s="6" t="s">
        <v>111</v>
      </c>
      <c r="H161" s="6" t="str" cm="1">
        <f t="array" ref="H161">_xlfn.IFS(OR(D161="TC",D161="TP",D161="LT"),CONCATENATE(B161,"_",C161,$B$3,"_",C161,$B$3,"_",G161),D161="SECC",CONCATENATE(B161,"_",C161,$B$3,"_",$B$5,"_",G161),D161="SECF",CONCATENATE(B161,"_",C161,$B$3,"_",$B$6,"_",G161),D161="SECT",CONCATENATE(B161,"_",C161,$B$3,"_",$B$7,"_",G161),D161="SECG",CONCATENATE(B161,"_",C161,$B$3,"_",$B$8,"_",G161),D161="DJ",CONCATENATE(B161,"_",C161,$B$3,"_",$B$4,"_",G161),D161="DJ_P",CONCATENATE(B161,"_",C161,$B$3,"_",$B$4,"_P","_",G161),D161="DJ_A",CONCATENATE(B161,"_",C161,$B$3,"_",$B$4,"_A","_",G161),D161="LT_P",CONCATENATE(B161,"_",C161,$B$3,"_",C161,$B$3,"_P","_",G161),D161="LT_A",CONCATENATE(B161,"_",C161,$B$3,"_",C161,$B$3,"_A","_",G161))</f>
        <v>IMA_LT2_LT2_P_51N1</v>
      </c>
      <c r="I161" s="6" t="s">
        <v>267</v>
      </c>
      <c r="J161" s="6" t="s">
        <v>182</v>
      </c>
      <c r="K161" s="6" t="s">
        <v>179</v>
      </c>
      <c r="L161" s="6"/>
      <c r="M161" s="6"/>
      <c r="N161" s="6"/>
    </row>
    <row r="162" spans="1:14" x14ac:dyDescent="0.25">
      <c r="A162" s="6" t="s">
        <v>191</v>
      </c>
      <c r="B162" s="6" t="str">
        <f>Informações!$C$3</f>
        <v>IMA</v>
      </c>
      <c r="C162" s="6" t="s">
        <v>29</v>
      </c>
      <c r="D162" s="6" t="s">
        <v>206</v>
      </c>
      <c r="E162" s="2" t="s">
        <v>25</v>
      </c>
      <c r="F162" s="6" t="str">
        <f>VLOOKUP(G162,[1]Discrete!$A:$B,2,FALSE)</f>
        <v>51 - SOBRECORRENTE TEMPORIZADA NEUTRO E2</v>
      </c>
      <c r="G162" s="6" t="s">
        <v>415</v>
      </c>
      <c r="H162" s="6" t="str" cm="1">
        <f t="array" ref="H162">_xlfn.IFS(OR(D162="TC",D162="TP",D162="LT"),CONCATENATE(B162,"_",C162,$B$3,"_",C162,$B$3,"_",G162),D162="SECC",CONCATENATE(B162,"_",C162,$B$3,"_",$B$5,"_",G162),D162="SECF",CONCATENATE(B162,"_",C162,$B$3,"_",$B$6,"_",G162),D162="SECT",CONCATENATE(B162,"_",C162,$B$3,"_",$B$7,"_",G162),D162="SECG",CONCATENATE(B162,"_",C162,$B$3,"_",$B$8,"_",G162),D162="DJ",CONCATENATE(B162,"_",C162,$B$3,"_",$B$4,"_",G162),D162="DJ_P",CONCATENATE(B162,"_",C162,$B$3,"_",$B$4,"_P","_",G162),D162="DJ_A",CONCATENATE(B162,"_",C162,$B$3,"_",$B$4,"_A","_",G162),D162="LT_P",CONCATENATE(B162,"_",C162,$B$3,"_",C162,$B$3,"_P","_",G162),D162="LT_A",CONCATENATE(B162,"_",C162,$B$3,"_",C162,$B$3,"_A","_",G162))</f>
        <v>IMA_LT2_LT2_P_51N2</v>
      </c>
      <c r="I162" s="6" t="s">
        <v>267</v>
      </c>
      <c r="J162" s="6" t="s">
        <v>182</v>
      </c>
      <c r="K162" s="6" t="s">
        <v>179</v>
      </c>
      <c r="L162" s="6"/>
      <c r="M162" s="6"/>
      <c r="N162" s="6"/>
    </row>
    <row r="163" spans="1:14" x14ac:dyDescent="0.25">
      <c r="A163" s="6" t="s">
        <v>191</v>
      </c>
      <c r="B163" s="6" t="str">
        <f>Informações!$C$3</f>
        <v>IMA</v>
      </c>
      <c r="C163" s="6" t="s">
        <v>29</v>
      </c>
      <c r="D163" s="6" t="s">
        <v>206</v>
      </c>
      <c r="E163" s="2" t="s">
        <v>25</v>
      </c>
      <c r="F163" s="6" t="str">
        <f>VLOOKUP(G163,[1]Discrete!$A:$B,2,FALSE)</f>
        <v>51 - SOBRECORRENTE TEMPORIZADA FASE</v>
      </c>
      <c r="G163" s="6" t="s">
        <v>98</v>
      </c>
      <c r="H163" s="6" t="str" cm="1">
        <f t="array" ref="H163">_xlfn.IFS(OR(D163="TC",D163="TP",D163="LT"),CONCATENATE(B163,"_",C163,$B$3,"_",C163,$B$3,"_",G163),D163="SECC",CONCATENATE(B163,"_",C163,$B$3,"_",$B$5,"_",G163),D163="SECF",CONCATENATE(B163,"_",C163,$B$3,"_",$B$6,"_",G163),D163="SECT",CONCATENATE(B163,"_",C163,$B$3,"_",$B$7,"_",G163),D163="SECG",CONCATENATE(B163,"_",C163,$B$3,"_",$B$8,"_",G163),D163="DJ",CONCATENATE(B163,"_",C163,$B$3,"_",$B$4,"_",G163),D163="DJ_P",CONCATENATE(B163,"_",C163,$B$3,"_",$B$4,"_P","_",G163),D163="DJ_A",CONCATENATE(B163,"_",C163,$B$3,"_",$B$4,"_A","_",G163),D163="LT_P",CONCATENATE(B163,"_",C163,$B$3,"_",C163,$B$3,"_P","_",G163),D163="LT_A",CONCATENATE(B163,"_",C163,$B$3,"_",C163,$B$3,"_A","_",G163))</f>
        <v>IMA_LT2_LT2_P_51F</v>
      </c>
      <c r="I163" s="6" t="s">
        <v>267</v>
      </c>
      <c r="J163" s="6" t="s">
        <v>182</v>
      </c>
      <c r="K163" s="6" t="s">
        <v>179</v>
      </c>
      <c r="L163" s="6"/>
      <c r="M163" s="6"/>
      <c r="N163" s="6"/>
    </row>
    <row r="164" spans="1:14" x14ac:dyDescent="0.25">
      <c r="A164" s="6" t="s">
        <v>191</v>
      </c>
      <c r="B164" s="6" t="str">
        <f>Informações!$C$3</f>
        <v>IMA</v>
      </c>
      <c r="C164" s="6" t="s">
        <v>29</v>
      </c>
      <c r="D164" s="6" t="s">
        <v>206</v>
      </c>
      <c r="E164" s="2" t="s">
        <v>25</v>
      </c>
      <c r="F164" s="6" t="str">
        <f>VLOOKUP(G164,[1]Discrete!$A:$B,2,FALSE)</f>
        <v>51 - FUNCAO SOBRECORRENTE TEMPORIZADA NEUTRO</v>
      </c>
      <c r="G164" s="6" t="s">
        <v>35</v>
      </c>
      <c r="H164" s="6" t="str" cm="1">
        <f t="array" ref="H164">_xlfn.IFS(OR(D164="TC",D164="TP",D164="LT"),CONCATENATE(B164,"_",C164,$B$3,"_",C164,$B$3,"_",G164),D164="SECC",CONCATENATE(B164,"_",C164,$B$3,"_",$B$5,"_",G164),D164="SECF",CONCATENATE(B164,"_",C164,$B$3,"_",$B$6,"_",G164),D164="SECT",CONCATENATE(B164,"_",C164,$B$3,"_",$B$7,"_",G164),D164="SECG",CONCATENATE(B164,"_",C164,$B$3,"_",$B$8,"_",G164),D164="DJ",CONCATENATE(B164,"_",C164,$B$3,"_",$B$4,"_",G164),D164="DJ_P",CONCATENATE(B164,"_",C164,$B$3,"_",$B$4,"_P","_",G164),D164="DJ_A",CONCATENATE(B164,"_",C164,$B$3,"_",$B$4,"_A","_",G164),D164="LT_P",CONCATENATE(B164,"_",C164,$B$3,"_",C164,$B$3,"_P","_",G164),D164="LT_A",CONCATENATE(B164,"_",C164,$B$3,"_",C164,$B$3,"_A","_",G164))</f>
        <v>IMA_LT2_LT2_P_51N</v>
      </c>
      <c r="I164" s="6" t="s">
        <v>267</v>
      </c>
      <c r="J164" s="6" t="s">
        <v>182</v>
      </c>
      <c r="K164" s="6" t="s">
        <v>179</v>
      </c>
      <c r="L164" s="6"/>
      <c r="M164" s="6"/>
      <c r="N164" s="6"/>
    </row>
    <row r="165" spans="1:14" x14ac:dyDescent="0.25">
      <c r="A165" s="6" t="s">
        <v>191</v>
      </c>
      <c r="B165" s="6" t="str">
        <f>Informações!$C$3</f>
        <v>IMA</v>
      </c>
      <c r="C165" s="6" t="s">
        <v>29</v>
      </c>
      <c r="D165" s="6" t="s">
        <v>207</v>
      </c>
      <c r="E165" s="2" t="s">
        <v>25</v>
      </c>
      <c r="F165" s="6" t="str">
        <f>VLOOKUP(G165,[1]Discrete!$A:$B,2,FALSE)</f>
        <v>FALHA COMUNICACAO</v>
      </c>
      <c r="G165" s="6" t="s">
        <v>78</v>
      </c>
      <c r="H165" s="6" t="str" cm="1">
        <f t="array" ref="H165">_xlfn.IFS(OR(D165="TC",D165="TP",D165="LT"),CONCATENATE(B165,"_",C165,$B$3,"_",C165,$B$3,"_",G165),D165="SECC",CONCATENATE(B165,"_",C165,$B$3,"_",$B$5,"_",G165),D165="SECF",CONCATENATE(B165,"_",C165,$B$3,"_",$B$6,"_",G165),D165="SECT",CONCATENATE(B165,"_",C165,$B$3,"_",$B$7,"_",G165),D165="SECG",CONCATENATE(B165,"_",C165,$B$3,"_",$B$8,"_",G165),D165="DJ",CONCATENATE(B165,"_",C165,$B$3,"_",$B$4,"_",G165),D165="DJ_P",CONCATENATE(B165,"_",C165,$B$3,"_",$B$4,"_P","_",G165),D165="DJ_A",CONCATENATE(B165,"_",C165,$B$3,"_",$B$4,"_A","_",G165),D165="LT_P",CONCATENATE(B165,"_",C165,$B$3,"_",C165,$B$3,"_P","_",G165),D165="LT_A",CONCATENATE(B165,"_",C165,$B$3,"_",C165,$B$3,"_A","_",G165))</f>
        <v>IMA_LT2_LT2_A_FCOM</v>
      </c>
      <c r="I165" s="6" t="s">
        <v>267</v>
      </c>
      <c r="J165" s="6" t="s">
        <v>182</v>
      </c>
      <c r="K165" s="6" t="s">
        <v>180</v>
      </c>
      <c r="L165" s="6" t="s">
        <v>188</v>
      </c>
      <c r="M165" s="6" t="s">
        <v>188</v>
      </c>
      <c r="N165" s="6"/>
    </row>
    <row r="166" spans="1:14" x14ac:dyDescent="0.25">
      <c r="A166" s="6" t="s">
        <v>191</v>
      </c>
      <c r="B166" s="6" t="str">
        <f>Informações!$C$3</f>
        <v>IMA</v>
      </c>
      <c r="C166" s="6" t="s">
        <v>29</v>
      </c>
      <c r="D166" s="6" t="s">
        <v>207</v>
      </c>
      <c r="E166" s="2" t="s">
        <v>25</v>
      </c>
      <c r="F166" s="6" t="str">
        <f>VLOOKUP(G166,[1]Discrete!$A:$B,2,FALSE)</f>
        <v>50 - SOBRECORRENTE INSTANTANEA FASE E1</v>
      </c>
      <c r="G166" s="6" t="s">
        <v>94</v>
      </c>
      <c r="H166" s="6" t="str" cm="1">
        <f t="array" ref="H166">_xlfn.IFS(OR(D166="TC",D166="TP",D166="LT"),CONCATENATE(B166,"_",C166,$B$3,"_",C166,$B$3,"_",G166),D166="SECC",CONCATENATE(B166,"_",C166,$B$3,"_",$B$5,"_",G166),D166="SECF",CONCATENATE(B166,"_",C166,$B$3,"_",$B$6,"_",G166),D166="SECT",CONCATENATE(B166,"_",C166,$B$3,"_",$B$7,"_",G166),D166="SECG",CONCATENATE(B166,"_",C166,$B$3,"_",$B$8,"_",G166),D166="DJ",CONCATENATE(B166,"_",C166,$B$3,"_",$B$4,"_",G166),D166="DJ_P",CONCATENATE(B166,"_",C166,$B$3,"_",$B$4,"_P","_",G166),D166="DJ_A",CONCATENATE(B166,"_",C166,$B$3,"_",$B$4,"_A","_",G166),D166="LT_P",CONCATENATE(B166,"_",C166,$B$3,"_",C166,$B$3,"_P","_",G166),D166="LT_A",CONCATENATE(B166,"_",C166,$B$3,"_",C166,$B$3,"_A","_",G166))</f>
        <v>IMA_LT2_LT2_A_50F1</v>
      </c>
      <c r="I166" s="6" t="s">
        <v>267</v>
      </c>
      <c r="J166" s="6" t="s">
        <v>182</v>
      </c>
      <c r="K166" s="6" t="s">
        <v>179</v>
      </c>
      <c r="L166" s="6"/>
      <c r="M166" s="6"/>
      <c r="N166" s="6"/>
    </row>
    <row r="167" spans="1:14" x14ac:dyDescent="0.25">
      <c r="A167" s="6" t="s">
        <v>191</v>
      </c>
      <c r="B167" s="6" t="str">
        <f>Informações!$C$3</f>
        <v>IMA</v>
      </c>
      <c r="C167" s="6" t="s">
        <v>29</v>
      </c>
      <c r="D167" s="6" t="s">
        <v>207</v>
      </c>
      <c r="E167" s="2" t="s">
        <v>25</v>
      </c>
      <c r="F167" s="6" t="str">
        <f>VLOOKUP(G167,[1]Discrete!$A:$B,2,FALSE)</f>
        <v>50 - SOBRECORRENTE INSTANTANEA FASE E2</v>
      </c>
      <c r="G167" s="6" t="s">
        <v>95</v>
      </c>
      <c r="H167" s="6" t="str" cm="1">
        <f t="array" ref="H167">_xlfn.IFS(OR(D167="TC",D167="TP",D167="LT"),CONCATENATE(B167,"_",C167,$B$3,"_",C167,$B$3,"_",G167),D167="SECC",CONCATENATE(B167,"_",C167,$B$3,"_",$B$5,"_",G167),D167="SECF",CONCATENATE(B167,"_",C167,$B$3,"_",$B$6,"_",G167),D167="SECT",CONCATENATE(B167,"_",C167,$B$3,"_",$B$7,"_",G167),D167="SECG",CONCATENATE(B167,"_",C167,$B$3,"_",$B$8,"_",G167),D167="DJ",CONCATENATE(B167,"_",C167,$B$3,"_",$B$4,"_",G167),D167="DJ_P",CONCATENATE(B167,"_",C167,$B$3,"_",$B$4,"_P","_",G167),D167="DJ_A",CONCATENATE(B167,"_",C167,$B$3,"_",$B$4,"_A","_",G167),D167="LT_P",CONCATENATE(B167,"_",C167,$B$3,"_",C167,$B$3,"_P","_",G167),D167="LT_A",CONCATENATE(B167,"_",C167,$B$3,"_",C167,$B$3,"_A","_",G167))</f>
        <v>IMA_LT2_LT2_A_50F2</v>
      </c>
      <c r="I167" s="6" t="s">
        <v>267</v>
      </c>
      <c r="J167" s="6" t="s">
        <v>182</v>
      </c>
      <c r="K167" s="6" t="s">
        <v>179</v>
      </c>
      <c r="L167" s="6"/>
      <c r="M167" s="6"/>
      <c r="N167" s="6"/>
    </row>
    <row r="168" spans="1:14" x14ac:dyDescent="0.25">
      <c r="A168" s="6" t="s">
        <v>191</v>
      </c>
      <c r="B168" s="6" t="str">
        <f>Informações!$C$3</f>
        <v>IMA</v>
      </c>
      <c r="C168" s="6" t="s">
        <v>29</v>
      </c>
      <c r="D168" s="6" t="s">
        <v>207</v>
      </c>
      <c r="E168" s="2" t="s">
        <v>25</v>
      </c>
      <c r="F168" s="6" t="str">
        <f>VLOOKUP(G168,[1]Discrete!$A:$B,2,FALSE)</f>
        <v>50 - SOBRECORRENTE INSTANTANEA NEUTRO E1</v>
      </c>
      <c r="G168" s="6" t="s">
        <v>96</v>
      </c>
      <c r="H168" s="6" t="str" cm="1">
        <f t="array" ref="H168">_xlfn.IFS(OR(D168="TC",D168="TP",D168="LT"),CONCATENATE(B168,"_",C168,$B$3,"_",C168,$B$3,"_",G168),D168="SECC",CONCATENATE(B168,"_",C168,$B$3,"_",$B$5,"_",G168),D168="SECF",CONCATENATE(B168,"_",C168,$B$3,"_",$B$6,"_",G168),D168="SECT",CONCATENATE(B168,"_",C168,$B$3,"_",$B$7,"_",G168),D168="SECG",CONCATENATE(B168,"_",C168,$B$3,"_",$B$8,"_",G168),D168="DJ",CONCATENATE(B168,"_",C168,$B$3,"_",$B$4,"_",G168),D168="DJ_P",CONCATENATE(B168,"_",C168,$B$3,"_",$B$4,"_P","_",G168),D168="DJ_A",CONCATENATE(B168,"_",C168,$B$3,"_",$B$4,"_A","_",G168),D168="LT_P",CONCATENATE(B168,"_",C168,$B$3,"_",C168,$B$3,"_P","_",G168),D168="LT_A",CONCATENATE(B168,"_",C168,$B$3,"_",C168,$B$3,"_A","_",G168))</f>
        <v>IMA_LT2_LT2_A_50N1</v>
      </c>
      <c r="I168" s="6" t="s">
        <v>267</v>
      </c>
      <c r="J168" s="6" t="s">
        <v>182</v>
      </c>
      <c r="K168" s="6" t="s">
        <v>179</v>
      </c>
      <c r="L168" s="6"/>
      <c r="M168" s="6"/>
      <c r="N168" s="6"/>
    </row>
    <row r="169" spans="1:14" x14ac:dyDescent="0.25">
      <c r="A169" s="6" t="s">
        <v>191</v>
      </c>
      <c r="B169" s="6" t="str">
        <f>Informações!$C$3</f>
        <v>IMA</v>
      </c>
      <c r="C169" s="6" t="s">
        <v>29</v>
      </c>
      <c r="D169" s="6" t="s">
        <v>207</v>
      </c>
      <c r="E169" s="2" t="s">
        <v>25</v>
      </c>
      <c r="F169" s="6" t="str">
        <f>VLOOKUP(G169,[1]Discrete!$A:$B,2,FALSE)</f>
        <v>50 - SOBRECORRENTE INSTANTANEA NEUTRO E2</v>
      </c>
      <c r="G169" s="6" t="s">
        <v>97</v>
      </c>
      <c r="H169" s="6" t="str" cm="1">
        <f t="array" ref="H169">_xlfn.IFS(OR(D169="TC",D169="TP",D169="LT"),CONCATENATE(B169,"_",C169,$B$3,"_",C169,$B$3,"_",G169),D169="SECC",CONCATENATE(B169,"_",C169,$B$3,"_",$B$5,"_",G169),D169="SECF",CONCATENATE(B169,"_",C169,$B$3,"_",$B$6,"_",G169),D169="SECT",CONCATENATE(B169,"_",C169,$B$3,"_",$B$7,"_",G169),D169="SECG",CONCATENATE(B169,"_",C169,$B$3,"_",$B$8,"_",G169),D169="DJ",CONCATENATE(B169,"_",C169,$B$3,"_",$B$4,"_",G169),D169="DJ_P",CONCATENATE(B169,"_",C169,$B$3,"_",$B$4,"_P","_",G169),D169="DJ_A",CONCATENATE(B169,"_",C169,$B$3,"_",$B$4,"_A","_",G169),D169="LT_P",CONCATENATE(B169,"_",C169,$B$3,"_",C169,$B$3,"_P","_",G169),D169="LT_A",CONCATENATE(B169,"_",C169,$B$3,"_",C169,$B$3,"_A","_",G169))</f>
        <v>IMA_LT2_LT2_A_50N2</v>
      </c>
      <c r="I169" s="6" t="s">
        <v>267</v>
      </c>
      <c r="J169" s="6" t="s">
        <v>182</v>
      </c>
      <c r="K169" s="6" t="s">
        <v>179</v>
      </c>
      <c r="L169" s="6"/>
      <c r="M169" s="6"/>
      <c r="N169" s="6"/>
    </row>
    <row r="170" spans="1:14" x14ac:dyDescent="0.25">
      <c r="A170" s="6" t="s">
        <v>191</v>
      </c>
      <c r="B170" s="6" t="str">
        <f>Informações!$C$3</f>
        <v>IMA</v>
      </c>
      <c r="C170" s="6" t="s">
        <v>29</v>
      </c>
      <c r="D170" s="6" t="s">
        <v>207</v>
      </c>
      <c r="E170" s="2" t="s">
        <v>25</v>
      </c>
      <c r="F170" s="6" t="str">
        <f>VLOOKUP(G170,[1]Discrete!$A:$B,2,FALSE)</f>
        <v>50 - SOBRECORRENTE INSTANTANEA FASE</v>
      </c>
      <c r="G170" s="6" t="s">
        <v>416</v>
      </c>
      <c r="H170" s="6" t="str" cm="1">
        <f t="array" ref="H170">_xlfn.IFS(OR(D170="TC",D170="TP",D170="LT"),CONCATENATE(B170,"_",C170,$B$3,"_",C170,$B$3,"_",G170),D170="SECC",CONCATENATE(B170,"_",C170,$B$3,"_",$B$5,"_",G170),D170="SECF",CONCATENATE(B170,"_",C170,$B$3,"_",$B$6,"_",G170),D170="SECT",CONCATENATE(B170,"_",C170,$B$3,"_",$B$7,"_",G170),D170="SECG",CONCATENATE(B170,"_",C170,$B$3,"_",$B$8,"_",G170),D170="DJ",CONCATENATE(B170,"_",C170,$B$3,"_",$B$4,"_",G170),D170="DJ_P",CONCATENATE(B170,"_",C170,$B$3,"_",$B$4,"_P","_",G170),D170="DJ_A",CONCATENATE(B170,"_",C170,$B$3,"_",$B$4,"_A","_",G170),D170="LT_P",CONCATENATE(B170,"_",C170,$B$3,"_",C170,$B$3,"_P","_",G170),D170="LT_A",CONCATENATE(B170,"_",C170,$B$3,"_",C170,$B$3,"_A","_",G170))</f>
        <v>IMA_LT2_LT2_A_50F</v>
      </c>
      <c r="I170" s="6" t="s">
        <v>267</v>
      </c>
      <c r="J170" s="6" t="s">
        <v>182</v>
      </c>
      <c r="K170" s="6" t="s">
        <v>179</v>
      </c>
      <c r="L170" s="6"/>
      <c r="M170" s="6"/>
      <c r="N170" s="6"/>
    </row>
    <row r="171" spans="1:14" x14ac:dyDescent="0.25">
      <c r="A171" s="6" t="s">
        <v>191</v>
      </c>
      <c r="B171" s="6" t="str">
        <f>Informações!$C$3</f>
        <v>IMA</v>
      </c>
      <c r="C171" s="6" t="s">
        <v>29</v>
      </c>
      <c r="D171" s="6" t="s">
        <v>207</v>
      </c>
      <c r="E171" s="2" t="s">
        <v>25</v>
      </c>
      <c r="F171" s="6" t="str">
        <f>VLOOKUP(G171,[1]Discrete!$A:$B,2,FALSE)</f>
        <v>50 - SOBRECORRENTE INSTANTANEA NEUTRO</v>
      </c>
      <c r="G171" s="6" t="s">
        <v>417</v>
      </c>
      <c r="H171" s="6" t="str" cm="1">
        <f t="array" ref="H171">_xlfn.IFS(OR(D171="TC",D171="TP",D171="LT"),CONCATENATE(B171,"_",C171,$B$3,"_",C171,$B$3,"_",G171),D171="SECC",CONCATENATE(B171,"_",C171,$B$3,"_",$B$5,"_",G171),D171="SECF",CONCATENATE(B171,"_",C171,$B$3,"_",$B$6,"_",G171),D171="SECT",CONCATENATE(B171,"_",C171,$B$3,"_",$B$7,"_",G171),D171="SECG",CONCATENATE(B171,"_",C171,$B$3,"_",$B$8,"_",G171),D171="DJ",CONCATENATE(B171,"_",C171,$B$3,"_",$B$4,"_",G171),D171="DJ_P",CONCATENATE(B171,"_",C171,$B$3,"_",$B$4,"_P","_",G171),D171="DJ_A",CONCATENATE(B171,"_",C171,$B$3,"_",$B$4,"_A","_",G171),D171="LT_P",CONCATENATE(B171,"_",C171,$B$3,"_",C171,$B$3,"_P","_",G171),D171="LT_A",CONCATENATE(B171,"_",C171,$B$3,"_",C171,$B$3,"_A","_",G171))</f>
        <v>IMA_LT2_LT2_A_50N</v>
      </c>
      <c r="I171" s="6" t="s">
        <v>267</v>
      </c>
      <c r="J171" s="6" t="s">
        <v>182</v>
      </c>
      <c r="K171" s="6" t="s">
        <v>179</v>
      </c>
      <c r="L171" s="6"/>
      <c r="M171" s="6"/>
      <c r="N171" s="6"/>
    </row>
    <row r="172" spans="1:14" x14ac:dyDescent="0.25">
      <c r="A172" s="6" t="s">
        <v>191</v>
      </c>
      <c r="B172" s="6" t="str">
        <f>Informações!$C$3</f>
        <v>IMA</v>
      </c>
      <c r="C172" s="6" t="s">
        <v>29</v>
      </c>
      <c r="D172" s="6" t="s">
        <v>207</v>
      </c>
      <c r="E172" s="2" t="s">
        <v>25</v>
      </c>
      <c r="F172" s="6" t="str">
        <f>VLOOKUP(G172,[1]Discrete!$A:$B,2,FALSE)</f>
        <v>51 - SOBRECORRENTE TEMPORIZADA FASE E1</v>
      </c>
      <c r="G172" s="6" t="s">
        <v>418</v>
      </c>
      <c r="H172" s="6" t="str" cm="1">
        <f t="array" ref="H172">_xlfn.IFS(OR(D172="TC",D172="TP",D172="LT"),CONCATENATE(B172,"_",C172,$B$3,"_",C172,$B$3,"_",G172),D172="SECC",CONCATENATE(B172,"_",C172,$B$3,"_",$B$5,"_",G172),D172="SECF",CONCATENATE(B172,"_",C172,$B$3,"_",$B$6,"_",G172),D172="SECT",CONCATENATE(B172,"_",C172,$B$3,"_",$B$7,"_",G172),D172="SECG",CONCATENATE(B172,"_",C172,$B$3,"_",$B$8,"_",G172),D172="DJ",CONCATENATE(B172,"_",C172,$B$3,"_",$B$4,"_",G172),D172="DJ_P",CONCATENATE(B172,"_",C172,$B$3,"_",$B$4,"_P","_",G172),D172="DJ_A",CONCATENATE(B172,"_",C172,$B$3,"_",$B$4,"_A","_",G172),D172="LT_P",CONCATENATE(B172,"_",C172,$B$3,"_",C172,$B$3,"_P","_",G172),D172="LT_A",CONCATENATE(B172,"_",C172,$B$3,"_",C172,$B$3,"_A","_",G172))</f>
        <v>IMA_LT2_LT2_A_51F1</v>
      </c>
      <c r="I172" s="6" t="s">
        <v>267</v>
      </c>
      <c r="J172" s="6" t="s">
        <v>182</v>
      </c>
      <c r="K172" s="6" t="s">
        <v>179</v>
      </c>
      <c r="L172" s="6"/>
      <c r="M172" s="6"/>
      <c r="N172" s="6"/>
    </row>
    <row r="173" spans="1:14" x14ac:dyDescent="0.25">
      <c r="A173" s="6" t="s">
        <v>191</v>
      </c>
      <c r="B173" s="6" t="str">
        <f>Informações!$C$3</f>
        <v>IMA</v>
      </c>
      <c r="C173" s="6" t="s">
        <v>29</v>
      </c>
      <c r="D173" s="6" t="s">
        <v>207</v>
      </c>
      <c r="E173" s="2" t="s">
        <v>25</v>
      </c>
      <c r="F173" s="6" t="str">
        <f>VLOOKUP(G173,[1]Discrete!$A:$B,2,FALSE)</f>
        <v>51 - SOBRECORRENTE TEMPORIZADA FASE E2</v>
      </c>
      <c r="G173" s="6" t="s">
        <v>419</v>
      </c>
      <c r="H173" s="6" t="str" cm="1">
        <f t="array" ref="H173">_xlfn.IFS(OR(D173="TC",D173="TP",D173="LT"),CONCATENATE(B173,"_",C173,$B$3,"_",C173,$B$3,"_",G173),D173="SECC",CONCATENATE(B173,"_",C173,$B$3,"_",$B$5,"_",G173),D173="SECF",CONCATENATE(B173,"_",C173,$B$3,"_",$B$6,"_",G173),D173="SECT",CONCATENATE(B173,"_",C173,$B$3,"_",$B$7,"_",G173),D173="SECG",CONCATENATE(B173,"_",C173,$B$3,"_",$B$8,"_",G173),D173="DJ",CONCATENATE(B173,"_",C173,$B$3,"_",$B$4,"_",G173),D173="DJ_P",CONCATENATE(B173,"_",C173,$B$3,"_",$B$4,"_P","_",G173),D173="DJ_A",CONCATENATE(B173,"_",C173,$B$3,"_",$B$4,"_A","_",G173),D173="LT_P",CONCATENATE(B173,"_",C173,$B$3,"_",C173,$B$3,"_P","_",G173),D173="LT_A",CONCATENATE(B173,"_",C173,$B$3,"_",C173,$B$3,"_A","_",G173))</f>
        <v>IMA_LT2_LT2_A_51F2</v>
      </c>
      <c r="I173" s="6" t="s">
        <v>267</v>
      </c>
      <c r="J173" s="6" t="s">
        <v>182</v>
      </c>
      <c r="K173" s="6" t="s">
        <v>179</v>
      </c>
      <c r="L173" s="6"/>
      <c r="M173" s="6"/>
      <c r="N173" s="6"/>
    </row>
    <row r="174" spans="1:14" x14ac:dyDescent="0.25">
      <c r="A174" s="6" t="s">
        <v>191</v>
      </c>
      <c r="B174" s="6" t="str">
        <f>Informações!$C$3</f>
        <v>IMA</v>
      </c>
      <c r="C174" s="6" t="s">
        <v>29</v>
      </c>
      <c r="D174" s="6" t="s">
        <v>207</v>
      </c>
      <c r="E174" s="2" t="s">
        <v>25</v>
      </c>
      <c r="F174" s="6" t="str">
        <f>VLOOKUP(G174,[1]Discrete!$A:$B,2,FALSE)</f>
        <v>51 - SOBRECORRENTE TEMPORIZADA NEUTRO E1</v>
      </c>
      <c r="G174" s="6" t="s">
        <v>111</v>
      </c>
      <c r="H174" s="6" t="str" cm="1">
        <f t="array" ref="H174">_xlfn.IFS(OR(D174="TC",D174="TP",D174="LT"),CONCATENATE(B174,"_",C174,$B$3,"_",C174,$B$3,"_",G174),D174="SECC",CONCATENATE(B174,"_",C174,$B$3,"_",$B$5,"_",G174),D174="SECF",CONCATENATE(B174,"_",C174,$B$3,"_",$B$6,"_",G174),D174="SECT",CONCATENATE(B174,"_",C174,$B$3,"_",$B$7,"_",G174),D174="SECG",CONCATENATE(B174,"_",C174,$B$3,"_",$B$8,"_",G174),D174="DJ",CONCATENATE(B174,"_",C174,$B$3,"_",$B$4,"_",G174),D174="DJ_P",CONCATENATE(B174,"_",C174,$B$3,"_",$B$4,"_P","_",G174),D174="DJ_A",CONCATENATE(B174,"_",C174,$B$3,"_",$B$4,"_A","_",G174),D174="LT_P",CONCATENATE(B174,"_",C174,$B$3,"_",C174,$B$3,"_P","_",G174),D174="LT_A",CONCATENATE(B174,"_",C174,$B$3,"_",C174,$B$3,"_A","_",G174))</f>
        <v>IMA_LT2_LT2_A_51N1</v>
      </c>
      <c r="I174" s="6" t="s">
        <v>267</v>
      </c>
      <c r="J174" s="6" t="s">
        <v>182</v>
      </c>
      <c r="K174" s="6" t="s">
        <v>179</v>
      </c>
      <c r="L174" s="6"/>
      <c r="M174" s="6"/>
      <c r="N174" s="6"/>
    </row>
    <row r="175" spans="1:14" x14ac:dyDescent="0.25">
      <c r="A175" s="6" t="s">
        <v>191</v>
      </c>
      <c r="B175" s="6" t="str">
        <f>Informações!$C$3</f>
        <v>IMA</v>
      </c>
      <c r="C175" s="6" t="s">
        <v>29</v>
      </c>
      <c r="D175" s="6" t="s">
        <v>207</v>
      </c>
      <c r="E175" s="2" t="s">
        <v>25</v>
      </c>
      <c r="F175" s="6" t="str">
        <f>VLOOKUP(G175,[1]Discrete!$A:$B,2,FALSE)</f>
        <v>51 - SOBRECORRENTE TEMPORIZADA NEUTRO E2</v>
      </c>
      <c r="G175" s="6" t="s">
        <v>415</v>
      </c>
      <c r="H175" s="6" t="str" cm="1">
        <f t="array" ref="H175">_xlfn.IFS(OR(D175="TC",D175="TP",D175="LT"),CONCATENATE(B175,"_",C175,$B$3,"_",C175,$B$3,"_",G175),D175="SECC",CONCATENATE(B175,"_",C175,$B$3,"_",$B$5,"_",G175),D175="SECF",CONCATENATE(B175,"_",C175,$B$3,"_",$B$6,"_",G175),D175="SECT",CONCATENATE(B175,"_",C175,$B$3,"_",$B$7,"_",G175),D175="SECG",CONCATENATE(B175,"_",C175,$B$3,"_",$B$8,"_",G175),D175="DJ",CONCATENATE(B175,"_",C175,$B$3,"_",$B$4,"_",G175),D175="DJ_P",CONCATENATE(B175,"_",C175,$B$3,"_",$B$4,"_P","_",G175),D175="DJ_A",CONCATENATE(B175,"_",C175,$B$3,"_",$B$4,"_A","_",G175),D175="LT_P",CONCATENATE(B175,"_",C175,$B$3,"_",C175,$B$3,"_P","_",G175),D175="LT_A",CONCATENATE(B175,"_",C175,$B$3,"_",C175,$B$3,"_A","_",G175))</f>
        <v>IMA_LT2_LT2_A_51N2</v>
      </c>
      <c r="I175" s="6" t="s">
        <v>267</v>
      </c>
      <c r="J175" s="6" t="s">
        <v>182</v>
      </c>
      <c r="K175" s="6" t="s">
        <v>179</v>
      </c>
      <c r="L175" s="6"/>
      <c r="M175" s="6"/>
      <c r="N175" s="6"/>
    </row>
    <row r="176" spans="1:14" x14ac:dyDescent="0.25">
      <c r="A176" s="6" t="s">
        <v>191</v>
      </c>
      <c r="B176" s="6" t="str">
        <f>Informações!$C$3</f>
        <v>IMA</v>
      </c>
      <c r="C176" s="6" t="s">
        <v>29</v>
      </c>
      <c r="D176" s="6" t="s">
        <v>207</v>
      </c>
      <c r="E176" s="2" t="s">
        <v>25</v>
      </c>
      <c r="F176" s="6" t="str">
        <f>VLOOKUP(G176,[1]Discrete!$A:$B,2,FALSE)</f>
        <v>51 - SOBRECORRENTE TEMPORIZADA FASE</v>
      </c>
      <c r="G176" s="6" t="s">
        <v>98</v>
      </c>
      <c r="H176" s="6" t="str" cm="1">
        <f t="array" ref="H176">_xlfn.IFS(OR(D176="TC",D176="TP",D176="LT"),CONCATENATE(B176,"_",C176,$B$3,"_",C176,$B$3,"_",G176),D176="SECC",CONCATENATE(B176,"_",C176,$B$3,"_",$B$5,"_",G176),D176="SECF",CONCATENATE(B176,"_",C176,$B$3,"_",$B$6,"_",G176),D176="SECT",CONCATENATE(B176,"_",C176,$B$3,"_",$B$7,"_",G176),D176="SECG",CONCATENATE(B176,"_",C176,$B$3,"_",$B$8,"_",G176),D176="DJ",CONCATENATE(B176,"_",C176,$B$3,"_",$B$4,"_",G176),D176="DJ_P",CONCATENATE(B176,"_",C176,$B$3,"_",$B$4,"_P","_",G176),D176="DJ_A",CONCATENATE(B176,"_",C176,$B$3,"_",$B$4,"_A","_",G176),D176="LT_P",CONCATENATE(B176,"_",C176,$B$3,"_",C176,$B$3,"_P","_",G176),D176="LT_A",CONCATENATE(B176,"_",C176,$B$3,"_",C176,$B$3,"_A","_",G176))</f>
        <v>IMA_LT2_LT2_A_51F</v>
      </c>
      <c r="I176" s="6" t="s">
        <v>267</v>
      </c>
      <c r="J176" s="6" t="s">
        <v>182</v>
      </c>
      <c r="K176" s="6" t="s">
        <v>179</v>
      </c>
      <c r="L176" s="6"/>
      <c r="M176" s="6"/>
      <c r="N176" s="6"/>
    </row>
    <row r="177" spans="1:14" x14ac:dyDescent="0.25">
      <c r="A177" s="6" t="s">
        <v>191</v>
      </c>
      <c r="B177" s="6" t="str">
        <f>Informações!$C$3</f>
        <v>IMA</v>
      </c>
      <c r="C177" s="6" t="s">
        <v>29</v>
      </c>
      <c r="D177" s="6" t="s">
        <v>207</v>
      </c>
      <c r="E177" s="2" t="s">
        <v>25</v>
      </c>
      <c r="F177" s="6" t="str">
        <f>VLOOKUP(G177,[1]Discrete!$A:$B,2,FALSE)</f>
        <v>51 - FUNCAO SOBRECORRENTE TEMPORIZADA NEUTRO</v>
      </c>
      <c r="G177" s="6" t="s">
        <v>35</v>
      </c>
      <c r="H177" s="6" t="str" cm="1">
        <f t="array" ref="H177">_xlfn.IFS(OR(D177="TC",D177="TP",D177="LT"),CONCATENATE(B177,"_",C177,$B$3,"_",C177,$B$3,"_",G177),D177="SECC",CONCATENATE(B177,"_",C177,$B$3,"_",$B$5,"_",G177),D177="SECF",CONCATENATE(B177,"_",C177,$B$3,"_",$B$6,"_",G177),D177="SECT",CONCATENATE(B177,"_",C177,$B$3,"_",$B$7,"_",G177),D177="SECG",CONCATENATE(B177,"_",C177,$B$3,"_",$B$8,"_",G177),D177="DJ",CONCATENATE(B177,"_",C177,$B$3,"_",$B$4,"_",G177),D177="DJ_P",CONCATENATE(B177,"_",C177,$B$3,"_",$B$4,"_P","_",G177),D177="DJ_A",CONCATENATE(B177,"_",C177,$B$3,"_",$B$4,"_A","_",G177),D177="LT_P",CONCATENATE(B177,"_",C177,$B$3,"_",C177,$B$3,"_P","_",G177),D177="LT_A",CONCATENATE(B177,"_",C177,$B$3,"_",C177,$B$3,"_A","_",G177))</f>
        <v>IMA_LT2_LT2_A_51N</v>
      </c>
      <c r="I177" s="6" t="s">
        <v>267</v>
      </c>
      <c r="J177" s="6" t="s">
        <v>182</v>
      </c>
      <c r="K177" s="6" t="s">
        <v>179</v>
      </c>
      <c r="L177" s="6"/>
      <c r="M177" s="6"/>
      <c r="N177" s="6"/>
    </row>
    <row r="178" spans="1:14" x14ac:dyDescent="0.25">
      <c r="A178" s="6" t="s">
        <v>191</v>
      </c>
      <c r="B178" s="6" t="str">
        <f>Informações!$C$3</f>
        <v>IMA</v>
      </c>
      <c r="C178" s="6" t="s">
        <v>29</v>
      </c>
      <c r="D178" s="6" t="s">
        <v>206</v>
      </c>
      <c r="E178" s="2" t="s">
        <v>25</v>
      </c>
      <c r="F178" s="6" t="str">
        <f>VLOOKUP(G178,[1]Discrete!$A:$B,2,FALSE)</f>
        <v>FALHA IRIG B - SINCRONISMO</v>
      </c>
      <c r="G178" s="6" t="s">
        <v>148</v>
      </c>
      <c r="H178" s="6" t="str" cm="1">
        <f t="array" ref="H178">_xlfn.IFS(OR(D178="TC",D178="TP",D178="LT"),CONCATENATE(B178,"_",C178,$B$3,"_",C178,$B$3,"_",G178),D178="SECC",CONCATENATE(B178,"_",C178,$B$3,"_",$B$5,"_",G178),D178="SECF",CONCATENATE(B178,"_",C178,$B$3,"_",$B$6,"_",G178),D178="SECT",CONCATENATE(B178,"_",C178,$B$3,"_",$B$7,"_",G178),D178="SECG",CONCATENATE(B178,"_",C178,$B$3,"_",$B$8,"_",G178),D178="DJ",CONCATENATE(B178,"_",C178,$B$3,"_",$B$4,"_",G178),D178="DJ_P",CONCATENATE(B178,"_",C178,$B$3,"_",$B$4,"_P","_",G178),D178="DJ_A",CONCATENATE(B178,"_",C178,$B$3,"_",$B$4,"_A","_",G178),D178="LT_P",CONCATENATE(B178,"_",C178,$B$3,"_",C178,$B$3,"_P","_",G178),D178="LT_A",CONCATENATE(B178,"_",C178,$B$3,"_",C178,$B$3,"_A","_",G178))</f>
        <v>IMA_LT2_LT2_P_FSIN</v>
      </c>
      <c r="I178" s="6" t="s">
        <v>267</v>
      </c>
      <c r="J178" s="6" t="s">
        <v>182</v>
      </c>
      <c r="K178" s="6" t="s">
        <v>180</v>
      </c>
      <c r="L178" s="6" t="s">
        <v>188</v>
      </c>
      <c r="M178" s="6" t="s">
        <v>188</v>
      </c>
      <c r="N178" s="6"/>
    </row>
    <row r="179" spans="1:14" x14ac:dyDescent="0.25">
      <c r="A179" s="6" t="s">
        <v>191</v>
      </c>
      <c r="B179" s="6" t="str">
        <f>Informações!$C$3</f>
        <v>IMA</v>
      </c>
      <c r="C179" s="6" t="s">
        <v>29</v>
      </c>
      <c r="D179" s="6" t="s">
        <v>207</v>
      </c>
      <c r="E179" s="2" t="s">
        <v>25</v>
      </c>
      <c r="F179" s="6" t="str">
        <f>VLOOKUP(G179,[1]Discrete!$A:$B,2,FALSE)</f>
        <v>FALHA IRIG B - SINCRONISMO</v>
      </c>
      <c r="G179" s="6" t="s">
        <v>148</v>
      </c>
      <c r="H179" s="6" t="str" cm="1">
        <f t="array" ref="H179">_xlfn.IFS(OR(D179="TC",D179="TP",D179="LT"),CONCATENATE(B179,"_",C179,$B$3,"_",C179,$B$3,"_",G179),D179="SECC",CONCATENATE(B179,"_",C179,$B$3,"_",$B$5,"_",G179),D179="SECF",CONCATENATE(B179,"_",C179,$B$3,"_",$B$6,"_",G179),D179="SECT",CONCATENATE(B179,"_",C179,$B$3,"_",$B$7,"_",G179),D179="SECG",CONCATENATE(B179,"_",C179,$B$3,"_",$B$8,"_",G179),D179="DJ",CONCATENATE(B179,"_",C179,$B$3,"_",$B$4,"_",G179),D179="DJ_P",CONCATENATE(B179,"_",C179,$B$3,"_",$B$4,"_P","_",G179),D179="DJ_A",CONCATENATE(B179,"_",C179,$B$3,"_",$B$4,"_A","_",G179),D179="LT_P",CONCATENATE(B179,"_",C179,$B$3,"_",C179,$B$3,"_P","_",G179),D179="LT_A",CONCATENATE(B179,"_",C179,$B$3,"_",C179,$B$3,"_A","_",G179))</f>
        <v>IMA_LT2_LT2_A_FSIN</v>
      </c>
      <c r="I179" s="6" t="s">
        <v>267</v>
      </c>
      <c r="J179" s="6" t="s">
        <v>182</v>
      </c>
      <c r="K179" s="6" t="s">
        <v>180</v>
      </c>
      <c r="L179" s="6" t="s">
        <v>188</v>
      </c>
      <c r="M179" s="6" t="s">
        <v>188</v>
      </c>
      <c r="N179" s="6"/>
    </row>
    <row r="181" spans="1:14" x14ac:dyDescent="0.25">
      <c r="A181" s="108" t="s">
        <v>215</v>
      </c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</row>
    <row r="182" spans="1:14" ht="30" x14ac:dyDescent="0.25">
      <c r="A182" s="3" t="s">
        <v>189</v>
      </c>
      <c r="B182" s="3" t="s">
        <v>1</v>
      </c>
      <c r="C182" s="3" t="s">
        <v>83</v>
      </c>
      <c r="D182" s="3" t="s">
        <v>26</v>
      </c>
      <c r="E182" s="3" t="s">
        <v>7</v>
      </c>
      <c r="F182" s="3" t="s">
        <v>84</v>
      </c>
      <c r="G182" s="3" t="s">
        <v>85</v>
      </c>
      <c r="H182" s="3" t="s">
        <v>86</v>
      </c>
      <c r="I182" s="3" t="s">
        <v>254</v>
      </c>
      <c r="J182" s="3" t="s">
        <v>177</v>
      </c>
      <c r="K182" s="3" t="s">
        <v>178</v>
      </c>
      <c r="L182" s="3" t="s">
        <v>260</v>
      </c>
      <c r="M182" s="3" t="s">
        <v>266</v>
      </c>
      <c r="N182" s="3" t="s">
        <v>192</v>
      </c>
    </row>
    <row r="183" spans="1:14" x14ac:dyDescent="0.25">
      <c r="A183" s="6" t="s">
        <v>191</v>
      </c>
      <c r="B183" s="6" t="str">
        <f>Informações!$C$3</f>
        <v>IMA</v>
      </c>
      <c r="C183" s="6" t="s">
        <v>29</v>
      </c>
      <c r="D183" s="6" t="s">
        <v>29</v>
      </c>
      <c r="E183" s="6" t="s">
        <v>25</v>
      </c>
      <c r="F183" s="6" t="s">
        <v>237</v>
      </c>
      <c r="G183" s="6" t="s">
        <v>202</v>
      </c>
      <c r="H183" s="6" t="str" cm="1">
        <f t="array" ref="H183">_xlfn.IFS(OR(D183="TC",D183="TP",D183="LT"),CONCATENATE(B183,"_",C183,$B$3,"_",C183,$B$3,"_",G183),D183="SECC",CONCATENATE(B183,"_",C183,$B$3,"_",$B$5,"_",G183),D183="SECF",CONCATENATE(B183,"_",C183,$B$3,"_",$B$6,"_",G183),D183="SECT",CONCATENATE(B183,"_",C183,$B$3,"_",$B$7,"_",G183),D183="SECG",CONCATENATE(B183,"_",C183,$B$3,"_",$B$8,"_",G183),D183="DJ",CONCATENATE(B183,"_",C183,$B$3,"_",$B$4,"_",G183),D183="DJ_P",CONCATENATE(B183,"_",C183,$B$3,"_",$B$4,"_P","_",G183),D183="DJ_A",CONCATENATE(B183,"_",C183,$B$3,"_",$B$4,"_A","_",G183),D183="LT_P",CONCATENATE(B183,"_",C183,$B$3,"_",C183,$B$3,"_P","_",G183),D183="LT_A",CONCATENATE(B183,"_",C183,$B$3,"_",C183,$B$3,"_A","_",G183))</f>
        <v>IMA_LT2_LT2_ETH</v>
      </c>
      <c r="I183" s="6" t="s">
        <v>267</v>
      </c>
      <c r="J183" s="6" t="s">
        <v>182</v>
      </c>
      <c r="K183" s="6" t="s">
        <v>180</v>
      </c>
      <c r="L183" s="6" t="s">
        <v>188</v>
      </c>
      <c r="M183" s="6" t="s">
        <v>188</v>
      </c>
      <c r="N183" s="6"/>
    </row>
    <row r="184" spans="1:14" x14ac:dyDescent="0.25">
      <c r="A184" s="6" t="s">
        <v>191</v>
      </c>
      <c r="B184" s="6" t="str">
        <f>Informações!$C$3</f>
        <v>IMA</v>
      </c>
      <c r="C184" s="6" t="s">
        <v>29</v>
      </c>
      <c r="D184" s="6" t="s">
        <v>206</v>
      </c>
      <c r="E184" s="6" t="s">
        <v>25</v>
      </c>
      <c r="F184" s="6" t="s">
        <v>238</v>
      </c>
      <c r="G184" s="6" t="s">
        <v>239</v>
      </c>
      <c r="H184" s="6" t="str" cm="1">
        <f t="array" ref="H184">_xlfn.IFS(OR(D184="TC",D184="TP",D184="LT"),CONCATENATE(B184,"_",C184,$B$3,"_",C184,$B$3,"_",G184),D184="SECC",CONCATENATE(B184,"_",C184,$B$3,"_",$B$5,"_",G184),D184="SECF",CONCATENATE(B184,"_",C184,$B$3,"_",$B$6,"_",G184),D184="SECT",CONCATENATE(B184,"_",C184,$B$3,"_",$B$7,"_",G184),D184="SECG",CONCATENATE(B184,"_",C184,$B$3,"_",$B$8,"_",G184),D184="DJ",CONCATENATE(B184,"_",C184,$B$3,"_",$B$4,"_",G184),D184="DJ_P",CONCATENATE(B184,"_",C184,$B$3,"_",$B$4,"_P","_",G184),D184="DJ_A",CONCATENATE(B184,"_",C184,$B$3,"_",$B$4,"_A","_",G184),D184="LT_P",CONCATENATE(B184,"_",C184,$B$3,"_",C184,$B$3,"_P","_",G184),D184="LT_A",CONCATENATE(B184,"_",C184,$B$3,"_",C184,$B$3,"_A","_",G184))</f>
        <v>IMA_LT2_LT2_P_FGOO</v>
      </c>
      <c r="I184" s="6" t="s">
        <v>267</v>
      </c>
      <c r="J184" s="6" t="s">
        <v>182</v>
      </c>
      <c r="K184" s="6" t="s">
        <v>180</v>
      </c>
      <c r="L184" s="6" t="s">
        <v>188</v>
      </c>
      <c r="M184" s="6" t="s">
        <v>188</v>
      </c>
      <c r="N184" s="6"/>
    </row>
    <row r="185" spans="1:14" x14ac:dyDescent="0.25">
      <c r="A185" s="6" t="s">
        <v>191</v>
      </c>
      <c r="B185" s="6" t="str">
        <f>Informações!$C$3</f>
        <v>IMA</v>
      </c>
      <c r="C185" s="6" t="s">
        <v>29</v>
      </c>
      <c r="D185" s="6" t="s">
        <v>207</v>
      </c>
      <c r="E185" s="6" t="s">
        <v>25</v>
      </c>
      <c r="F185" s="6" t="s">
        <v>238</v>
      </c>
      <c r="G185" s="6" t="s">
        <v>239</v>
      </c>
      <c r="H185" s="6" t="str" cm="1">
        <f t="array" ref="H185">_xlfn.IFS(OR(D185="TC",D185="TP",D185="LT"),CONCATENATE(B185,"_",C185,$B$3,"_",C185,$B$3,"_",G185),D185="SECC",CONCATENATE(B185,"_",C185,$B$3,"_",$B$5,"_",G185),D185="SECF",CONCATENATE(B185,"_",C185,$B$3,"_",$B$6,"_",G185),D185="SECT",CONCATENATE(B185,"_",C185,$B$3,"_",$B$7,"_",G185),D185="SECG",CONCATENATE(B185,"_",C185,$B$3,"_",$B$8,"_",G185),D185="DJ",CONCATENATE(B185,"_",C185,$B$3,"_",$B$4,"_",G185),D185="DJ_P",CONCATENATE(B185,"_",C185,$B$3,"_",$B$4,"_P","_",G185),D185="DJ_A",CONCATENATE(B185,"_",C185,$B$3,"_",$B$4,"_A","_",G185),D185="LT_P",CONCATENATE(B185,"_",C185,$B$3,"_",C185,$B$3,"_P","_",G185),D185="LT_A",CONCATENATE(B185,"_",C185,$B$3,"_",C185,$B$3,"_A","_",G185))</f>
        <v>IMA_LT2_LT2_A_FGOO</v>
      </c>
      <c r="I185" s="6" t="s">
        <v>267</v>
      </c>
      <c r="J185" s="6" t="s">
        <v>182</v>
      </c>
      <c r="K185" s="6" t="s">
        <v>180</v>
      </c>
      <c r="L185" s="6" t="s">
        <v>188</v>
      </c>
      <c r="M185" s="6" t="s">
        <v>188</v>
      </c>
      <c r="N185" s="6"/>
    </row>
    <row r="187" spans="1:14" x14ac:dyDescent="0.25">
      <c r="A187" s="116" t="s">
        <v>214</v>
      </c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8"/>
    </row>
    <row r="188" spans="1:14" ht="30" x14ac:dyDescent="0.25">
      <c r="A188" s="3" t="s">
        <v>189</v>
      </c>
      <c r="B188" s="3" t="s">
        <v>1</v>
      </c>
      <c r="C188" s="3" t="s">
        <v>83</v>
      </c>
      <c r="D188" s="3" t="s">
        <v>26</v>
      </c>
      <c r="E188" s="3" t="s">
        <v>7</v>
      </c>
      <c r="F188" s="3" t="s">
        <v>84</v>
      </c>
      <c r="G188" s="3" t="s">
        <v>85</v>
      </c>
      <c r="H188" s="3" t="s">
        <v>86</v>
      </c>
      <c r="I188" s="3" t="s">
        <v>254</v>
      </c>
      <c r="J188" s="3" t="s">
        <v>177</v>
      </c>
      <c r="K188" s="3" t="s">
        <v>178</v>
      </c>
      <c r="L188" s="3" t="s">
        <v>260</v>
      </c>
      <c r="M188" s="3" t="s">
        <v>266</v>
      </c>
      <c r="N188" s="3" t="s">
        <v>192</v>
      </c>
    </row>
    <row r="189" spans="1:14" x14ac:dyDescent="0.25">
      <c r="A189" s="6" t="s">
        <v>191</v>
      </c>
      <c r="B189" s="6" t="str">
        <f>Informações!$C$3</f>
        <v>IMA</v>
      </c>
      <c r="C189" s="6" t="s">
        <v>29</v>
      </c>
      <c r="D189" s="6" t="s">
        <v>30</v>
      </c>
      <c r="E189" s="2" t="s">
        <v>24</v>
      </c>
      <c r="F189" s="6" t="s">
        <v>217</v>
      </c>
      <c r="G189" s="6" t="s">
        <v>196</v>
      </c>
      <c r="H189" s="6" t="str" cm="1">
        <f t="array" ref="H189">_xlfn.IFS(OR(D189="TC",D189="TP",D189="LT"),CONCATENATE(B189,"_",C189,$B$3,"_",C189,$B$3,"_",G189),D189="SECC",CONCATENATE(B189,"_",C189,$B$3,"_",$B$5,"_",G189),D189="SECF",CONCATENATE(B189,"_",C189,$B$3,"_",$B$6,"_",G189),D189="SECT",CONCATENATE(B189,"_",C189,$B$3,"_",$B$7,"_",G189),D189="SECG",CONCATENATE(B189,"_",C189,$B$3,"_",$B$8,"_",G189),D189="DJ",CONCATENATE(B189,"_",C189,$B$3,"_",$B$4,"_",G189),D189="DJ_P",CONCATENATE(B189,"_",C189,$B$3,"_",$B$4,"_P","_",G189),D189="DJ_A",CONCATENATE(B189,"_",C189,$B$3,"_",$B$4,"_A","_",G189),D189="LT_P",CONCATENATE(B189,"_",C189,$B$3,"_",C189,$B$3,"_P","_",G189),D189="LT_A",CONCATENATE(B189,"_",C189,$B$3,"_",C189,$B$3,"_A","_",G189))</f>
        <v>IMA_LT2_52-2_TAL</v>
      </c>
      <c r="I189" s="6" t="s">
        <v>188</v>
      </c>
      <c r="J189" s="6" t="s">
        <v>188</v>
      </c>
      <c r="K189" s="6" t="s">
        <v>188</v>
      </c>
      <c r="L189" s="6" t="s">
        <v>188</v>
      </c>
      <c r="M189" s="6" t="s">
        <v>280</v>
      </c>
      <c r="N189" s="6"/>
    </row>
    <row r="190" spans="1:14" x14ac:dyDescent="0.25">
      <c r="A190" s="6" t="s">
        <v>191</v>
      </c>
      <c r="B190" s="6" t="str">
        <f>Informações!$C$3</f>
        <v>IMA</v>
      </c>
      <c r="C190" s="6" t="s">
        <v>29</v>
      </c>
      <c r="D190" s="6" t="s">
        <v>30</v>
      </c>
      <c r="E190" s="2" t="s">
        <v>24</v>
      </c>
      <c r="F190" s="6" t="s">
        <v>216</v>
      </c>
      <c r="G190" s="6" t="s">
        <v>197</v>
      </c>
      <c r="H190" s="6" t="str" cm="1">
        <f t="array" ref="H190">_xlfn.IFS(OR(D190="TC",D190="TP",D190="LT"),CONCATENATE(B190,"_",C190,$B$3,"_",C190,$B$3,"_",G190),D190="SECC",CONCATENATE(B190,"_",C190,$B$3,"_",$B$5,"_",G190),D190="SECF",CONCATENATE(B190,"_",C190,$B$3,"_",$B$6,"_",G190),D190="SECT",CONCATENATE(B190,"_",C190,$B$3,"_",$B$7,"_",G190),D190="SECG",CONCATENATE(B190,"_",C190,$B$3,"_",$B$8,"_",G190),D190="DJ",CONCATENATE(B190,"_",C190,$B$3,"_",$B$4,"_",G190),D190="DJ_P",CONCATENATE(B190,"_",C190,$B$3,"_",$B$4,"_P","_",G190),D190="DJ_A",CONCATENATE(B190,"_",C190,$B$3,"_",$B$4,"_A","_",G190),D190="LT_P",CONCATENATE(B190,"_",C190,$B$3,"_",C190,$B$3,"_P","_",G190),D190="LT_A",CONCATENATE(B190,"_",C190,$B$3,"_",C190,$B$3,"_A","_",G190))</f>
        <v>IMA_LT2_52-2_TPPM</v>
      </c>
      <c r="I190" s="6" t="s">
        <v>188</v>
      </c>
      <c r="J190" s="6" t="s">
        <v>188</v>
      </c>
      <c r="K190" s="6" t="s">
        <v>188</v>
      </c>
      <c r="L190" s="6" t="s">
        <v>188</v>
      </c>
      <c r="M190" s="6" t="s">
        <v>280</v>
      </c>
      <c r="N190" s="6"/>
    </row>
    <row r="191" spans="1:14" x14ac:dyDescent="0.25">
      <c r="A191" s="6" t="s">
        <v>191</v>
      </c>
      <c r="B191" s="6" t="str">
        <f>Informações!$C$3</f>
        <v>IMA</v>
      </c>
      <c r="C191" s="6" t="s">
        <v>29</v>
      </c>
      <c r="D191" s="6" t="s">
        <v>30</v>
      </c>
      <c r="E191" s="2" t="s">
        <v>24</v>
      </c>
      <c r="F191" s="6" t="s">
        <v>227</v>
      </c>
      <c r="G191" s="6" t="s">
        <v>201</v>
      </c>
      <c r="H191" s="6" t="str" cm="1">
        <f t="array" ref="H191">_xlfn.IFS(OR(D191="TC",D191="TP",D191="LT"),CONCATENATE(B191,"_",C191,$B$3,"_",C191,$B$3,"_",G191),D191="SECC",CONCATENATE(B191,"_",C191,$B$3,"_",$B$5,"_",G191),D191="SECF",CONCATENATE(B191,"_",C191,$B$3,"_",$B$6,"_",G191),D191="SECT",CONCATENATE(B191,"_",C191,$B$3,"_",$B$7,"_",G191),D191="SECG",CONCATENATE(B191,"_",C191,$B$3,"_",$B$8,"_",G191),D191="DJ",CONCATENATE(B191,"_",C191,$B$3,"_",$B$4,"_",G191),D191="DJ_P",CONCATENATE(B191,"_",C191,$B$3,"_",$B$4,"_P","_",G191),D191="DJ_A",CONCATENATE(B191,"_",C191,$B$3,"_",$B$4,"_A","_",G191),D191="LT_P",CONCATENATE(B191,"_",C191,$B$3,"_",C191,$B$3,"_P","_",G191),D191="LT_A",CONCATENATE(B191,"_",C191,$B$3,"_",C191,$B$3,"_A","_",G191))</f>
        <v>IMA_LT2_52-2_81A</v>
      </c>
      <c r="I191" s="6" t="s">
        <v>188</v>
      </c>
      <c r="J191" s="6" t="s">
        <v>188</v>
      </c>
      <c r="K191" s="6" t="s">
        <v>188</v>
      </c>
      <c r="L191" s="6" t="s">
        <v>188</v>
      </c>
      <c r="M191" s="6" t="s">
        <v>280</v>
      </c>
      <c r="N191" s="6"/>
    </row>
    <row r="192" spans="1:14" x14ac:dyDescent="0.25">
      <c r="A192" s="6" t="s">
        <v>191</v>
      </c>
      <c r="B192" s="6" t="str">
        <f>Informações!$C$3</f>
        <v>IMA</v>
      </c>
      <c r="C192" s="6" t="s">
        <v>29</v>
      </c>
      <c r="D192" s="6" t="s">
        <v>30</v>
      </c>
      <c r="E192" s="2" t="s">
        <v>25</v>
      </c>
      <c r="F192" s="6" t="s">
        <v>217</v>
      </c>
      <c r="G192" s="6" t="s">
        <v>196</v>
      </c>
      <c r="H192" s="6" t="str" cm="1">
        <f t="array" ref="H192">_xlfn.IFS(OR(D192="TC",D192="TP",D192="LT"),CONCATENATE(B192,"_",C192,$B$3,"_",C192,$B$3,"_",G192),D192="SECC",CONCATENATE(B192,"_",C192,$B$3,"_",$B$5,"_",G192),D192="SECF",CONCATENATE(B192,"_",C192,$B$3,"_",$B$6,"_",G192),D192="SECT",CONCATENATE(B192,"_",C192,$B$3,"_",$B$7,"_",G192),D192="SECG",CONCATENATE(B192,"_",C192,$B$3,"_",$B$8,"_",G192),D192="DJ",CONCATENATE(B192,"_",C192,$B$3,"_",$B$4,"_",G192),D192="DJ_P",CONCATENATE(B192,"_",C192,$B$3,"_",$B$4,"_P","_",G192),D192="DJ_A",CONCATENATE(B192,"_",C192,$B$3,"_",$B$4,"_A","_",G192),D192="LT_P",CONCATENATE(B192,"_",C192,$B$3,"_",C192,$B$3,"_P","_",G192),D192="LT_A",CONCATENATE(B192,"_",C192,$B$3,"_",C192,$B$3,"_A","_",G192))</f>
        <v>IMA_LT2_52-2_TAL</v>
      </c>
      <c r="I192" s="6" t="s">
        <v>267</v>
      </c>
      <c r="J192" s="6" t="s">
        <v>183</v>
      </c>
      <c r="K192" s="6" t="s">
        <v>184</v>
      </c>
      <c r="L192" s="6" t="s">
        <v>188</v>
      </c>
      <c r="M192" s="6" t="s">
        <v>188</v>
      </c>
      <c r="N192" s="6"/>
    </row>
    <row r="193" spans="1:14" x14ac:dyDescent="0.25">
      <c r="A193" s="6" t="s">
        <v>191</v>
      </c>
      <c r="B193" s="6" t="str">
        <f>Informações!$C$3</f>
        <v>IMA</v>
      </c>
      <c r="C193" s="6" t="s">
        <v>29</v>
      </c>
      <c r="D193" s="6" t="s">
        <v>30</v>
      </c>
      <c r="E193" s="2" t="s">
        <v>25</v>
      </c>
      <c r="F193" s="6" t="s">
        <v>218</v>
      </c>
      <c r="G193" s="6" t="s">
        <v>234</v>
      </c>
      <c r="H193" s="6" t="str" cm="1">
        <f t="array" ref="H193">_xlfn.IFS(OR(D193="TC",D193="TP",D193="LT"),CONCATENATE(B193,"_",C193,$B$3,"_",C193,$B$3,"_",G193),D193="SECC",CONCATENATE(B193,"_",C193,$B$3,"_",$B$5,"_",G193),D193="SECF",CONCATENATE(B193,"_",C193,$B$3,"_",$B$6,"_",G193),D193="SECT",CONCATENATE(B193,"_",C193,$B$3,"_",$B$7,"_",G193),D193="SECG",CONCATENATE(B193,"_",C193,$B$3,"_",$B$8,"_",G193),D193="DJ",CONCATENATE(B193,"_",C193,$B$3,"_",$B$4,"_",G193),D193="DJ_P",CONCATENATE(B193,"_",C193,$B$3,"_",$B$4,"_P","_",G193),D193="DJ_A",CONCATENATE(B193,"_",C193,$B$3,"_",$B$4,"_A","_",G193),D193="LT_P",CONCATENATE(B193,"_",C193,$B$3,"_",C193,$B$3,"_P","_",G193),D193="LT_A",CONCATENATE(B193,"_",C193,$B$3,"_",C193,$B$3,"_A","_",G193))</f>
        <v>IMA_LT2_52-2_TALS</v>
      </c>
      <c r="I193" s="6" t="s">
        <v>267</v>
      </c>
      <c r="J193" s="6" t="s">
        <v>182</v>
      </c>
      <c r="K193" s="6" t="s">
        <v>179</v>
      </c>
      <c r="L193" s="6" t="s">
        <v>188</v>
      </c>
      <c r="M193" s="6" t="s">
        <v>188</v>
      </c>
      <c r="N193" s="6"/>
    </row>
    <row r="194" spans="1:14" x14ac:dyDescent="0.25">
      <c r="A194" s="6" t="s">
        <v>191</v>
      </c>
      <c r="B194" s="6" t="str">
        <f>Informações!$C$3</f>
        <v>IMA</v>
      </c>
      <c r="C194" s="6" t="s">
        <v>29</v>
      </c>
      <c r="D194" s="6" t="s">
        <v>30</v>
      </c>
      <c r="E194" s="2" t="s">
        <v>25</v>
      </c>
      <c r="F194" s="6" t="s">
        <v>219</v>
      </c>
      <c r="G194" s="6" t="s">
        <v>231</v>
      </c>
      <c r="H194" s="6" t="str" cm="1">
        <f t="array" ref="H194">_xlfn.IFS(OR(D194="TC",D194="TP",D194="LT"),CONCATENATE(B194,"_",C194,$B$3,"_",C194,$B$3,"_",G194),D194="SECC",CONCATENATE(B194,"_",C194,$B$3,"_",$B$5,"_",G194),D194="SECF",CONCATENATE(B194,"_",C194,$B$3,"_",$B$6,"_",G194),D194="SECT",CONCATENATE(B194,"_",C194,$B$3,"_",$B$7,"_",G194),D194="SECG",CONCATENATE(B194,"_",C194,$B$3,"_",$B$8,"_",G194),D194="DJ",CONCATENATE(B194,"_",C194,$B$3,"_",$B$4,"_",G194),D194="DJ_P",CONCATENATE(B194,"_",C194,$B$3,"_",$B$4,"_P","_",G194),D194="DJ_A",CONCATENATE(B194,"_",C194,$B$3,"_",$B$4,"_A","_",G194),D194="LT_P",CONCATENATE(B194,"_",C194,$B$3,"_",C194,$B$3,"_P","_",G194),D194="LT_A",CONCATENATE(B194,"_",C194,$B$3,"_",C194,$B$3,"_A","_",G194))</f>
        <v>IMA_LT2_52-2_TALF</v>
      </c>
      <c r="I194" s="6" t="s">
        <v>267</v>
      </c>
      <c r="J194" s="6" t="s">
        <v>182</v>
      </c>
      <c r="K194" s="6" t="s">
        <v>180</v>
      </c>
      <c r="L194" s="6" t="s">
        <v>188</v>
      </c>
      <c r="M194" s="6" t="s">
        <v>188</v>
      </c>
      <c r="N194" s="6"/>
    </row>
    <row r="195" spans="1:14" x14ac:dyDescent="0.25">
      <c r="A195" s="6" t="s">
        <v>191</v>
      </c>
      <c r="B195" s="6" t="str">
        <f>Informações!$C$3</f>
        <v>IMA</v>
      </c>
      <c r="C195" s="6" t="s">
        <v>29</v>
      </c>
      <c r="D195" s="6" t="s">
        <v>30</v>
      </c>
      <c r="E195" s="2" t="s">
        <v>25</v>
      </c>
      <c r="F195" s="6" t="s">
        <v>233</v>
      </c>
      <c r="G195" s="6" t="s">
        <v>232</v>
      </c>
      <c r="H195" s="6" t="str" cm="1">
        <f t="array" ref="H195">_xlfn.IFS(OR(D195="TC",D195="TP",D195="LT"),CONCATENATE(B195,"_",C195,$B$3,"_",C195,$B$3,"_",G195),D195="SECC",CONCATENATE(B195,"_",C195,$B$3,"_",$B$5,"_",G195),D195="SECF",CONCATENATE(B195,"_",C195,$B$3,"_",$B$6,"_",G195),D195="SECT",CONCATENATE(B195,"_",C195,$B$3,"_",$B$7,"_",G195),D195="SECG",CONCATENATE(B195,"_",C195,$B$3,"_",$B$8,"_",G195),D195="DJ",CONCATENATE(B195,"_",C195,$B$3,"_",$B$4,"_",G195),D195="DJ_P",CONCATENATE(B195,"_",C195,$B$3,"_",$B$4,"_P","_",G195),D195="DJ_A",CONCATENATE(B195,"_",C195,$B$3,"_",$B$4,"_A","_",G195),D195="LT_P",CONCATENATE(B195,"_",C195,$B$3,"_",C195,$B$3,"_P","_",G195),D195="LT_A",CONCATENATE(B195,"_",C195,$B$3,"_",C195,$B$3,"_A","_",G195))</f>
        <v>IMA_LT2_52-2_TALB</v>
      </c>
      <c r="I195" s="6" t="s">
        <v>267</v>
      </c>
      <c r="J195" s="6" t="s">
        <v>182</v>
      </c>
      <c r="K195" s="6" t="s">
        <v>179</v>
      </c>
      <c r="L195" s="6" t="s">
        <v>188</v>
      </c>
      <c r="M195" s="6" t="s">
        <v>188</v>
      </c>
      <c r="N195" s="6"/>
    </row>
    <row r="196" spans="1:14" x14ac:dyDescent="0.25">
      <c r="A196" s="6" t="s">
        <v>191</v>
      </c>
      <c r="B196" s="6" t="str">
        <f>Informações!$C$3</f>
        <v>IMA</v>
      </c>
      <c r="C196" s="6" t="s">
        <v>29</v>
      </c>
      <c r="D196" s="6" t="s">
        <v>30</v>
      </c>
      <c r="E196" s="2" t="s">
        <v>25</v>
      </c>
      <c r="F196" s="6" t="s">
        <v>216</v>
      </c>
      <c r="G196" s="6" t="s">
        <v>197</v>
      </c>
      <c r="H196" s="6" t="str" cm="1">
        <f t="array" ref="H196">_xlfn.IFS(OR(D196="TC",D196="TP",D196="LT"),CONCATENATE(B196,"_",C196,$B$3,"_",C196,$B$3,"_",G196),D196="SECC",CONCATENATE(B196,"_",C196,$B$3,"_",$B$5,"_",G196),D196="SECF",CONCATENATE(B196,"_",C196,$B$3,"_",$B$6,"_",G196),D196="SECT",CONCATENATE(B196,"_",C196,$B$3,"_",$B$7,"_",G196),D196="SECG",CONCATENATE(B196,"_",C196,$B$3,"_",$B$8,"_",G196),D196="DJ",CONCATENATE(B196,"_",C196,$B$3,"_",$B$4,"_",G196),D196="DJ_P",CONCATENATE(B196,"_",C196,$B$3,"_",$B$4,"_P","_",G196),D196="DJ_A",CONCATENATE(B196,"_",C196,$B$3,"_",$B$4,"_A","_",G196),D196="LT_P",CONCATENATE(B196,"_",C196,$B$3,"_",C196,$B$3,"_P","_",G196),D196="LT_A",CONCATENATE(B196,"_",C196,$B$3,"_",C196,$B$3,"_A","_",G196))</f>
        <v>IMA_LT2_52-2_TPPM</v>
      </c>
      <c r="I196" s="6" t="s">
        <v>267</v>
      </c>
      <c r="J196" s="6" t="s">
        <v>183</v>
      </c>
      <c r="K196" s="6" t="s">
        <v>184</v>
      </c>
      <c r="L196" s="6" t="s">
        <v>188</v>
      </c>
      <c r="M196" s="6" t="s">
        <v>188</v>
      </c>
      <c r="N196" s="6"/>
    </row>
    <row r="197" spans="1:14" x14ac:dyDescent="0.25">
      <c r="A197" s="6" t="s">
        <v>191</v>
      </c>
      <c r="B197" s="6" t="str">
        <f>Informações!$C$3</f>
        <v>IMA</v>
      </c>
      <c r="C197" s="6" t="s">
        <v>29</v>
      </c>
      <c r="D197" s="6" t="s">
        <v>30</v>
      </c>
      <c r="E197" s="2" t="s">
        <v>25</v>
      </c>
      <c r="F197" s="6" t="s">
        <v>224</v>
      </c>
      <c r="G197" s="6" t="s">
        <v>235</v>
      </c>
      <c r="H197" s="6" t="str" cm="1">
        <f t="array" ref="H197">_xlfn.IFS(OR(D197="TC",D197="TP",D197="LT"),CONCATENATE(B197,"_",C197,$B$3,"_",C197,$B$3,"_",G197),D197="SECC",CONCATENATE(B197,"_",C197,$B$3,"_",$B$5,"_",G197),D197="SECF",CONCATENATE(B197,"_",C197,$B$3,"_",$B$6,"_",G197),D197="SECT",CONCATENATE(B197,"_",C197,$B$3,"_",$B$7,"_",G197),D197="SECG",CONCATENATE(B197,"_",C197,$B$3,"_",$B$8,"_",G197),D197="DJ",CONCATENATE(B197,"_",C197,$B$3,"_",$B$4,"_",G197),D197="DJ_P",CONCATENATE(B197,"_",C197,$B$3,"_",$B$4,"_P","_",G197),D197="DJ_A",CONCATENATE(B197,"_",C197,$B$3,"_",$B$4,"_A","_",G197),D197="LT_P",CONCATENATE(B197,"_",C197,$B$3,"_",C197,$B$3,"_P","_",G197),D197="LT_A",CONCATENATE(B197,"_",C197,$B$3,"_",C197,$B$3,"_A","_",G197))</f>
        <v>IMA_LT2_52-2_TPPS</v>
      </c>
      <c r="I197" s="6" t="s">
        <v>267</v>
      </c>
      <c r="J197" s="6" t="s">
        <v>182</v>
      </c>
      <c r="K197" s="6" t="s">
        <v>179</v>
      </c>
      <c r="L197" s="6" t="s">
        <v>188</v>
      </c>
      <c r="M197" s="6" t="s">
        <v>188</v>
      </c>
      <c r="N197" s="6"/>
    </row>
    <row r="198" spans="1:14" x14ac:dyDescent="0.25">
      <c r="A198" s="6" t="s">
        <v>191</v>
      </c>
      <c r="B198" s="6" t="str">
        <f>Informações!$C$3</f>
        <v>IMA</v>
      </c>
      <c r="C198" s="6" t="s">
        <v>29</v>
      </c>
      <c r="D198" s="6" t="s">
        <v>30</v>
      </c>
      <c r="E198" s="2" t="s">
        <v>25</v>
      </c>
      <c r="F198" s="6" t="s">
        <v>225</v>
      </c>
      <c r="G198" s="6" t="s">
        <v>198</v>
      </c>
      <c r="H198" s="6" t="str" cm="1">
        <f t="array" ref="H198">_xlfn.IFS(OR(D198="TC",D198="TP",D198="LT"),CONCATENATE(B198,"_",C198,$B$3,"_",C198,$B$3,"_",G198),D198="SECC",CONCATENATE(B198,"_",C198,$B$3,"_",$B$5,"_",G198),D198="SECF",CONCATENATE(B198,"_",C198,$B$3,"_",$B$6,"_",G198),D198="SECT",CONCATENATE(B198,"_",C198,$B$3,"_",$B$7,"_",G198),D198="SECG",CONCATENATE(B198,"_",C198,$B$3,"_",$B$8,"_",G198),D198="DJ",CONCATENATE(B198,"_",C198,$B$3,"_",$B$4,"_",G198),D198="DJ_P",CONCATENATE(B198,"_",C198,$B$3,"_",$B$4,"_P","_",G198),D198="DJ_A",CONCATENATE(B198,"_",C198,$B$3,"_",$B$4,"_A","_",G198),D198="LT_P",CONCATENATE(B198,"_",C198,$B$3,"_",C198,$B$3,"_P","_",G198),D198="LT_A",CONCATENATE(B198,"_",C198,$B$3,"_",C198,$B$3,"_A","_",G198))</f>
        <v>IMA_LT2_52-2_TPPF</v>
      </c>
      <c r="I198" s="6" t="s">
        <v>267</v>
      </c>
      <c r="J198" s="6" t="s">
        <v>182</v>
      </c>
      <c r="K198" s="6" t="s">
        <v>180</v>
      </c>
      <c r="L198" s="6" t="s">
        <v>188</v>
      </c>
      <c r="M198" s="6" t="s">
        <v>188</v>
      </c>
      <c r="N198" s="6"/>
    </row>
    <row r="199" spans="1:14" x14ac:dyDescent="0.25">
      <c r="A199" s="6" t="s">
        <v>191</v>
      </c>
      <c r="B199" s="6" t="str">
        <f>Informações!$C$3</f>
        <v>IMA</v>
      </c>
      <c r="C199" s="6" t="s">
        <v>29</v>
      </c>
      <c r="D199" s="6" t="s">
        <v>30</v>
      </c>
      <c r="E199" s="2" t="s">
        <v>25</v>
      </c>
      <c r="F199" s="6" t="s">
        <v>226</v>
      </c>
      <c r="G199" s="6" t="s">
        <v>199</v>
      </c>
      <c r="H199" s="6" t="str" cm="1">
        <f t="array" ref="H199">_xlfn.IFS(OR(D199="TC",D199="TP",D199="LT"),CONCATENATE(B199,"_",C199,$B$3,"_",C199,$B$3,"_",G199),D199="SECC",CONCATENATE(B199,"_",C199,$B$3,"_",$B$5,"_",G199),D199="SECF",CONCATENATE(B199,"_",C199,$B$3,"_",$B$6,"_",G199),D199="SECT",CONCATENATE(B199,"_",C199,$B$3,"_",$B$7,"_",G199),D199="SECG",CONCATENATE(B199,"_",C199,$B$3,"_",$B$8,"_",G199),D199="DJ",CONCATENATE(B199,"_",C199,$B$3,"_",$B$4,"_",G199),D199="DJ_P",CONCATENATE(B199,"_",C199,$B$3,"_",$B$4,"_P","_",G199),D199="DJ_A",CONCATENATE(B199,"_",C199,$B$3,"_",$B$4,"_A","_",G199),D199="LT_P",CONCATENATE(B199,"_",C199,$B$3,"_",C199,$B$3,"_P","_",G199),D199="LT_A",CONCATENATE(B199,"_",C199,$B$3,"_",C199,$B$3,"_A","_",G199))</f>
        <v>IMA_LT2_52-2_81P</v>
      </c>
      <c r="I199" s="6" t="s">
        <v>267</v>
      </c>
      <c r="J199" s="6" t="s">
        <v>182</v>
      </c>
      <c r="K199" s="6" t="s">
        <v>179</v>
      </c>
      <c r="L199" s="6" t="s">
        <v>188</v>
      </c>
      <c r="M199" s="6" t="s">
        <v>188</v>
      </c>
      <c r="N199" s="6"/>
    </row>
    <row r="200" spans="1:14" x14ac:dyDescent="0.25">
      <c r="A200" s="6" t="s">
        <v>191</v>
      </c>
      <c r="B200" s="6" t="str">
        <f>Informações!$C$3</f>
        <v>IMA</v>
      </c>
      <c r="C200" s="6" t="s">
        <v>29</v>
      </c>
      <c r="D200" s="6" t="s">
        <v>30</v>
      </c>
      <c r="E200" s="2" t="s">
        <v>25</v>
      </c>
      <c r="F200" s="6" t="s">
        <v>230</v>
      </c>
      <c r="G200" s="6" t="s">
        <v>200</v>
      </c>
      <c r="H200" s="6" t="str" cm="1">
        <f t="array" ref="H200">_xlfn.IFS(OR(D200="TC",D200="TP",D200="LT"),CONCATENATE(B200,"_",C200,$B$3,"_",C200,$B$3,"_",G200),D200="SECC",CONCATENATE(B200,"_",C200,$B$3,"_",$B$5,"_",G200),D200="SECF",CONCATENATE(B200,"_",C200,$B$3,"_",$B$6,"_",G200),D200="SECT",CONCATENATE(B200,"_",C200,$B$3,"_",$B$7,"_",G200),D200="SECG",CONCATENATE(B200,"_",C200,$B$3,"_",$B$8,"_",G200),D200="DJ",CONCATENATE(B200,"_",C200,$B$3,"_",$B$4,"_",G200),D200="DJ_P",CONCATENATE(B200,"_",C200,$B$3,"_",$B$4,"_P","_",G200),D200="DJ_A",CONCATENATE(B200,"_",C200,$B$3,"_",$B$4,"_A","_",G200),D200="LT_P",CONCATENATE(B200,"_",C200,$B$3,"_",C200,$B$3,"_P","_",G200),D200="LT_A",CONCATENATE(B200,"_",C200,$B$3,"_",C200,$B$3,"_A","_",G200))</f>
        <v>IMA_LT2_52-2_81F</v>
      </c>
      <c r="I200" s="6" t="s">
        <v>267</v>
      </c>
      <c r="J200" s="6" t="s">
        <v>182</v>
      </c>
      <c r="K200" s="6" t="s">
        <v>180</v>
      </c>
      <c r="L200" s="6" t="s">
        <v>188</v>
      </c>
      <c r="M200" s="6" t="s">
        <v>188</v>
      </c>
      <c r="N200" s="6"/>
    </row>
    <row r="201" spans="1:14" x14ac:dyDescent="0.25">
      <c r="A201" s="6" t="s">
        <v>191</v>
      </c>
      <c r="B201" s="6" t="str">
        <f>Informações!$C$3</f>
        <v>IMA</v>
      </c>
      <c r="C201" s="6" t="s">
        <v>29</v>
      </c>
      <c r="D201" s="6" t="s">
        <v>30</v>
      </c>
      <c r="E201" s="2" t="s">
        <v>25</v>
      </c>
      <c r="F201" s="6" t="s">
        <v>227</v>
      </c>
      <c r="G201" s="6" t="s">
        <v>201</v>
      </c>
      <c r="H201" s="6" t="str" cm="1">
        <f t="array" ref="H201">_xlfn.IFS(OR(D201="TC",D201="TP",D201="LT"),CONCATENATE(B201,"_",C201,$B$3,"_",C201,$B$3,"_",G201),D201="SECC",CONCATENATE(B201,"_",C201,$B$3,"_",$B$5,"_",G201),D201="SECF",CONCATENATE(B201,"_",C201,$B$3,"_",$B$6,"_",G201),D201="SECT",CONCATENATE(B201,"_",C201,$B$3,"_",$B$7,"_",G201),D201="SECG",CONCATENATE(B201,"_",C201,$B$3,"_",$B$8,"_",G201),D201="DJ",CONCATENATE(B201,"_",C201,$B$3,"_",$B$4,"_",G201),D201="DJ_P",CONCATENATE(B201,"_",C201,$B$3,"_",$B$4,"_P","_",G201),D201="DJ_A",CONCATENATE(B201,"_",C201,$B$3,"_",$B$4,"_A","_",G201),D201="LT_P",CONCATENATE(B201,"_",C201,$B$3,"_",C201,$B$3,"_P","_",G201),D201="LT_A",CONCATENATE(B201,"_",C201,$B$3,"_",C201,$B$3,"_A","_",G201))</f>
        <v>IMA_LT2_52-2_81A</v>
      </c>
      <c r="I201" s="6" t="s">
        <v>267</v>
      </c>
      <c r="J201" s="6" t="s">
        <v>182</v>
      </c>
      <c r="K201" s="6" t="s">
        <v>179</v>
      </c>
      <c r="L201" s="6" t="s">
        <v>188</v>
      </c>
      <c r="M201" s="6" t="s">
        <v>188</v>
      </c>
      <c r="N201" s="6"/>
    </row>
    <row r="202" spans="1:14" x14ac:dyDescent="0.25">
      <c r="A202" s="6" t="s">
        <v>191</v>
      </c>
      <c r="B202" s="6" t="str">
        <f>Informações!$C$3</f>
        <v>IMA</v>
      </c>
      <c r="C202" s="6" t="s">
        <v>29</v>
      </c>
      <c r="D202" s="6" t="s">
        <v>30</v>
      </c>
      <c r="E202" s="2" t="s">
        <v>25</v>
      </c>
      <c r="F202" s="6" t="s">
        <v>229</v>
      </c>
      <c r="G202" s="6" t="s">
        <v>228</v>
      </c>
      <c r="H202" s="6" t="str" cm="1">
        <f t="array" ref="H202">_xlfn.IFS(OR(D202="TC",D202="TP",D202="LT"),CONCATENATE(B202,"_",C202,$B$3,"_",C202,$B$3,"_",G202),D202="SECC",CONCATENATE(B202,"_",C202,$B$3,"_",$B$5,"_",G202),D202="SECF",CONCATENATE(B202,"_",C202,$B$3,"_",$B$6,"_",G202),D202="SECT",CONCATENATE(B202,"_",C202,$B$3,"_",$B$7,"_",G202),D202="SECG",CONCATENATE(B202,"_",C202,$B$3,"_",$B$8,"_",G202),D202="DJ",CONCATENATE(B202,"_",C202,$B$3,"_",$B$4,"_",G202),D202="DJ_P",CONCATENATE(B202,"_",C202,$B$3,"_",$B$4,"_P","_",G202),D202="DJ_A",CONCATENATE(B202,"_",C202,$B$3,"_",$B$4,"_A","_",G202),D202="LT_P",CONCATENATE(B202,"_",C202,$B$3,"_",C202,$B$3,"_P","_",G202),D202="LT_A",CONCATENATE(B202,"_",C202,$B$3,"_",C202,$B$3,"_A","_",G202))</f>
        <v>IMA_LT2_52-2_81C</v>
      </c>
      <c r="I202" s="6" t="s">
        <v>267</v>
      </c>
      <c r="J202" s="6" t="s">
        <v>182</v>
      </c>
      <c r="K202" s="6" t="s">
        <v>179</v>
      </c>
      <c r="L202" s="6" t="s">
        <v>188</v>
      </c>
      <c r="M202" s="6" t="s">
        <v>188</v>
      </c>
      <c r="N202" s="6"/>
    </row>
  </sheetData>
  <autoFilter ref="A10:K169" xr:uid="{7CBEA51F-8118-4A4D-8379-D3E8D66B28F3}"/>
  <mergeCells count="10">
    <mergeCell ref="A181:N181"/>
    <mergeCell ref="A187:N187"/>
    <mergeCell ref="B7:N7"/>
    <mergeCell ref="B8:N8"/>
    <mergeCell ref="A1:N1"/>
    <mergeCell ref="B2:N2"/>
    <mergeCell ref="B3:N3"/>
    <mergeCell ref="B4:N4"/>
    <mergeCell ref="B5:N5"/>
    <mergeCell ref="B6:N6"/>
  </mergeCells>
  <phoneticPr fontId="5" type="noConversion"/>
  <conditionalFormatting sqref="E9:E180">
    <cfRule type="cellIs" dxfId="182" priority="1" operator="equal">
      <formula>"D"</formula>
    </cfRule>
    <cfRule type="cellIs" dxfId="181" priority="2" operator="equal">
      <formula>"C"</formula>
    </cfRule>
    <cfRule type="cellIs" dxfId="180" priority="3" operator="equal">
      <formula>"A"</formula>
    </cfRule>
  </conditionalFormatting>
  <conditionalFormatting sqref="E182">
    <cfRule type="cellIs" dxfId="179" priority="4" operator="equal">
      <formula>"D"</formula>
    </cfRule>
    <cfRule type="cellIs" dxfId="178" priority="5" operator="equal">
      <formula>"C"</formula>
    </cfRule>
    <cfRule type="cellIs" dxfId="177" priority="6" operator="equal">
      <formula>"A"</formula>
    </cfRule>
  </conditionalFormatting>
  <conditionalFormatting sqref="E186 E188:E1048576">
    <cfRule type="cellIs" dxfId="176" priority="7" operator="equal">
      <formula>"D"</formula>
    </cfRule>
    <cfRule type="cellIs" dxfId="175" priority="8" operator="equal">
      <formula>"C"</formula>
    </cfRule>
    <cfRule type="cellIs" dxfId="174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6F951D-D5FE-4636-9C3E-21F0A2F98B66}">
          <x14:formula1>
            <xm:f>Lista!$E$2:$E$4</xm:f>
          </x14:formula1>
          <xm:sqref>I183:I185 J189:K191 I189:I202 I11:I179</xm:sqref>
        </x14:dataValidation>
        <x14:dataValidation type="list" allowBlank="1" showInputMessage="1" showErrorMessage="1" xr:uid="{949FE47A-43CC-44EA-81DF-88EE6D4BA411}">
          <x14:formula1>
            <xm:f>Lista!$D$2:$D$4</xm:f>
          </x14:formula1>
          <xm:sqref>M183:M185 M189:M202 M11:M179</xm:sqref>
        </x14:dataValidation>
        <x14:dataValidation type="list" allowBlank="1" showInputMessage="1" showErrorMessage="1" xr:uid="{6F3710EB-DFE4-4003-9BD3-622DD6BA6BD8}">
          <x14:formula1>
            <xm:f>Lista!$A$2:$A$19</xm:f>
          </x14:formula1>
          <xm:sqref>J192:K202 J183:K185 J11:K179</xm:sqref>
        </x14:dataValidation>
        <x14:dataValidation type="list" allowBlank="1" showInputMessage="1" showErrorMessage="1" xr:uid="{A02B326B-74BD-4F79-A83E-E558672364A5}">
          <x14:formula1>
            <xm:f>Lista!$B$2:$B$3</xm:f>
          </x14:formula1>
          <xm:sqref>A11:A179 A183:A185 A189:A202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A8BC-5375-4A99-B0A7-F93938401AFD}">
  <sheetPr>
    <tabColor theme="6"/>
  </sheetPr>
  <dimension ref="B1:F39"/>
  <sheetViews>
    <sheetView zoomScale="80" zoomScaleNormal="80" workbookViewId="0">
      <selection activeCell="P26" sqref="P26"/>
    </sheetView>
  </sheetViews>
  <sheetFormatPr defaultRowHeight="15" x14ac:dyDescent="0.25"/>
  <cols>
    <col min="1" max="1" width="3.5703125" customWidth="1"/>
    <col min="3" max="3" width="34.7109375" customWidth="1"/>
    <col min="4" max="4" width="30.85546875" customWidth="1"/>
    <col min="5" max="5" width="27" customWidth="1"/>
    <col min="6" max="6" width="11.7109375" style="63" customWidth="1"/>
  </cols>
  <sheetData>
    <row r="1" spans="2:6" ht="15.75" thickBot="1" x14ac:dyDescent="0.3"/>
    <row r="2" spans="2:6" ht="16.5" thickTop="1" thickBot="1" x14ac:dyDescent="0.3">
      <c r="B2" s="64" t="s">
        <v>648</v>
      </c>
      <c r="C2" s="65" t="s">
        <v>649</v>
      </c>
      <c r="D2" s="65" t="s">
        <v>650</v>
      </c>
      <c r="E2" s="65" t="s">
        <v>651</v>
      </c>
      <c r="F2" s="66" t="s">
        <v>652</v>
      </c>
    </row>
    <row r="3" spans="2:6" s="67" customFormat="1" ht="15.75" thickTop="1" x14ac:dyDescent="0.25">
      <c r="B3" s="68" t="s">
        <v>577</v>
      </c>
      <c r="C3" s="69" t="s">
        <v>653</v>
      </c>
      <c r="D3" s="69" t="s">
        <v>493</v>
      </c>
      <c r="E3" s="69"/>
      <c r="F3" s="120" t="s">
        <v>297</v>
      </c>
    </row>
    <row r="4" spans="2:6" s="67" customFormat="1" x14ac:dyDescent="0.25">
      <c r="B4" s="70" t="s">
        <v>579</v>
      </c>
      <c r="C4" s="71" t="s">
        <v>654</v>
      </c>
      <c r="D4" s="71" t="s">
        <v>493</v>
      </c>
      <c r="E4" s="71"/>
      <c r="F4" s="121"/>
    </row>
    <row r="5" spans="2:6" s="67" customFormat="1" x14ac:dyDescent="0.25">
      <c r="B5" s="72" t="s">
        <v>581</v>
      </c>
      <c r="C5" s="73" t="s">
        <v>653</v>
      </c>
      <c r="D5" s="73" t="s">
        <v>493</v>
      </c>
      <c r="E5" s="73"/>
      <c r="F5" s="122" t="s">
        <v>306</v>
      </c>
    </row>
    <row r="6" spans="2:6" s="67" customFormat="1" x14ac:dyDescent="0.25">
      <c r="B6" s="74" t="s">
        <v>583</v>
      </c>
      <c r="C6" s="75" t="s">
        <v>654</v>
      </c>
      <c r="D6" s="75" t="s">
        <v>493</v>
      </c>
      <c r="E6" s="75"/>
      <c r="F6" s="123"/>
    </row>
    <row r="7" spans="2:6" x14ac:dyDescent="0.25">
      <c r="B7" s="76" t="s">
        <v>585</v>
      </c>
      <c r="C7" s="77" t="s">
        <v>653</v>
      </c>
      <c r="D7" s="77" t="s">
        <v>655</v>
      </c>
      <c r="E7" s="77" t="s">
        <v>656</v>
      </c>
      <c r="F7" s="124" t="s">
        <v>294</v>
      </c>
    </row>
    <row r="8" spans="2:6" x14ac:dyDescent="0.25">
      <c r="B8" s="78" t="s">
        <v>587</v>
      </c>
      <c r="C8" s="79" t="s">
        <v>654</v>
      </c>
      <c r="D8" s="79" t="s">
        <v>655</v>
      </c>
      <c r="E8" s="79" t="s">
        <v>656</v>
      </c>
      <c r="F8" s="125"/>
    </row>
    <row r="9" spans="2:6" x14ac:dyDescent="0.25">
      <c r="B9" s="80" t="s">
        <v>589</v>
      </c>
      <c r="C9" s="81" t="s">
        <v>653</v>
      </c>
      <c r="D9" s="81" t="s">
        <v>657</v>
      </c>
      <c r="E9" s="81" t="s">
        <v>656</v>
      </c>
      <c r="F9" s="126" t="s">
        <v>305</v>
      </c>
    </row>
    <row r="10" spans="2:6" x14ac:dyDescent="0.25">
      <c r="B10" s="82" t="s">
        <v>591</v>
      </c>
      <c r="C10" s="83" t="s">
        <v>654</v>
      </c>
      <c r="D10" s="83" t="s">
        <v>657</v>
      </c>
      <c r="E10" s="83" t="s">
        <v>656</v>
      </c>
      <c r="F10" s="127"/>
    </row>
    <row r="11" spans="2:6" s="67" customFormat="1" x14ac:dyDescent="0.25">
      <c r="B11" s="84" t="s">
        <v>593</v>
      </c>
      <c r="C11" s="85" t="s">
        <v>658</v>
      </c>
      <c r="D11" s="85" t="s">
        <v>493</v>
      </c>
      <c r="E11" s="85"/>
      <c r="F11" s="86" t="s">
        <v>327</v>
      </c>
    </row>
    <row r="12" spans="2:6" x14ac:dyDescent="0.25">
      <c r="B12" s="87" t="s">
        <v>596</v>
      </c>
      <c r="C12" s="88" t="s">
        <v>659</v>
      </c>
      <c r="D12" s="88" t="s">
        <v>660</v>
      </c>
      <c r="E12" s="88" t="s">
        <v>661</v>
      </c>
      <c r="F12" s="89" t="s">
        <v>314</v>
      </c>
    </row>
    <row r="13" spans="2:6" x14ac:dyDescent="0.25">
      <c r="B13" s="87" t="s">
        <v>598</v>
      </c>
      <c r="C13" s="88" t="s">
        <v>662</v>
      </c>
      <c r="D13" s="88" t="s">
        <v>660</v>
      </c>
      <c r="E13" s="88" t="s">
        <v>661</v>
      </c>
      <c r="F13" s="89" t="s">
        <v>316</v>
      </c>
    </row>
    <row r="14" spans="2:6" x14ac:dyDescent="0.25">
      <c r="B14" s="87" t="s">
        <v>601</v>
      </c>
      <c r="C14" s="88" t="s">
        <v>663</v>
      </c>
      <c r="D14" s="88" t="s">
        <v>660</v>
      </c>
      <c r="E14" s="88" t="s">
        <v>664</v>
      </c>
      <c r="F14" s="89" t="s">
        <v>600</v>
      </c>
    </row>
    <row r="15" spans="2:6" x14ac:dyDescent="0.25">
      <c r="B15" s="87" t="s">
        <v>603</v>
      </c>
      <c r="C15" s="88" t="s">
        <v>659</v>
      </c>
      <c r="D15" s="88" t="s">
        <v>665</v>
      </c>
      <c r="E15" s="88" t="s">
        <v>661</v>
      </c>
      <c r="F15" s="89" t="s">
        <v>315</v>
      </c>
    </row>
    <row r="16" spans="2:6" x14ac:dyDescent="0.25">
      <c r="B16" s="87" t="s">
        <v>604</v>
      </c>
      <c r="C16" s="88" t="s">
        <v>662</v>
      </c>
      <c r="D16" s="88" t="s">
        <v>665</v>
      </c>
      <c r="E16" s="88" t="s">
        <v>661</v>
      </c>
      <c r="F16" s="89" t="s">
        <v>349</v>
      </c>
    </row>
    <row r="17" spans="2:6" x14ac:dyDescent="0.25">
      <c r="B17" s="87" t="s">
        <v>606</v>
      </c>
      <c r="C17" s="88" t="s">
        <v>663</v>
      </c>
      <c r="D17" s="88" t="s">
        <v>665</v>
      </c>
      <c r="E17" s="88" t="s">
        <v>664</v>
      </c>
      <c r="F17" s="89" t="s">
        <v>605</v>
      </c>
    </row>
    <row r="18" spans="2:6" x14ac:dyDescent="0.25">
      <c r="B18" s="87" t="s">
        <v>565</v>
      </c>
      <c r="C18" s="88" t="s">
        <v>666</v>
      </c>
      <c r="D18" s="88" t="s">
        <v>667</v>
      </c>
      <c r="E18" s="88" t="s">
        <v>668</v>
      </c>
      <c r="F18" s="89" t="s">
        <v>566</v>
      </c>
    </row>
    <row r="19" spans="2:6" x14ac:dyDescent="0.25">
      <c r="B19" s="87" t="s">
        <v>569</v>
      </c>
      <c r="C19" s="88" t="s">
        <v>669</v>
      </c>
      <c r="D19" s="88" t="s">
        <v>670</v>
      </c>
      <c r="E19" s="88" t="s">
        <v>668</v>
      </c>
      <c r="F19" s="89" t="s">
        <v>570</v>
      </c>
    </row>
    <row r="20" spans="2:6" x14ac:dyDescent="0.25">
      <c r="B20" s="87" t="s">
        <v>573</v>
      </c>
      <c r="C20" s="88" t="s">
        <v>671</v>
      </c>
      <c r="D20" s="88" t="s">
        <v>672</v>
      </c>
      <c r="E20" s="88" t="s">
        <v>668</v>
      </c>
      <c r="F20" s="89" t="s">
        <v>673</v>
      </c>
    </row>
    <row r="21" spans="2:6" x14ac:dyDescent="0.25">
      <c r="B21" s="87" t="s">
        <v>481</v>
      </c>
      <c r="C21" s="88" t="s">
        <v>674</v>
      </c>
      <c r="D21" s="88" t="s">
        <v>482</v>
      </c>
      <c r="E21" s="88" t="s">
        <v>675</v>
      </c>
      <c r="F21" s="89" t="s">
        <v>330</v>
      </c>
    </row>
    <row r="22" spans="2:6" x14ac:dyDescent="0.25">
      <c r="B22" s="87" t="s">
        <v>485</v>
      </c>
      <c r="C22" s="88" t="s">
        <v>676</v>
      </c>
      <c r="D22" s="88" t="s">
        <v>486</v>
      </c>
      <c r="E22" s="88" t="s">
        <v>675</v>
      </c>
      <c r="F22" s="89" t="s">
        <v>334</v>
      </c>
    </row>
    <row r="23" spans="2:6" x14ac:dyDescent="0.25">
      <c r="B23" s="87" t="s">
        <v>489</v>
      </c>
      <c r="C23" s="88" t="s">
        <v>677</v>
      </c>
      <c r="D23" s="88" t="s">
        <v>490</v>
      </c>
      <c r="E23" s="88" t="s">
        <v>675</v>
      </c>
      <c r="F23" s="89" t="s">
        <v>335</v>
      </c>
    </row>
    <row r="24" spans="2:6" s="67" customFormat="1" x14ac:dyDescent="0.25">
      <c r="B24" s="84" t="s">
        <v>494</v>
      </c>
      <c r="C24" s="85" t="s">
        <v>678</v>
      </c>
      <c r="D24" s="85" t="s">
        <v>493</v>
      </c>
      <c r="E24" s="85"/>
      <c r="F24" s="86" t="s">
        <v>336</v>
      </c>
    </row>
    <row r="25" spans="2:6" s="67" customFormat="1" x14ac:dyDescent="0.25">
      <c r="B25" s="84" t="s">
        <v>498</v>
      </c>
      <c r="C25" s="85" t="s">
        <v>679</v>
      </c>
      <c r="D25" s="85" t="s">
        <v>493</v>
      </c>
      <c r="E25" s="85"/>
      <c r="F25" s="86" t="s">
        <v>337</v>
      </c>
    </row>
    <row r="26" spans="2:6" s="67" customFormat="1" x14ac:dyDescent="0.25">
      <c r="B26" s="84" t="s">
        <v>502</v>
      </c>
      <c r="C26" s="85" t="s">
        <v>680</v>
      </c>
      <c r="D26" s="85" t="s">
        <v>493</v>
      </c>
      <c r="E26" s="85"/>
      <c r="F26" s="86" t="s">
        <v>338</v>
      </c>
    </row>
    <row r="27" spans="2:6" x14ac:dyDescent="0.25">
      <c r="B27" s="103" t="s">
        <v>514</v>
      </c>
      <c r="C27" s="88" t="s">
        <v>681</v>
      </c>
      <c r="D27" s="88" t="s">
        <v>682</v>
      </c>
      <c r="E27" s="88" t="s">
        <v>675</v>
      </c>
      <c r="F27" s="89" t="s">
        <v>365</v>
      </c>
    </row>
    <row r="28" spans="2:6" x14ac:dyDescent="0.25">
      <c r="B28" s="87" t="s">
        <v>520</v>
      </c>
      <c r="C28" s="88" t="s">
        <v>683</v>
      </c>
      <c r="D28" s="88" t="s">
        <v>684</v>
      </c>
      <c r="E28" s="88" t="s">
        <v>675</v>
      </c>
      <c r="F28" s="89" t="s">
        <v>339</v>
      </c>
    </row>
    <row r="29" spans="2:6" s="67" customFormat="1" x14ac:dyDescent="0.25">
      <c r="B29" s="84" t="s">
        <v>525</v>
      </c>
      <c r="C29" s="85" t="s">
        <v>685</v>
      </c>
      <c r="D29" s="85" t="s">
        <v>493</v>
      </c>
      <c r="E29" s="85"/>
      <c r="F29" s="86" t="s">
        <v>340</v>
      </c>
    </row>
    <row r="30" spans="2:6" s="67" customFormat="1" x14ac:dyDescent="0.25">
      <c r="B30" s="84" t="s">
        <v>529</v>
      </c>
      <c r="C30" s="85" t="s">
        <v>686</v>
      </c>
      <c r="D30" s="85" t="s">
        <v>493</v>
      </c>
      <c r="E30" s="85"/>
      <c r="F30" s="86" t="s">
        <v>341</v>
      </c>
    </row>
    <row r="31" spans="2:6" x14ac:dyDescent="0.25">
      <c r="B31" s="87" t="s">
        <v>533</v>
      </c>
      <c r="C31" s="88" t="s">
        <v>687</v>
      </c>
      <c r="D31" s="88" t="s">
        <v>534</v>
      </c>
      <c r="E31" s="88" t="s">
        <v>675</v>
      </c>
      <c r="F31" s="89" t="s">
        <v>342</v>
      </c>
    </row>
    <row r="32" spans="2:6" x14ac:dyDescent="0.25">
      <c r="B32" s="87" t="s">
        <v>538</v>
      </c>
      <c r="C32" s="88" t="s">
        <v>688</v>
      </c>
      <c r="D32" s="88" t="s">
        <v>539</v>
      </c>
      <c r="E32" s="88" t="s">
        <v>675</v>
      </c>
      <c r="F32" s="89" t="s">
        <v>343</v>
      </c>
    </row>
    <row r="33" spans="2:6" x14ac:dyDescent="0.25">
      <c r="B33" s="87" t="s">
        <v>542</v>
      </c>
      <c r="C33" s="88" t="s">
        <v>689</v>
      </c>
      <c r="D33" s="88" t="s">
        <v>543</v>
      </c>
      <c r="E33" s="88" t="s">
        <v>675</v>
      </c>
      <c r="F33" s="89" t="s">
        <v>344</v>
      </c>
    </row>
    <row r="34" spans="2:6" x14ac:dyDescent="0.25">
      <c r="B34" s="87" t="s">
        <v>546</v>
      </c>
      <c r="C34" s="88" t="s">
        <v>690</v>
      </c>
      <c r="D34" s="88" t="s">
        <v>547</v>
      </c>
      <c r="E34" s="88" t="s">
        <v>675</v>
      </c>
      <c r="F34" s="89" t="s">
        <v>345</v>
      </c>
    </row>
    <row r="35" spans="2:6" x14ac:dyDescent="0.25">
      <c r="B35" s="103" t="s">
        <v>556</v>
      </c>
      <c r="C35" s="88" t="s">
        <v>691</v>
      </c>
      <c r="D35" s="88" t="s">
        <v>682</v>
      </c>
      <c r="E35" s="88" t="s">
        <v>675</v>
      </c>
      <c r="F35" s="89" t="s">
        <v>397</v>
      </c>
    </row>
    <row r="36" spans="2:6" x14ac:dyDescent="0.25">
      <c r="B36" s="103" t="s">
        <v>509</v>
      </c>
      <c r="C36" s="88" t="s">
        <v>692</v>
      </c>
      <c r="D36" s="88" t="s">
        <v>693</v>
      </c>
      <c r="E36" s="88" t="s">
        <v>675</v>
      </c>
      <c r="F36" s="89" t="s">
        <v>515</v>
      </c>
    </row>
    <row r="37" spans="2:6" x14ac:dyDescent="0.25">
      <c r="B37" s="103" t="s">
        <v>552</v>
      </c>
      <c r="C37" s="88" t="s">
        <v>694</v>
      </c>
      <c r="D37" s="88" t="s">
        <v>695</v>
      </c>
      <c r="E37" s="88" t="s">
        <v>675</v>
      </c>
      <c r="F37" s="89" t="s">
        <v>401</v>
      </c>
    </row>
    <row r="38" spans="2:6" ht="15.75" thickBot="1" x14ac:dyDescent="0.3">
      <c r="B38" s="90" t="s">
        <v>696</v>
      </c>
      <c r="C38" s="91" t="s">
        <v>697</v>
      </c>
      <c r="D38" s="91" t="s">
        <v>698</v>
      </c>
      <c r="E38" s="91" t="s">
        <v>699</v>
      </c>
      <c r="F38" s="92" t="s">
        <v>700</v>
      </c>
    </row>
    <row r="39" spans="2:6" ht="15.75" thickTop="1" x14ac:dyDescent="0.25"/>
  </sheetData>
  <mergeCells count="4">
    <mergeCell ref="F3:F4"/>
    <mergeCell ref="F5:F6"/>
    <mergeCell ref="F7:F8"/>
    <mergeCell ref="F9:F10"/>
  </mergeCells>
  <conditionalFormatting sqref="E1:E1048576">
    <cfRule type="cellIs" dxfId="173" priority="1" operator="equal">
      <formula>"D"</formula>
    </cfRule>
    <cfRule type="cellIs" dxfId="172" priority="2" operator="equal">
      <formula>"C"</formula>
    </cfRule>
    <cfRule type="cellIs" dxfId="171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BDD2-DEC4-48F2-9B14-DE056D462E3B}">
  <sheetPr>
    <tabColor theme="6"/>
  </sheetPr>
  <dimension ref="A1:T122"/>
  <sheetViews>
    <sheetView zoomScale="80" zoomScaleNormal="80" workbookViewId="0">
      <selection activeCell="P22" sqref="P22"/>
    </sheetView>
  </sheetViews>
  <sheetFormatPr defaultColWidth="49.140625" defaultRowHeight="15" x14ac:dyDescent="0.25"/>
  <cols>
    <col min="1" max="1" width="21.5703125" style="18" bestFit="1" customWidth="1"/>
    <col min="2" max="2" width="24.7109375" style="18" bestFit="1" customWidth="1"/>
    <col min="3" max="3" width="16.140625" style="18" bestFit="1" customWidth="1"/>
    <col min="4" max="4" width="15.7109375" style="62" customWidth="1"/>
    <col min="5" max="5" width="23.42578125" style="18" customWidth="1"/>
    <col min="6" max="6" width="13.85546875" style="18" bestFit="1" customWidth="1"/>
    <col min="7" max="7" width="15.7109375" style="18" customWidth="1"/>
    <col min="8" max="8" width="14.7109375" style="18" bestFit="1" customWidth="1"/>
    <col min="9" max="9" width="16.5703125" style="18" hidden="1" customWidth="1"/>
    <col min="10" max="10" width="14.140625" style="18" hidden="1" customWidth="1"/>
    <col min="11" max="11" width="11.42578125" style="18" hidden="1" customWidth="1"/>
    <col min="12" max="12" width="16.140625" style="18" hidden="1" customWidth="1"/>
    <col min="13" max="13" width="18.140625" style="18" hidden="1" customWidth="1"/>
    <col min="14" max="14" width="5.7109375" style="18" customWidth="1"/>
    <col min="15" max="17" width="7.7109375" style="18" customWidth="1"/>
    <col min="18" max="18" width="5.7109375" style="18" customWidth="1"/>
    <col min="19" max="19" width="8.5703125" style="18" customWidth="1"/>
    <col min="20" max="21" width="10" style="18" bestFit="1" customWidth="1"/>
    <col min="22" max="16384" width="49.140625" style="18"/>
  </cols>
  <sheetData>
    <row r="1" spans="1:20" x14ac:dyDescent="0.25">
      <c r="A1" s="128" t="s">
        <v>431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  <c r="O1" s="136" t="s">
        <v>432</v>
      </c>
      <c r="P1" s="136"/>
      <c r="Q1" s="136"/>
      <c r="S1" s="131" t="s">
        <v>0</v>
      </c>
      <c r="T1" s="132"/>
    </row>
    <row r="2" spans="1:20" x14ac:dyDescent="0.25">
      <c r="A2" s="19" t="s">
        <v>1</v>
      </c>
      <c r="B2" s="19" t="s">
        <v>433</v>
      </c>
      <c r="C2" s="19" t="s">
        <v>274</v>
      </c>
      <c r="D2" s="20" t="s">
        <v>434</v>
      </c>
      <c r="E2" s="19" t="s">
        <v>435</v>
      </c>
      <c r="F2" s="19" t="s">
        <v>436</v>
      </c>
      <c r="G2" s="19" t="s">
        <v>437</v>
      </c>
      <c r="H2" s="19" t="s">
        <v>438</v>
      </c>
      <c r="I2" s="19" t="s">
        <v>439</v>
      </c>
      <c r="J2" s="19" t="s">
        <v>440</v>
      </c>
      <c r="K2" s="19" t="s">
        <v>441</v>
      </c>
      <c r="L2" s="21" t="s">
        <v>442</v>
      </c>
      <c r="M2" s="19" t="s">
        <v>443</v>
      </c>
      <c r="O2" s="133">
        <v>16</v>
      </c>
      <c r="P2" s="133"/>
      <c r="Q2" s="133"/>
      <c r="S2" s="134" t="s">
        <v>288</v>
      </c>
      <c r="T2" s="135"/>
    </row>
    <row r="3" spans="1:20" x14ac:dyDescent="0.25">
      <c r="A3" s="22" t="str">
        <f>CONCATENATE("SE - ",$S$2)</f>
        <v>SE - IMIGRANTE</v>
      </c>
      <c r="B3" s="22" t="s">
        <v>444</v>
      </c>
      <c r="C3" s="22" t="s">
        <v>445</v>
      </c>
      <c r="D3" s="23" t="s">
        <v>446</v>
      </c>
      <c r="E3" s="22" t="s">
        <v>447</v>
      </c>
      <c r="F3" s="22" t="str">
        <f>CONCATENATE($O$5,".",$P$5,".",$O$2,".",$S$5+1)</f>
        <v>10.39.16.2</v>
      </c>
      <c r="G3" s="24" t="str" cm="1">
        <f t="array" ref="G3">_xlfn.IFS($Q$5=26,"255.255.255.192",$Q$5=27,"255.255.255.224")</f>
        <v>255.255.255.192</v>
      </c>
      <c r="H3" s="22" t="str">
        <f t="shared" ref="H3:H58" si="0">CONCATENATE($O$5,".",$P$5,".",$O$2,".",$S$5)</f>
        <v>10.39.16.1</v>
      </c>
      <c r="I3" s="25"/>
      <c r="J3" s="22"/>
      <c r="K3" s="22"/>
      <c r="L3" s="22"/>
      <c r="M3" s="22">
        <v>1</v>
      </c>
    </row>
    <row r="4" spans="1:20" x14ac:dyDescent="0.25">
      <c r="A4" s="22" t="str">
        <f t="shared" ref="A4:A58" si="1">CONCATENATE("SE - ",$S$2)</f>
        <v>SE - IMIGRANTE</v>
      </c>
      <c r="B4" s="22" t="s">
        <v>444</v>
      </c>
      <c r="C4" s="22" t="s">
        <v>448</v>
      </c>
      <c r="D4" s="23" t="s">
        <v>449</v>
      </c>
      <c r="E4" s="22" t="s">
        <v>736</v>
      </c>
      <c r="F4" s="22" t="str">
        <f>CONCATENATE($O$5,".",$P$5,".",$O$2,".",$S$5+2)</f>
        <v>10.39.16.3</v>
      </c>
      <c r="G4" s="24" t="str" cm="1">
        <f t="array" ref="G4">_xlfn.IFS($Q$5=26,"255.255.255.192",$Q$5=27,"255.255.255.224")</f>
        <v>255.255.255.192</v>
      </c>
      <c r="H4" s="22" t="str">
        <f t="shared" si="0"/>
        <v>10.39.16.1</v>
      </c>
      <c r="I4" s="25"/>
      <c r="J4" s="22"/>
      <c r="K4" s="22"/>
      <c r="L4" s="22"/>
      <c r="M4" s="22">
        <v>1</v>
      </c>
      <c r="O4" s="128" t="s">
        <v>431</v>
      </c>
      <c r="P4" s="130"/>
      <c r="Q4" s="26" t="s">
        <v>451</v>
      </c>
      <c r="S4" s="136" t="s">
        <v>452</v>
      </c>
      <c r="T4" s="136"/>
    </row>
    <row r="5" spans="1:20" x14ac:dyDescent="0.25">
      <c r="A5" s="22" t="str">
        <f t="shared" si="1"/>
        <v>SE - IMIGRANTE</v>
      </c>
      <c r="B5" s="22" t="s">
        <v>444</v>
      </c>
      <c r="C5" s="22" t="s">
        <v>453</v>
      </c>
      <c r="D5" s="23" t="s">
        <v>454</v>
      </c>
      <c r="E5" s="22" t="s">
        <v>737</v>
      </c>
      <c r="F5" s="22" t="str">
        <f>CONCATENATE($O$5,".",$P$5,".",$O$2,".",$S$5+3)</f>
        <v>10.39.16.4</v>
      </c>
      <c r="G5" s="24" t="str" cm="1">
        <f t="array" ref="G5">_xlfn.IFS($Q$5=26,"255.255.255.192",$Q$5=27,"255.255.255.224")</f>
        <v>255.255.255.192</v>
      </c>
      <c r="H5" s="22" t="str">
        <f t="shared" si="0"/>
        <v>10.39.16.1</v>
      </c>
      <c r="I5" s="25"/>
      <c r="J5" s="22" t="s">
        <v>456</v>
      </c>
      <c r="K5" s="25" t="s">
        <v>457</v>
      </c>
      <c r="L5" s="25" t="str">
        <f t="shared" ref="L5" si="2">"0x" &amp; DEC2HEX(M5,3)</f>
        <v>0x001</v>
      </c>
      <c r="M5" s="22">
        <v>1</v>
      </c>
      <c r="O5" s="27">
        <v>10</v>
      </c>
      <c r="P5" s="27">
        <v>39</v>
      </c>
      <c r="Q5" s="27">
        <v>26</v>
      </c>
      <c r="S5" s="137">
        <v>1</v>
      </c>
      <c r="T5" s="137"/>
    </row>
    <row r="6" spans="1:20" x14ac:dyDescent="0.25">
      <c r="A6" s="35" t="str">
        <f t="shared" si="1"/>
        <v>SE - IMIGRANTE</v>
      </c>
      <c r="B6" s="35" t="s">
        <v>506</v>
      </c>
      <c r="C6" s="35" t="s">
        <v>188</v>
      </c>
      <c r="D6" s="36" t="s">
        <v>188</v>
      </c>
      <c r="E6" s="35" t="s">
        <v>188</v>
      </c>
      <c r="F6" s="22" t="str">
        <f>CONCATENATE($O$5,".",$P$5,".",$O$2,".",$S$5+4)</f>
        <v>10.39.16.5</v>
      </c>
      <c r="G6" s="24" t="str" cm="1">
        <f t="array" ref="G6">_xlfn.IFS($Q$5=26,"255.255.255.192",$Q$5=27,"255.255.255.224")</f>
        <v>255.255.255.192</v>
      </c>
      <c r="H6" s="22" t="str">
        <f t="shared" si="0"/>
        <v>10.39.16.1</v>
      </c>
      <c r="I6" s="25"/>
      <c r="J6" s="22" t="s">
        <v>456</v>
      </c>
      <c r="K6" s="25" t="s">
        <v>459</v>
      </c>
      <c r="L6" s="25" t="str">
        <f>"0x" &amp; DEC2HEX(M6,3)</f>
        <v>0x001</v>
      </c>
      <c r="M6" s="22">
        <v>1</v>
      </c>
      <c r="O6" s="28"/>
      <c r="P6" s="28"/>
      <c r="Q6" s="28"/>
    </row>
    <row r="7" spans="1:20" x14ac:dyDescent="0.25">
      <c r="A7" s="22" t="str">
        <f t="shared" si="1"/>
        <v>SE - IMIGRANTE</v>
      </c>
      <c r="B7" s="22" t="s">
        <v>444</v>
      </c>
      <c r="C7" s="22" t="s">
        <v>460</v>
      </c>
      <c r="D7" s="23" t="s">
        <v>461</v>
      </c>
      <c r="E7" s="22" t="s">
        <v>460</v>
      </c>
      <c r="F7" s="22" t="str">
        <f>CONCATENATE($O$5,".",$P$5,".",$O$2,".",$S$5+5)</f>
        <v>10.39.16.6</v>
      </c>
      <c r="G7" s="24" t="str" cm="1">
        <f t="array" ref="G7">_xlfn.IFS($Q$5=26,"255.255.255.192",$Q$5=27,"255.255.255.224")</f>
        <v>255.255.255.192</v>
      </c>
      <c r="H7" s="22" t="str">
        <f t="shared" si="0"/>
        <v>10.39.16.1</v>
      </c>
      <c r="I7" s="25"/>
      <c r="J7" s="22" t="s">
        <v>462</v>
      </c>
      <c r="K7" s="25" t="s">
        <v>463</v>
      </c>
      <c r="L7" s="25" t="str">
        <f t="shared" ref="L7:L11" si="3">"0x" &amp; DEC2HEX(M7,3)</f>
        <v>0x001</v>
      </c>
      <c r="M7" s="22">
        <v>1</v>
      </c>
      <c r="O7" s="138" t="s">
        <v>464</v>
      </c>
      <c r="P7" s="138"/>
      <c r="Q7" s="26" t="s">
        <v>451</v>
      </c>
      <c r="S7" s="136" t="s">
        <v>465</v>
      </c>
      <c r="T7" s="136"/>
    </row>
    <row r="8" spans="1:20" x14ac:dyDescent="0.25">
      <c r="A8" s="22" t="str">
        <f t="shared" si="1"/>
        <v>SE - IMIGRANTE</v>
      </c>
      <c r="B8" s="22" t="s">
        <v>444</v>
      </c>
      <c r="C8" s="22" t="s">
        <v>466</v>
      </c>
      <c r="D8" s="23" t="s">
        <v>466</v>
      </c>
      <c r="E8" s="22" t="s">
        <v>466</v>
      </c>
      <c r="F8" s="22" t="str">
        <f>CONCATENATE($O$5,".",$P$5,".",$O$2,".",$S$5+6)</f>
        <v>10.39.16.7</v>
      </c>
      <c r="G8" s="24" t="str" cm="1">
        <f t="array" ref="G8">_xlfn.IFS($Q$5=26,"255.255.255.192",$Q$5=27,"255.255.255.224")</f>
        <v>255.255.255.192</v>
      </c>
      <c r="H8" s="22" t="str">
        <f t="shared" si="0"/>
        <v>10.39.16.1</v>
      </c>
      <c r="I8" s="25"/>
      <c r="J8" s="22" t="s">
        <v>462</v>
      </c>
      <c r="K8" s="25" t="s">
        <v>467</v>
      </c>
      <c r="L8" s="25" t="str">
        <f t="shared" si="3"/>
        <v>0x001</v>
      </c>
      <c r="M8" s="22">
        <v>1</v>
      </c>
      <c r="O8" s="27">
        <v>10</v>
      </c>
      <c r="P8" s="27">
        <v>34</v>
      </c>
      <c r="Q8" s="27">
        <v>27</v>
      </c>
      <c r="S8" s="137">
        <v>1</v>
      </c>
      <c r="T8" s="137"/>
    </row>
    <row r="9" spans="1:20" x14ac:dyDescent="0.25">
      <c r="A9" s="22" t="str">
        <f t="shared" si="1"/>
        <v>SE - IMIGRANTE</v>
      </c>
      <c r="B9" s="22" t="s">
        <v>444</v>
      </c>
      <c r="C9" s="22" t="s">
        <v>468</v>
      </c>
      <c r="D9" s="23" t="s">
        <v>468</v>
      </c>
      <c r="E9" s="22" t="s">
        <v>468</v>
      </c>
      <c r="F9" s="22" t="str">
        <f>CONCATENATE($O$5,".",$P$5,".",$O$2,".",$S$5+7)</f>
        <v>10.39.16.8</v>
      </c>
      <c r="G9" s="24" t="str" cm="1">
        <f t="array" ref="G9">_xlfn.IFS($Q$5=26,"255.255.255.192",$Q$5=27,"255.255.255.224")</f>
        <v>255.255.255.192</v>
      </c>
      <c r="H9" s="22" t="str">
        <f t="shared" si="0"/>
        <v>10.39.16.1</v>
      </c>
      <c r="I9" s="25"/>
      <c r="J9" s="22" t="s">
        <v>469</v>
      </c>
      <c r="K9" s="25" t="s">
        <v>470</v>
      </c>
      <c r="L9" s="25" t="str">
        <f t="shared" si="3"/>
        <v>0x001</v>
      </c>
      <c r="M9" s="22">
        <v>1</v>
      </c>
    </row>
    <row r="10" spans="1:20" x14ac:dyDescent="0.25">
      <c r="A10" s="22" t="str">
        <f t="shared" si="1"/>
        <v>SE - IMIGRANTE</v>
      </c>
      <c r="B10" s="22" t="s">
        <v>444</v>
      </c>
      <c r="C10" s="22" t="s">
        <v>471</v>
      </c>
      <c r="D10" s="23" t="s">
        <v>471</v>
      </c>
      <c r="E10" s="22" t="s">
        <v>471</v>
      </c>
      <c r="F10" s="22" t="str">
        <f>CONCATENATE($O$5,".",$P$5,".",$O$2,".",$S$5+8)</f>
        <v>10.39.16.9</v>
      </c>
      <c r="G10" s="24" t="str" cm="1">
        <f t="array" ref="G10">_xlfn.IFS($Q$5=26,"255.255.255.192",$Q$5=27,"255.255.255.224")</f>
        <v>255.255.255.192</v>
      </c>
      <c r="H10" s="22" t="str">
        <f t="shared" si="0"/>
        <v>10.39.16.1</v>
      </c>
      <c r="I10" s="25"/>
      <c r="J10" s="22" t="s">
        <v>472</v>
      </c>
      <c r="K10" s="25" t="s">
        <v>473</v>
      </c>
      <c r="L10" s="22" t="str">
        <f t="shared" si="3"/>
        <v>0x001</v>
      </c>
      <c r="M10" s="22">
        <v>1</v>
      </c>
      <c r="O10" s="138" t="s">
        <v>474</v>
      </c>
      <c r="P10" s="138"/>
      <c r="Q10" s="26" t="s">
        <v>451</v>
      </c>
      <c r="S10" s="136" t="s">
        <v>475</v>
      </c>
      <c r="T10" s="136"/>
    </row>
    <row r="11" spans="1:20" x14ac:dyDescent="0.25">
      <c r="A11" s="22" t="str">
        <f t="shared" si="1"/>
        <v>SE - IMIGRANTE</v>
      </c>
      <c r="B11" s="22" t="s">
        <v>444</v>
      </c>
      <c r="C11" s="29" t="s">
        <v>476</v>
      </c>
      <c r="D11" s="30" t="s">
        <v>477</v>
      </c>
      <c r="E11" s="29" t="s">
        <v>476</v>
      </c>
      <c r="F11" s="29" t="str">
        <f>CONCATENATE($O$5,".",$P$5,".",$O$2,".",$S$5+9)</f>
        <v>10.39.16.10</v>
      </c>
      <c r="G11" s="31" t="str" cm="1">
        <f t="array" ref="G11">_xlfn.IFS($Q$5=26,"255.255.255.192",$Q$5=27,"255.255.255.224")</f>
        <v>255.255.255.192</v>
      </c>
      <c r="H11" s="29" t="str">
        <f t="shared" si="0"/>
        <v>10.39.16.1</v>
      </c>
      <c r="I11" s="25"/>
      <c r="J11" s="22" t="s">
        <v>478</v>
      </c>
      <c r="K11" s="25" t="s">
        <v>479</v>
      </c>
      <c r="L11" s="25" t="str">
        <f t="shared" si="3"/>
        <v>0x001</v>
      </c>
      <c r="M11" s="22">
        <v>1</v>
      </c>
      <c r="O11" s="27">
        <v>10</v>
      </c>
      <c r="P11" s="27">
        <v>38</v>
      </c>
      <c r="Q11" s="27">
        <v>27</v>
      </c>
      <c r="S11" s="137">
        <v>1</v>
      </c>
      <c r="T11" s="137"/>
    </row>
    <row r="12" spans="1:20" x14ac:dyDescent="0.25">
      <c r="A12" s="22" t="str">
        <f t="shared" si="1"/>
        <v>SE - IMIGRANTE</v>
      </c>
      <c r="B12" s="29" t="s">
        <v>480</v>
      </c>
      <c r="C12" s="29" t="s">
        <v>481</v>
      </c>
      <c r="D12" s="30" t="s">
        <v>330</v>
      </c>
      <c r="E12" s="29" t="s">
        <v>482</v>
      </c>
      <c r="F12" s="29" t="str">
        <f>CONCATENATE($O$5,".",$P$5,".",$O$2,".",$S$5+10)</f>
        <v>10.39.16.11</v>
      </c>
      <c r="G12" s="31" t="str" cm="1">
        <f t="array" ref="G12">_xlfn.IFS($Q$5=26,"255.255.255.192",$Q$5=27,"255.255.255.224")</f>
        <v>255.255.255.192</v>
      </c>
      <c r="H12" s="29" t="str">
        <f t="shared" si="0"/>
        <v>10.39.16.1</v>
      </c>
      <c r="I12" s="25"/>
      <c r="J12" s="22" t="s">
        <v>483</v>
      </c>
      <c r="K12" s="22" t="s">
        <v>484</v>
      </c>
      <c r="L12" s="25" t="str">
        <f>"0x" &amp; DEC2HEX(M12,3)</f>
        <v>0x001</v>
      </c>
      <c r="M12" s="22">
        <v>1</v>
      </c>
    </row>
    <row r="13" spans="1:20" x14ac:dyDescent="0.25">
      <c r="A13" s="22" t="str">
        <f t="shared" si="1"/>
        <v>SE - IMIGRANTE</v>
      </c>
      <c r="B13" s="29" t="s">
        <v>480</v>
      </c>
      <c r="C13" s="29" t="s">
        <v>485</v>
      </c>
      <c r="D13" s="30" t="s">
        <v>334</v>
      </c>
      <c r="E13" s="29" t="s">
        <v>486</v>
      </c>
      <c r="F13" s="29" t="str">
        <f>CONCATENATE($O$5,".",$P$5,".",$O$2,".",$S$5+11)</f>
        <v>10.39.16.12</v>
      </c>
      <c r="G13" s="31" t="str" cm="1">
        <f t="array" ref="G13">_xlfn.IFS($Q$5=26,"255.255.255.192",$Q$5=27,"255.255.255.224")</f>
        <v>255.255.255.192</v>
      </c>
      <c r="H13" s="29" t="str">
        <f t="shared" si="0"/>
        <v>10.39.16.1</v>
      </c>
      <c r="I13" s="25"/>
      <c r="J13" s="22" t="s">
        <v>487</v>
      </c>
      <c r="K13" s="22" t="s">
        <v>488</v>
      </c>
      <c r="L13" s="22" t="str">
        <f t="shared" ref="L13:L15" si="4">"0x" &amp; DEC2HEX(M13,3)</f>
        <v>0x001</v>
      </c>
      <c r="M13" s="22">
        <v>1</v>
      </c>
    </row>
    <row r="14" spans="1:20" x14ac:dyDescent="0.25">
      <c r="A14" s="22" t="str">
        <f t="shared" si="1"/>
        <v>SE - IMIGRANTE</v>
      </c>
      <c r="B14" s="29" t="s">
        <v>480</v>
      </c>
      <c r="C14" s="29" t="s">
        <v>489</v>
      </c>
      <c r="D14" s="30" t="s">
        <v>335</v>
      </c>
      <c r="E14" s="29" t="s">
        <v>490</v>
      </c>
      <c r="F14" s="29" t="str">
        <f>CONCATENATE($O$5,".",$P$5,".",$O$2,".",$S$5+12)</f>
        <v>10.39.16.13</v>
      </c>
      <c r="G14" s="31" t="str" cm="1">
        <f t="array" ref="G14">_xlfn.IFS($Q$5=26,"255.255.255.192",$Q$5=27,"255.255.255.224")</f>
        <v>255.255.255.192</v>
      </c>
      <c r="H14" s="29" t="str">
        <f t="shared" si="0"/>
        <v>10.39.16.1</v>
      </c>
      <c r="I14" s="25"/>
      <c r="J14" s="22" t="s">
        <v>491</v>
      </c>
      <c r="K14" s="22" t="s">
        <v>492</v>
      </c>
      <c r="L14" s="22" t="str">
        <f t="shared" si="4"/>
        <v>0x001</v>
      </c>
      <c r="M14" s="22">
        <v>1</v>
      </c>
    </row>
    <row r="15" spans="1:20" x14ac:dyDescent="0.25">
      <c r="A15" s="32" t="str">
        <f t="shared" si="1"/>
        <v>SE - IMIGRANTE</v>
      </c>
      <c r="B15" s="32" t="s">
        <v>493</v>
      </c>
      <c r="C15" s="32" t="s">
        <v>494</v>
      </c>
      <c r="D15" s="33" t="s">
        <v>336</v>
      </c>
      <c r="E15" s="32" t="s">
        <v>495</v>
      </c>
      <c r="F15" s="32" t="str">
        <f>CONCATENATE($O$5,".",$P$5,".",$O$2,".",$S$5+13)</f>
        <v>10.39.16.14</v>
      </c>
      <c r="G15" s="34" t="str" cm="1">
        <f t="array" ref="G15">_xlfn.IFS($Q$5=26,"255.255.255.192",$Q$5=27,"255.255.255.224")</f>
        <v>255.255.255.192</v>
      </c>
      <c r="H15" s="32" t="str">
        <f t="shared" si="0"/>
        <v>10.39.16.1</v>
      </c>
      <c r="I15" s="25"/>
      <c r="J15" s="22" t="s">
        <v>496</v>
      </c>
      <c r="K15" s="22" t="s">
        <v>497</v>
      </c>
      <c r="L15" s="22" t="str">
        <f t="shared" si="4"/>
        <v>0x001</v>
      </c>
      <c r="M15" s="22">
        <v>1</v>
      </c>
    </row>
    <row r="16" spans="1:20" x14ac:dyDescent="0.25">
      <c r="A16" s="32" t="str">
        <f t="shared" si="1"/>
        <v>SE - IMIGRANTE</v>
      </c>
      <c r="B16" s="32" t="s">
        <v>493</v>
      </c>
      <c r="C16" s="32" t="s">
        <v>498</v>
      </c>
      <c r="D16" s="33" t="s">
        <v>337</v>
      </c>
      <c r="E16" s="32" t="s">
        <v>499</v>
      </c>
      <c r="F16" s="32" t="str">
        <f>CONCATENATE($O$5,".",$P$5,".",$O$2,".",$S$5+14)</f>
        <v>10.39.16.15</v>
      </c>
      <c r="G16" s="34" t="str" cm="1">
        <f t="array" ref="G16">_xlfn.IFS($Q$5=26,"255.255.255.192",$Q$5=27,"255.255.255.224")</f>
        <v>255.255.255.192</v>
      </c>
      <c r="H16" s="32" t="str">
        <f t="shared" si="0"/>
        <v>10.39.16.1</v>
      </c>
      <c r="I16" s="25"/>
      <c r="J16" s="22" t="s">
        <v>500</v>
      </c>
      <c r="K16" s="22" t="s">
        <v>501</v>
      </c>
      <c r="L16" s="22" t="str">
        <f>"0x" &amp; DEC2HEX(M16,3)</f>
        <v>0x001</v>
      </c>
      <c r="M16" s="22">
        <v>1</v>
      </c>
    </row>
    <row r="17" spans="1:13" x14ac:dyDescent="0.25">
      <c r="A17" s="32" t="str">
        <f t="shared" si="1"/>
        <v>SE - IMIGRANTE</v>
      </c>
      <c r="B17" s="32" t="s">
        <v>493</v>
      </c>
      <c r="C17" s="32" t="s">
        <v>502</v>
      </c>
      <c r="D17" s="33" t="s">
        <v>338</v>
      </c>
      <c r="E17" s="32" t="s">
        <v>503</v>
      </c>
      <c r="F17" s="32" t="str">
        <f>CONCATENATE($O$5,".",$P$5,".",$O$2,".",$S$5+15)</f>
        <v>10.39.16.16</v>
      </c>
      <c r="G17" s="34" t="str" cm="1">
        <f t="array" ref="G17">_xlfn.IFS($Q$5=26,"255.255.255.192",$Q$5=27,"255.255.255.224")</f>
        <v>255.255.255.192</v>
      </c>
      <c r="H17" s="32" t="str">
        <f t="shared" si="0"/>
        <v>10.39.16.1</v>
      </c>
      <c r="I17" s="25"/>
      <c r="J17" s="22" t="s">
        <v>504</v>
      </c>
      <c r="K17" s="22" t="s">
        <v>505</v>
      </c>
      <c r="L17" s="22" t="str">
        <f>"0x" &amp; DEC2HEX(M17,3)</f>
        <v>0x001</v>
      </c>
      <c r="M17" s="22">
        <v>1</v>
      </c>
    </row>
    <row r="18" spans="1:13" s="39" customFormat="1" x14ac:dyDescent="0.25">
      <c r="A18" s="35" t="str">
        <f t="shared" si="1"/>
        <v>SE - IMIGRANTE</v>
      </c>
      <c r="B18" s="35" t="s">
        <v>506</v>
      </c>
      <c r="C18" s="35" t="s">
        <v>188</v>
      </c>
      <c r="D18" s="36" t="s">
        <v>188</v>
      </c>
      <c r="E18" s="35" t="s">
        <v>188</v>
      </c>
      <c r="F18" s="35" t="str">
        <f>CONCATENATE($O$5,".",$P$5,".",$O$2,".",$S$5+16)</f>
        <v>10.39.16.17</v>
      </c>
      <c r="G18" s="37" t="str" cm="1">
        <f t="array" ref="G18">_xlfn.IFS($Q$5=26,"255.255.255.192",$Q$5=27,"255.255.255.224")</f>
        <v>255.255.255.192</v>
      </c>
      <c r="H18" s="35" t="str">
        <f t="shared" si="0"/>
        <v>10.39.16.1</v>
      </c>
      <c r="I18" s="38"/>
      <c r="J18" s="35" t="s">
        <v>507</v>
      </c>
      <c r="K18" s="35" t="s">
        <v>508</v>
      </c>
      <c r="L18" s="35" t="str">
        <f t="shared" ref="L18:L20" si="5">"0x" &amp; DEC2HEX(M18,3)</f>
        <v>0x001</v>
      </c>
      <c r="M18" s="35">
        <v>1</v>
      </c>
    </row>
    <row r="19" spans="1:13" x14ac:dyDescent="0.25">
      <c r="A19" s="22" t="str">
        <f t="shared" si="1"/>
        <v>SE - IMIGRANTE</v>
      </c>
      <c r="B19" s="29" t="s">
        <v>480</v>
      </c>
      <c r="C19" s="29" t="s">
        <v>509</v>
      </c>
      <c r="D19" s="30" t="s">
        <v>365</v>
      </c>
      <c r="E19" s="29" t="s">
        <v>510</v>
      </c>
      <c r="F19" s="22" t="str">
        <f>CONCATENATE($O$5,".",$P$5,".",$O$2,".",$S$5+17)</f>
        <v>10.39.16.18</v>
      </c>
      <c r="G19" s="24" t="str" cm="1">
        <f t="array" ref="G19">_xlfn.IFS($Q$5=26,"255.255.255.192",$Q$5=27,"255.255.255.224")</f>
        <v>255.255.255.192</v>
      </c>
      <c r="H19" s="22" t="str">
        <f t="shared" si="0"/>
        <v>10.39.16.1</v>
      </c>
      <c r="I19" s="25"/>
      <c r="J19" s="22" t="s">
        <v>511</v>
      </c>
      <c r="K19" s="22" t="s">
        <v>512</v>
      </c>
      <c r="L19" s="22" t="str">
        <f t="shared" si="5"/>
        <v>0x001</v>
      </c>
      <c r="M19" s="22">
        <v>1</v>
      </c>
    </row>
    <row r="20" spans="1:13" x14ac:dyDescent="0.25">
      <c r="A20" s="22" t="str">
        <f t="shared" si="1"/>
        <v>SE - IMIGRANTE</v>
      </c>
      <c r="B20" s="22" t="s">
        <v>513</v>
      </c>
      <c r="C20" s="29" t="s">
        <v>514</v>
      </c>
      <c r="D20" s="30" t="s">
        <v>515</v>
      </c>
      <c r="E20" s="29" t="s">
        <v>516</v>
      </c>
      <c r="F20" s="22" t="str">
        <f>CONCATENATE($O$5,".",$P$5,".",$O$2,".",$S$5+18)</f>
        <v>10.39.16.19</v>
      </c>
      <c r="G20" s="24" t="str" cm="1">
        <f t="array" ref="G20">_xlfn.IFS($Q$5=26,"255.255.255.192",$Q$5=27,"255.255.255.224")</f>
        <v>255.255.255.192</v>
      </c>
      <c r="H20" s="22" t="str">
        <f t="shared" si="0"/>
        <v>10.39.16.1</v>
      </c>
      <c r="I20" s="25"/>
      <c r="J20" s="22" t="s">
        <v>517</v>
      </c>
      <c r="K20" s="22" t="s">
        <v>518</v>
      </c>
      <c r="L20" s="22" t="str">
        <f t="shared" si="5"/>
        <v>0x001</v>
      </c>
      <c r="M20" s="22">
        <v>1</v>
      </c>
    </row>
    <row r="21" spans="1:13" x14ac:dyDescent="0.25">
      <c r="A21" s="22" t="str">
        <f t="shared" si="1"/>
        <v>SE - IMIGRANTE</v>
      </c>
      <c r="B21" s="29" t="s">
        <v>519</v>
      </c>
      <c r="C21" s="29" t="s">
        <v>520</v>
      </c>
      <c r="D21" s="30" t="s">
        <v>339</v>
      </c>
      <c r="E21" s="29" t="s">
        <v>521</v>
      </c>
      <c r="F21" s="22" t="str">
        <f>CONCATENATE($O$5,".",$P$5,".",$O$2,".",$S$5+19)</f>
        <v>10.39.16.20</v>
      </c>
      <c r="G21" s="24" t="str" cm="1">
        <f t="array" ref="G21">_xlfn.IFS($Q$5=26,"255.255.255.192",$Q$5=27,"255.255.255.224")</f>
        <v>255.255.255.192</v>
      </c>
      <c r="H21" s="22" t="str">
        <f t="shared" si="0"/>
        <v>10.39.16.1</v>
      </c>
      <c r="I21" s="25"/>
      <c r="J21" s="22" t="s">
        <v>522</v>
      </c>
      <c r="K21" s="22" t="s">
        <v>523</v>
      </c>
      <c r="L21" s="25" t="str">
        <f>"0x" &amp; DEC2HEX(M21,3)</f>
        <v>0x001</v>
      </c>
      <c r="M21" s="22">
        <v>1</v>
      </c>
    </row>
    <row r="22" spans="1:13" x14ac:dyDescent="0.25">
      <c r="A22" s="32" t="str">
        <f t="shared" si="1"/>
        <v>SE - IMIGRANTE</v>
      </c>
      <c r="B22" s="32" t="s">
        <v>524</v>
      </c>
      <c r="C22" s="32" t="s">
        <v>525</v>
      </c>
      <c r="D22" s="33" t="s">
        <v>340</v>
      </c>
      <c r="E22" s="32" t="s">
        <v>526</v>
      </c>
      <c r="F22" s="32" t="str">
        <f>CONCATENATE($O$5,".",$P$5,".",$O$2,".",$S$5+20)</f>
        <v>10.39.16.21</v>
      </c>
      <c r="G22" s="34" t="str" cm="1">
        <f t="array" ref="G22">_xlfn.IFS($Q$5=26,"255.255.255.192",$Q$5=27,"255.255.255.224")</f>
        <v>255.255.255.192</v>
      </c>
      <c r="H22" s="32" t="str">
        <f t="shared" si="0"/>
        <v>10.39.16.1</v>
      </c>
      <c r="I22" s="25"/>
      <c r="J22" s="22" t="s">
        <v>527</v>
      </c>
      <c r="K22" s="22" t="s">
        <v>528</v>
      </c>
      <c r="L22" s="25" t="str">
        <f>"0x" &amp; DEC2HEX(M22,3)</f>
        <v>0x001</v>
      </c>
      <c r="M22" s="22">
        <v>1</v>
      </c>
    </row>
    <row r="23" spans="1:13" x14ac:dyDescent="0.25">
      <c r="A23" s="32" t="str">
        <f t="shared" si="1"/>
        <v>SE - IMIGRANTE</v>
      </c>
      <c r="B23" s="32" t="s">
        <v>524</v>
      </c>
      <c r="C23" s="32" t="s">
        <v>529</v>
      </c>
      <c r="D23" s="33" t="s">
        <v>341</v>
      </c>
      <c r="E23" s="32" t="s">
        <v>530</v>
      </c>
      <c r="F23" s="32" t="str">
        <f>CONCATENATE($O$5,".",$P$5,".",$O$2,".",$S$5+21)</f>
        <v>10.39.16.22</v>
      </c>
      <c r="G23" s="34" t="str" cm="1">
        <f t="array" ref="G23">_xlfn.IFS($Q$5=26,"255.255.255.192",$Q$5=27,"255.255.255.224")</f>
        <v>255.255.255.192</v>
      </c>
      <c r="H23" s="32" t="str">
        <f t="shared" si="0"/>
        <v>10.39.16.1</v>
      </c>
      <c r="I23" s="25"/>
      <c r="J23" s="22" t="s">
        <v>531</v>
      </c>
      <c r="K23" s="22" t="s">
        <v>532</v>
      </c>
      <c r="L23" s="22" t="str">
        <f t="shared" ref="L23:L32" si="6">"0x" &amp; DEC2HEX(M23,3)</f>
        <v>0x001</v>
      </c>
      <c r="M23" s="22">
        <v>1</v>
      </c>
    </row>
    <row r="24" spans="1:13" x14ac:dyDescent="0.25">
      <c r="A24" s="22" t="str">
        <f t="shared" si="1"/>
        <v>SE - IMIGRANTE</v>
      </c>
      <c r="B24" s="29" t="s">
        <v>519</v>
      </c>
      <c r="C24" s="29" t="s">
        <v>533</v>
      </c>
      <c r="D24" s="30" t="s">
        <v>342</v>
      </c>
      <c r="E24" s="29" t="s">
        <v>534</v>
      </c>
      <c r="F24" s="29" t="str">
        <f>CONCATENATE($O$5,".",$P$5,".",$O$2,".",$S$5+22)</f>
        <v>10.39.16.23</v>
      </c>
      <c r="G24" s="31" t="str" cm="1">
        <f t="array" ref="G24">_xlfn.IFS($Q$5=26,"255.255.255.192",$Q$5=27,"255.255.255.224")</f>
        <v>255.255.255.192</v>
      </c>
      <c r="H24" s="29" t="str">
        <f t="shared" si="0"/>
        <v>10.39.16.1</v>
      </c>
      <c r="I24" s="25"/>
      <c r="J24" s="22" t="s">
        <v>535</v>
      </c>
      <c r="K24" s="22" t="s">
        <v>536</v>
      </c>
      <c r="L24" s="22" t="str">
        <f t="shared" si="6"/>
        <v>0x001</v>
      </c>
      <c r="M24" s="22">
        <v>1</v>
      </c>
    </row>
    <row r="25" spans="1:13" x14ac:dyDescent="0.25">
      <c r="A25" s="22" t="str">
        <f t="shared" si="1"/>
        <v>SE - IMIGRANTE</v>
      </c>
      <c r="B25" s="29" t="s">
        <v>537</v>
      </c>
      <c r="C25" s="29" t="s">
        <v>538</v>
      </c>
      <c r="D25" s="30" t="s">
        <v>343</v>
      </c>
      <c r="E25" s="29" t="s">
        <v>539</v>
      </c>
      <c r="F25" s="29" t="str">
        <f>CONCATENATE($O$5,".",$P$5,".",$O$2,".",$S$5+23)</f>
        <v>10.39.16.24</v>
      </c>
      <c r="G25" s="31" t="str" cm="1">
        <f t="array" ref="G25">_xlfn.IFS($Q$5=26,"255.255.255.192",$Q$5=27,"255.255.255.224")</f>
        <v>255.255.255.192</v>
      </c>
      <c r="H25" s="29" t="str">
        <f t="shared" si="0"/>
        <v>10.39.16.1</v>
      </c>
      <c r="I25" s="25"/>
      <c r="J25" s="22" t="s">
        <v>540</v>
      </c>
      <c r="K25" s="22" t="s">
        <v>541</v>
      </c>
      <c r="L25" s="22" t="str">
        <f t="shared" si="6"/>
        <v>0x001</v>
      </c>
      <c r="M25" s="22">
        <v>1</v>
      </c>
    </row>
    <row r="26" spans="1:13" x14ac:dyDescent="0.25">
      <c r="A26" s="22" t="str">
        <f t="shared" si="1"/>
        <v>SE - IMIGRANTE</v>
      </c>
      <c r="B26" s="29" t="s">
        <v>537</v>
      </c>
      <c r="C26" s="29" t="s">
        <v>542</v>
      </c>
      <c r="D26" s="30" t="s">
        <v>344</v>
      </c>
      <c r="E26" s="29" t="s">
        <v>543</v>
      </c>
      <c r="F26" s="29" t="str">
        <f>CONCATENATE($O$5,".",$P$5,".",$O$2,".",$S$5+24)</f>
        <v>10.39.16.25</v>
      </c>
      <c r="G26" s="31" t="str" cm="1">
        <f t="array" ref="G26">_xlfn.IFS($Q$5=26,"255.255.255.192",$Q$5=27,"255.255.255.224")</f>
        <v>255.255.255.192</v>
      </c>
      <c r="H26" s="29" t="str">
        <f t="shared" si="0"/>
        <v>10.39.16.1</v>
      </c>
      <c r="I26" s="25"/>
      <c r="J26" s="22" t="s">
        <v>544</v>
      </c>
      <c r="K26" s="22" t="s">
        <v>545</v>
      </c>
      <c r="L26" s="22" t="str">
        <f t="shared" si="6"/>
        <v>0x001</v>
      </c>
      <c r="M26" s="22">
        <v>1</v>
      </c>
    </row>
    <row r="27" spans="1:13" x14ac:dyDescent="0.25">
      <c r="A27" s="22" t="str">
        <f t="shared" si="1"/>
        <v>SE - IMIGRANTE</v>
      </c>
      <c r="B27" s="29" t="s">
        <v>537</v>
      </c>
      <c r="C27" s="29" t="s">
        <v>546</v>
      </c>
      <c r="D27" s="30" t="s">
        <v>345</v>
      </c>
      <c r="E27" s="29" t="s">
        <v>547</v>
      </c>
      <c r="F27" s="29" t="str">
        <f>CONCATENATE($O$5,".",$P$5,".",$O$2,".",$S$5+25)</f>
        <v>10.39.16.26</v>
      </c>
      <c r="G27" s="31" t="str" cm="1">
        <f t="array" ref="G27">_xlfn.IFS($Q$5=26,"255.255.255.192",$Q$5=27,"255.255.255.224")</f>
        <v>255.255.255.192</v>
      </c>
      <c r="H27" s="29" t="str">
        <f t="shared" si="0"/>
        <v>10.39.16.1</v>
      </c>
      <c r="I27" s="25"/>
      <c r="J27" s="22" t="s">
        <v>548</v>
      </c>
      <c r="K27" s="22" t="s">
        <v>549</v>
      </c>
      <c r="L27" s="22" t="str">
        <f t="shared" si="6"/>
        <v>0x001</v>
      </c>
      <c r="M27" s="22">
        <v>1</v>
      </c>
    </row>
    <row r="28" spans="1:13" s="39" customFormat="1" x14ac:dyDescent="0.25">
      <c r="A28" s="35" t="str">
        <f t="shared" si="1"/>
        <v>SE - IMIGRANTE</v>
      </c>
      <c r="B28" s="35" t="s">
        <v>506</v>
      </c>
      <c r="C28" s="35" t="s">
        <v>188</v>
      </c>
      <c r="D28" s="36" t="s">
        <v>188</v>
      </c>
      <c r="E28" s="35" t="s">
        <v>188</v>
      </c>
      <c r="F28" s="35" t="str">
        <f>CONCATENATE($O$5,".",$P$5,".",$O$2,".",$S$5+26)</f>
        <v>10.39.16.27</v>
      </c>
      <c r="G28" s="37" t="str" cm="1">
        <f t="array" ref="G28">_xlfn.IFS($Q$5=26,"255.255.255.192",$Q$5=27,"255.255.255.224")</f>
        <v>255.255.255.192</v>
      </c>
      <c r="H28" s="35" t="str">
        <f t="shared" si="0"/>
        <v>10.39.16.1</v>
      </c>
      <c r="I28" s="38"/>
      <c r="J28" s="35" t="s">
        <v>550</v>
      </c>
      <c r="K28" s="35" t="s">
        <v>551</v>
      </c>
      <c r="L28" s="35" t="str">
        <f t="shared" si="6"/>
        <v>0x001</v>
      </c>
      <c r="M28" s="35">
        <v>1</v>
      </c>
    </row>
    <row r="29" spans="1:13" x14ac:dyDescent="0.25">
      <c r="A29" s="22" t="str">
        <f t="shared" si="1"/>
        <v>SE - IMIGRANTE</v>
      </c>
      <c r="B29" s="29" t="s">
        <v>537</v>
      </c>
      <c r="C29" s="29" t="s">
        <v>552</v>
      </c>
      <c r="D29" s="30" t="s">
        <v>397</v>
      </c>
      <c r="E29" s="29" t="s">
        <v>553</v>
      </c>
      <c r="F29" s="29" t="str">
        <f>CONCATENATE($O$5,".",$P$5,".",$O$2,".",$S$5+27)</f>
        <v>10.39.16.28</v>
      </c>
      <c r="G29" s="31" t="str" cm="1">
        <f t="array" ref="G29">_xlfn.IFS($Q$5=26,"255.255.255.192",$Q$5=27,"255.255.255.224")</f>
        <v>255.255.255.192</v>
      </c>
      <c r="H29" s="29" t="str">
        <f t="shared" si="0"/>
        <v>10.39.16.1</v>
      </c>
      <c r="I29" s="25"/>
      <c r="J29" s="22" t="s">
        <v>554</v>
      </c>
      <c r="K29" s="22" t="s">
        <v>555</v>
      </c>
      <c r="L29" s="22" t="str">
        <f t="shared" si="6"/>
        <v>0x001</v>
      </c>
      <c r="M29" s="22">
        <v>1</v>
      </c>
    </row>
    <row r="30" spans="1:13" x14ac:dyDescent="0.25">
      <c r="A30" s="22" t="str">
        <f t="shared" si="1"/>
        <v>SE - IMIGRANTE</v>
      </c>
      <c r="B30" s="29" t="s">
        <v>513</v>
      </c>
      <c r="C30" s="29" t="s">
        <v>556</v>
      </c>
      <c r="D30" s="30" t="s">
        <v>401</v>
      </c>
      <c r="E30" s="29" t="s">
        <v>557</v>
      </c>
      <c r="F30" s="29" t="str">
        <f>CONCATENATE($O$5,".",$P$5,".",$O$2,".",$S$5+28)</f>
        <v>10.39.16.29</v>
      </c>
      <c r="G30" s="31" t="str" cm="1">
        <f t="array" ref="G30">_xlfn.IFS($Q$5=26,"255.255.255.192",$Q$5=27,"255.255.255.224")</f>
        <v>255.255.255.192</v>
      </c>
      <c r="H30" s="29" t="str">
        <f t="shared" si="0"/>
        <v>10.39.16.1</v>
      </c>
      <c r="I30" s="25"/>
      <c r="J30" s="22" t="s">
        <v>558</v>
      </c>
      <c r="K30" s="22" t="s">
        <v>559</v>
      </c>
      <c r="L30" s="22" t="str">
        <f t="shared" si="6"/>
        <v>0x001</v>
      </c>
      <c r="M30" s="22">
        <v>1</v>
      </c>
    </row>
    <row r="31" spans="1:13" s="39" customFormat="1" x14ac:dyDescent="0.25">
      <c r="A31" s="35" t="str">
        <f t="shared" si="1"/>
        <v>SE - IMIGRANTE</v>
      </c>
      <c r="B31" s="35" t="s">
        <v>506</v>
      </c>
      <c r="C31" s="35" t="s">
        <v>188</v>
      </c>
      <c r="D31" s="36" t="s">
        <v>188</v>
      </c>
      <c r="E31" s="35" t="s">
        <v>188</v>
      </c>
      <c r="F31" s="35" t="str">
        <f>CONCATENATE($O$5,".",$P$5,".",$O$2,".",$S$5+29)</f>
        <v>10.39.16.30</v>
      </c>
      <c r="G31" s="37" t="str" cm="1">
        <f t="array" ref="G31">_xlfn.IFS($Q$5=26,"255.255.255.192",$Q$5=27,"255.255.255.224")</f>
        <v>255.255.255.192</v>
      </c>
      <c r="H31" s="35" t="str">
        <f t="shared" si="0"/>
        <v>10.39.16.1</v>
      </c>
      <c r="I31" s="38"/>
      <c r="J31" s="35" t="s">
        <v>560</v>
      </c>
      <c r="K31" s="35" t="s">
        <v>561</v>
      </c>
      <c r="L31" s="35" t="str">
        <f t="shared" si="6"/>
        <v>0x001</v>
      </c>
      <c r="M31" s="35">
        <v>1</v>
      </c>
    </row>
    <row r="32" spans="1:13" s="39" customFormat="1" x14ac:dyDescent="0.25">
      <c r="A32" s="35" t="str">
        <f t="shared" si="1"/>
        <v>SE - IMIGRANTE</v>
      </c>
      <c r="B32" s="35" t="s">
        <v>506</v>
      </c>
      <c r="C32" s="35" t="s">
        <v>188</v>
      </c>
      <c r="D32" s="36" t="s">
        <v>188</v>
      </c>
      <c r="E32" s="35" t="s">
        <v>188</v>
      </c>
      <c r="F32" s="35" t="str">
        <f>CONCATENATE($O$5,".",$P$5,".",$O$2,".",$S$5+30)</f>
        <v>10.39.16.31</v>
      </c>
      <c r="G32" s="37" t="str" cm="1">
        <f t="array" ref="G32">_xlfn.IFS($Q$5=26,"255.255.255.192",$Q$5=27,"255.255.255.224")</f>
        <v>255.255.255.192</v>
      </c>
      <c r="H32" s="35" t="str">
        <f t="shared" si="0"/>
        <v>10.39.16.1</v>
      </c>
      <c r="I32" s="38"/>
      <c r="J32" s="35" t="s">
        <v>562</v>
      </c>
      <c r="K32" s="35" t="s">
        <v>563</v>
      </c>
      <c r="L32" s="35" t="str">
        <f t="shared" si="6"/>
        <v>0x001</v>
      </c>
      <c r="M32" s="35">
        <v>1</v>
      </c>
    </row>
    <row r="33" spans="1:13" s="39" customFormat="1" x14ac:dyDescent="0.25">
      <c r="A33" s="35" t="str">
        <f t="shared" si="1"/>
        <v>SE - IMIGRANTE</v>
      </c>
      <c r="B33" s="35" t="s">
        <v>506</v>
      </c>
      <c r="C33" s="35" t="s">
        <v>188</v>
      </c>
      <c r="D33" s="36" t="s">
        <v>188</v>
      </c>
      <c r="E33" s="35" t="s">
        <v>188</v>
      </c>
      <c r="F33" s="35" t="str">
        <f>CONCATENATE($O$5,".",$P$5,".",$O$2,".",$S$5+31)</f>
        <v>10.39.16.32</v>
      </c>
      <c r="G33" s="37" t="str" cm="1">
        <f t="array" ref="G33">_xlfn.IFS($Q$5=26,"255.255.255.192",$Q$5=27,"255.255.255.224")</f>
        <v>255.255.255.192</v>
      </c>
      <c r="H33" s="35" t="str">
        <f t="shared" si="0"/>
        <v>10.39.16.1</v>
      </c>
    </row>
    <row r="34" spans="1:13" s="39" customFormat="1" x14ac:dyDescent="0.25">
      <c r="A34" s="35" t="str">
        <f t="shared" si="1"/>
        <v>SE - IMIGRANTE</v>
      </c>
      <c r="B34" s="35" t="s">
        <v>506</v>
      </c>
      <c r="C34" s="35" t="s">
        <v>188</v>
      </c>
      <c r="D34" s="36" t="s">
        <v>188</v>
      </c>
      <c r="E34" s="35" t="s">
        <v>188</v>
      </c>
      <c r="F34" s="35" t="str">
        <f>CONCATENATE($O$5,".",$P$5,".",$O$2,".",$S$5+32)</f>
        <v>10.39.16.33</v>
      </c>
      <c r="G34" s="37" t="str" cm="1">
        <f t="array" ref="G34">_xlfn.IFS($Q$5=26,"255.255.255.192",$Q$5=27,"255.255.255.224")</f>
        <v>255.255.255.192</v>
      </c>
      <c r="H34" s="35" t="str">
        <f t="shared" si="0"/>
        <v>10.39.16.1</v>
      </c>
    </row>
    <row r="35" spans="1:13" x14ac:dyDescent="0.25">
      <c r="A35" s="22" t="str">
        <f t="shared" si="1"/>
        <v>SE - IMIGRANTE</v>
      </c>
      <c r="B35" s="29" t="s">
        <v>564</v>
      </c>
      <c r="C35" s="29" t="s">
        <v>565</v>
      </c>
      <c r="D35" s="30" t="s">
        <v>566</v>
      </c>
      <c r="E35" s="29" t="s">
        <v>567</v>
      </c>
      <c r="F35" s="29" t="str">
        <f>CONCATENATE($O$5,".",$P$5,".",$O$2,".",$S$5+33)</f>
        <v>10.39.16.34</v>
      </c>
      <c r="G35" s="31" t="str" cm="1">
        <f t="array" ref="G35">_xlfn.IFS($Q$5=26,"255.255.255.192",$Q$5=27,"255.255.255.224")</f>
        <v>255.255.255.192</v>
      </c>
      <c r="H35" s="29" t="str">
        <f t="shared" si="0"/>
        <v>10.39.16.1</v>
      </c>
    </row>
    <row r="36" spans="1:13" x14ac:dyDescent="0.25">
      <c r="A36" s="22" t="str">
        <f t="shared" si="1"/>
        <v>SE - IMIGRANTE</v>
      </c>
      <c r="B36" s="29" t="s">
        <v>568</v>
      </c>
      <c r="C36" s="29" t="s">
        <v>569</v>
      </c>
      <c r="D36" s="30" t="s">
        <v>570</v>
      </c>
      <c r="E36" s="29" t="s">
        <v>571</v>
      </c>
      <c r="F36" s="29" t="str">
        <f>CONCATENATE($O$5,".",$P$5,".",$O$2,".",$S$5+34)</f>
        <v>10.39.16.35</v>
      </c>
      <c r="G36" s="31" t="str" cm="1">
        <f t="array" ref="G36">_xlfn.IFS($Q$5=26,"255.255.255.192",$Q$5=27,"255.255.255.224")</f>
        <v>255.255.255.192</v>
      </c>
      <c r="H36" s="29" t="str">
        <f t="shared" si="0"/>
        <v>10.39.16.1</v>
      </c>
    </row>
    <row r="37" spans="1:13" x14ac:dyDescent="0.25">
      <c r="A37" s="22" t="str">
        <f t="shared" si="1"/>
        <v>SE - IMIGRANTE</v>
      </c>
      <c r="B37" s="29" t="s">
        <v>572</v>
      </c>
      <c r="C37" s="29" t="s">
        <v>573</v>
      </c>
      <c r="D37" s="30" t="s">
        <v>574</v>
      </c>
      <c r="E37" s="29" t="s">
        <v>575</v>
      </c>
      <c r="F37" s="29" t="str">
        <f>CONCATENATE($O$5,".",$P$5,".",$O$2,".",$S$5+35)</f>
        <v>10.39.16.36</v>
      </c>
      <c r="G37" s="31" t="str" cm="1">
        <f t="array" ref="G37">_xlfn.IFS($Q$5=26,"255.255.255.192",$Q$5=27,"255.255.255.224")</f>
        <v>255.255.255.192</v>
      </c>
      <c r="H37" s="29" t="str">
        <f t="shared" si="0"/>
        <v>10.39.16.1</v>
      </c>
    </row>
    <row r="38" spans="1:13" s="39" customFormat="1" x14ac:dyDescent="0.25">
      <c r="A38" s="35" t="str">
        <f t="shared" si="1"/>
        <v>SE - IMIGRANTE</v>
      </c>
      <c r="B38" s="35" t="s">
        <v>506</v>
      </c>
      <c r="C38" s="35" t="s">
        <v>188</v>
      </c>
      <c r="D38" s="36" t="s">
        <v>188</v>
      </c>
      <c r="E38" s="35" t="s">
        <v>188</v>
      </c>
      <c r="F38" s="35" t="str">
        <f>CONCATENATE($O$5,".",$P$5,".",$O$2,".",$S$5+36)</f>
        <v>10.39.16.37</v>
      </c>
      <c r="G38" s="37" t="str" cm="1">
        <f t="array" ref="G38">_xlfn.IFS($Q$5=26,"255.255.255.192",$Q$5=27,"255.255.255.224")</f>
        <v>255.255.255.192</v>
      </c>
      <c r="H38" s="35" t="str">
        <f t="shared" si="0"/>
        <v>10.39.16.1</v>
      </c>
    </row>
    <row r="39" spans="1:13" s="39" customFormat="1" x14ac:dyDescent="0.25">
      <c r="A39" s="35" t="str">
        <f t="shared" si="1"/>
        <v>SE - IMIGRANTE</v>
      </c>
      <c r="B39" s="35" t="s">
        <v>506</v>
      </c>
      <c r="C39" s="35" t="s">
        <v>188</v>
      </c>
      <c r="D39" s="36" t="s">
        <v>188</v>
      </c>
      <c r="E39" s="35" t="s">
        <v>188</v>
      </c>
      <c r="F39" s="35" t="str">
        <f>CONCATENATE($O$5,".",$P$5,".",$O$2,".",$S$5+37)</f>
        <v>10.39.16.38</v>
      </c>
      <c r="G39" s="37" t="str" cm="1">
        <f t="array" ref="G39">_xlfn.IFS($Q$5=26,"255.255.255.192",$Q$5=27,"255.255.255.224")</f>
        <v>255.255.255.192</v>
      </c>
      <c r="H39" s="35" t="str">
        <f t="shared" si="0"/>
        <v>10.39.16.1</v>
      </c>
    </row>
    <row r="40" spans="1:13" s="39" customFormat="1" x14ac:dyDescent="0.25">
      <c r="A40" s="35" t="str">
        <f t="shared" si="1"/>
        <v>SE - IMIGRANTE</v>
      </c>
      <c r="B40" s="35" t="s">
        <v>506</v>
      </c>
      <c r="C40" s="35" t="s">
        <v>188</v>
      </c>
      <c r="D40" s="36" t="s">
        <v>188</v>
      </c>
      <c r="E40" s="35" t="s">
        <v>188</v>
      </c>
      <c r="F40" s="35" t="str">
        <f>CONCATENATE($O$5,".",$P$5,".",$O$2,".",$S$5+38)</f>
        <v>10.39.16.39</v>
      </c>
      <c r="G40" s="37" t="str" cm="1">
        <f t="array" ref="G40">_xlfn.IFS($Q$5=26,"255.255.255.192",$Q$5=27,"255.255.255.224")</f>
        <v>255.255.255.192</v>
      </c>
      <c r="H40" s="35" t="str">
        <f t="shared" si="0"/>
        <v>10.39.16.1</v>
      </c>
    </row>
    <row r="41" spans="1:13" s="39" customFormat="1" x14ac:dyDescent="0.25">
      <c r="A41" s="22" t="str">
        <f t="shared" si="1"/>
        <v>SE - IMIGRANTE</v>
      </c>
      <c r="B41" s="29" t="s">
        <v>732</v>
      </c>
      <c r="C41" s="29" t="s">
        <v>731</v>
      </c>
      <c r="D41" s="30" t="s">
        <v>131</v>
      </c>
      <c r="E41" s="29" t="s">
        <v>733</v>
      </c>
      <c r="F41" s="29" t="str">
        <f>CONCATENATE($O$5,".",$P$5,".",$O$2,".",$S$5+39)</f>
        <v>10.39.16.40</v>
      </c>
      <c r="G41" s="31" t="str" cm="1">
        <f t="array" ref="G41">_xlfn.IFS($Q$5=26,"255.255.255.192",$Q$5=27,"255.255.255.224")</f>
        <v>255.255.255.192</v>
      </c>
      <c r="H41" s="29" t="str">
        <f t="shared" si="0"/>
        <v>10.39.16.1</v>
      </c>
    </row>
    <row r="42" spans="1:13" x14ac:dyDescent="0.25">
      <c r="A42" s="32" t="str">
        <f t="shared" si="1"/>
        <v>SE - IMIGRANTE</v>
      </c>
      <c r="B42" s="32" t="s">
        <v>576</v>
      </c>
      <c r="C42" s="32" t="s">
        <v>577</v>
      </c>
      <c r="D42" s="33" t="s">
        <v>297</v>
      </c>
      <c r="E42" s="32" t="s">
        <v>578</v>
      </c>
      <c r="F42" s="32" t="str">
        <f>CONCATENATE($O$5,".",$P$5,".",$O$2,".",$S$5+40)</f>
        <v>10.39.16.41</v>
      </c>
      <c r="G42" s="34" t="str" cm="1">
        <f t="array" ref="G42">_xlfn.IFS($Q$5=26,"255.255.255.192",$Q$5=27,"255.255.255.224")</f>
        <v>255.255.255.192</v>
      </c>
      <c r="H42" s="32" t="str">
        <f t="shared" si="0"/>
        <v>10.39.16.1</v>
      </c>
    </row>
    <row r="43" spans="1:13" x14ac:dyDescent="0.25">
      <c r="A43" s="32" t="str">
        <f t="shared" si="1"/>
        <v>SE - IMIGRANTE</v>
      </c>
      <c r="B43" s="32" t="s">
        <v>576</v>
      </c>
      <c r="C43" s="32" t="s">
        <v>579</v>
      </c>
      <c r="D43" s="33" t="s">
        <v>297</v>
      </c>
      <c r="E43" s="32" t="s">
        <v>578</v>
      </c>
      <c r="F43" s="32" t="str">
        <f>CONCATENATE($O$5,".",$P$5,".",$O$2,".",$S$5+41)</f>
        <v>10.39.16.42</v>
      </c>
      <c r="G43" s="34" t="str" cm="1">
        <f t="array" ref="G43">_xlfn.IFS($Q$5=26,"255.255.255.192",$Q$5=27,"255.255.255.224")</f>
        <v>255.255.255.192</v>
      </c>
      <c r="H43" s="32" t="str">
        <f t="shared" si="0"/>
        <v>10.39.16.1</v>
      </c>
    </row>
    <row r="44" spans="1:13" x14ac:dyDescent="0.25">
      <c r="A44" s="32" t="str">
        <f t="shared" si="1"/>
        <v>SE - IMIGRANTE</v>
      </c>
      <c r="B44" s="32" t="s">
        <v>580</v>
      </c>
      <c r="C44" s="32" t="s">
        <v>581</v>
      </c>
      <c r="D44" s="33" t="s">
        <v>306</v>
      </c>
      <c r="E44" s="32" t="s">
        <v>582</v>
      </c>
      <c r="F44" s="32" t="str">
        <f>CONCATENATE($O$5,".",$P$5,".",$O$2,".",$S$5+42)</f>
        <v>10.39.16.43</v>
      </c>
      <c r="G44" s="34" t="str" cm="1">
        <f t="array" ref="G44">_xlfn.IFS($Q$5=26,"255.255.255.192",$Q$5=27,"255.255.255.224")</f>
        <v>255.255.255.192</v>
      </c>
      <c r="H44" s="32" t="str">
        <f t="shared" si="0"/>
        <v>10.39.16.1</v>
      </c>
    </row>
    <row r="45" spans="1:13" x14ac:dyDescent="0.25">
      <c r="A45" s="32" t="str">
        <f t="shared" si="1"/>
        <v>SE - IMIGRANTE</v>
      </c>
      <c r="B45" s="32" t="s">
        <v>580</v>
      </c>
      <c r="C45" s="32" t="s">
        <v>583</v>
      </c>
      <c r="D45" s="33" t="s">
        <v>306</v>
      </c>
      <c r="E45" s="32" t="s">
        <v>582</v>
      </c>
      <c r="F45" s="32" t="str">
        <f>CONCATENATE($O$5,".",$P$5,".",$O$2,".",$S$5+43)</f>
        <v>10.39.16.44</v>
      </c>
      <c r="G45" s="34" t="str" cm="1">
        <f t="array" ref="G45">_xlfn.IFS($Q$5=26,"255.255.255.192",$Q$5=27,"255.255.255.224")</f>
        <v>255.255.255.192</v>
      </c>
      <c r="H45" s="32" t="str">
        <f t="shared" si="0"/>
        <v>10.39.16.1</v>
      </c>
      <c r="I45" s="40"/>
      <c r="J45" s="41"/>
      <c r="K45" s="41"/>
      <c r="L45" s="41" t="str">
        <f t="shared" ref="L45:L58" si="7">"0x" &amp; DEC2HEX(M45,3)</f>
        <v>0x000</v>
      </c>
      <c r="M45" s="42"/>
    </row>
    <row r="46" spans="1:13" x14ac:dyDescent="0.25">
      <c r="A46" s="22" t="str">
        <f t="shared" si="1"/>
        <v>SE - IMIGRANTE</v>
      </c>
      <c r="B46" s="29" t="s">
        <v>584</v>
      </c>
      <c r="C46" s="29" t="s">
        <v>585</v>
      </c>
      <c r="D46" s="30" t="s">
        <v>294</v>
      </c>
      <c r="E46" s="29" t="s">
        <v>586</v>
      </c>
      <c r="F46" s="29" t="str">
        <f>CONCATENATE($O$5,".",$P$5,".",$O$2,".",$S$5+44)</f>
        <v>10.39.16.45</v>
      </c>
      <c r="G46" s="31" t="str" cm="1">
        <f t="array" ref="G46">_xlfn.IFS($Q$5=26,"255.255.255.192",$Q$5=27,"255.255.255.224")</f>
        <v>255.255.255.192</v>
      </c>
      <c r="H46" s="29" t="str">
        <f t="shared" si="0"/>
        <v>10.39.16.1</v>
      </c>
      <c r="I46" s="40"/>
      <c r="J46" s="41"/>
      <c r="K46" s="41"/>
      <c r="L46" s="41" t="str">
        <f t="shared" si="7"/>
        <v>0x000</v>
      </c>
      <c r="M46" s="42"/>
    </row>
    <row r="47" spans="1:13" x14ac:dyDescent="0.25">
      <c r="A47" s="22" t="str">
        <f t="shared" si="1"/>
        <v>SE - IMIGRANTE</v>
      </c>
      <c r="B47" s="29" t="s">
        <v>584</v>
      </c>
      <c r="C47" s="29" t="s">
        <v>587</v>
      </c>
      <c r="D47" s="30" t="s">
        <v>294</v>
      </c>
      <c r="E47" s="29" t="s">
        <v>586</v>
      </c>
      <c r="F47" s="29" t="str">
        <f>CONCATENATE($O$5,".",$P$5,".",$O$2,".",$S$5+45)</f>
        <v>10.39.16.46</v>
      </c>
      <c r="G47" s="31" t="str" cm="1">
        <f t="array" ref="G47">_xlfn.IFS($Q$5=26,"255.255.255.192",$Q$5=27,"255.255.255.224")</f>
        <v>255.255.255.192</v>
      </c>
      <c r="H47" s="29" t="str">
        <f t="shared" si="0"/>
        <v>10.39.16.1</v>
      </c>
      <c r="I47" s="40"/>
      <c r="J47" s="41"/>
      <c r="K47" s="41"/>
      <c r="L47" s="41" t="str">
        <f t="shared" si="7"/>
        <v>0x000</v>
      </c>
      <c r="M47" s="42"/>
    </row>
    <row r="48" spans="1:13" x14ac:dyDescent="0.25">
      <c r="A48" s="22" t="str">
        <f t="shared" si="1"/>
        <v>SE - IMIGRANTE</v>
      </c>
      <c r="B48" s="29" t="s">
        <v>588</v>
      </c>
      <c r="C48" s="29" t="s">
        <v>589</v>
      </c>
      <c r="D48" s="30" t="s">
        <v>305</v>
      </c>
      <c r="E48" s="29" t="s">
        <v>590</v>
      </c>
      <c r="F48" s="29" t="str">
        <f>CONCATENATE($O$5,".",$P$5,".",$O$2,".",$S$5+46)</f>
        <v>10.39.16.47</v>
      </c>
      <c r="G48" s="31" t="str" cm="1">
        <f t="array" ref="G48">_xlfn.IFS($Q$5=26,"255.255.255.192",$Q$5=27,"255.255.255.224")</f>
        <v>255.255.255.192</v>
      </c>
      <c r="H48" s="29" t="str">
        <f t="shared" si="0"/>
        <v>10.39.16.1</v>
      </c>
      <c r="I48" s="40"/>
      <c r="J48" s="41"/>
      <c r="K48" s="41"/>
      <c r="L48" s="41" t="str">
        <f t="shared" si="7"/>
        <v>0x000</v>
      </c>
      <c r="M48" s="42"/>
    </row>
    <row r="49" spans="1:13" x14ac:dyDescent="0.25">
      <c r="A49" s="22" t="str">
        <f t="shared" si="1"/>
        <v>SE - IMIGRANTE</v>
      </c>
      <c r="B49" s="29" t="s">
        <v>588</v>
      </c>
      <c r="C49" s="29" t="s">
        <v>591</v>
      </c>
      <c r="D49" s="30" t="s">
        <v>305</v>
      </c>
      <c r="E49" s="29" t="s">
        <v>590</v>
      </c>
      <c r="F49" s="29" t="str">
        <f>CONCATENATE($O$5,".",$P$5,".",$O$2,".",$S$5+47)</f>
        <v>10.39.16.48</v>
      </c>
      <c r="G49" s="31" t="str" cm="1">
        <f t="array" ref="G49">_xlfn.IFS($Q$5=26,"255.255.255.192",$Q$5=27,"255.255.255.224")</f>
        <v>255.255.255.192</v>
      </c>
      <c r="H49" s="29" t="str">
        <f t="shared" si="0"/>
        <v>10.39.16.1</v>
      </c>
      <c r="I49" s="40"/>
      <c r="J49" s="41"/>
      <c r="K49" s="41"/>
      <c r="L49" s="41" t="str">
        <f t="shared" si="7"/>
        <v>0x000</v>
      </c>
      <c r="M49" s="42"/>
    </row>
    <row r="50" spans="1:13" s="39" customFormat="1" x14ac:dyDescent="0.25">
      <c r="A50" s="35" t="str">
        <f t="shared" si="1"/>
        <v>SE - IMIGRANTE</v>
      </c>
      <c r="B50" s="35" t="s">
        <v>506</v>
      </c>
      <c r="C50" s="35" t="s">
        <v>188</v>
      </c>
      <c r="D50" s="36" t="s">
        <v>188</v>
      </c>
      <c r="E50" s="35" t="s">
        <v>188</v>
      </c>
      <c r="F50" s="35" t="str">
        <f>CONCATENATE($O$5,".",$P$5,".",$O$2,".",$S$5+48)</f>
        <v>10.39.16.49</v>
      </c>
      <c r="G50" s="37" t="str" cm="1">
        <f t="array" ref="G50">_xlfn.IFS($Q$5=26,"255.255.255.192",$Q$5=27,"255.255.255.224")</f>
        <v>255.255.255.192</v>
      </c>
      <c r="H50" s="35" t="str">
        <f t="shared" si="0"/>
        <v>10.39.16.1</v>
      </c>
      <c r="I50" s="43"/>
      <c r="J50" s="44"/>
      <c r="K50" s="44"/>
      <c r="L50" s="44" t="str">
        <f t="shared" si="7"/>
        <v>0x000</v>
      </c>
      <c r="M50" s="45"/>
    </row>
    <row r="51" spans="1:13" x14ac:dyDescent="0.25">
      <c r="A51" s="32" t="str">
        <f t="shared" si="1"/>
        <v>SE - IMIGRANTE</v>
      </c>
      <c r="B51" s="32" t="s">
        <v>592</v>
      </c>
      <c r="C51" s="32" t="s">
        <v>593</v>
      </c>
      <c r="D51" s="33" t="s">
        <v>327</v>
      </c>
      <c r="E51" s="32" t="s">
        <v>594</v>
      </c>
      <c r="F51" s="32" t="str">
        <f>CONCATENATE($O$5,".",$P$5,".",$O$2,".",$S$5+49)</f>
        <v>10.39.16.50</v>
      </c>
      <c r="G51" s="34" t="str" cm="1">
        <f t="array" ref="G51">_xlfn.IFS($Q$5=26,"255.255.255.192",$Q$5=27,"255.255.255.224")</f>
        <v>255.255.255.192</v>
      </c>
      <c r="H51" s="32" t="str">
        <f t="shared" si="0"/>
        <v>10.39.16.1</v>
      </c>
      <c r="I51" s="46"/>
      <c r="J51" s="47"/>
      <c r="K51" s="47"/>
      <c r="L51" s="47" t="str">
        <f t="shared" si="7"/>
        <v>0x000</v>
      </c>
      <c r="M51" s="48"/>
    </row>
    <row r="52" spans="1:13" s="39" customFormat="1" x14ac:dyDescent="0.25">
      <c r="A52" s="22" t="str">
        <f t="shared" si="1"/>
        <v>SE - IMIGRANTE</v>
      </c>
      <c r="B52" s="29" t="s">
        <v>595</v>
      </c>
      <c r="C52" s="29" t="s">
        <v>596</v>
      </c>
      <c r="D52" s="30" t="s">
        <v>314</v>
      </c>
      <c r="E52" s="29" t="s">
        <v>597</v>
      </c>
      <c r="F52" s="35" t="str">
        <f>CONCATENATE($O$5,".",$P$5,".",$O$2,".",$S$5+50)</f>
        <v>10.39.16.51</v>
      </c>
      <c r="G52" s="37" t="str" cm="1">
        <f t="array" ref="G52">_xlfn.IFS($Q$5=26,"255.255.255.192",$Q$5=27,"255.255.255.224")</f>
        <v>255.255.255.192</v>
      </c>
      <c r="H52" s="35" t="str">
        <f t="shared" si="0"/>
        <v>10.39.16.1</v>
      </c>
      <c r="I52" s="43"/>
      <c r="J52" s="44"/>
      <c r="K52" s="44"/>
      <c r="L52" s="44" t="str">
        <f t="shared" si="7"/>
        <v>0x000</v>
      </c>
      <c r="M52" s="45"/>
    </row>
    <row r="53" spans="1:13" s="39" customFormat="1" x14ac:dyDescent="0.25">
      <c r="A53" s="22" t="str">
        <f t="shared" si="1"/>
        <v>SE - IMIGRANTE</v>
      </c>
      <c r="B53" s="29" t="s">
        <v>595</v>
      </c>
      <c r="C53" s="29" t="s">
        <v>598</v>
      </c>
      <c r="D53" s="30" t="s">
        <v>316</v>
      </c>
      <c r="E53" s="29" t="s">
        <v>599</v>
      </c>
      <c r="F53" s="35" t="str">
        <f>CONCATENATE($O$5,".",$P$5,".",$O$2,".",$S$5+51)</f>
        <v>10.39.16.52</v>
      </c>
      <c r="G53" s="37" t="str" cm="1">
        <f t="array" ref="G53">_xlfn.IFS($Q$5=26,"255.255.255.192",$Q$5=27,"255.255.255.224")</f>
        <v>255.255.255.192</v>
      </c>
      <c r="H53" s="35" t="str">
        <f t="shared" si="0"/>
        <v>10.39.16.1</v>
      </c>
      <c r="I53" s="43"/>
      <c r="J53" s="44"/>
      <c r="K53" s="44"/>
      <c r="L53" s="44" t="str">
        <f t="shared" si="7"/>
        <v>0x000</v>
      </c>
      <c r="M53" s="45"/>
    </row>
    <row r="54" spans="1:13" s="39" customFormat="1" x14ac:dyDescent="0.25">
      <c r="A54" s="22" t="str">
        <f t="shared" si="1"/>
        <v>SE - IMIGRANTE</v>
      </c>
      <c r="B54" s="29" t="s">
        <v>600</v>
      </c>
      <c r="C54" s="29" t="s">
        <v>601</v>
      </c>
      <c r="D54" s="30" t="s">
        <v>600</v>
      </c>
      <c r="E54" s="29">
        <v>2414</v>
      </c>
      <c r="F54" s="35" t="str">
        <f>CONCATENATE($O$5,".",$P$5,".",$O$2,".",$S$5+52)</f>
        <v>10.39.16.53</v>
      </c>
      <c r="G54" s="37" t="str" cm="1">
        <f t="array" ref="G54">_xlfn.IFS($Q$5=26,"255.255.255.192",$Q$5=27,"255.255.255.224")</f>
        <v>255.255.255.192</v>
      </c>
      <c r="H54" s="35" t="str">
        <f t="shared" si="0"/>
        <v>10.39.16.1</v>
      </c>
      <c r="I54" s="43"/>
      <c r="J54" s="44"/>
      <c r="K54" s="44"/>
      <c r="L54" s="44" t="str">
        <f t="shared" si="7"/>
        <v>0x000</v>
      </c>
      <c r="M54" s="45"/>
    </row>
    <row r="55" spans="1:13" s="39" customFormat="1" x14ac:dyDescent="0.25">
      <c r="A55" s="22" t="str">
        <f t="shared" si="1"/>
        <v>SE - IMIGRANTE</v>
      </c>
      <c r="B55" s="29" t="s">
        <v>602</v>
      </c>
      <c r="C55" s="29" t="s">
        <v>603</v>
      </c>
      <c r="D55" s="30" t="s">
        <v>315</v>
      </c>
      <c r="E55" s="29" t="s">
        <v>597</v>
      </c>
      <c r="F55" s="35" t="str">
        <f>CONCATENATE($O$5,".",$P$5,".",$O$2,".",$S$5+53)</f>
        <v>10.39.16.54</v>
      </c>
      <c r="G55" s="37" t="str" cm="1">
        <f t="array" ref="G55">_xlfn.IFS($Q$5=26,"255.255.255.192",$Q$5=27,"255.255.255.224")</f>
        <v>255.255.255.192</v>
      </c>
      <c r="H55" s="35" t="str">
        <f t="shared" si="0"/>
        <v>10.39.16.1</v>
      </c>
      <c r="I55" s="43"/>
      <c r="J55" s="44"/>
      <c r="K55" s="44"/>
      <c r="L55" s="44" t="str">
        <f t="shared" si="7"/>
        <v>0x000</v>
      </c>
      <c r="M55" s="45"/>
    </row>
    <row r="56" spans="1:13" s="39" customFormat="1" x14ac:dyDescent="0.25">
      <c r="A56" s="22" t="str">
        <f t="shared" si="1"/>
        <v>SE - IMIGRANTE</v>
      </c>
      <c r="B56" s="29" t="s">
        <v>602</v>
      </c>
      <c r="C56" s="29" t="s">
        <v>604</v>
      </c>
      <c r="D56" s="30" t="s">
        <v>349</v>
      </c>
      <c r="E56" s="29" t="s">
        <v>599</v>
      </c>
      <c r="F56" s="35" t="str">
        <f>CONCATENATE($O$5,".",$P$5,".",$O$2,".",$S$5+54)</f>
        <v>10.39.16.55</v>
      </c>
      <c r="G56" s="37" t="str" cm="1">
        <f t="array" ref="G56">_xlfn.IFS($Q$5=26,"255.255.255.192",$Q$5=27,"255.255.255.224")</f>
        <v>255.255.255.192</v>
      </c>
      <c r="H56" s="35" t="str">
        <f t="shared" si="0"/>
        <v>10.39.16.1</v>
      </c>
      <c r="I56" s="43"/>
      <c r="J56" s="44"/>
      <c r="K56" s="44"/>
      <c r="L56" s="44" t="str">
        <f t="shared" si="7"/>
        <v>0x000</v>
      </c>
      <c r="M56" s="45"/>
    </row>
    <row r="57" spans="1:13" s="39" customFormat="1" x14ac:dyDescent="0.25">
      <c r="A57" s="22" t="str">
        <f t="shared" si="1"/>
        <v>SE - IMIGRANTE</v>
      </c>
      <c r="B57" s="29" t="s">
        <v>605</v>
      </c>
      <c r="C57" s="29" t="s">
        <v>606</v>
      </c>
      <c r="D57" s="30" t="s">
        <v>605</v>
      </c>
      <c r="E57" s="29">
        <v>2414</v>
      </c>
      <c r="F57" s="35" t="str">
        <f>CONCATENATE($O$5,".",$P$5,".",$O$2,".",$S$5+55)</f>
        <v>10.39.16.56</v>
      </c>
      <c r="G57" s="37" t="str" cm="1">
        <f t="array" ref="G57">_xlfn.IFS($Q$5=26,"255.255.255.192",$Q$5=27,"255.255.255.224")</f>
        <v>255.255.255.192</v>
      </c>
      <c r="H57" s="35" t="str">
        <f t="shared" si="0"/>
        <v>10.39.16.1</v>
      </c>
      <c r="I57" s="43"/>
      <c r="J57" s="44"/>
      <c r="K57" s="44"/>
      <c r="L57" s="44" t="str">
        <f t="shared" si="7"/>
        <v>0x000</v>
      </c>
      <c r="M57" s="45"/>
    </row>
    <row r="58" spans="1:13" s="39" customFormat="1" x14ac:dyDescent="0.25">
      <c r="A58" s="35" t="str">
        <f t="shared" si="1"/>
        <v>SE - IMIGRANTE</v>
      </c>
      <c r="B58" s="35" t="s">
        <v>506</v>
      </c>
      <c r="C58" s="35" t="s">
        <v>188</v>
      </c>
      <c r="D58" s="36" t="s">
        <v>188</v>
      </c>
      <c r="E58" s="35" t="s">
        <v>188</v>
      </c>
      <c r="F58" s="35" t="str">
        <f>CONCATENATE($O$5,".",$P$5,".",$O$2,".",$S$5+56)</f>
        <v>10.39.16.57</v>
      </c>
      <c r="G58" s="37" t="str" cm="1">
        <f t="array" ref="G58">_xlfn.IFS($Q$5=26,"255.255.255.192",$Q$5=27,"255.255.255.224")</f>
        <v>255.255.255.192</v>
      </c>
      <c r="H58" s="35" t="str">
        <f t="shared" si="0"/>
        <v>10.39.16.1</v>
      </c>
      <c r="I58" s="43"/>
      <c r="J58" s="44"/>
      <c r="K58" s="44"/>
      <c r="L58" s="44" t="str">
        <f t="shared" si="7"/>
        <v>0x000</v>
      </c>
      <c r="M58" s="45"/>
    </row>
    <row r="60" spans="1:13" x14ac:dyDescent="0.25">
      <c r="A60" s="128" t="s">
        <v>464</v>
      </c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30"/>
    </row>
    <row r="61" spans="1:13" x14ac:dyDescent="0.25">
      <c r="A61" s="19" t="s">
        <v>1</v>
      </c>
      <c r="B61" s="19" t="s">
        <v>433</v>
      </c>
      <c r="C61" s="19" t="s">
        <v>274</v>
      </c>
      <c r="D61" s="20" t="s">
        <v>434</v>
      </c>
      <c r="E61" s="19" t="s">
        <v>435</v>
      </c>
      <c r="F61" s="19" t="s">
        <v>436</v>
      </c>
      <c r="G61" s="19" t="s">
        <v>437</v>
      </c>
      <c r="H61" s="19" t="s">
        <v>438</v>
      </c>
      <c r="I61" s="19" t="s">
        <v>439</v>
      </c>
      <c r="J61" s="19" t="s">
        <v>440</v>
      </c>
      <c r="K61" s="19" t="s">
        <v>441</v>
      </c>
      <c r="L61" s="21" t="s">
        <v>442</v>
      </c>
      <c r="M61" s="19" t="s">
        <v>443</v>
      </c>
    </row>
    <row r="62" spans="1:13" x14ac:dyDescent="0.25">
      <c r="A62" s="49" t="str">
        <f t="shared" ref="A62:A90" si="8">CONCATENATE("SE - ",$S$2)</f>
        <v>SE - IMIGRANTE</v>
      </c>
      <c r="B62" s="49" t="s">
        <v>444</v>
      </c>
      <c r="C62" s="49" t="s">
        <v>447</v>
      </c>
      <c r="D62" s="50" t="s">
        <v>446</v>
      </c>
      <c r="E62" s="49" t="s">
        <v>447</v>
      </c>
      <c r="F62" s="49" t="str">
        <f>CONCATENATE($O$8,".",$P$8,".",$O$2,".",$S$8+1)</f>
        <v>10.34.16.2</v>
      </c>
      <c r="G62" s="51" t="str" cm="1">
        <f t="array" ref="G62">_xlfn.IFS($Q$8=26,"255.255.255.192",$Q$8=27,"255.255.255.224")</f>
        <v>255.255.255.224</v>
      </c>
      <c r="H62" s="49" t="str">
        <f t="shared" ref="H62:H90" si="9">CONCATENATE($O$8,".",$P$8,".",$O$2,".",$S$8)</f>
        <v>10.34.16.1</v>
      </c>
      <c r="I62" s="49"/>
      <c r="J62" s="49"/>
      <c r="K62" s="49"/>
      <c r="L62" s="49"/>
      <c r="M62" s="49">
        <v>2</v>
      </c>
    </row>
    <row r="63" spans="1:13" x14ac:dyDescent="0.25">
      <c r="A63" s="49" t="str">
        <f t="shared" si="8"/>
        <v>SE - IMIGRANTE</v>
      </c>
      <c r="B63" s="49" t="s">
        <v>444</v>
      </c>
      <c r="C63" s="49" t="s">
        <v>450</v>
      </c>
      <c r="D63" s="50" t="s">
        <v>449</v>
      </c>
      <c r="E63" s="49" t="s">
        <v>450</v>
      </c>
      <c r="F63" s="49" t="str">
        <f>CONCATENATE($O$8,".",$P$8,".",$O$2,".",$S$8+2)</f>
        <v>10.34.16.3</v>
      </c>
      <c r="G63" s="51" t="str" cm="1">
        <f t="array" ref="G63">_xlfn.IFS($Q$8=26,"255.255.255.192",$Q$8=27,"255.255.255.224")</f>
        <v>255.255.255.224</v>
      </c>
      <c r="H63" s="49" t="str">
        <f t="shared" si="9"/>
        <v>10.34.16.1</v>
      </c>
      <c r="I63" s="49"/>
      <c r="J63" s="49"/>
      <c r="K63" s="49"/>
      <c r="L63" s="49"/>
      <c r="M63" s="49">
        <v>2</v>
      </c>
    </row>
    <row r="64" spans="1:13" x14ac:dyDescent="0.25">
      <c r="A64" s="49" t="str">
        <f t="shared" si="8"/>
        <v>SE - IMIGRANTE</v>
      </c>
      <c r="B64" s="49" t="s">
        <v>444</v>
      </c>
      <c r="C64" s="49" t="s">
        <v>453</v>
      </c>
      <c r="D64" s="50" t="s">
        <v>454</v>
      </c>
      <c r="E64" s="49" t="s">
        <v>455</v>
      </c>
      <c r="F64" s="49" t="str">
        <f>CONCATENATE($O$8,".",$P$8,".",$O$2,".",$S$8+3)</f>
        <v>10.34.16.4</v>
      </c>
      <c r="G64" s="51" t="str" cm="1">
        <f t="array" ref="G64">_xlfn.IFS($Q$8=26,"255.255.255.192",$Q$8=27,"255.255.255.224")</f>
        <v>255.255.255.224</v>
      </c>
      <c r="H64" s="49" t="str">
        <f t="shared" si="9"/>
        <v>10.34.16.1</v>
      </c>
      <c r="I64" s="52"/>
      <c r="J64" s="49" t="s">
        <v>453</v>
      </c>
      <c r="K64" s="49" t="s">
        <v>463</v>
      </c>
      <c r="L64" s="49" t="str">
        <f>"0x" &amp; DEC2HEX(M64,3)</f>
        <v>0x002</v>
      </c>
      <c r="M64" s="49">
        <v>2</v>
      </c>
    </row>
    <row r="65" spans="1:13" x14ac:dyDescent="0.25">
      <c r="A65" s="49" t="str">
        <f t="shared" si="8"/>
        <v>SE - IMIGRANTE</v>
      </c>
      <c r="B65" s="49" t="s">
        <v>444</v>
      </c>
      <c r="C65" s="49" t="s">
        <v>458</v>
      </c>
      <c r="D65" s="50" t="s">
        <v>454</v>
      </c>
      <c r="E65" s="49" t="s">
        <v>455</v>
      </c>
      <c r="F65" s="49" t="str">
        <f>CONCATENATE($O$8,".",$P$8,".",$O$2,".",$S$8+4)</f>
        <v>10.34.16.5</v>
      </c>
      <c r="G65" s="51" t="str" cm="1">
        <f t="array" ref="G65">_xlfn.IFS($Q$8=26,"255.255.255.192",$Q$8=27,"255.255.255.224")</f>
        <v>255.255.255.224</v>
      </c>
      <c r="H65" s="49" t="str">
        <f t="shared" si="9"/>
        <v>10.34.16.1</v>
      </c>
      <c r="I65" s="52"/>
      <c r="J65" s="49" t="s">
        <v>458</v>
      </c>
      <c r="K65" s="49" t="s">
        <v>467</v>
      </c>
      <c r="L65" s="49" t="str">
        <f>"0x" &amp; DEC2HEX(M65,3)</f>
        <v>0x002</v>
      </c>
      <c r="M65" s="49">
        <v>2</v>
      </c>
    </row>
    <row r="66" spans="1:13" x14ac:dyDescent="0.25">
      <c r="A66" s="49" t="str">
        <f t="shared" si="8"/>
        <v>SE - IMIGRANTE</v>
      </c>
      <c r="B66" s="49" t="s">
        <v>444</v>
      </c>
      <c r="C66" s="49" t="s">
        <v>460</v>
      </c>
      <c r="D66" s="50" t="s">
        <v>461</v>
      </c>
      <c r="E66" s="49" t="s">
        <v>460</v>
      </c>
      <c r="F66" s="49" t="str">
        <f>CONCATENATE($O$8,".",$P$8,".",$O$2,".",$S$8+5)</f>
        <v>10.34.16.6</v>
      </c>
      <c r="G66" s="51" t="str" cm="1">
        <f t="array" ref="G66">_xlfn.IFS($Q$8=26,"255.255.255.192",$Q$8=27,"255.255.255.224")</f>
        <v>255.255.255.224</v>
      </c>
      <c r="H66" s="49" t="str">
        <f t="shared" si="9"/>
        <v>10.34.16.1</v>
      </c>
      <c r="I66" s="49"/>
      <c r="J66" s="49"/>
      <c r="K66" s="49"/>
      <c r="L66" s="49"/>
      <c r="M66" s="49">
        <v>2</v>
      </c>
    </row>
    <row r="67" spans="1:13" x14ac:dyDescent="0.25">
      <c r="A67" s="49" t="str">
        <f t="shared" si="8"/>
        <v>SE - IMIGRANTE</v>
      </c>
      <c r="B67" s="49" t="s">
        <v>444</v>
      </c>
      <c r="C67" s="49" t="s">
        <v>466</v>
      </c>
      <c r="D67" s="50" t="s">
        <v>466</v>
      </c>
      <c r="E67" s="49" t="s">
        <v>466</v>
      </c>
      <c r="F67" s="49" t="str">
        <f>CONCATENATE($O$8,".",$P$8,".",$O$2,".",$S$8+6)</f>
        <v>10.34.16.7</v>
      </c>
      <c r="G67" s="51" t="str" cm="1">
        <f t="array" ref="G67">_xlfn.IFS($Q$8=26,"255.255.255.192",$Q$8=27,"255.255.255.224")</f>
        <v>255.255.255.224</v>
      </c>
      <c r="H67" s="49" t="str">
        <f t="shared" si="9"/>
        <v>10.34.16.1</v>
      </c>
      <c r="I67" s="49"/>
      <c r="J67" s="49"/>
      <c r="K67" s="49"/>
      <c r="L67" s="49"/>
      <c r="M67" s="49">
        <v>2</v>
      </c>
    </row>
    <row r="68" spans="1:13" x14ac:dyDescent="0.25">
      <c r="A68" s="49" t="str">
        <f t="shared" si="8"/>
        <v>SE - IMIGRANTE</v>
      </c>
      <c r="B68" s="49" t="s">
        <v>444</v>
      </c>
      <c r="C68" s="49" t="s">
        <v>468</v>
      </c>
      <c r="D68" s="50" t="s">
        <v>468</v>
      </c>
      <c r="E68" s="49" t="s">
        <v>468</v>
      </c>
      <c r="F68" s="49" t="str">
        <f>CONCATENATE($O$8,".",$P$8,".",$O$2,".",$S$8+7)</f>
        <v>10.34.16.8</v>
      </c>
      <c r="G68" s="51" t="str" cm="1">
        <f t="array" ref="G68">_xlfn.IFS($Q$8=26,"255.255.255.192",$Q$8=27,"255.255.255.224")</f>
        <v>255.255.255.224</v>
      </c>
      <c r="H68" s="49" t="str">
        <f t="shared" si="9"/>
        <v>10.34.16.1</v>
      </c>
      <c r="I68" s="49"/>
      <c r="J68" s="49"/>
      <c r="K68" s="49"/>
      <c r="L68" s="49"/>
      <c r="M68" s="49">
        <v>2</v>
      </c>
    </row>
    <row r="69" spans="1:13" x14ac:dyDescent="0.25">
      <c r="A69" s="49" t="str">
        <f t="shared" si="8"/>
        <v>SE - IMIGRANTE</v>
      </c>
      <c r="B69" s="49" t="s">
        <v>444</v>
      </c>
      <c r="C69" s="49" t="s">
        <v>471</v>
      </c>
      <c r="D69" s="50" t="s">
        <v>471</v>
      </c>
      <c r="E69" s="49" t="s">
        <v>471</v>
      </c>
      <c r="F69" s="49" t="str">
        <f>CONCATENATE($O$8,".",$P$8,".",$O$2,".",$S$8+8)</f>
        <v>10.34.16.9</v>
      </c>
      <c r="G69" s="51" t="str" cm="1">
        <f t="array" ref="G69">_xlfn.IFS($Q$8=26,"255.255.255.192",$Q$8=27,"255.255.255.224")</f>
        <v>255.255.255.224</v>
      </c>
      <c r="H69" s="49" t="str">
        <f t="shared" si="9"/>
        <v>10.34.16.1</v>
      </c>
      <c r="I69" s="49"/>
      <c r="J69" s="49"/>
      <c r="K69" s="49"/>
      <c r="L69" s="49"/>
      <c r="M69" s="49">
        <v>2</v>
      </c>
    </row>
    <row r="70" spans="1:13" x14ac:dyDescent="0.25">
      <c r="A70" s="49" t="str">
        <f t="shared" si="8"/>
        <v>SE - IMIGRANTE</v>
      </c>
      <c r="B70" s="49" t="s">
        <v>444</v>
      </c>
      <c r="C70" s="49" t="s">
        <v>476</v>
      </c>
      <c r="D70" s="50" t="s">
        <v>477</v>
      </c>
      <c r="E70" s="49" t="s">
        <v>476</v>
      </c>
      <c r="F70" s="49" t="str">
        <f>CONCATENATE($O$8,".",$P$8,".",$O$2,".",$S$8+9)</f>
        <v>10.34.16.10</v>
      </c>
      <c r="G70" s="51" t="str" cm="1">
        <f t="array" ref="G70">_xlfn.IFS($Q$8=26,"255.255.255.192",$Q$8=27,"255.255.255.224")</f>
        <v>255.255.255.224</v>
      </c>
      <c r="H70" s="49" t="str">
        <f t="shared" si="9"/>
        <v>10.34.16.1</v>
      </c>
      <c r="I70" s="49"/>
      <c r="J70" s="49"/>
      <c r="K70" s="49"/>
      <c r="L70" s="49"/>
      <c r="M70" s="49">
        <v>2</v>
      </c>
    </row>
    <row r="71" spans="1:13" x14ac:dyDescent="0.25">
      <c r="A71" s="49" t="str">
        <f t="shared" si="8"/>
        <v>SE - IMIGRANTE</v>
      </c>
      <c r="B71" s="49"/>
      <c r="C71" s="49"/>
      <c r="D71" s="50"/>
      <c r="E71" s="49"/>
      <c r="F71" s="49" t="str">
        <f>CONCATENATE($O$8,".",$P$8,".",$O$2,".",$S$8+10)</f>
        <v>10.34.16.11</v>
      </c>
      <c r="G71" s="51" t="str" cm="1">
        <f t="array" ref="G71">_xlfn.IFS($Q$8=26,"255.255.255.192",$Q$8=27,"255.255.255.224")</f>
        <v>255.255.255.224</v>
      </c>
      <c r="H71" s="49" t="str">
        <f t="shared" si="9"/>
        <v>10.34.16.1</v>
      </c>
      <c r="I71" s="49"/>
      <c r="J71" s="49"/>
      <c r="K71" s="49"/>
      <c r="L71" s="49"/>
      <c r="M71" s="49">
        <v>2</v>
      </c>
    </row>
    <row r="72" spans="1:13" hidden="1" x14ac:dyDescent="0.25">
      <c r="A72" s="49" t="str">
        <f t="shared" si="8"/>
        <v>SE - IMIGRANTE</v>
      </c>
      <c r="B72" s="49"/>
      <c r="C72" s="49"/>
      <c r="D72" s="50"/>
      <c r="E72" s="49"/>
      <c r="F72" s="49" t="str">
        <f>CONCATENATE($O$8,".",$P$8,".",$O$2,".",$S$8+11)</f>
        <v>10.34.16.12</v>
      </c>
      <c r="G72" s="51" t="str" cm="1">
        <f t="array" ref="G72">_xlfn.IFS($Q$8=26,"255.255.255.192",$Q$8=27,"255.255.255.224")</f>
        <v>255.255.255.224</v>
      </c>
      <c r="H72" s="49" t="str">
        <f t="shared" si="9"/>
        <v>10.34.16.1</v>
      </c>
    </row>
    <row r="73" spans="1:13" hidden="1" x14ac:dyDescent="0.25">
      <c r="A73" s="49" t="str">
        <f t="shared" si="8"/>
        <v>SE - IMIGRANTE</v>
      </c>
      <c r="B73" s="49"/>
      <c r="C73" s="49"/>
      <c r="D73" s="50"/>
      <c r="E73" s="49"/>
      <c r="F73" s="49" t="str">
        <f>CONCATENATE($O$8,".",$P$8,".",$O$2,".",$S$8+12)</f>
        <v>10.34.16.13</v>
      </c>
      <c r="G73" s="51" t="str" cm="1">
        <f t="array" ref="G73">_xlfn.IFS($Q$8=26,"255.255.255.192",$Q$8=27,"255.255.255.224")</f>
        <v>255.255.255.224</v>
      </c>
      <c r="H73" s="49" t="str">
        <f t="shared" si="9"/>
        <v>10.34.16.1</v>
      </c>
    </row>
    <row r="74" spans="1:13" hidden="1" x14ac:dyDescent="0.25">
      <c r="A74" s="49" t="str">
        <f t="shared" si="8"/>
        <v>SE - IMIGRANTE</v>
      </c>
      <c r="B74" s="49"/>
      <c r="C74" s="49"/>
      <c r="D74" s="50"/>
      <c r="E74" s="49"/>
      <c r="F74" s="49" t="str">
        <f>CONCATENATE($O$8,".",$P$8,".",$O$2,".",$S$8+13)</f>
        <v>10.34.16.14</v>
      </c>
      <c r="G74" s="51" t="str" cm="1">
        <f t="array" ref="G74">_xlfn.IFS($Q$8=26,"255.255.255.192",$Q$8=27,"255.255.255.224")</f>
        <v>255.255.255.224</v>
      </c>
      <c r="H74" s="49" t="str">
        <f t="shared" si="9"/>
        <v>10.34.16.1</v>
      </c>
    </row>
    <row r="75" spans="1:13" hidden="1" x14ac:dyDescent="0.25">
      <c r="A75" s="49" t="str">
        <f t="shared" si="8"/>
        <v>SE - IMIGRANTE</v>
      </c>
      <c r="B75" s="49"/>
      <c r="C75" s="49"/>
      <c r="D75" s="50"/>
      <c r="E75" s="49"/>
      <c r="F75" s="49" t="str">
        <f>CONCATENATE($O$8,".",$P$8,".",$O$2,".",$S$8+14)</f>
        <v>10.34.16.15</v>
      </c>
      <c r="G75" s="51" t="str" cm="1">
        <f t="array" ref="G75">_xlfn.IFS($Q$8=26,"255.255.255.192",$Q$8=27,"255.255.255.224")</f>
        <v>255.255.255.224</v>
      </c>
      <c r="H75" s="49" t="str">
        <f t="shared" si="9"/>
        <v>10.34.16.1</v>
      </c>
    </row>
    <row r="76" spans="1:13" hidden="1" x14ac:dyDescent="0.25">
      <c r="A76" s="49" t="str">
        <f t="shared" si="8"/>
        <v>SE - IMIGRANTE</v>
      </c>
      <c r="B76" s="49"/>
      <c r="C76" s="49"/>
      <c r="D76" s="50"/>
      <c r="E76" s="49"/>
      <c r="F76" s="49" t="str">
        <f>CONCATENATE($O$8,".",$P$8,".",$O$2,".",$S$8+15)</f>
        <v>10.34.16.16</v>
      </c>
      <c r="G76" s="51" t="str" cm="1">
        <f t="array" ref="G76">_xlfn.IFS($Q$8=26,"255.255.255.192",$Q$8=27,"255.255.255.224")</f>
        <v>255.255.255.224</v>
      </c>
      <c r="H76" s="49" t="str">
        <f t="shared" si="9"/>
        <v>10.34.16.1</v>
      </c>
    </row>
    <row r="77" spans="1:13" hidden="1" x14ac:dyDescent="0.25">
      <c r="A77" s="49" t="str">
        <f t="shared" si="8"/>
        <v>SE - IMIGRANTE</v>
      </c>
      <c r="B77" s="49"/>
      <c r="C77" s="49"/>
      <c r="D77" s="50"/>
      <c r="E77" s="49"/>
      <c r="F77" s="49" t="str">
        <f>CONCATENATE($O$8,".",$P$8,".",$O$2,".",$S$8+16)</f>
        <v>10.34.16.17</v>
      </c>
      <c r="G77" s="51" t="str" cm="1">
        <f t="array" ref="G77">_xlfn.IFS($Q$8=26,"255.255.255.192",$Q$8=27,"255.255.255.224")</f>
        <v>255.255.255.224</v>
      </c>
      <c r="H77" s="49" t="str">
        <f t="shared" si="9"/>
        <v>10.34.16.1</v>
      </c>
    </row>
    <row r="78" spans="1:13" hidden="1" x14ac:dyDescent="0.25">
      <c r="A78" s="49" t="str">
        <f t="shared" si="8"/>
        <v>SE - IMIGRANTE</v>
      </c>
      <c r="B78" s="49"/>
      <c r="C78" s="49"/>
      <c r="D78" s="50"/>
      <c r="E78" s="49"/>
      <c r="F78" s="49" t="str">
        <f>CONCATENATE($O$8,".",$P$8,".",$O$2,".",$S$8+17)</f>
        <v>10.34.16.18</v>
      </c>
      <c r="G78" s="51" t="str" cm="1">
        <f t="array" ref="G78">_xlfn.IFS($Q$8=26,"255.255.255.192",$Q$8=27,"255.255.255.224")</f>
        <v>255.255.255.224</v>
      </c>
      <c r="H78" s="49" t="str">
        <f t="shared" si="9"/>
        <v>10.34.16.1</v>
      </c>
    </row>
    <row r="79" spans="1:13" hidden="1" x14ac:dyDescent="0.25">
      <c r="A79" s="49" t="str">
        <f t="shared" si="8"/>
        <v>SE - IMIGRANTE</v>
      </c>
      <c r="B79" s="49"/>
      <c r="C79" s="49"/>
      <c r="D79" s="50"/>
      <c r="E79" s="49"/>
      <c r="F79" s="49" t="str">
        <f>CONCATENATE($O$8,".",$P$8,".",$O$2,".",$S$8+18)</f>
        <v>10.34.16.19</v>
      </c>
      <c r="G79" s="51" t="str" cm="1">
        <f t="array" ref="G79">_xlfn.IFS($Q$8=26,"255.255.255.192",$Q$8=27,"255.255.255.224")</f>
        <v>255.255.255.224</v>
      </c>
      <c r="H79" s="49" t="str">
        <f t="shared" si="9"/>
        <v>10.34.16.1</v>
      </c>
    </row>
    <row r="80" spans="1:13" hidden="1" x14ac:dyDescent="0.25">
      <c r="A80" s="49" t="str">
        <f t="shared" si="8"/>
        <v>SE - IMIGRANTE</v>
      </c>
      <c r="B80" s="49"/>
      <c r="C80" s="49"/>
      <c r="D80" s="50"/>
      <c r="E80" s="49"/>
      <c r="F80" s="49" t="str">
        <f>CONCATENATE($O$8,".",$P$8,".",$O$2,".",$S$8+19)</f>
        <v>10.34.16.20</v>
      </c>
      <c r="G80" s="51" t="str" cm="1">
        <f t="array" ref="G80">_xlfn.IFS($Q$8=26,"255.255.255.192",$Q$8=27,"255.255.255.224")</f>
        <v>255.255.255.224</v>
      </c>
      <c r="H80" s="49" t="str">
        <f t="shared" si="9"/>
        <v>10.34.16.1</v>
      </c>
    </row>
    <row r="81" spans="1:13" hidden="1" x14ac:dyDescent="0.25">
      <c r="A81" s="49" t="str">
        <f t="shared" si="8"/>
        <v>SE - IMIGRANTE</v>
      </c>
      <c r="B81" s="49"/>
      <c r="C81" s="49"/>
      <c r="D81" s="50"/>
      <c r="E81" s="49"/>
      <c r="F81" s="49" t="str">
        <f>CONCATENATE($O$8,".",$P$8,".",$O$2,".",$S$8+20)</f>
        <v>10.34.16.21</v>
      </c>
      <c r="G81" s="51" t="str" cm="1">
        <f t="array" ref="G81">_xlfn.IFS($Q$8=26,"255.255.255.192",$Q$8=27,"255.255.255.224")</f>
        <v>255.255.255.224</v>
      </c>
      <c r="H81" s="49" t="str">
        <f t="shared" si="9"/>
        <v>10.34.16.1</v>
      </c>
    </row>
    <row r="82" spans="1:13" hidden="1" x14ac:dyDescent="0.25">
      <c r="A82" s="49" t="str">
        <f t="shared" si="8"/>
        <v>SE - IMIGRANTE</v>
      </c>
      <c r="B82" s="49"/>
      <c r="C82" s="49"/>
      <c r="D82" s="50"/>
      <c r="E82" s="49"/>
      <c r="F82" s="49" t="str">
        <f>CONCATENATE($O$8,".",$P$8,".",$O$2,".",$S$8+21)</f>
        <v>10.34.16.22</v>
      </c>
      <c r="G82" s="51" t="str" cm="1">
        <f t="array" ref="G82">_xlfn.IFS($Q$8=26,"255.255.255.192",$Q$8=27,"255.255.255.224")</f>
        <v>255.255.255.224</v>
      </c>
      <c r="H82" s="49" t="str">
        <f t="shared" si="9"/>
        <v>10.34.16.1</v>
      </c>
    </row>
    <row r="83" spans="1:13" hidden="1" x14ac:dyDescent="0.25">
      <c r="A83" s="49" t="str">
        <f t="shared" si="8"/>
        <v>SE - IMIGRANTE</v>
      </c>
      <c r="B83" s="49"/>
      <c r="C83" s="49"/>
      <c r="D83" s="50"/>
      <c r="E83" s="49"/>
      <c r="F83" s="49" t="str">
        <f>CONCATENATE($O$8,".",$P$8,".",$O$2,".",$S$8+22)</f>
        <v>10.34.16.23</v>
      </c>
      <c r="G83" s="51" t="str" cm="1">
        <f t="array" ref="G83">_xlfn.IFS($Q$8=26,"255.255.255.192",$Q$8=27,"255.255.255.224")</f>
        <v>255.255.255.224</v>
      </c>
      <c r="H83" s="49" t="str">
        <f t="shared" si="9"/>
        <v>10.34.16.1</v>
      </c>
    </row>
    <row r="84" spans="1:13" hidden="1" x14ac:dyDescent="0.25">
      <c r="A84" s="49" t="str">
        <f t="shared" si="8"/>
        <v>SE - IMIGRANTE</v>
      </c>
      <c r="B84" s="49"/>
      <c r="C84" s="49"/>
      <c r="D84" s="50"/>
      <c r="E84" s="49"/>
      <c r="F84" s="49" t="str">
        <f>CONCATENATE($O$8,".",$P$8,".",$O$2,".",$S$8+23)</f>
        <v>10.34.16.24</v>
      </c>
      <c r="G84" s="51" t="str" cm="1">
        <f t="array" ref="G84">_xlfn.IFS($Q$8=26,"255.255.255.192",$Q$8=27,"255.255.255.224")</f>
        <v>255.255.255.224</v>
      </c>
      <c r="H84" s="49" t="str">
        <f t="shared" si="9"/>
        <v>10.34.16.1</v>
      </c>
    </row>
    <row r="85" spans="1:13" hidden="1" x14ac:dyDescent="0.25">
      <c r="A85" s="49" t="str">
        <f t="shared" si="8"/>
        <v>SE - IMIGRANTE</v>
      </c>
      <c r="B85" s="49"/>
      <c r="C85" s="49"/>
      <c r="D85" s="50"/>
      <c r="E85" s="49"/>
      <c r="F85" s="49" t="str">
        <f>CONCATENATE($O$8,".",$P$8,".",$O$2,".",$S$8+24)</f>
        <v>10.34.16.25</v>
      </c>
      <c r="G85" s="51" t="str" cm="1">
        <f t="array" ref="G85">_xlfn.IFS($Q$8=26,"255.255.255.192",$Q$8=27,"255.255.255.224")</f>
        <v>255.255.255.224</v>
      </c>
      <c r="H85" s="49" t="str">
        <f t="shared" si="9"/>
        <v>10.34.16.1</v>
      </c>
    </row>
    <row r="86" spans="1:13" hidden="1" x14ac:dyDescent="0.25">
      <c r="A86" s="49" t="str">
        <f t="shared" si="8"/>
        <v>SE - IMIGRANTE</v>
      </c>
      <c r="B86" s="49"/>
      <c r="C86" s="49"/>
      <c r="D86" s="50"/>
      <c r="E86" s="49"/>
      <c r="F86" s="49" t="str">
        <f>CONCATENATE($O$8,".",$P$8,".",$O$2,".",$S$8+25)</f>
        <v>10.34.16.26</v>
      </c>
      <c r="G86" s="51" t="str" cm="1">
        <f t="array" ref="G86">_xlfn.IFS($Q$8=26,"255.255.255.192",$Q$8=27,"255.255.255.224")</f>
        <v>255.255.255.224</v>
      </c>
      <c r="H86" s="49" t="str">
        <f t="shared" si="9"/>
        <v>10.34.16.1</v>
      </c>
    </row>
    <row r="87" spans="1:13" hidden="1" x14ac:dyDescent="0.25">
      <c r="A87" s="49" t="str">
        <f t="shared" si="8"/>
        <v>SE - IMIGRANTE</v>
      </c>
      <c r="B87" s="49"/>
      <c r="C87" s="49"/>
      <c r="D87" s="50"/>
      <c r="E87" s="49"/>
      <c r="F87" s="49" t="str">
        <f>CONCATENATE($O$8,".",$P$8,".",$O$2,".",$S$8+26)</f>
        <v>10.34.16.27</v>
      </c>
      <c r="G87" s="51" t="str" cm="1">
        <f t="array" ref="G87">_xlfn.IFS($Q$8=26,"255.255.255.192",$Q$8=27,"255.255.255.224")</f>
        <v>255.255.255.224</v>
      </c>
      <c r="H87" s="49" t="str">
        <f t="shared" si="9"/>
        <v>10.34.16.1</v>
      </c>
    </row>
    <row r="88" spans="1:13" hidden="1" x14ac:dyDescent="0.25">
      <c r="A88" s="49" t="str">
        <f t="shared" si="8"/>
        <v>SE - IMIGRANTE</v>
      </c>
      <c r="B88" s="49"/>
      <c r="C88" s="49"/>
      <c r="D88" s="50"/>
      <c r="E88" s="49"/>
      <c r="F88" s="49" t="str">
        <f>CONCATENATE($O$8,".",$P$8,".",$O$2,".",$S$8+27)</f>
        <v>10.34.16.28</v>
      </c>
      <c r="G88" s="51" t="str" cm="1">
        <f t="array" ref="G88">_xlfn.IFS($Q$8=26,"255.255.255.192",$Q$8=27,"255.255.255.224")</f>
        <v>255.255.255.224</v>
      </c>
      <c r="H88" s="49" t="str">
        <f t="shared" si="9"/>
        <v>10.34.16.1</v>
      </c>
    </row>
    <row r="89" spans="1:13" hidden="1" x14ac:dyDescent="0.25">
      <c r="A89" s="49" t="str">
        <f t="shared" si="8"/>
        <v>SE - IMIGRANTE</v>
      </c>
      <c r="B89" s="49"/>
      <c r="C89" s="49"/>
      <c r="D89" s="50"/>
      <c r="E89" s="49"/>
      <c r="F89" s="49" t="str">
        <f>CONCATENATE($O$8,".",$P$8,".",$O$2,".",$S$8+28)</f>
        <v>10.34.16.29</v>
      </c>
      <c r="G89" s="51" t="str" cm="1">
        <f t="array" ref="G89">_xlfn.IFS($Q$8=26,"255.255.255.192",$Q$8=27,"255.255.255.224")</f>
        <v>255.255.255.224</v>
      </c>
      <c r="H89" s="49" t="str">
        <f t="shared" si="9"/>
        <v>10.34.16.1</v>
      </c>
    </row>
    <row r="90" spans="1:13" hidden="1" x14ac:dyDescent="0.25">
      <c r="A90" s="49" t="str">
        <f t="shared" si="8"/>
        <v>SE - IMIGRANTE</v>
      </c>
      <c r="B90" s="49"/>
      <c r="C90" s="49"/>
      <c r="D90" s="50"/>
      <c r="E90" s="49"/>
      <c r="F90" s="49" t="str">
        <f>CONCATENATE($O$8,".",$P$8,".",$O$2,".",$S$8+29)</f>
        <v>10.34.16.30</v>
      </c>
      <c r="G90" s="51" t="str" cm="1">
        <f t="array" ref="G90">_xlfn.IFS($Q$8=26,"255.255.255.192",$Q$8=27,"255.255.255.224")</f>
        <v>255.255.255.224</v>
      </c>
      <c r="H90" s="49" t="str">
        <f t="shared" si="9"/>
        <v>10.34.16.1</v>
      </c>
    </row>
    <row r="92" spans="1:13" x14ac:dyDescent="0.25">
      <c r="A92" s="128" t="s">
        <v>474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30"/>
    </row>
    <row r="93" spans="1:13" x14ac:dyDescent="0.25">
      <c r="A93" s="19" t="s">
        <v>1</v>
      </c>
      <c r="B93" s="19" t="s">
        <v>433</v>
      </c>
      <c r="C93" s="19" t="s">
        <v>607</v>
      </c>
      <c r="D93" s="20" t="s">
        <v>434</v>
      </c>
      <c r="E93" s="19" t="s">
        <v>435</v>
      </c>
      <c r="F93" s="19" t="s">
        <v>436</v>
      </c>
      <c r="G93" s="19" t="s">
        <v>437</v>
      </c>
      <c r="H93" s="19" t="s">
        <v>438</v>
      </c>
      <c r="I93" s="19" t="s">
        <v>439</v>
      </c>
      <c r="J93" s="19" t="s">
        <v>440</v>
      </c>
      <c r="K93" s="19" t="s">
        <v>441</v>
      </c>
      <c r="L93" s="21" t="s">
        <v>442</v>
      </c>
      <c r="M93" s="19" t="s">
        <v>443</v>
      </c>
    </row>
    <row r="94" spans="1:13" x14ac:dyDescent="0.25">
      <c r="A94" s="53" t="str">
        <f t="shared" ref="A94:A122" si="10">CONCATENATE("SE - ",$S$2)</f>
        <v>SE - IMIGRANTE</v>
      </c>
      <c r="B94" s="53" t="s">
        <v>608</v>
      </c>
      <c r="C94" s="53" t="s">
        <v>609</v>
      </c>
      <c r="D94" s="54" t="s">
        <v>610</v>
      </c>
      <c r="E94" s="53" t="s">
        <v>611</v>
      </c>
      <c r="F94" s="53" t="str">
        <f>CONCATENATE($O$11,".",$P$11,".",$O$2,".",$S$11+1)</f>
        <v>10.38.16.2</v>
      </c>
      <c r="G94" s="55" t="str" cm="1">
        <f t="array" ref="G94">_xlfn.IFS($Q$11=26,"255.255.255.192",$Q$8=27,"255.255.255.224")</f>
        <v>255.255.255.224</v>
      </c>
      <c r="H94" s="53" t="str">
        <f>CONCATENATE($O$11,".",$P$11,".",$O$2,".",$S$11)</f>
        <v>10.38.16.1</v>
      </c>
      <c r="I94" s="49"/>
      <c r="J94" s="49"/>
      <c r="K94" s="49"/>
      <c r="L94" s="49"/>
      <c r="M94" s="49">
        <v>2</v>
      </c>
    </row>
    <row r="95" spans="1:13" x14ac:dyDescent="0.25">
      <c r="A95" s="53" t="str">
        <f t="shared" si="10"/>
        <v>SE - IMIGRANTE</v>
      </c>
      <c r="B95" s="53" t="s">
        <v>608</v>
      </c>
      <c r="C95" s="53" t="s">
        <v>612</v>
      </c>
      <c r="D95" s="54" t="s">
        <v>613</v>
      </c>
      <c r="E95" s="53" t="s">
        <v>614</v>
      </c>
      <c r="F95" s="53" t="str">
        <f>CONCATENATE($O$11,".",$P$11,".",$O$2,".",$S$11+2)</f>
        <v>10.38.16.3</v>
      </c>
      <c r="G95" s="55" t="str" cm="1">
        <f t="array" ref="G95">_xlfn.IFS($Q$8=26,"255.255.255.192",$Q$8=27,"255.255.255.224")</f>
        <v>255.255.255.224</v>
      </c>
      <c r="H95" s="53" t="str">
        <f t="shared" ref="H95:H122" si="11">CONCATENATE($O$11,".",$P$11,".",$O$2,".",$S$11)</f>
        <v>10.38.16.1</v>
      </c>
      <c r="I95" s="49"/>
      <c r="J95" s="49"/>
      <c r="K95" s="49"/>
      <c r="L95" s="49"/>
      <c r="M95" s="49">
        <v>2</v>
      </c>
    </row>
    <row r="96" spans="1:13" x14ac:dyDescent="0.25">
      <c r="A96" s="53" t="str">
        <f t="shared" si="10"/>
        <v>SE - IMIGRANTE</v>
      </c>
      <c r="B96" s="53" t="s">
        <v>608</v>
      </c>
      <c r="C96" s="53" t="s">
        <v>615</v>
      </c>
      <c r="D96" s="54" t="s">
        <v>616</v>
      </c>
      <c r="E96" s="53" t="s">
        <v>617</v>
      </c>
      <c r="F96" s="53" t="str">
        <f>CONCATENATE($O$11,".",$P$11,".",$O$2,".",$S$11+3)</f>
        <v>10.38.16.4</v>
      </c>
      <c r="G96" s="55" t="str" cm="1">
        <f t="array" ref="G96">_xlfn.IFS($Q$8=26,"255.255.255.192",$Q$8=27,"255.255.255.224")</f>
        <v>255.255.255.224</v>
      </c>
      <c r="H96" s="53" t="str">
        <f t="shared" si="11"/>
        <v>10.38.16.1</v>
      </c>
      <c r="I96" s="52"/>
      <c r="J96" s="49" t="s">
        <v>453</v>
      </c>
      <c r="K96" s="49" t="s">
        <v>463</v>
      </c>
      <c r="L96" s="49" t="str">
        <f>"0x" &amp; DEC2HEX(M96,3)</f>
        <v>0x002</v>
      </c>
      <c r="M96" s="49">
        <v>2</v>
      </c>
    </row>
    <row r="97" spans="1:13" x14ac:dyDescent="0.25">
      <c r="A97" s="53" t="str">
        <f t="shared" si="10"/>
        <v>SE - IMIGRANTE</v>
      </c>
      <c r="B97" s="53" t="s">
        <v>608</v>
      </c>
      <c r="C97" s="53" t="s">
        <v>618</v>
      </c>
      <c r="D97" s="54" t="s">
        <v>619</v>
      </c>
      <c r="E97" s="53" t="s">
        <v>620</v>
      </c>
      <c r="F97" s="53" t="str">
        <f>CONCATENATE($O$11,".",$P$11,".",$O$2,".",$S$11+4)</f>
        <v>10.38.16.5</v>
      </c>
      <c r="G97" s="55" t="str" cm="1">
        <f t="array" ref="G97">_xlfn.IFS($Q$8=26,"255.255.255.192",$Q$8=27,"255.255.255.224")</f>
        <v>255.255.255.224</v>
      </c>
      <c r="H97" s="53" t="str">
        <f t="shared" si="11"/>
        <v>10.38.16.1</v>
      </c>
      <c r="I97" s="52"/>
      <c r="J97" s="49" t="s">
        <v>458</v>
      </c>
      <c r="K97" s="49" t="s">
        <v>467</v>
      </c>
      <c r="L97" s="49" t="str">
        <f>"0x" &amp; DEC2HEX(M97,3)</f>
        <v>0x002</v>
      </c>
      <c r="M97" s="49">
        <v>2</v>
      </c>
    </row>
    <row r="98" spans="1:13" x14ac:dyDescent="0.25">
      <c r="A98" s="53" t="str">
        <f t="shared" si="10"/>
        <v>SE - IMIGRANTE</v>
      </c>
      <c r="B98" s="53" t="s">
        <v>608</v>
      </c>
      <c r="C98" s="53" t="s">
        <v>621</v>
      </c>
      <c r="D98" s="54" t="s">
        <v>622</v>
      </c>
      <c r="E98" s="53" t="s">
        <v>623</v>
      </c>
      <c r="F98" s="53" t="str">
        <f>CONCATENATE($O$11,".",$P$11,".",$O$2,".",$S$11+5)</f>
        <v>10.38.16.6</v>
      </c>
      <c r="G98" s="55" t="str" cm="1">
        <f t="array" ref="G98">_xlfn.IFS($Q$8=26,"255.255.255.192",$Q$8=27,"255.255.255.224")</f>
        <v>255.255.255.224</v>
      </c>
      <c r="H98" s="53" t="str">
        <f t="shared" si="11"/>
        <v>10.38.16.1</v>
      </c>
      <c r="I98" s="49"/>
      <c r="J98" s="49"/>
      <c r="K98" s="49"/>
      <c r="L98" s="49"/>
      <c r="M98" s="49">
        <v>2</v>
      </c>
    </row>
    <row r="99" spans="1:13" x14ac:dyDescent="0.25">
      <c r="A99" s="53" t="str">
        <f t="shared" si="10"/>
        <v>SE - IMIGRANTE</v>
      </c>
      <c r="B99" s="53" t="s">
        <v>608</v>
      </c>
      <c r="C99" s="53" t="s">
        <v>624</v>
      </c>
      <c r="D99" s="54" t="s">
        <v>625</v>
      </c>
      <c r="E99" s="53" t="s">
        <v>626</v>
      </c>
      <c r="F99" s="53" t="str">
        <f>CONCATENATE($O$11,".",$P$11,".",$O$2,".",$S$11+6)</f>
        <v>10.38.16.7</v>
      </c>
      <c r="G99" s="55" t="str" cm="1">
        <f t="array" ref="G99">_xlfn.IFS($Q$8=26,"255.255.255.192",$Q$8=27,"255.255.255.224")</f>
        <v>255.255.255.224</v>
      </c>
      <c r="H99" s="53" t="str">
        <f t="shared" si="11"/>
        <v>10.38.16.1</v>
      </c>
      <c r="I99" s="49"/>
      <c r="J99" s="49"/>
      <c r="K99" s="49"/>
      <c r="L99" s="49"/>
      <c r="M99" s="49">
        <v>2</v>
      </c>
    </row>
    <row r="100" spans="1:13" x14ac:dyDescent="0.25">
      <c r="A100" s="56" t="str">
        <f t="shared" si="10"/>
        <v>SE - IMIGRANTE</v>
      </c>
      <c r="B100" s="56" t="s">
        <v>608</v>
      </c>
      <c r="C100" s="56" t="s">
        <v>627</v>
      </c>
      <c r="D100" s="57" t="s">
        <v>627</v>
      </c>
      <c r="E100" s="56" t="s">
        <v>628</v>
      </c>
      <c r="F100" s="56" t="str">
        <f>CONCATENATE($O$11,".",$P$11,".",$O$2,".",$S$11+7)</f>
        <v>10.38.16.8</v>
      </c>
      <c r="G100" s="58" t="str" cm="1">
        <f t="array" ref="G100">_xlfn.IFS($Q$8=26,"255.255.255.192",$Q$8=27,"255.255.255.224")</f>
        <v>255.255.255.224</v>
      </c>
      <c r="H100" s="56" t="str">
        <f t="shared" si="11"/>
        <v>10.38.16.1</v>
      </c>
      <c r="I100" s="49"/>
      <c r="J100" s="49"/>
      <c r="K100" s="49"/>
      <c r="L100" s="49"/>
      <c r="M100" s="49">
        <v>2</v>
      </c>
    </row>
    <row r="101" spans="1:13" x14ac:dyDescent="0.25">
      <c r="A101" s="56" t="str">
        <f t="shared" si="10"/>
        <v>SE - IMIGRANTE</v>
      </c>
      <c r="B101" s="56" t="s">
        <v>608</v>
      </c>
      <c r="C101" s="56" t="s">
        <v>627</v>
      </c>
      <c r="D101" s="57" t="s">
        <v>627</v>
      </c>
      <c r="E101" s="56" t="s">
        <v>629</v>
      </c>
      <c r="F101" s="56" t="str">
        <f>CONCATENATE($O$11,".",$P$11,".",$O$2,".",$S$11+11)</f>
        <v>10.38.16.12</v>
      </c>
      <c r="G101" s="58" t="str" cm="1">
        <f t="array" ref="G101">_xlfn.IFS($Q$8=26,"255.255.255.192",$Q$8=27,"255.255.255.224")</f>
        <v>255.255.255.224</v>
      </c>
      <c r="H101" s="56" t="str">
        <f t="shared" si="11"/>
        <v>10.38.16.1</v>
      </c>
      <c r="I101" s="49"/>
      <c r="J101" s="49"/>
      <c r="K101" s="49"/>
      <c r="L101" s="49"/>
      <c r="M101" s="49">
        <v>2</v>
      </c>
    </row>
    <row r="102" spans="1:13" x14ac:dyDescent="0.25">
      <c r="A102" s="56" t="str">
        <f t="shared" si="10"/>
        <v>SE - IMIGRANTE</v>
      </c>
      <c r="B102" s="56" t="s">
        <v>608</v>
      </c>
      <c r="C102" s="56" t="s">
        <v>627</v>
      </c>
      <c r="D102" s="57" t="s">
        <v>627</v>
      </c>
      <c r="E102" s="56" t="s">
        <v>630</v>
      </c>
      <c r="F102" s="56" t="str">
        <f>CONCATENATE($O$11,".",$P$11,".",$O$2,".",$S$11+9)</f>
        <v>10.38.16.10</v>
      </c>
      <c r="G102" s="58" t="str" cm="1">
        <f t="array" ref="G102">_xlfn.IFS($Q$8=26,"255.255.255.192",$Q$8=27,"255.255.255.224")</f>
        <v>255.255.255.224</v>
      </c>
      <c r="H102" s="56" t="str">
        <f t="shared" si="11"/>
        <v>10.38.16.1</v>
      </c>
      <c r="I102" s="49"/>
      <c r="J102" s="49"/>
      <c r="K102" s="49"/>
      <c r="L102" s="49"/>
      <c r="M102" s="49">
        <v>2</v>
      </c>
    </row>
    <row r="103" spans="1:13" x14ac:dyDescent="0.25">
      <c r="A103" s="59" t="str">
        <f t="shared" si="10"/>
        <v>SE - IMIGRANTE</v>
      </c>
      <c r="B103" s="59" t="s">
        <v>631</v>
      </c>
      <c r="C103" s="59" t="s">
        <v>188</v>
      </c>
      <c r="D103" s="60" t="s">
        <v>188</v>
      </c>
      <c r="E103" s="59" t="s">
        <v>188</v>
      </c>
      <c r="F103" s="59" t="str">
        <f>CONCATENATE($O$11,".",$P$11,".",$O$2,".",$S$11+10)</f>
        <v>10.38.16.11</v>
      </c>
      <c r="G103" s="61" t="str" cm="1">
        <f t="array" ref="G103">_xlfn.IFS($Q$8=26,"255.255.255.192",$Q$8=27,"255.255.255.224")</f>
        <v>255.255.255.224</v>
      </c>
      <c r="H103" s="59" t="str">
        <f t="shared" si="11"/>
        <v>10.38.16.1</v>
      </c>
      <c r="I103" s="49"/>
      <c r="J103" s="49"/>
      <c r="K103" s="49"/>
      <c r="L103" s="49"/>
      <c r="M103" s="49">
        <v>2</v>
      </c>
    </row>
    <row r="104" spans="1:13" x14ac:dyDescent="0.25">
      <c r="A104" s="53" t="str">
        <f t="shared" si="10"/>
        <v>SE - IMIGRANTE</v>
      </c>
      <c r="B104" s="53" t="s">
        <v>632</v>
      </c>
      <c r="C104" s="53" t="s">
        <v>609</v>
      </c>
      <c r="D104" s="54" t="s">
        <v>633</v>
      </c>
      <c r="E104" s="53" t="s">
        <v>611</v>
      </c>
      <c r="F104" s="53" t="str">
        <f>CONCATENATE($O$11,".",$P$11,".",$O$2,".",$S$11+11)</f>
        <v>10.38.16.12</v>
      </c>
      <c r="G104" s="55" t="str" cm="1">
        <f t="array" ref="G104">_xlfn.IFS($Q$8=26,"255.255.255.192",$Q$8=27,"255.255.255.224")</f>
        <v>255.255.255.224</v>
      </c>
      <c r="H104" s="53" t="str">
        <f t="shared" si="11"/>
        <v>10.38.16.1</v>
      </c>
    </row>
    <row r="105" spans="1:13" x14ac:dyDescent="0.25">
      <c r="A105" s="53" t="str">
        <f t="shared" si="10"/>
        <v>SE - IMIGRANTE</v>
      </c>
      <c r="B105" s="53" t="s">
        <v>632</v>
      </c>
      <c r="C105" s="53" t="s">
        <v>612</v>
      </c>
      <c r="D105" s="54" t="s">
        <v>634</v>
      </c>
      <c r="E105" s="53" t="s">
        <v>614</v>
      </c>
      <c r="F105" s="53" t="str">
        <f>CONCATENATE($O$11,".",$P$11,".",$O$2,".",$S$11+12)</f>
        <v>10.38.16.13</v>
      </c>
      <c r="G105" s="55" t="str" cm="1">
        <f t="array" ref="G105">_xlfn.IFS($Q$8=26,"255.255.255.192",$Q$8=27,"255.255.255.224")</f>
        <v>255.255.255.224</v>
      </c>
      <c r="H105" s="53" t="str">
        <f t="shared" si="11"/>
        <v>10.38.16.1</v>
      </c>
    </row>
    <row r="106" spans="1:13" x14ac:dyDescent="0.25">
      <c r="A106" s="53" t="str">
        <f t="shared" si="10"/>
        <v>SE - IMIGRANTE</v>
      </c>
      <c r="B106" s="53" t="s">
        <v>632</v>
      </c>
      <c r="C106" s="53" t="s">
        <v>615</v>
      </c>
      <c r="D106" s="54" t="s">
        <v>635</v>
      </c>
      <c r="E106" s="53" t="s">
        <v>636</v>
      </c>
      <c r="F106" s="53" t="str">
        <f>CONCATENATE($O$11,".",$P$11,".",$O$2,".",$S$11+13)</f>
        <v>10.38.16.14</v>
      </c>
      <c r="G106" s="55" t="str" cm="1">
        <f t="array" ref="G106">_xlfn.IFS($Q$8=26,"255.255.255.192",$Q$8=27,"255.255.255.224")</f>
        <v>255.255.255.224</v>
      </c>
      <c r="H106" s="53" t="str">
        <f t="shared" si="11"/>
        <v>10.38.16.1</v>
      </c>
    </row>
    <row r="107" spans="1:13" x14ac:dyDescent="0.25">
      <c r="A107" s="53" t="str">
        <f t="shared" si="10"/>
        <v>SE - IMIGRANTE</v>
      </c>
      <c r="B107" s="53" t="s">
        <v>632</v>
      </c>
      <c r="C107" s="53" t="s">
        <v>618</v>
      </c>
      <c r="D107" s="54" t="s">
        <v>637</v>
      </c>
      <c r="E107" s="53" t="s">
        <v>638</v>
      </c>
      <c r="F107" s="53" t="str">
        <f>CONCATENATE($O$11,".",$P$11,".",$O$2,".",$S$11+14)</f>
        <v>10.38.16.15</v>
      </c>
      <c r="G107" s="55" t="str" cm="1">
        <f t="array" ref="G107">_xlfn.IFS($Q$8=26,"255.255.255.192",$Q$8=27,"255.255.255.224")</f>
        <v>255.255.255.224</v>
      </c>
      <c r="H107" s="53" t="str">
        <f t="shared" si="11"/>
        <v>10.38.16.1</v>
      </c>
    </row>
    <row r="108" spans="1:13" x14ac:dyDescent="0.25">
      <c r="A108" s="53" t="str">
        <f t="shared" si="10"/>
        <v>SE - IMIGRANTE</v>
      </c>
      <c r="B108" s="53" t="s">
        <v>632</v>
      </c>
      <c r="C108" s="53" t="s">
        <v>621</v>
      </c>
      <c r="D108" s="54" t="s">
        <v>639</v>
      </c>
      <c r="E108" s="53" t="s">
        <v>640</v>
      </c>
      <c r="F108" s="53" t="str">
        <f>CONCATENATE($O$11,".",$P$11,".",$O$2,".",$S$11+15)</f>
        <v>10.38.16.16</v>
      </c>
      <c r="G108" s="55" t="str" cm="1">
        <f t="array" ref="G108">_xlfn.IFS($Q$8=26,"255.255.255.192",$Q$8=27,"255.255.255.224")</f>
        <v>255.255.255.224</v>
      </c>
      <c r="H108" s="53" t="str">
        <f t="shared" si="11"/>
        <v>10.38.16.1</v>
      </c>
    </row>
    <row r="109" spans="1:13" x14ac:dyDescent="0.25">
      <c r="A109" s="53" t="str">
        <f t="shared" si="10"/>
        <v>SE - IMIGRANTE</v>
      </c>
      <c r="B109" s="53" t="s">
        <v>632</v>
      </c>
      <c r="C109" s="53" t="s">
        <v>624</v>
      </c>
      <c r="D109" s="54" t="s">
        <v>641</v>
      </c>
      <c r="E109" s="53" t="s">
        <v>642</v>
      </c>
      <c r="F109" s="53" t="str">
        <f>CONCATENATE($O$11,".",$P$11,".",$O$2,".",$S$11+16)</f>
        <v>10.38.16.17</v>
      </c>
      <c r="G109" s="55" t="str" cm="1">
        <f t="array" ref="G109">_xlfn.IFS($Q$8=26,"255.255.255.192",$Q$8=27,"255.255.255.224")</f>
        <v>255.255.255.224</v>
      </c>
      <c r="H109" s="53" t="str">
        <f t="shared" si="11"/>
        <v>10.38.16.1</v>
      </c>
    </row>
    <row r="110" spans="1:13" x14ac:dyDescent="0.25">
      <c r="A110" s="53" t="str">
        <f t="shared" si="10"/>
        <v>SE - IMIGRANTE</v>
      </c>
      <c r="B110" s="53" t="s">
        <v>632</v>
      </c>
      <c r="C110" s="53" t="s">
        <v>643</v>
      </c>
      <c r="D110" s="54" t="s">
        <v>644</v>
      </c>
      <c r="E110" s="53" t="s">
        <v>645</v>
      </c>
      <c r="F110" s="53" t="str">
        <f>CONCATENATE($O$11,".",$P$11,".",$O$2,".",$S$11+17)</f>
        <v>10.38.16.18</v>
      </c>
      <c r="G110" s="55" t="str" cm="1">
        <f t="array" ref="G110">_xlfn.IFS($Q$8=26,"255.255.255.192",$Q$8=27,"255.255.255.224")</f>
        <v>255.255.255.224</v>
      </c>
      <c r="H110" s="53" t="str">
        <f t="shared" si="11"/>
        <v>10.38.16.1</v>
      </c>
    </row>
    <row r="111" spans="1:13" x14ac:dyDescent="0.25">
      <c r="A111" s="56" t="str">
        <f t="shared" si="10"/>
        <v>SE - IMIGRANTE</v>
      </c>
      <c r="B111" s="56" t="s">
        <v>632</v>
      </c>
      <c r="C111" s="56" t="s">
        <v>627</v>
      </c>
      <c r="D111" s="57" t="s">
        <v>627</v>
      </c>
      <c r="E111" s="56" t="s">
        <v>646</v>
      </c>
      <c r="F111" s="56" t="str">
        <f>CONCATENATE($O$11,".",$P$11,".",$O$2,".",$S$11+18)</f>
        <v>10.38.16.19</v>
      </c>
      <c r="G111" s="58" t="str" cm="1">
        <f t="array" ref="G111">_xlfn.IFS($Q$8=26,"255.255.255.192",$Q$8=27,"255.255.255.224")</f>
        <v>255.255.255.224</v>
      </c>
      <c r="H111" s="56" t="str">
        <f t="shared" si="11"/>
        <v>10.38.16.1</v>
      </c>
    </row>
    <row r="112" spans="1:13" x14ac:dyDescent="0.25">
      <c r="A112" s="56" t="str">
        <f t="shared" si="10"/>
        <v>SE - IMIGRANTE</v>
      </c>
      <c r="B112" s="56" t="s">
        <v>632</v>
      </c>
      <c r="C112" s="56" t="s">
        <v>627</v>
      </c>
      <c r="D112" s="57" t="s">
        <v>627</v>
      </c>
      <c r="E112" s="56" t="s">
        <v>647</v>
      </c>
      <c r="F112" s="56" t="str">
        <f>CONCATENATE($O$11,".",$P$11,".",$O$2,".",$S$11+19)</f>
        <v>10.38.16.20</v>
      </c>
      <c r="G112" s="58" t="str" cm="1">
        <f t="array" ref="G112">_xlfn.IFS($Q$8=26,"255.255.255.192",$Q$8=27,"255.255.255.224")</f>
        <v>255.255.255.224</v>
      </c>
      <c r="H112" s="56" t="str">
        <f t="shared" si="11"/>
        <v>10.38.16.1</v>
      </c>
    </row>
    <row r="113" spans="1:8" x14ac:dyDescent="0.25">
      <c r="A113" s="53" t="str">
        <f t="shared" si="10"/>
        <v>SE - IMIGRANTE</v>
      </c>
      <c r="B113" s="53" t="s">
        <v>724</v>
      </c>
      <c r="C113" s="53" t="s">
        <v>609</v>
      </c>
      <c r="D113" s="54" t="s">
        <v>725</v>
      </c>
      <c r="E113" s="53" t="s">
        <v>726</v>
      </c>
      <c r="F113" s="53" t="str">
        <f>CONCATENATE($O$11,".",$P$11,".",$O$2,".",$S$11+20)</f>
        <v>10.38.16.21</v>
      </c>
      <c r="G113" s="55" t="str" cm="1">
        <f t="array" ref="G113">_xlfn.IFS($Q$8=26,"255.255.255.192",$Q$8=27,"255.255.255.224")</f>
        <v>255.255.255.224</v>
      </c>
      <c r="H113" s="53" t="str">
        <f t="shared" si="11"/>
        <v>10.38.16.1</v>
      </c>
    </row>
    <row r="114" spans="1:8" x14ac:dyDescent="0.25">
      <c r="A114" s="53" t="str">
        <f t="shared" si="10"/>
        <v>SE - IMIGRANTE</v>
      </c>
      <c r="B114" s="53"/>
      <c r="C114" s="53"/>
      <c r="D114" s="54"/>
      <c r="E114" s="53"/>
      <c r="F114" s="53" t="str">
        <f>CONCATENATE($O$11,".",$P$11,".",$O$2,".",$S$11+21)</f>
        <v>10.38.16.22</v>
      </c>
      <c r="G114" s="55" t="str" cm="1">
        <f t="array" ref="G114">_xlfn.IFS($Q$8=26,"255.255.255.192",$Q$8=27,"255.255.255.224")</f>
        <v>255.255.255.224</v>
      </c>
      <c r="H114" s="53" t="str">
        <f t="shared" si="11"/>
        <v>10.38.16.1</v>
      </c>
    </row>
    <row r="115" spans="1:8" hidden="1" x14ac:dyDescent="0.25">
      <c r="A115" s="53" t="str">
        <f t="shared" si="10"/>
        <v>SE - IMIGRANTE</v>
      </c>
      <c r="B115" s="53"/>
      <c r="C115" s="53"/>
      <c r="D115" s="54"/>
      <c r="E115" s="53"/>
      <c r="F115" s="53" t="str">
        <f>CONCATENATE($O$11,".",$P$11,".",$O$2,".",$S$11+22)</f>
        <v>10.38.16.23</v>
      </c>
      <c r="G115" s="55" t="str" cm="1">
        <f t="array" ref="G115">_xlfn.IFS($Q$8=26,"255.255.255.192",$Q$8=27,"255.255.255.224")</f>
        <v>255.255.255.224</v>
      </c>
      <c r="H115" s="53" t="str">
        <f t="shared" si="11"/>
        <v>10.38.16.1</v>
      </c>
    </row>
    <row r="116" spans="1:8" hidden="1" x14ac:dyDescent="0.25">
      <c r="A116" s="53" t="str">
        <f t="shared" si="10"/>
        <v>SE - IMIGRANTE</v>
      </c>
      <c r="B116" s="53"/>
      <c r="C116" s="53"/>
      <c r="D116" s="54"/>
      <c r="E116" s="53"/>
      <c r="F116" s="53" t="str">
        <f>CONCATENATE($O$11,".",$P$11,".",$O$2,".",$S$11+23)</f>
        <v>10.38.16.24</v>
      </c>
      <c r="G116" s="55" t="str" cm="1">
        <f t="array" ref="G116">_xlfn.IFS($Q$8=26,"255.255.255.192",$Q$8=27,"255.255.255.224")</f>
        <v>255.255.255.224</v>
      </c>
      <c r="H116" s="53" t="str">
        <f t="shared" si="11"/>
        <v>10.38.16.1</v>
      </c>
    </row>
    <row r="117" spans="1:8" hidden="1" x14ac:dyDescent="0.25">
      <c r="A117" s="53" t="str">
        <f t="shared" si="10"/>
        <v>SE - IMIGRANTE</v>
      </c>
      <c r="B117" s="53"/>
      <c r="C117" s="53"/>
      <c r="D117" s="54"/>
      <c r="E117" s="53"/>
      <c r="F117" s="53" t="str">
        <f>CONCATENATE($O$11,".",$P$11,".",$O$2,".",$S$11+24)</f>
        <v>10.38.16.25</v>
      </c>
      <c r="G117" s="55" t="str" cm="1">
        <f t="array" ref="G117">_xlfn.IFS($Q$8=26,"255.255.255.192",$Q$8=27,"255.255.255.224")</f>
        <v>255.255.255.224</v>
      </c>
      <c r="H117" s="53" t="str">
        <f t="shared" si="11"/>
        <v>10.38.16.1</v>
      </c>
    </row>
    <row r="118" spans="1:8" hidden="1" x14ac:dyDescent="0.25">
      <c r="A118" s="53" t="str">
        <f t="shared" si="10"/>
        <v>SE - IMIGRANTE</v>
      </c>
      <c r="B118" s="53"/>
      <c r="C118" s="53"/>
      <c r="D118" s="54"/>
      <c r="E118" s="53"/>
      <c r="F118" s="53" t="str">
        <f>CONCATENATE($O$11,".",$P$11,".",$O$2,".",$S$11+25)</f>
        <v>10.38.16.26</v>
      </c>
      <c r="G118" s="55" t="str" cm="1">
        <f t="array" ref="G118">_xlfn.IFS($Q$8=26,"255.255.255.192",$Q$8=27,"255.255.255.224")</f>
        <v>255.255.255.224</v>
      </c>
      <c r="H118" s="53" t="str">
        <f t="shared" si="11"/>
        <v>10.38.16.1</v>
      </c>
    </row>
    <row r="119" spans="1:8" hidden="1" x14ac:dyDescent="0.25">
      <c r="A119" s="53" t="str">
        <f t="shared" si="10"/>
        <v>SE - IMIGRANTE</v>
      </c>
      <c r="B119" s="53"/>
      <c r="C119" s="53"/>
      <c r="D119" s="54"/>
      <c r="E119" s="53"/>
      <c r="F119" s="53" t="str">
        <f>CONCATENATE($O$11,".",$P$11,".",$O$2,".",$S$11+26)</f>
        <v>10.38.16.27</v>
      </c>
      <c r="G119" s="55" t="str" cm="1">
        <f t="array" ref="G119">_xlfn.IFS($Q$8=26,"255.255.255.192",$Q$8=27,"255.255.255.224")</f>
        <v>255.255.255.224</v>
      </c>
      <c r="H119" s="53" t="str">
        <f t="shared" si="11"/>
        <v>10.38.16.1</v>
      </c>
    </row>
    <row r="120" spans="1:8" hidden="1" x14ac:dyDescent="0.25">
      <c r="A120" s="53" t="str">
        <f t="shared" si="10"/>
        <v>SE - IMIGRANTE</v>
      </c>
      <c r="B120" s="53"/>
      <c r="C120" s="53"/>
      <c r="D120" s="54"/>
      <c r="E120" s="53"/>
      <c r="F120" s="53" t="str">
        <f>CONCATENATE($O$11,".",$P$11,".",$O$2,".",$S$11+27)</f>
        <v>10.38.16.28</v>
      </c>
      <c r="G120" s="55" t="str" cm="1">
        <f t="array" ref="G120">_xlfn.IFS($Q$8=26,"255.255.255.192",$Q$8=27,"255.255.255.224")</f>
        <v>255.255.255.224</v>
      </c>
      <c r="H120" s="53" t="str">
        <f t="shared" si="11"/>
        <v>10.38.16.1</v>
      </c>
    </row>
    <row r="121" spans="1:8" hidden="1" x14ac:dyDescent="0.25">
      <c r="A121" s="53" t="str">
        <f t="shared" si="10"/>
        <v>SE - IMIGRANTE</v>
      </c>
      <c r="B121" s="53"/>
      <c r="C121" s="53"/>
      <c r="D121" s="54"/>
      <c r="E121" s="53"/>
      <c r="F121" s="53" t="str">
        <f>CONCATENATE($O$11,".",$P$11,".",$O$2,".",$S$11+28)</f>
        <v>10.38.16.29</v>
      </c>
      <c r="G121" s="55" t="str" cm="1">
        <f t="array" ref="G121">_xlfn.IFS($Q$8=26,"255.255.255.192",$Q$8=27,"255.255.255.224")</f>
        <v>255.255.255.224</v>
      </c>
      <c r="H121" s="53" t="str">
        <f t="shared" si="11"/>
        <v>10.38.16.1</v>
      </c>
    </row>
    <row r="122" spans="1:8" hidden="1" x14ac:dyDescent="0.25">
      <c r="A122" s="53" t="str">
        <f t="shared" si="10"/>
        <v>SE - IMIGRANTE</v>
      </c>
      <c r="B122" s="53"/>
      <c r="C122" s="53"/>
      <c r="D122" s="54"/>
      <c r="E122" s="53"/>
      <c r="F122" s="53" t="str">
        <f>CONCATENATE($O$11,".",$P$11,".",$O$2,".",$S$11+29)</f>
        <v>10.38.16.30</v>
      </c>
      <c r="G122" s="55" t="str" cm="1">
        <f t="array" ref="G122">_xlfn.IFS($Q$8=26,"255.255.255.192",$Q$8=27,"255.255.255.224")</f>
        <v>255.255.255.224</v>
      </c>
      <c r="H122" s="53" t="str">
        <f t="shared" si="11"/>
        <v>10.38.16.1</v>
      </c>
    </row>
  </sheetData>
  <mergeCells count="16">
    <mergeCell ref="A92:M92"/>
    <mergeCell ref="A60:M60"/>
    <mergeCell ref="S1:T1"/>
    <mergeCell ref="O2:Q2"/>
    <mergeCell ref="S2:T2"/>
    <mergeCell ref="O4:P4"/>
    <mergeCell ref="S4:T4"/>
    <mergeCell ref="S5:T5"/>
    <mergeCell ref="A1:M1"/>
    <mergeCell ref="O1:Q1"/>
    <mergeCell ref="O7:P7"/>
    <mergeCell ref="S7:T7"/>
    <mergeCell ref="S8:T8"/>
    <mergeCell ref="O10:P10"/>
    <mergeCell ref="S10:T10"/>
    <mergeCell ref="S11:T11"/>
  </mergeCells>
  <conditionalFormatting sqref="E1:E1048576">
    <cfRule type="cellIs" dxfId="170" priority="1" operator="equal">
      <formula>"D"</formula>
    </cfRule>
    <cfRule type="cellIs" dxfId="169" priority="2" operator="equal">
      <formula>"C"</formula>
    </cfRule>
    <cfRule type="cellIs" dxfId="168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4582-460A-47BF-B35A-0BF5F3A39EDC}">
  <sheetPr>
    <tabColor theme="6"/>
  </sheetPr>
  <dimension ref="A1:N123"/>
  <sheetViews>
    <sheetView topLeftCell="C16" zoomScaleNormal="100" workbookViewId="0">
      <selection activeCell="N31" sqref="N31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60.7109375" style="1" customWidth="1"/>
    <col min="7" max="7" width="14.28515625" style="1" customWidth="1"/>
    <col min="8" max="8" width="26.140625" style="1" bestFit="1" customWidth="1"/>
    <col min="9" max="9" width="8.85546875" style="1" customWidth="1"/>
    <col min="10" max="10" width="2.140625" style="1" customWidth="1"/>
    <col min="11" max="11" width="13.28515625" style="1" hidden="1" customWidth="1"/>
    <col min="12" max="12" width="13.28515625" style="1" customWidth="1"/>
    <col min="13" max="13" width="6.140625" style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429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294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290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291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292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25">
      <c r="A8" s="2" t="s">
        <v>82</v>
      </c>
      <c r="B8" s="119" t="s">
        <v>293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ht="180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190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IMA_LT3_LT3_IA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v>0</v>
      </c>
    </row>
    <row r="12" spans="1:14" x14ac:dyDescent="0.25">
      <c r="A12" s="6" t="s">
        <v>190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IMA_LT3_LT3_IB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>N11+1</f>
        <v>1</v>
      </c>
    </row>
    <row r="13" spans="1:14" x14ac:dyDescent="0.25">
      <c r="A13" s="6" t="s">
        <v>190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IMA_LT3_LT3_IC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ref="N13:N23" si="0">N12+1</f>
        <v>2</v>
      </c>
    </row>
    <row r="14" spans="1:14" x14ac:dyDescent="0.25">
      <c r="A14" s="6" t="s">
        <v>190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IMA_LT3_LT3_VA_B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3</v>
      </c>
    </row>
    <row r="15" spans="1:14" x14ac:dyDescent="0.25">
      <c r="A15" s="6" t="s">
        <v>190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IMA_LT3_LT3_VB_B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>
        <f t="shared" si="0"/>
        <v>4</v>
      </c>
    </row>
    <row r="16" spans="1:14" x14ac:dyDescent="0.25">
      <c r="A16" s="6" t="s">
        <v>190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IMA_LT3_LT3_VC_B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>
        <f t="shared" si="0"/>
        <v>5</v>
      </c>
    </row>
    <row r="17" spans="1:14" x14ac:dyDescent="0.25">
      <c r="A17" s="6" t="s">
        <v>190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B</v>
      </c>
      <c r="G17" s="6" t="s">
        <v>16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IMA_LT3_LT3_VB_L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6</v>
      </c>
    </row>
    <row r="18" spans="1:14" x14ac:dyDescent="0.25">
      <c r="A18" s="6" t="s">
        <v>190</v>
      </c>
      <c r="B18" s="6" t="str">
        <f>Informações!$C$3</f>
        <v>IMA</v>
      </c>
      <c r="C18" s="6" t="s">
        <v>29</v>
      </c>
      <c r="D18" s="6" t="s">
        <v>27</v>
      </c>
      <c r="E18" s="2" t="s">
        <v>8</v>
      </c>
      <c r="F18" s="6" t="str">
        <f>VLOOKUP(G18,[1]Analog!$A:$B,2,FALSE)</f>
        <v>POTENCIA ATIVA</v>
      </c>
      <c r="G18" s="6" t="s">
        <v>18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IMA_LT3_LT3_P</v>
      </c>
      <c r="I18" s="6" t="s">
        <v>267</v>
      </c>
      <c r="J18" s="6" t="s">
        <v>188</v>
      </c>
      <c r="K18" s="6" t="s">
        <v>188</v>
      </c>
      <c r="L18" s="8">
        <v>10</v>
      </c>
      <c r="M18" s="6" t="s">
        <v>188</v>
      </c>
      <c r="N18" s="6">
        <f t="shared" si="0"/>
        <v>7</v>
      </c>
    </row>
    <row r="19" spans="1:14" x14ac:dyDescent="0.25">
      <c r="A19" s="6" t="s">
        <v>190</v>
      </c>
      <c r="B19" s="6" t="str">
        <f>Informações!$C$3</f>
        <v>IMA</v>
      </c>
      <c r="C19" s="6" t="s">
        <v>29</v>
      </c>
      <c r="D19" s="6" t="s">
        <v>27</v>
      </c>
      <c r="E19" s="2" t="s">
        <v>8</v>
      </c>
      <c r="F19" s="6" t="str">
        <f>VLOOKUP(G19,[1]Analog!$A:$B,2,FALSE)</f>
        <v>POTENCIA REATIVA</v>
      </c>
      <c r="G19" s="6" t="s">
        <v>19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IMA_LT3_LT3_Q</v>
      </c>
      <c r="I19" s="6" t="s">
        <v>267</v>
      </c>
      <c r="J19" s="6" t="s">
        <v>188</v>
      </c>
      <c r="K19" s="6" t="s">
        <v>188</v>
      </c>
      <c r="L19" s="8">
        <v>10</v>
      </c>
      <c r="M19" s="6" t="s">
        <v>188</v>
      </c>
      <c r="N19" s="6">
        <f t="shared" si="0"/>
        <v>8</v>
      </c>
    </row>
    <row r="20" spans="1:14" x14ac:dyDescent="0.25">
      <c r="A20" s="6" t="s">
        <v>190</v>
      </c>
      <c r="B20" s="6" t="str">
        <f>Informações!$C$3</f>
        <v>IMA</v>
      </c>
      <c r="C20" s="6" t="s">
        <v>29</v>
      </c>
      <c r="D20" s="6" t="s">
        <v>29</v>
      </c>
      <c r="E20" s="2" t="s">
        <v>8</v>
      </c>
      <c r="F20" s="6" t="str">
        <f>VLOOKUP(G20,[1]Analog!$A:$B,2,FALSE)</f>
        <v>DISTANCIA DEFEITO</v>
      </c>
      <c r="G20" s="6" t="s">
        <v>20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IMA_LT3_LT3_KMDF</v>
      </c>
      <c r="I20" s="6" t="s">
        <v>267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9</v>
      </c>
    </row>
    <row r="21" spans="1:14" x14ac:dyDescent="0.25">
      <c r="A21" s="6" t="s">
        <v>190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CORRENTE CURTO CIRCUITO FASE A</v>
      </c>
      <c r="G21" s="6" t="s">
        <v>21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IMA_LT3_LT3_IACC</v>
      </c>
      <c r="I21" s="6" t="s">
        <v>267</v>
      </c>
      <c r="J21" s="6" t="s">
        <v>188</v>
      </c>
      <c r="K21" s="6" t="s">
        <v>188</v>
      </c>
      <c r="L21" s="8">
        <v>1</v>
      </c>
      <c r="M21" s="6" t="s">
        <v>188</v>
      </c>
      <c r="N21" s="6">
        <f t="shared" si="0"/>
        <v>10</v>
      </c>
    </row>
    <row r="22" spans="1:14" x14ac:dyDescent="0.25">
      <c r="A22" s="6" t="s">
        <v>190</v>
      </c>
      <c r="B22" s="6" t="str">
        <f>Informações!$C$3</f>
        <v>IMA</v>
      </c>
      <c r="C22" s="6" t="s">
        <v>29</v>
      </c>
      <c r="D22" s="6" t="s">
        <v>27</v>
      </c>
      <c r="E22" s="2" t="s">
        <v>8</v>
      </c>
      <c r="F22" s="6" t="str">
        <f>VLOOKUP(G22,[1]Analog!$A:$B,2,FALSE)</f>
        <v>CORRENTE CURTO CIRCUITO FASE B</v>
      </c>
      <c r="G22" s="6" t="s">
        <v>22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IMA_LT3_LT3_IBCC</v>
      </c>
      <c r="I22" s="6" t="s">
        <v>267</v>
      </c>
      <c r="J22" s="6" t="s">
        <v>188</v>
      </c>
      <c r="K22" s="6" t="s">
        <v>188</v>
      </c>
      <c r="L22" s="8">
        <v>1</v>
      </c>
      <c r="M22" s="6" t="s">
        <v>188</v>
      </c>
      <c r="N22" s="6">
        <f t="shared" si="0"/>
        <v>11</v>
      </c>
    </row>
    <row r="23" spans="1:14" x14ac:dyDescent="0.25">
      <c r="A23" s="6" t="s">
        <v>190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C</v>
      </c>
      <c r="G23" s="6" t="s">
        <v>23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IMA_LT3_LT3_ICCC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>
        <f t="shared" si="0"/>
        <v>12</v>
      </c>
    </row>
    <row r="24" spans="1:14" x14ac:dyDescent="0.25">
      <c r="A24" s="95" t="s">
        <v>190</v>
      </c>
      <c r="B24" s="95" t="str">
        <f>Informações!$C$3</f>
        <v>IMA</v>
      </c>
      <c r="C24" s="95" t="s">
        <v>29</v>
      </c>
      <c r="D24" s="95" t="s">
        <v>27</v>
      </c>
      <c r="E24" s="2" t="s">
        <v>8</v>
      </c>
      <c r="F24" s="95" t="str">
        <f>VLOOKUP(G24,[1]Analog!$A:$B,2,FALSE)</f>
        <v>CORRENTE CURTO CIRCUITO NEUTRO</v>
      </c>
      <c r="G24" s="6" t="s">
        <v>92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IMA_LT3_LT3_INCC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95">
        <f>'RET 2'!N8+1</f>
        <v>198</v>
      </c>
    </row>
    <row r="25" spans="1:14" x14ac:dyDescent="0.25">
      <c r="A25" s="6" t="s">
        <v>190</v>
      </c>
      <c r="B25" s="6" t="str">
        <f>Informações!$C$3</f>
        <v>IMA</v>
      </c>
      <c r="C25" s="6" t="s">
        <v>29</v>
      </c>
      <c r="D25" s="6" t="s">
        <v>31</v>
      </c>
      <c r="E25" s="7" t="s">
        <v>24</v>
      </c>
      <c r="F25" s="6" t="str">
        <f>VLOOKUP(G25,[1]Discrete!$A:$B,2,FALSE)</f>
        <v>SECCIONADORA CARGA</v>
      </c>
      <c r="G25" s="6" t="s">
        <v>31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IMA_LT3_89-16_SECC</v>
      </c>
      <c r="I25" s="6" t="s">
        <v>188</v>
      </c>
      <c r="J25" s="6" t="s">
        <v>188</v>
      </c>
      <c r="K25" s="6" t="s">
        <v>188</v>
      </c>
      <c r="L25" s="6" t="s">
        <v>188</v>
      </c>
      <c r="M25" s="6" t="s">
        <v>279</v>
      </c>
      <c r="N25" s="6" t="s">
        <v>424</v>
      </c>
    </row>
    <row r="26" spans="1:14" x14ac:dyDescent="0.25">
      <c r="A26" s="6" t="s">
        <v>190</v>
      </c>
      <c r="B26" s="6" t="str">
        <f>Informações!$C$3</f>
        <v>IMA</v>
      </c>
      <c r="C26" s="6" t="s">
        <v>29</v>
      </c>
      <c r="D26" s="6" t="s">
        <v>32</v>
      </c>
      <c r="E26" s="7" t="s">
        <v>24</v>
      </c>
      <c r="F26" s="6" t="str">
        <f>VLOOKUP(G26,[1]Discrete!$A:$B,2,FALSE)</f>
        <v>SECCIONADORA FONTE</v>
      </c>
      <c r="G26" s="6" t="s">
        <v>32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IMA_LT3_89-14_SECF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 t="str">
        <f>VALUE(LEFT(N25, FIND(";",N25)-1)) + 1 &amp; ";" &amp; VALUE(LEFT(N25, FIND(";",N25)-1)) + 1</f>
        <v>1;1</v>
      </c>
    </row>
    <row r="27" spans="1:14" x14ac:dyDescent="0.25">
      <c r="A27" s="6" t="s">
        <v>190</v>
      </c>
      <c r="B27" s="6" t="str">
        <f>Informações!$C$3</f>
        <v>IMA</v>
      </c>
      <c r="C27" s="6" t="s">
        <v>29</v>
      </c>
      <c r="D27" s="6" t="s">
        <v>33</v>
      </c>
      <c r="E27" s="7" t="s">
        <v>24</v>
      </c>
      <c r="F27" s="6" t="str">
        <f>VLOOKUP(G27,[1]Discrete!$A:$B,2,FALSE)</f>
        <v>SECCIONADORA TRANSFERENCIA</v>
      </c>
      <c r="G27" s="6" t="s">
        <v>33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IMA_LT3_89-18_SECT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 t="str">
        <f t="shared" ref="N27:N31" si="1">VALUE(LEFT(N26, FIND(";",N26)-1)) + 1 &amp; ";" &amp; VALUE(LEFT(N26, FIND(";",N26)-1)) + 1</f>
        <v>2;2</v>
      </c>
    </row>
    <row r="28" spans="1:14" x14ac:dyDescent="0.25">
      <c r="A28" s="6" t="s">
        <v>190</v>
      </c>
      <c r="B28" s="6" t="str">
        <f>Informações!$C$3</f>
        <v>IMA</v>
      </c>
      <c r="C28" s="6" t="s">
        <v>29</v>
      </c>
      <c r="D28" s="6" t="s">
        <v>30</v>
      </c>
      <c r="E28" s="7" t="s">
        <v>24</v>
      </c>
      <c r="F28" s="6" t="str">
        <f>VLOOKUP(G28,[1]Discrete!$A:$B,2,FALSE)</f>
        <v>DISJUNTOR NF</v>
      </c>
      <c r="G28" s="6" t="s">
        <v>34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IMA_LT3_52-3_DJF1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 t="str">
        <f t="shared" si="1"/>
        <v>3;3</v>
      </c>
    </row>
    <row r="29" spans="1:14" x14ac:dyDescent="0.25">
      <c r="A29" s="6" t="s">
        <v>190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e">
        <f>VLOOKUP(G29,[1]Discrete!$A:$B,2,FALSE)</f>
        <v>#N/A</v>
      </c>
      <c r="G29" s="6">
        <v>79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IMA_LT3_52-3_79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280</v>
      </c>
      <c r="N29" s="6" t="str">
        <f t="shared" si="1"/>
        <v>4;4</v>
      </c>
    </row>
    <row r="30" spans="1:14" x14ac:dyDescent="0.25">
      <c r="A30" s="6" t="s">
        <v>190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str">
        <f>VLOOKUP(G30,[1]Discrete!$A:$B,2,FALSE)</f>
        <v>51 - FUNCAO SOBRECORRENTE TEMPORIZADA NEUTRO</v>
      </c>
      <c r="G30" s="6" t="s">
        <v>35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IMA_LT3_52-3_51N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 t="str">
        <f t="shared" si="1"/>
        <v>5;5</v>
      </c>
    </row>
    <row r="31" spans="1:14" x14ac:dyDescent="0.25">
      <c r="A31" s="6" t="s">
        <v>190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25 - FUNCAO SINCRONISMO</v>
      </c>
      <c r="G31" s="6" t="s">
        <v>36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IMA_LT3_52-3_25IE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 t="str">
        <f t="shared" si="1"/>
        <v>6;6</v>
      </c>
    </row>
    <row r="32" spans="1:14" x14ac:dyDescent="0.25">
      <c r="A32" s="6" t="s">
        <v>190</v>
      </c>
      <c r="B32" s="6" t="str">
        <f>Informações!$C$3</f>
        <v>IMA</v>
      </c>
      <c r="C32" s="6" t="s">
        <v>29</v>
      </c>
      <c r="D32" s="6" t="s">
        <v>31</v>
      </c>
      <c r="E32" s="2" t="s">
        <v>25</v>
      </c>
      <c r="F32" s="104" t="str">
        <f>VLOOKUP(G32,[1]Discrete!$A:$B,2,FALSE)</f>
        <v>SECCIONADORA CARGA</v>
      </c>
      <c r="G32" s="6" t="s">
        <v>31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IMA_LT3_89-16_SECC</v>
      </c>
      <c r="I32" s="6" t="s">
        <v>268</v>
      </c>
      <c r="J32" s="104" t="s">
        <v>281</v>
      </c>
      <c r="K32" s="104" t="s">
        <v>285</v>
      </c>
      <c r="L32" s="6" t="s">
        <v>188</v>
      </c>
      <c r="M32" s="6" t="s">
        <v>188</v>
      </c>
      <c r="N32" s="104" t="s">
        <v>739</v>
      </c>
    </row>
    <row r="33" spans="1:14" x14ac:dyDescent="0.25">
      <c r="A33" s="6" t="s">
        <v>190</v>
      </c>
      <c r="B33" s="6" t="str">
        <f>Informações!$C$3</f>
        <v>IMA</v>
      </c>
      <c r="C33" s="6" t="s">
        <v>29</v>
      </c>
      <c r="D33" s="6" t="s">
        <v>31</v>
      </c>
      <c r="E33" s="2" t="s">
        <v>25</v>
      </c>
      <c r="F33" s="6" t="str">
        <f>VLOOKUP(G33,[1]Discrete!$A:$B,2,FALSE)</f>
        <v>43 - CHAVE LOCAL REMOTO</v>
      </c>
      <c r="G33" s="6" t="s">
        <v>39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IMA_LT3_89-16_43LR</v>
      </c>
      <c r="I33" s="6" t="s">
        <v>267</v>
      </c>
      <c r="J33" s="6" t="s">
        <v>186</v>
      </c>
      <c r="K33" s="6" t="s">
        <v>185</v>
      </c>
      <c r="L33" s="6" t="s">
        <v>188</v>
      </c>
      <c r="M33" s="6" t="s">
        <v>188</v>
      </c>
      <c r="N33" s="6">
        <v>1</v>
      </c>
    </row>
    <row r="34" spans="1:14" x14ac:dyDescent="0.25">
      <c r="A34" s="6" t="s">
        <v>190</v>
      </c>
      <c r="B34" s="6" t="str">
        <f>Informações!$C$3</f>
        <v>IMA</v>
      </c>
      <c r="C34" s="6" t="s">
        <v>29</v>
      </c>
      <c r="D34" s="6" t="s">
        <v>31</v>
      </c>
      <c r="E34" s="2" t="s">
        <v>25</v>
      </c>
      <c r="F34" s="6" t="str">
        <f>VLOOKUP(G34,[1]Discrete!$A:$B,2,FALSE)</f>
        <v>FALTA VCC</v>
      </c>
      <c r="G34" s="6" t="s">
        <v>42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IMA_LT3_89-16_CCFL</v>
      </c>
      <c r="I34" s="6" t="s">
        <v>267</v>
      </c>
      <c r="J34" s="6" t="s">
        <v>182</v>
      </c>
      <c r="K34" s="6" t="s">
        <v>181</v>
      </c>
      <c r="L34" s="6" t="s">
        <v>188</v>
      </c>
      <c r="M34" s="6" t="s">
        <v>188</v>
      </c>
      <c r="N34" s="6">
        <f t="shared" ref="N34:N97" si="2">N33+1</f>
        <v>2</v>
      </c>
    </row>
    <row r="35" spans="1:14" x14ac:dyDescent="0.25">
      <c r="A35" s="6" t="s">
        <v>190</v>
      </c>
      <c r="B35" s="6" t="str">
        <f>Informações!$C$3</f>
        <v>IMA</v>
      </c>
      <c r="C35" s="6" t="s">
        <v>29</v>
      </c>
      <c r="D35" s="6" t="s">
        <v>31</v>
      </c>
      <c r="E35" s="2" t="s">
        <v>25</v>
      </c>
      <c r="F35" s="6" t="str">
        <f>VLOOKUP(G35,[1]Discrete!$A:$B,2,FALSE)</f>
        <v>OPERACAO INDEVIDA SECCIONADORA</v>
      </c>
      <c r="G35" s="6" t="s">
        <v>295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IMA_LT3_89-16_OI</v>
      </c>
      <c r="I35" s="6" t="s">
        <v>267</v>
      </c>
      <c r="J35" s="6" t="s">
        <v>182</v>
      </c>
      <c r="K35" s="6" t="s">
        <v>179</v>
      </c>
      <c r="L35" s="6" t="s">
        <v>188</v>
      </c>
      <c r="M35" s="6" t="s">
        <v>188</v>
      </c>
      <c r="N35" s="6">
        <f t="shared" si="2"/>
        <v>3</v>
      </c>
    </row>
    <row r="36" spans="1:14" x14ac:dyDescent="0.25">
      <c r="A36" s="6" t="s">
        <v>190</v>
      </c>
      <c r="B36" s="6" t="str">
        <f>Informações!$C$3</f>
        <v>IMA</v>
      </c>
      <c r="C36" s="6" t="s">
        <v>29</v>
      </c>
      <c r="D36" s="6" t="s">
        <v>31</v>
      </c>
      <c r="E36" s="2" t="s">
        <v>25</v>
      </c>
      <c r="F36" s="6" t="str">
        <f>VLOOKUP(G36,[1]Discrete!$A:$B,2,FALSE)</f>
        <v>LIBERA MANOBRA</v>
      </c>
      <c r="G36" s="6" t="s">
        <v>112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IMA_LT3_89-16_LIBM</v>
      </c>
      <c r="I36" s="6" t="s">
        <v>267</v>
      </c>
      <c r="J36" s="6" t="s">
        <v>209</v>
      </c>
      <c r="K36" s="6" t="s">
        <v>210</v>
      </c>
      <c r="L36" s="6" t="s">
        <v>188</v>
      </c>
      <c r="M36" s="6" t="s">
        <v>188</v>
      </c>
      <c r="N36" s="6">
        <f t="shared" si="2"/>
        <v>4</v>
      </c>
    </row>
    <row r="37" spans="1:14" x14ac:dyDescent="0.25">
      <c r="A37" s="6" t="s">
        <v>190</v>
      </c>
      <c r="B37" s="6" t="str">
        <f>Informações!$C$3</f>
        <v>IMA</v>
      </c>
      <c r="C37" s="6" t="s">
        <v>29</v>
      </c>
      <c r="D37" s="6" t="s">
        <v>32</v>
      </c>
      <c r="E37" s="2" t="s">
        <v>25</v>
      </c>
      <c r="F37" s="104" t="str">
        <f>VLOOKUP(G37,[1]Discrete!$A:$B,2,FALSE)</f>
        <v>SECCIONADORA FONTE</v>
      </c>
      <c r="G37" s="6" t="s">
        <v>32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IMA_LT3_89-14_SECF</v>
      </c>
      <c r="I37" s="6" t="s">
        <v>268</v>
      </c>
      <c r="J37" s="104" t="s">
        <v>281</v>
      </c>
      <c r="K37" s="104" t="s">
        <v>285</v>
      </c>
      <c r="L37" s="6" t="s">
        <v>188</v>
      </c>
      <c r="M37" s="6" t="s">
        <v>188</v>
      </c>
      <c r="N37" s="104" t="str">
        <f>VALUE(LEFT(N32, FIND(";",N32)-1)) + 2 &amp; ";" &amp; VALUE(LEFT(N32, FIND(";",N32)-1)) + 3</f>
        <v>1102;1103</v>
      </c>
    </row>
    <row r="38" spans="1:14" x14ac:dyDescent="0.25">
      <c r="A38" s="6" t="s">
        <v>190</v>
      </c>
      <c r="B38" s="6" t="str">
        <f>Informações!$C$3</f>
        <v>IMA</v>
      </c>
      <c r="C38" s="6" t="s">
        <v>29</v>
      </c>
      <c r="D38" s="6" t="s">
        <v>32</v>
      </c>
      <c r="E38" s="2" t="s">
        <v>25</v>
      </c>
      <c r="F38" s="6" t="str">
        <f>VLOOKUP(G38,[1]Discrete!$A:$B,2,FALSE)</f>
        <v>43 - CHAVE LOCAL REMOTO</v>
      </c>
      <c r="G38" s="6" t="s">
        <v>39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IMA_LT3_89-14_43LR</v>
      </c>
      <c r="I38" s="6" t="s">
        <v>267</v>
      </c>
      <c r="J38" s="6" t="s">
        <v>186</v>
      </c>
      <c r="K38" s="6" t="s">
        <v>185</v>
      </c>
      <c r="L38" s="6" t="s">
        <v>188</v>
      </c>
      <c r="M38" s="6" t="s">
        <v>188</v>
      </c>
      <c r="N38" s="6">
        <v>6</v>
      </c>
    </row>
    <row r="39" spans="1:14" x14ac:dyDescent="0.25">
      <c r="A39" s="6" t="s">
        <v>190</v>
      </c>
      <c r="B39" s="6" t="str">
        <f>Informações!$C$3</f>
        <v>IMA</v>
      </c>
      <c r="C39" s="6" t="s">
        <v>29</v>
      </c>
      <c r="D39" s="6" t="s">
        <v>32</v>
      </c>
      <c r="E39" s="2" t="s">
        <v>25</v>
      </c>
      <c r="F39" s="6" t="str">
        <f>VLOOKUP(G39,[1]Discrete!$A:$B,2,FALSE)</f>
        <v>FALTA VCC</v>
      </c>
      <c r="G39" s="6" t="s">
        <v>42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IMA_LT3_89-14_CCFL</v>
      </c>
      <c r="I39" s="6" t="s">
        <v>267</v>
      </c>
      <c r="J39" s="6" t="s">
        <v>182</v>
      </c>
      <c r="K39" s="6" t="s">
        <v>181</v>
      </c>
      <c r="L39" s="6" t="s">
        <v>188</v>
      </c>
      <c r="M39" s="6" t="s">
        <v>188</v>
      </c>
      <c r="N39" s="6">
        <f t="shared" si="2"/>
        <v>7</v>
      </c>
    </row>
    <row r="40" spans="1:14" x14ac:dyDescent="0.25">
      <c r="A40" s="6" t="s">
        <v>190</v>
      </c>
      <c r="B40" s="6" t="str">
        <f>Informações!$C$3</f>
        <v>IMA</v>
      </c>
      <c r="C40" s="6" t="s">
        <v>29</v>
      </c>
      <c r="D40" s="6" t="s">
        <v>32</v>
      </c>
      <c r="E40" s="2" t="s">
        <v>25</v>
      </c>
      <c r="F40" s="6" t="str">
        <f>VLOOKUP(G40,[1]Discrete!$A:$B,2,FALSE)</f>
        <v>OPERACAO INDEVIDA SECCIONADORA</v>
      </c>
      <c r="G40" s="6" t="s">
        <v>295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IMA_LT3_89-14_OI</v>
      </c>
      <c r="I40" s="6" t="s">
        <v>267</v>
      </c>
      <c r="J40" s="6" t="s">
        <v>182</v>
      </c>
      <c r="K40" s="6" t="s">
        <v>179</v>
      </c>
      <c r="L40" s="6" t="s">
        <v>188</v>
      </c>
      <c r="M40" s="6" t="s">
        <v>188</v>
      </c>
      <c r="N40" s="6">
        <f t="shared" si="2"/>
        <v>8</v>
      </c>
    </row>
    <row r="41" spans="1:14" x14ac:dyDescent="0.25">
      <c r="A41" s="6" t="s">
        <v>190</v>
      </c>
      <c r="B41" s="6" t="str">
        <f>Informações!$C$3</f>
        <v>IMA</v>
      </c>
      <c r="C41" s="6" t="s">
        <v>29</v>
      </c>
      <c r="D41" s="6" t="s">
        <v>32</v>
      </c>
      <c r="E41" s="2" t="s">
        <v>25</v>
      </c>
      <c r="F41" s="6" t="str">
        <f>VLOOKUP(G41,[1]Discrete!$A:$B,2,FALSE)</f>
        <v>LIBERA MANOBRA</v>
      </c>
      <c r="G41" s="6" t="s">
        <v>112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IMA_LT3_89-14_LIBM</v>
      </c>
      <c r="I41" s="6" t="s">
        <v>267</v>
      </c>
      <c r="J41" s="6" t="s">
        <v>209</v>
      </c>
      <c r="K41" s="6" t="s">
        <v>210</v>
      </c>
      <c r="L41" s="6" t="s">
        <v>188</v>
      </c>
      <c r="M41" s="6" t="s">
        <v>188</v>
      </c>
      <c r="N41" s="6">
        <f t="shared" si="2"/>
        <v>9</v>
      </c>
    </row>
    <row r="42" spans="1:14" x14ac:dyDescent="0.25">
      <c r="A42" s="6" t="s">
        <v>190</v>
      </c>
      <c r="B42" s="6" t="str">
        <f>Informações!$C$3</f>
        <v>IMA</v>
      </c>
      <c r="C42" s="6" t="s">
        <v>29</v>
      </c>
      <c r="D42" s="6" t="s">
        <v>33</v>
      </c>
      <c r="E42" s="2" t="s">
        <v>25</v>
      </c>
      <c r="F42" s="104" t="str">
        <f>VLOOKUP(G42,[1]Discrete!$A:$B,2,FALSE)</f>
        <v>SECCIONADORA TRANSFERENCIA</v>
      </c>
      <c r="G42" s="6" t="s">
        <v>33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IMA_LT3_89-18_SECT</v>
      </c>
      <c r="I42" s="6" t="s">
        <v>268</v>
      </c>
      <c r="J42" s="104" t="s">
        <v>281</v>
      </c>
      <c r="K42" s="104" t="s">
        <v>285</v>
      </c>
      <c r="L42" s="6" t="s">
        <v>188</v>
      </c>
      <c r="M42" s="6" t="s">
        <v>188</v>
      </c>
      <c r="N42" s="104" t="str">
        <f>VALUE(LEFT(N37, FIND(";",N37)-1)) + 2 &amp; ";" &amp; VALUE(LEFT(N37, FIND(";",N37)-1)) + 3</f>
        <v>1104;1105</v>
      </c>
    </row>
    <row r="43" spans="1:14" x14ac:dyDescent="0.25">
      <c r="A43" s="6" t="s">
        <v>190</v>
      </c>
      <c r="B43" s="6" t="str">
        <f>Informações!$C$3</f>
        <v>IMA</v>
      </c>
      <c r="C43" s="6" t="s">
        <v>29</v>
      </c>
      <c r="D43" s="6" t="s">
        <v>33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IMA_LT3_89-18_43LR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>
        <v>11</v>
      </c>
    </row>
    <row r="44" spans="1:14" x14ac:dyDescent="0.25">
      <c r="A44" s="6" t="s">
        <v>190</v>
      </c>
      <c r="B44" s="6" t="str">
        <f>Informações!$C$3</f>
        <v>IMA</v>
      </c>
      <c r="C44" s="6" t="s">
        <v>29</v>
      </c>
      <c r="D44" s="6" t="s">
        <v>33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IMA_LT3_89-18_CCFL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>
        <f t="shared" si="2"/>
        <v>12</v>
      </c>
    </row>
    <row r="45" spans="1:14" x14ac:dyDescent="0.25">
      <c r="A45" s="93" t="s">
        <v>191</v>
      </c>
      <c r="B45" s="6" t="str">
        <f>Informações!$C$3</f>
        <v>IMA</v>
      </c>
      <c r="C45" s="6" t="s">
        <v>29</v>
      </c>
      <c r="D45" s="6" t="s">
        <v>33</v>
      </c>
      <c r="E45" s="2" t="s">
        <v>25</v>
      </c>
      <c r="F45" s="93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IMA_LT3_89-18_OI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93">
        <f t="shared" si="2"/>
        <v>13</v>
      </c>
    </row>
    <row r="46" spans="1:14" x14ac:dyDescent="0.25">
      <c r="A46" s="6" t="s">
        <v>190</v>
      </c>
      <c r="B46" s="6" t="str">
        <f>Informações!$C$3</f>
        <v>IMA</v>
      </c>
      <c r="C46" s="6" t="s">
        <v>29</v>
      </c>
      <c r="D46" s="6" t="s">
        <v>33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IMA_LT3_89-18_LIBM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>
        <f t="shared" si="2"/>
        <v>14</v>
      </c>
    </row>
    <row r="47" spans="1:14" x14ac:dyDescent="0.25">
      <c r="A47" s="6" t="s">
        <v>190</v>
      </c>
      <c r="B47" s="6" t="str">
        <f>Informações!$C$3</f>
        <v>IMA</v>
      </c>
      <c r="C47" s="6" t="s">
        <v>29</v>
      </c>
      <c r="D47" s="6" t="s">
        <v>82</v>
      </c>
      <c r="E47" s="2" t="s">
        <v>25</v>
      </c>
      <c r="F47" s="104" t="str">
        <f>VLOOKUP(G47,[1]Discrete!$A:$B,2,FALSE)</f>
        <v>SECCIONADORA TERRA</v>
      </c>
      <c r="G47" s="6" t="s">
        <v>82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IMA_LT3_29-5_SECG</v>
      </c>
      <c r="I47" s="6" t="s">
        <v>268</v>
      </c>
      <c r="J47" s="104" t="s">
        <v>281</v>
      </c>
      <c r="K47" s="104" t="s">
        <v>285</v>
      </c>
      <c r="L47" s="6" t="s">
        <v>188</v>
      </c>
      <c r="M47" s="6" t="s">
        <v>188</v>
      </c>
      <c r="N47" s="104" t="str">
        <f>VALUE(LEFT(N42, FIND(";",N42)-1)) + 2 &amp; ";" &amp; VALUE(LEFT(N42, FIND(";",N42)-1)) + 3</f>
        <v>1106;1107</v>
      </c>
    </row>
    <row r="48" spans="1:14" x14ac:dyDescent="0.25">
      <c r="A48" s="6" t="s">
        <v>190</v>
      </c>
      <c r="B48" s="6" t="str">
        <f>Informações!$C$3</f>
        <v>IMA</v>
      </c>
      <c r="C48" s="6" t="s">
        <v>29</v>
      </c>
      <c r="D48" s="6" t="s">
        <v>30</v>
      </c>
      <c r="E48" s="2" t="s">
        <v>25</v>
      </c>
      <c r="F48" s="104" t="str">
        <f>VLOOKUP(G48,[1]Discrete!$A:$B,2,FALSE)</f>
        <v>DISJUNTOR NF</v>
      </c>
      <c r="G48" s="6" t="s">
        <v>34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IMA_LT3_52-3_DJF1</v>
      </c>
      <c r="I48" s="6" t="s">
        <v>268</v>
      </c>
      <c r="J48" s="104" t="s">
        <v>284</v>
      </c>
      <c r="K48" s="104" t="s">
        <v>286</v>
      </c>
      <c r="L48" s="6" t="s">
        <v>188</v>
      </c>
      <c r="M48" s="6" t="s">
        <v>188</v>
      </c>
      <c r="N48" s="104" t="str">
        <f>VALUE(LEFT(N47, FIND(";",N47)-1)) + 2 &amp; ";" &amp; VALUE(LEFT(N47, FIND(";",N47)-1)) + 3</f>
        <v>1108;1109</v>
      </c>
    </row>
    <row r="49" spans="1:14" x14ac:dyDescent="0.25">
      <c r="A49" s="6" t="s">
        <v>190</v>
      </c>
      <c r="B49" s="6" t="str">
        <f>Informações!$C$3</f>
        <v>IMA</v>
      </c>
      <c r="C49" s="6" t="s">
        <v>29</v>
      </c>
      <c r="D49" s="6" t="s">
        <v>30</v>
      </c>
      <c r="E49" s="2" t="s">
        <v>25</v>
      </c>
      <c r="F49" s="6" t="e">
        <f>VLOOKUP(G49,[1]Discrete!$A:$B,2,FALSE)</f>
        <v>#N/A</v>
      </c>
      <c r="G49" s="6">
        <v>79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IMA_LT3_52-3_79</v>
      </c>
      <c r="I49" s="6" t="s">
        <v>267</v>
      </c>
      <c r="J49" s="6" t="s">
        <v>182</v>
      </c>
      <c r="K49" s="6" t="s">
        <v>179</v>
      </c>
      <c r="L49" s="6" t="s">
        <v>188</v>
      </c>
      <c r="M49" s="6" t="s">
        <v>188</v>
      </c>
      <c r="N49" s="6">
        <v>17</v>
      </c>
    </row>
    <row r="50" spans="1:14" x14ac:dyDescent="0.25">
      <c r="A50" s="6" t="s">
        <v>190</v>
      </c>
      <c r="B50" s="6" t="str">
        <f>Informações!$C$3</f>
        <v>IMA</v>
      </c>
      <c r="C50" s="6" t="s">
        <v>29</v>
      </c>
      <c r="D50" s="6" t="s">
        <v>30</v>
      </c>
      <c r="E50" s="2" t="s">
        <v>25</v>
      </c>
      <c r="F50" s="6" t="str">
        <f>VLOOKUP(G50,[1]Discrete!$A:$B,2,FALSE)</f>
        <v>51 - FUNCAO SOBRECORRENTE TEMPORIZADA NEUTRO</v>
      </c>
      <c r="G50" s="6" t="s">
        <v>35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IMA_LT3_52-3_51N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2"/>
        <v>18</v>
      </c>
    </row>
    <row r="51" spans="1:14" x14ac:dyDescent="0.25">
      <c r="A51" s="6" t="s">
        <v>190</v>
      </c>
      <c r="B51" s="6" t="str">
        <f>Informações!$C$3</f>
        <v>IMA</v>
      </c>
      <c r="C51" s="6" t="s">
        <v>29</v>
      </c>
      <c r="D51" s="6" t="s">
        <v>30</v>
      </c>
      <c r="E51" s="2" t="s">
        <v>25</v>
      </c>
      <c r="F51" s="6" t="str">
        <f>VLOOKUP(G51,[1]Discrete!$A:$B,2,FALSE)</f>
        <v>ALARME BAIXA PRESSAO SF6</v>
      </c>
      <c r="G51" s="6" t="s">
        <v>37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IMA_LT3_52-3_SF6A</v>
      </c>
      <c r="I51" s="6" t="s">
        <v>267</v>
      </c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2"/>
        <v>19</v>
      </c>
    </row>
    <row r="52" spans="1:14" x14ac:dyDescent="0.25">
      <c r="A52" s="6" t="s">
        <v>190</v>
      </c>
      <c r="B52" s="6" t="str">
        <f>Informações!$C$3</f>
        <v>IMA</v>
      </c>
      <c r="C52" s="6" t="s">
        <v>29</v>
      </c>
      <c r="D52" s="6" t="s">
        <v>30</v>
      </c>
      <c r="E52" s="2" t="s">
        <v>25</v>
      </c>
      <c r="F52" s="6" t="str">
        <f>VLOOKUP(G52,[1]Discrete!$A:$B,2,FALSE)</f>
        <v>BLOQUEIO BAIXA PRESSAO SF6</v>
      </c>
      <c r="G52" s="6" t="s">
        <v>49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IMA_LT3_52-3_SF6B</v>
      </c>
      <c r="I52" s="6" t="s">
        <v>267</v>
      </c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2"/>
        <v>20</v>
      </c>
    </row>
    <row r="53" spans="1:14" x14ac:dyDescent="0.25">
      <c r="A53" s="6" t="s">
        <v>190</v>
      </c>
      <c r="B53" s="6" t="str">
        <f>Informações!$C$3</f>
        <v>IMA</v>
      </c>
      <c r="C53" s="6" t="s">
        <v>29</v>
      </c>
      <c r="D53" s="6" t="s">
        <v>30</v>
      </c>
      <c r="E53" s="2" t="s">
        <v>25</v>
      </c>
      <c r="F53" s="6" t="str">
        <f>VLOOKUP(G53,[1]Discrete!$A:$B,2,FALSE)</f>
        <v>MOLA</v>
      </c>
      <c r="G53" s="6" t="s">
        <v>38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IMA_LT3_52-3_MOLA</v>
      </c>
      <c r="I53" s="6" t="s">
        <v>267</v>
      </c>
      <c r="J53" s="94" t="s">
        <v>282</v>
      </c>
      <c r="K53" s="94" t="s">
        <v>283</v>
      </c>
      <c r="L53" s="6" t="s">
        <v>188</v>
      </c>
      <c r="M53" s="6" t="s">
        <v>188</v>
      </c>
      <c r="N53" s="6">
        <f t="shared" si="2"/>
        <v>21</v>
      </c>
    </row>
    <row r="54" spans="1:14" x14ac:dyDescent="0.25">
      <c r="A54" s="6" t="s">
        <v>190</v>
      </c>
      <c r="B54" s="6" t="str">
        <f>Informações!$C$3</f>
        <v>IMA</v>
      </c>
      <c r="C54" s="6" t="s">
        <v>29</v>
      </c>
      <c r="D54" s="6" t="s">
        <v>30</v>
      </c>
      <c r="E54" s="2" t="s">
        <v>25</v>
      </c>
      <c r="F54" s="6" t="str">
        <f>VLOOKUP(G54,[1]Discrete!$A:$B,2,FALSE)</f>
        <v>43 - CHAVE LOCAL REMOTO</v>
      </c>
      <c r="G54" s="6" t="s">
        <v>39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IMA_LT3_52-3_43LR</v>
      </c>
      <c r="I54" s="6" t="s">
        <v>267</v>
      </c>
      <c r="J54" s="6" t="s">
        <v>186</v>
      </c>
      <c r="K54" s="6" t="s">
        <v>185</v>
      </c>
      <c r="L54" s="6" t="s">
        <v>188</v>
      </c>
      <c r="M54" s="6" t="s">
        <v>188</v>
      </c>
      <c r="N54" s="6">
        <f t="shared" si="2"/>
        <v>22</v>
      </c>
    </row>
    <row r="55" spans="1:14" x14ac:dyDescent="0.25">
      <c r="A55" s="6" t="s">
        <v>190</v>
      </c>
      <c r="B55" s="6" t="str">
        <f>Informações!$C$3</f>
        <v>IMA</v>
      </c>
      <c r="C55" s="6" t="s">
        <v>29</v>
      </c>
      <c r="D55" s="6" t="s">
        <v>30</v>
      </c>
      <c r="E55" s="2" t="s">
        <v>25</v>
      </c>
      <c r="F55" s="6" t="str">
        <f>VLOOKUP(G55,[1]Discrete!$A:$B,2,FALSE)</f>
        <v>43 - CHAVE TELECOMANDO</v>
      </c>
      <c r="G55" s="6" t="s">
        <v>40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IMA_LT3_52-3_43TC</v>
      </c>
      <c r="I55" s="6" t="s">
        <v>267</v>
      </c>
      <c r="J55" s="6" t="s">
        <v>183</v>
      </c>
      <c r="K55" s="6" t="s">
        <v>184</v>
      </c>
      <c r="L55" s="6" t="s">
        <v>188</v>
      </c>
      <c r="M55" s="6" t="s">
        <v>188</v>
      </c>
      <c r="N55" s="6">
        <f t="shared" si="2"/>
        <v>23</v>
      </c>
    </row>
    <row r="56" spans="1:14" x14ac:dyDescent="0.25">
      <c r="A56" s="6" t="s">
        <v>190</v>
      </c>
      <c r="B56" s="6" t="str">
        <f>Informações!$C$3</f>
        <v>IMA</v>
      </c>
      <c r="C56" s="6" t="s">
        <v>29</v>
      </c>
      <c r="D56" s="6" t="s">
        <v>30</v>
      </c>
      <c r="E56" s="2" t="s">
        <v>25</v>
      </c>
      <c r="F56" s="6" t="str">
        <f>VLOOKUP(G56,[1]Discrete!$A:$B,2,FALSE)</f>
        <v>BOBINA ABERTURA</v>
      </c>
      <c r="G56" s="6" t="s">
        <v>41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IMA_LT3_52-3_BBAB</v>
      </c>
      <c r="I56" s="6" t="s">
        <v>267</v>
      </c>
      <c r="J56" s="6" t="s">
        <v>182</v>
      </c>
      <c r="K56" s="6" t="s">
        <v>180</v>
      </c>
      <c r="L56" s="6" t="s">
        <v>188</v>
      </c>
      <c r="M56" s="6" t="s">
        <v>188</v>
      </c>
      <c r="N56" s="6">
        <f t="shared" si="2"/>
        <v>24</v>
      </c>
    </row>
    <row r="57" spans="1:14" x14ac:dyDescent="0.25">
      <c r="A57" s="6" t="s">
        <v>190</v>
      </c>
      <c r="B57" s="6" t="str">
        <f>Informações!$C$3</f>
        <v>IMA</v>
      </c>
      <c r="C57" s="6" t="s">
        <v>29</v>
      </c>
      <c r="D57" s="6" t="s">
        <v>30</v>
      </c>
      <c r="E57" s="2" t="s">
        <v>25</v>
      </c>
      <c r="F57" s="6" t="str">
        <f>VLOOKUP(G57,[1]Discrete!$A:$B,2,FALSE)</f>
        <v>BOBINA FECHAMENTO</v>
      </c>
      <c r="G57" s="6" t="s">
        <v>50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IMA_LT3_52-3_BBFC</v>
      </c>
      <c r="I57" s="6" t="s">
        <v>267</v>
      </c>
      <c r="J57" s="6" t="s">
        <v>182</v>
      </c>
      <c r="K57" s="6" t="s">
        <v>180</v>
      </c>
      <c r="L57" s="6" t="s">
        <v>188</v>
      </c>
      <c r="M57" s="6" t="s">
        <v>188</v>
      </c>
      <c r="N57" s="6">
        <f t="shared" si="2"/>
        <v>25</v>
      </c>
    </row>
    <row r="58" spans="1:14" x14ac:dyDescent="0.25">
      <c r="A58" s="6" t="s">
        <v>190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FALTA VCC</v>
      </c>
      <c r="G58" s="6" t="s">
        <v>42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IMA_LT3_52-3_CCFL</v>
      </c>
      <c r="I58" s="6" t="s">
        <v>267</v>
      </c>
      <c r="J58" s="6" t="s">
        <v>182</v>
      </c>
      <c r="K58" s="6" t="s">
        <v>187</v>
      </c>
      <c r="L58" s="6" t="s">
        <v>188</v>
      </c>
      <c r="M58" s="6" t="s">
        <v>188</v>
      </c>
      <c r="N58" s="6">
        <f t="shared" si="2"/>
        <v>26</v>
      </c>
    </row>
    <row r="59" spans="1:14" x14ac:dyDescent="0.25">
      <c r="A59" s="6" t="s">
        <v>190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str">
        <f>VLOOKUP(G59,[1]Discrete!$A:$B,2,FALSE)</f>
        <v>FALTA VCA</v>
      </c>
      <c r="G59" s="6" t="s">
        <v>43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IMA_LT3_52-3_CAFL</v>
      </c>
      <c r="I59" s="6" t="s">
        <v>267</v>
      </c>
      <c r="J59" s="6" t="s">
        <v>182</v>
      </c>
      <c r="K59" s="6" t="s">
        <v>187</v>
      </c>
      <c r="L59" s="6" t="s">
        <v>188</v>
      </c>
      <c r="M59" s="6" t="s">
        <v>188</v>
      </c>
      <c r="N59" s="6">
        <f t="shared" si="2"/>
        <v>27</v>
      </c>
    </row>
    <row r="60" spans="1:14" x14ac:dyDescent="0.25">
      <c r="A60" s="94" t="s">
        <v>190</v>
      </c>
      <c r="B60" s="94" t="str">
        <f>Informações!$C$3</f>
        <v>IMA</v>
      </c>
      <c r="C60" s="94" t="s">
        <v>29</v>
      </c>
      <c r="D60" s="94" t="s">
        <v>205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IMA_LT3_52-3_P_62BF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2"/>
        <v>28</v>
      </c>
    </row>
    <row r="61" spans="1:14" x14ac:dyDescent="0.25">
      <c r="A61" s="6" t="s">
        <v>190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79 - RELIGAMENTO BLOQUEADO</v>
      </c>
      <c r="G61" s="6" t="s">
        <v>45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IMA_LT3_52-3_79LO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2"/>
        <v>29</v>
      </c>
    </row>
    <row r="62" spans="1:14" x14ac:dyDescent="0.25">
      <c r="A62" s="6" t="s">
        <v>190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79 - RELIGAMENTO COM SUCESSO</v>
      </c>
      <c r="G62" s="6" t="s">
        <v>46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IMA_LT3_52-3_79OK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2"/>
        <v>30</v>
      </c>
    </row>
    <row r="63" spans="1:14" x14ac:dyDescent="0.25">
      <c r="A63" s="6" t="s">
        <v>190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79 - RELIGAMENTO PRONTO</v>
      </c>
      <c r="G63" s="6" t="s">
        <v>47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IMA_LT3_52-3_79RE</v>
      </c>
      <c r="I63" s="6" t="s">
        <v>267</v>
      </c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2"/>
        <v>31</v>
      </c>
    </row>
    <row r="64" spans="1:14" x14ac:dyDescent="0.25">
      <c r="A64" s="6" t="s">
        <v>190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79 - PARTIDA RELIGAMENTO</v>
      </c>
      <c r="G64" s="6" t="s">
        <v>48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IMA_LT3_52-3_79_1</v>
      </c>
      <c r="I64" s="6" t="s">
        <v>267</v>
      </c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2"/>
        <v>32</v>
      </c>
    </row>
    <row r="65" spans="1:14" x14ac:dyDescent="0.25">
      <c r="A65" s="6" t="s">
        <v>190</v>
      </c>
      <c r="B65" s="6" t="str">
        <f>Informações!$C$3</f>
        <v>IMA</v>
      </c>
      <c r="C65" s="6" t="s">
        <v>29</v>
      </c>
      <c r="D65" s="94" t="s">
        <v>204</v>
      </c>
      <c r="E65" s="2" t="s">
        <v>25</v>
      </c>
      <c r="F65" s="94" t="str">
        <f>VLOOKUP(G65,[1]Discrete!$A:$B,2,FALSE)</f>
        <v>62 - FALHA DISJUNTOR BLOQUEIO</v>
      </c>
      <c r="G65" s="6" t="s">
        <v>44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IMA_LT3_52-3_A_62BF</v>
      </c>
      <c r="I65" s="6" t="s">
        <v>267</v>
      </c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2"/>
        <v>33</v>
      </c>
    </row>
    <row r="66" spans="1:14" x14ac:dyDescent="0.25">
      <c r="A66" s="93" t="s">
        <v>191</v>
      </c>
      <c r="B66" s="6" t="str">
        <f>Informações!$C$3</f>
        <v>IMA</v>
      </c>
      <c r="C66" s="6" t="s">
        <v>29</v>
      </c>
      <c r="D66" s="6" t="s">
        <v>204</v>
      </c>
      <c r="E66" s="2" t="s">
        <v>25</v>
      </c>
      <c r="F66" s="93" t="str">
        <f>VLOOKUP(G66,[1]Discrete!$A:$B,2,FALSE)</f>
        <v>50 - FALHA DISJUNTOR</v>
      </c>
      <c r="G66" s="6" t="s">
        <v>703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IMA_LT3_52-3_A_50BF</v>
      </c>
      <c r="I66" s="6" t="s">
        <v>267</v>
      </c>
      <c r="J66" s="6" t="s">
        <v>182</v>
      </c>
      <c r="K66" s="6" t="s">
        <v>179</v>
      </c>
      <c r="L66" s="6" t="s">
        <v>188</v>
      </c>
      <c r="M66" s="6" t="s">
        <v>188</v>
      </c>
      <c r="N66" s="93">
        <f t="shared" si="2"/>
        <v>34</v>
      </c>
    </row>
    <row r="67" spans="1:14" x14ac:dyDescent="0.25">
      <c r="A67" s="6" t="s">
        <v>190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DEFEITO RELE</v>
      </c>
      <c r="G67" s="6" t="s">
        <v>51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IMA_LT3_52-3_DR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2"/>
        <v>35</v>
      </c>
    </row>
    <row r="68" spans="1:14" x14ac:dyDescent="0.25">
      <c r="A68" s="6" t="s">
        <v>190</v>
      </c>
      <c r="B68" s="6" t="str">
        <f>Informações!$C$3</f>
        <v>IMA</v>
      </c>
      <c r="C68" s="6" t="s">
        <v>29</v>
      </c>
      <c r="D68" s="6" t="s">
        <v>29</v>
      </c>
      <c r="E68" s="2" t="s">
        <v>25</v>
      </c>
      <c r="F68" s="94" t="str">
        <f>VLOOKUP(G68,[1]Discrete!$A:$B,2,FALSE)</f>
        <v>FALTA POTENCIAL LT</v>
      </c>
      <c r="G68" s="6" t="s">
        <v>722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IMA_LT3_LT3_FVLT</v>
      </c>
      <c r="I68" s="6" t="s">
        <v>267</v>
      </c>
      <c r="J68" s="94" t="s">
        <v>182</v>
      </c>
      <c r="K68" s="94" t="s">
        <v>179</v>
      </c>
      <c r="L68" s="6" t="s">
        <v>188</v>
      </c>
      <c r="M68" s="6" t="s">
        <v>188</v>
      </c>
      <c r="N68" s="6">
        <f t="shared" si="2"/>
        <v>36</v>
      </c>
    </row>
    <row r="69" spans="1:14" x14ac:dyDescent="0.25">
      <c r="A69" s="6" t="s">
        <v>190</v>
      </c>
      <c r="B69" s="6" t="str">
        <f>Informações!$C$3</f>
        <v>IMA</v>
      </c>
      <c r="C69" s="6" t="s">
        <v>29</v>
      </c>
      <c r="D69" s="6" t="s">
        <v>29</v>
      </c>
      <c r="E69" s="2" t="s">
        <v>25</v>
      </c>
      <c r="F69" s="94" t="str">
        <f>VLOOKUP(G69,[1]Discrete!$A:$B,2,FALSE)</f>
        <v>FALTA POTENCIAL BARRA</v>
      </c>
      <c r="G69" s="6" t="s">
        <v>723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IMA_LT3_LT3_FPBR</v>
      </c>
      <c r="I69" s="6" t="s">
        <v>267</v>
      </c>
      <c r="J69" s="94" t="s">
        <v>182</v>
      </c>
      <c r="K69" s="94" t="s">
        <v>179</v>
      </c>
      <c r="L69" s="6" t="s">
        <v>188</v>
      </c>
      <c r="M69" s="6" t="s">
        <v>188</v>
      </c>
      <c r="N69" s="6">
        <f t="shared" si="2"/>
        <v>37</v>
      </c>
    </row>
    <row r="70" spans="1:14" x14ac:dyDescent="0.25">
      <c r="A70" s="6" t="s">
        <v>190</v>
      </c>
      <c r="B70" s="6" t="str">
        <f>Informações!$C$3</f>
        <v>IMA</v>
      </c>
      <c r="C70" s="6" t="s">
        <v>29</v>
      </c>
      <c r="D70" s="6" t="s">
        <v>205</v>
      </c>
      <c r="E70" s="2" t="s">
        <v>25</v>
      </c>
      <c r="F70" s="6" t="str">
        <f>VLOOKUP(G70,[1]Discrete!$A:$B,2,FALSE)</f>
        <v>FASE A</v>
      </c>
      <c r="G70" s="6" t="s">
        <v>54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IMA_LT3_52-3_P_FA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2"/>
        <v>38</v>
      </c>
    </row>
    <row r="71" spans="1:14" x14ac:dyDescent="0.25">
      <c r="A71" s="6" t="s">
        <v>190</v>
      </c>
      <c r="B71" s="6" t="str">
        <f>Informações!$C$3</f>
        <v>IMA</v>
      </c>
      <c r="C71" s="6" t="s">
        <v>29</v>
      </c>
      <c r="D71" s="6" t="s">
        <v>205</v>
      </c>
      <c r="E71" s="2" t="s">
        <v>25</v>
      </c>
      <c r="F71" s="6" t="str">
        <f>VLOOKUP(G71,[1]Discrete!$A:$B,2,FALSE)</f>
        <v>FASE B</v>
      </c>
      <c r="G71" s="6" t="s">
        <v>55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IMA_LT3_52-3_P_FB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2"/>
        <v>39</v>
      </c>
    </row>
    <row r="72" spans="1:14" x14ac:dyDescent="0.25">
      <c r="A72" s="6" t="s">
        <v>190</v>
      </c>
      <c r="B72" s="6" t="str">
        <f>Informações!$C$3</f>
        <v>IMA</v>
      </c>
      <c r="C72" s="6" t="s">
        <v>29</v>
      </c>
      <c r="D72" s="6" t="s">
        <v>205</v>
      </c>
      <c r="E72" s="2" t="s">
        <v>25</v>
      </c>
      <c r="F72" s="6" t="str">
        <f>VLOOKUP(G72,[1]Discrete!$A:$B,2,FALSE)</f>
        <v>FASE C</v>
      </c>
      <c r="G72" s="6" t="s">
        <v>56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IMA_LT3_52-3_P_FC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>
        <f t="shared" si="2"/>
        <v>40</v>
      </c>
    </row>
    <row r="73" spans="1:14" x14ac:dyDescent="0.25">
      <c r="A73" s="6" t="s">
        <v>190</v>
      </c>
      <c r="B73" s="6" t="str">
        <f>Informações!$C$3</f>
        <v>IMA</v>
      </c>
      <c r="C73" s="6" t="s">
        <v>29</v>
      </c>
      <c r="D73" s="6" t="s">
        <v>205</v>
      </c>
      <c r="E73" s="2" t="s">
        <v>25</v>
      </c>
      <c r="F73" s="6" t="str">
        <f>VLOOKUP(G73,[1]Discrete!$A:$B,2,FALSE)</f>
        <v>NEUTRO</v>
      </c>
      <c r="G73" s="6" t="s">
        <v>420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IMA_LT3_52-3_P_N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>
        <f t="shared" si="2"/>
        <v>41</v>
      </c>
    </row>
    <row r="74" spans="1:14" x14ac:dyDescent="0.25">
      <c r="A74" s="6" t="s">
        <v>190</v>
      </c>
      <c r="B74" s="6" t="str">
        <f>Informações!$C$3</f>
        <v>IMA</v>
      </c>
      <c r="C74" s="6" t="s">
        <v>29</v>
      </c>
      <c r="D74" s="6" t="s">
        <v>204</v>
      </c>
      <c r="E74" s="2" t="s">
        <v>25</v>
      </c>
      <c r="F74" s="6" t="str">
        <f>VLOOKUP(G74,[1]Discrete!$A:$B,2,FALSE)</f>
        <v>FASE A</v>
      </c>
      <c r="G74" s="6" t="s">
        <v>54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IMA_LT3_52-3_A_FA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>
        <f t="shared" si="2"/>
        <v>42</v>
      </c>
    </row>
    <row r="75" spans="1:14" x14ac:dyDescent="0.25">
      <c r="A75" s="6" t="s">
        <v>190</v>
      </c>
      <c r="B75" s="6" t="str">
        <f>Informações!$C$3</f>
        <v>IMA</v>
      </c>
      <c r="C75" s="6" t="s">
        <v>29</v>
      </c>
      <c r="D75" s="6" t="s">
        <v>204</v>
      </c>
      <c r="E75" s="2" t="s">
        <v>25</v>
      </c>
      <c r="F75" s="6" t="str">
        <f>VLOOKUP(G75,[1]Discrete!$A:$B,2,FALSE)</f>
        <v>FASE B</v>
      </c>
      <c r="G75" s="6" t="s">
        <v>55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IMA_LT3_52-3_A_FB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>
        <f t="shared" si="2"/>
        <v>43</v>
      </c>
    </row>
    <row r="76" spans="1:14" x14ac:dyDescent="0.25">
      <c r="A76" s="6" t="s">
        <v>190</v>
      </c>
      <c r="B76" s="6" t="str">
        <f>Informações!$C$3</f>
        <v>IMA</v>
      </c>
      <c r="C76" s="6" t="s">
        <v>29</v>
      </c>
      <c r="D76" s="6" t="s">
        <v>204</v>
      </c>
      <c r="E76" s="2" t="s">
        <v>25</v>
      </c>
      <c r="F76" s="6" t="str">
        <f>VLOOKUP(G76,[1]Discrete!$A:$B,2,FALSE)</f>
        <v>FASE C</v>
      </c>
      <c r="G76" s="6" t="s">
        <v>56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IMA_LT3_52-3_A_FC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2"/>
        <v>44</v>
      </c>
    </row>
    <row r="77" spans="1:14" x14ac:dyDescent="0.25">
      <c r="A77" s="6" t="s">
        <v>190</v>
      </c>
      <c r="B77" s="6" t="str">
        <f>Informações!$C$3</f>
        <v>IMA</v>
      </c>
      <c r="C77" s="6" t="s">
        <v>29</v>
      </c>
      <c r="D77" s="6" t="s">
        <v>204</v>
      </c>
      <c r="E77" s="2" t="s">
        <v>25</v>
      </c>
      <c r="F77" s="6" t="str">
        <f>VLOOKUP(G77,[1]Discrete!$A:$B,2,FALSE)</f>
        <v>NEUTRO</v>
      </c>
      <c r="G77" s="6" t="s">
        <v>420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IMA_LT3_52-3_A_N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>
        <f t="shared" si="2"/>
        <v>45</v>
      </c>
    </row>
    <row r="78" spans="1:14" x14ac:dyDescent="0.25">
      <c r="A78" s="93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93" t="str">
        <f>VLOOKUP(G78,[1]Discrete!$A:$B,2,FALSE)</f>
        <v>86 - BLOQUEIO DEFEITO DISJUNTOR</v>
      </c>
      <c r="G78" s="6" t="s">
        <v>57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IMA_LT3_52-3_86BF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93">
        <f t="shared" si="2"/>
        <v>46</v>
      </c>
    </row>
    <row r="79" spans="1:14" x14ac:dyDescent="0.25">
      <c r="A79" s="6" t="s">
        <v>190</v>
      </c>
      <c r="B79" s="6" t="str">
        <f>Informações!$C$3</f>
        <v>IMA</v>
      </c>
      <c r="C79" s="6" t="s">
        <v>29</v>
      </c>
      <c r="D79" s="6" t="s">
        <v>205</v>
      </c>
      <c r="E79" s="2" t="s">
        <v>25</v>
      </c>
      <c r="F79" s="6" t="str">
        <f>VLOOKUP(G79,[1]Discrete!$A:$B,2,FALSE)</f>
        <v>67 - DIRECIONAL SOBRECORRENTE FASE TEMPORIZADO</v>
      </c>
      <c r="G79" s="6" t="s">
        <v>60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IMA_LT3_52-3_P_67FT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>
        <f t="shared" si="2"/>
        <v>47</v>
      </c>
    </row>
    <row r="80" spans="1:14" x14ac:dyDescent="0.25">
      <c r="A80" s="6" t="s">
        <v>190</v>
      </c>
      <c r="B80" s="6" t="str">
        <f>Informações!$C$3</f>
        <v>IMA</v>
      </c>
      <c r="C80" s="6" t="s">
        <v>29</v>
      </c>
      <c r="D80" s="6" t="s">
        <v>205</v>
      </c>
      <c r="E80" s="2" t="s">
        <v>25</v>
      </c>
      <c r="F80" s="6" t="str">
        <f>VLOOKUP(G80,[1]Discrete!$A:$B,2,FALSE)</f>
        <v>67 - DIRECIONAL SOBRECORRENTE NEUTRO TEMPORIZADO</v>
      </c>
      <c r="G80" s="6" t="s">
        <v>63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IMA_LT3_52-3_P_67NT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>
        <f t="shared" si="2"/>
        <v>48</v>
      </c>
    </row>
    <row r="81" spans="1:14" x14ac:dyDescent="0.25">
      <c r="A81" s="6" t="s">
        <v>190</v>
      </c>
      <c r="B81" s="6" t="str">
        <f>Informações!$C$3</f>
        <v>IMA</v>
      </c>
      <c r="C81" s="6" t="s">
        <v>29</v>
      </c>
      <c r="D81" s="6" t="s">
        <v>204</v>
      </c>
      <c r="E81" s="2" t="s">
        <v>25</v>
      </c>
      <c r="F81" s="6" t="str">
        <f>VLOOKUP(G81,[1]Discrete!$A:$B,2,FALSE)</f>
        <v>67 - DIRECIONAL SOBRECORRENTE FASE TEMPORIZADO</v>
      </c>
      <c r="G81" s="6" t="s">
        <v>60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IMA_LT3_52-3_A_67FT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>
        <f t="shared" si="2"/>
        <v>49</v>
      </c>
    </row>
    <row r="82" spans="1:14" x14ac:dyDescent="0.25">
      <c r="A82" s="6" t="s">
        <v>190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67 - DIRECIONAL SOBRECORRENTE NEUTRO TEMPORIZADO</v>
      </c>
      <c r="G82" s="6" t="s">
        <v>63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IMA_LT3_52-3_A_67NT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>
        <f t="shared" si="2"/>
        <v>50</v>
      </c>
    </row>
    <row r="83" spans="1:14" x14ac:dyDescent="0.25">
      <c r="A83" s="6" t="s">
        <v>190</v>
      </c>
      <c r="B83" s="6" t="str">
        <f>Informações!$C$3</f>
        <v>IMA</v>
      </c>
      <c r="C83" s="6" t="s">
        <v>29</v>
      </c>
      <c r="D83" s="6" t="s">
        <v>206</v>
      </c>
      <c r="E83" s="2" t="s">
        <v>25</v>
      </c>
      <c r="F83" s="6" t="str">
        <f>VLOOKUP(G83,[1]Discrete!$A:$B,2,FALSE)</f>
        <v>21 - TRIP ZONA 1</v>
      </c>
      <c r="G83" s="6" t="s">
        <v>64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IMA_LT3_LT3_P_21Z1</v>
      </c>
      <c r="I83" s="6" t="s">
        <v>267</v>
      </c>
      <c r="J83" s="6" t="s">
        <v>182</v>
      </c>
      <c r="K83" s="6" t="s">
        <v>179</v>
      </c>
      <c r="L83" s="6" t="s">
        <v>188</v>
      </c>
      <c r="M83" s="6" t="s">
        <v>188</v>
      </c>
      <c r="N83" s="6">
        <f t="shared" si="2"/>
        <v>51</v>
      </c>
    </row>
    <row r="84" spans="1:14" x14ac:dyDescent="0.25">
      <c r="A84" s="6" t="s">
        <v>190</v>
      </c>
      <c r="B84" s="6" t="str">
        <f>Informações!$C$3</f>
        <v>IMA</v>
      </c>
      <c r="C84" s="6" t="s">
        <v>29</v>
      </c>
      <c r="D84" s="6" t="s">
        <v>206</v>
      </c>
      <c r="E84" s="2" t="s">
        <v>25</v>
      </c>
      <c r="F84" s="6" t="str">
        <f>VLOOKUP(G84,[1]Discrete!$A:$B,2,FALSE)</f>
        <v>21 - TRIP ZONA 2</v>
      </c>
      <c r="G84" s="6" t="s">
        <v>65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IMA_LT3_LT3_P_21Z2</v>
      </c>
      <c r="I84" s="6" t="s">
        <v>267</v>
      </c>
      <c r="J84" s="6" t="s">
        <v>182</v>
      </c>
      <c r="K84" s="6" t="s">
        <v>179</v>
      </c>
      <c r="L84" s="6" t="s">
        <v>188</v>
      </c>
      <c r="M84" s="6" t="s">
        <v>188</v>
      </c>
      <c r="N84" s="6">
        <f t="shared" si="2"/>
        <v>52</v>
      </c>
    </row>
    <row r="85" spans="1:14" x14ac:dyDescent="0.25">
      <c r="A85" s="6" t="s">
        <v>190</v>
      </c>
      <c r="B85" s="6" t="str">
        <f>Informações!$C$3</f>
        <v>IMA</v>
      </c>
      <c r="C85" s="6" t="s">
        <v>29</v>
      </c>
      <c r="D85" s="6" t="s">
        <v>206</v>
      </c>
      <c r="E85" s="2" t="s">
        <v>25</v>
      </c>
      <c r="F85" s="6" t="str">
        <f>VLOOKUP(G85,[1]Discrete!$A:$B,2,FALSE)</f>
        <v>21 - TRIP ZONA 3</v>
      </c>
      <c r="G85" s="6" t="s">
        <v>66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IMA_LT3_LT3_P_21Z3</v>
      </c>
      <c r="I85" s="6" t="s">
        <v>267</v>
      </c>
      <c r="J85" s="6" t="s">
        <v>182</v>
      </c>
      <c r="K85" s="6" t="s">
        <v>179</v>
      </c>
      <c r="L85" s="6" t="s">
        <v>188</v>
      </c>
      <c r="M85" s="6" t="s">
        <v>188</v>
      </c>
      <c r="N85" s="6">
        <f t="shared" si="2"/>
        <v>53</v>
      </c>
    </row>
    <row r="86" spans="1:14" x14ac:dyDescent="0.25">
      <c r="A86" s="6" t="s">
        <v>190</v>
      </c>
      <c r="B86" s="6" t="str">
        <f>Informações!$C$3</f>
        <v>IMA</v>
      </c>
      <c r="C86" s="6" t="s">
        <v>29</v>
      </c>
      <c r="D86" s="6" t="s">
        <v>207</v>
      </c>
      <c r="E86" s="2" t="s">
        <v>25</v>
      </c>
      <c r="F86" s="6" t="str">
        <f>VLOOKUP(G86,[1]Discrete!$A:$B,2,FALSE)</f>
        <v>21 - TRIP ZONA 1</v>
      </c>
      <c r="G86" s="6" t="s">
        <v>64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IMA_LT3_LT3_A_21Z1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2"/>
        <v>54</v>
      </c>
    </row>
    <row r="87" spans="1:14" x14ac:dyDescent="0.25">
      <c r="A87" s="6" t="s">
        <v>190</v>
      </c>
      <c r="B87" s="6" t="str">
        <f>Informações!$C$3</f>
        <v>IMA</v>
      </c>
      <c r="C87" s="6" t="s">
        <v>29</v>
      </c>
      <c r="D87" s="6" t="s">
        <v>207</v>
      </c>
      <c r="E87" s="2" t="s">
        <v>25</v>
      </c>
      <c r="F87" s="6" t="str">
        <f>VLOOKUP(G87,[1]Discrete!$A:$B,2,FALSE)</f>
        <v>21 - TRIP ZONA 2</v>
      </c>
      <c r="G87" s="6" t="s">
        <v>65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IMA_LT3_LT3_A_21Z2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2"/>
        <v>55</v>
      </c>
    </row>
    <row r="88" spans="1:14" x14ac:dyDescent="0.25">
      <c r="A88" s="6" t="s">
        <v>190</v>
      </c>
      <c r="B88" s="6" t="str">
        <f>Informações!$C$3</f>
        <v>IMA</v>
      </c>
      <c r="C88" s="6" t="s">
        <v>29</v>
      </c>
      <c r="D88" s="6" t="s">
        <v>207</v>
      </c>
      <c r="E88" s="2" t="s">
        <v>25</v>
      </c>
      <c r="F88" s="6" t="str">
        <f>VLOOKUP(G88,[1]Discrete!$A:$B,2,FALSE)</f>
        <v>21 - TRIP ZONA 3</v>
      </c>
      <c r="G88" s="6" t="s">
        <v>66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IMA_LT3_LT3_A_21Z3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2"/>
        <v>56</v>
      </c>
    </row>
    <row r="89" spans="1:14" x14ac:dyDescent="0.25">
      <c r="A89" s="6" t="s">
        <v>190</v>
      </c>
      <c r="B89" s="6" t="str">
        <f>Informações!$C$3</f>
        <v>IMA</v>
      </c>
      <c r="C89" s="6" t="s">
        <v>29</v>
      </c>
      <c r="D89" s="6" t="s">
        <v>206</v>
      </c>
      <c r="E89" s="2" t="s">
        <v>25</v>
      </c>
      <c r="F89" s="6" t="str">
        <f>VLOOKUP(G89,[1]Discrete!$A:$B,2,FALSE)</f>
        <v>FALHA COMUNICACAO</v>
      </c>
      <c r="G89" s="6" t="s">
        <v>78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IMA_LT3_LT3_P_FCOM</v>
      </c>
      <c r="I89" s="6" t="s">
        <v>267</v>
      </c>
      <c r="J89" s="6" t="s">
        <v>182</v>
      </c>
      <c r="K89" s="6" t="s">
        <v>180</v>
      </c>
      <c r="L89" s="6" t="s">
        <v>188</v>
      </c>
      <c r="M89" s="6" t="s">
        <v>188</v>
      </c>
      <c r="N89" s="6">
        <f t="shared" si="2"/>
        <v>57</v>
      </c>
    </row>
    <row r="90" spans="1:14" x14ac:dyDescent="0.25">
      <c r="A90" s="6" t="s">
        <v>190</v>
      </c>
      <c r="B90" s="6" t="str">
        <f>Informações!$C$3</f>
        <v>IMA</v>
      </c>
      <c r="C90" s="6" t="s">
        <v>29</v>
      </c>
      <c r="D90" s="6" t="s">
        <v>30</v>
      </c>
      <c r="E90" s="2" t="s">
        <v>25</v>
      </c>
      <c r="F90" s="6" t="str">
        <f>VLOOKUP(G90,[1]Discrete!$A:$B,2,FALSE)</f>
        <v>FALTA VCC COMANDO</v>
      </c>
      <c r="G90" s="6" t="s">
        <v>79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IMA_LT3_52-3_CCCO</v>
      </c>
      <c r="I90" s="6" t="s">
        <v>267</v>
      </c>
      <c r="J90" s="6" t="s">
        <v>182</v>
      </c>
      <c r="K90" s="6" t="s">
        <v>187</v>
      </c>
      <c r="L90" s="6" t="s">
        <v>188</v>
      </c>
      <c r="M90" s="6" t="s">
        <v>188</v>
      </c>
      <c r="N90" s="6">
        <f t="shared" si="2"/>
        <v>58</v>
      </c>
    </row>
    <row r="91" spans="1:14" x14ac:dyDescent="0.25">
      <c r="A91" s="6" t="s">
        <v>190</v>
      </c>
      <c r="B91" s="6" t="str">
        <f>Informações!$C$3</f>
        <v>IMA</v>
      </c>
      <c r="C91" s="6" t="s">
        <v>29</v>
      </c>
      <c r="D91" s="6" t="s">
        <v>30</v>
      </c>
      <c r="E91" s="2" t="s">
        <v>25</v>
      </c>
      <c r="F91" s="6" t="str">
        <f>VLOOKUP(G91,[1]Discrete!$A:$B,2,FALSE)</f>
        <v>FALTA VCC MOTOR</v>
      </c>
      <c r="G91" s="6" t="s">
        <v>80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IMA_LT3_52-3_CCMO</v>
      </c>
      <c r="I91" s="6" t="s">
        <v>267</v>
      </c>
      <c r="J91" s="6" t="s">
        <v>182</v>
      </c>
      <c r="K91" s="6" t="s">
        <v>187</v>
      </c>
      <c r="L91" s="6" t="s">
        <v>188</v>
      </c>
      <c r="M91" s="6" t="s">
        <v>188</v>
      </c>
      <c r="N91" s="6">
        <f t="shared" si="2"/>
        <v>59</v>
      </c>
    </row>
    <row r="92" spans="1:14" x14ac:dyDescent="0.25">
      <c r="A92" s="6" t="s">
        <v>190</v>
      </c>
      <c r="B92" s="6" t="str">
        <f>Informações!$C$3</f>
        <v>IMA</v>
      </c>
      <c r="C92" s="6" t="s">
        <v>29</v>
      </c>
      <c r="D92" s="6" t="s">
        <v>29</v>
      </c>
      <c r="E92" s="2" t="s">
        <v>25</v>
      </c>
      <c r="F92" s="6" t="str">
        <f>VLOOKUP(G92,[1]Discrete!$A:$B,2,FALSE)</f>
        <v>FALHA FUSIVEL TP</v>
      </c>
      <c r="G92" s="6" t="s">
        <v>81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IMA_LT3_LT3_FUTP</v>
      </c>
      <c r="I92" s="6" t="s">
        <v>267</v>
      </c>
      <c r="J92" s="6" t="s">
        <v>182</v>
      </c>
      <c r="K92" s="6" t="s">
        <v>180</v>
      </c>
      <c r="L92" s="6" t="s">
        <v>188</v>
      </c>
      <c r="M92" s="6" t="s">
        <v>188</v>
      </c>
      <c r="N92" s="6">
        <f t="shared" si="2"/>
        <v>60</v>
      </c>
    </row>
    <row r="93" spans="1:14" x14ac:dyDescent="0.25">
      <c r="A93" s="6" t="s">
        <v>190</v>
      </c>
      <c r="B93" s="6" t="str">
        <f>Informações!$C$3</f>
        <v>IMA</v>
      </c>
      <c r="C93" s="6" t="s">
        <v>29</v>
      </c>
      <c r="D93" s="6" t="s">
        <v>29</v>
      </c>
      <c r="E93" s="2" t="s">
        <v>25</v>
      </c>
      <c r="F93" s="6" t="str">
        <f>VLOOKUP(G93,[1]Discrete!$A:$B,2,FALSE)</f>
        <v>25 - FALHA SINCRONISMO</v>
      </c>
      <c r="G93" s="6" t="s">
        <v>155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IMA_LT3_LT3_25ER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2"/>
        <v>61</v>
      </c>
    </row>
    <row r="94" spans="1:14" x14ac:dyDescent="0.25">
      <c r="A94" s="6" t="s">
        <v>190</v>
      </c>
      <c r="B94" s="6" t="str">
        <f>Informações!$C$3</f>
        <v>IMA</v>
      </c>
      <c r="C94" s="6" t="s">
        <v>29</v>
      </c>
      <c r="D94" s="6" t="s">
        <v>29</v>
      </c>
      <c r="E94" s="2" t="s">
        <v>25</v>
      </c>
      <c r="F94" s="6" t="str">
        <f>VLOOKUP(G94,[1]Discrete!$A:$B,2,FALSE)</f>
        <v>FALHA SINCRONISMO HORA</v>
      </c>
      <c r="G94" s="6" t="s">
        <v>162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IMA_LT3_LT3_FSIH</v>
      </c>
      <c r="I94" s="6" t="s">
        <v>267</v>
      </c>
      <c r="J94" s="6" t="s">
        <v>182</v>
      </c>
      <c r="K94" s="6" t="s">
        <v>180</v>
      </c>
      <c r="L94" s="6" t="s">
        <v>188</v>
      </c>
      <c r="M94" s="6" t="s">
        <v>188</v>
      </c>
      <c r="N94" s="6">
        <f t="shared" si="2"/>
        <v>62</v>
      </c>
    </row>
    <row r="95" spans="1:14" x14ac:dyDescent="0.25">
      <c r="A95" s="93" t="s">
        <v>191</v>
      </c>
      <c r="B95" s="6" t="str">
        <f>Informações!$C$3</f>
        <v>IMA</v>
      </c>
      <c r="C95" s="6" t="s">
        <v>29</v>
      </c>
      <c r="D95" s="6" t="s">
        <v>29</v>
      </c>
      <c r="E95" s="2" t="s">
        <v>25</v>
      </c>
      <c r="F95" s="93" t="str">
        <f>VLOOKUP(G95,[1]Discrete!$A:$B,2,FALSE)</f>
        <v>PERDA DE POTENCIAL</v>
      </c>
      <c r="G95" s="6" t="s">
        <v>208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IMA_LT3_LT3_PPOT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93">
        <f t="shared" si="2"/>
        <v>63</v>
      </c>
    </row>
    <row r="96" spans="1:14" x14ac:dyDescent="0.25">
      <c r="A96" s="6" t="s">
        <v>190</v>
      </c>
      <c r="B96" s="6" t="str">
        <f>Informações!$C$3</f>
        <v>IMA</v>
      </c>
      <c r="C96" s="6" t="s">
        <v>29</v>
      </c>
      <c r="D96" s="6" t="s">
        <v>206</v>
      </c>
      <c r="E96" s="2" t="s">
        <v>25</v>
      </c>
      <c r="F96" s="6" t="str">
        <f>VLOOKUP(G96,[1]Discrete!$A:$B,2,FALSE)</f>
        <v>50 - SOBRECORRENTE INSTANTANEA FASE</v>
      </c>
      <c r="G96" s="6" t="s">
        <v>416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IMA_LT3_LT3_P_50F</v>
      </c>
      <c r="I96" s="6" t="s">
        <v>267</v>
      </c>
      <c r="J96" s="6" t="s">
        <v>182</v>
      </c>
      <c r="K96" s="6" t="s">
        <v>179</v>
      </c>
      <c r="L96" s="6"/>
      <c r="M96" s="6"/>
      <c r="N96" s="6">
        <f t="shared" si="2"/>
        <v>64</v>
      </c>
    </row>
    <row r="97" spans="1:14" x14ac:dyDescent="0.25">
      <c r="A97" s="6" t="s">
        <v>190</v>
      </c>
      <c r="B97" s="6" t="str">
        <f>Informações!$C$3</f>
        <v>IMA</v>
      </c>
      <c r="C97" s="6" t="s">
        <v>29</v>
      </c>
      <c r="D97" s="6" t="s">
        <v>206</v>
      </c>
      <c r="E97" s="2" t="s">
        <v>25</v>
      </c>
      <c r="F97" s="6" t="str">
        <f>VLOOKUP(G97,[1]Discrete!$A:$B,2,FALSE)</f>
        <v>50 - SOBRECORRENTE INSTANTANEA NEUTRO</v>
      </c>
      <c r="G97" s="6" t="s">
        <v>417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IMA_LT3_LT3_P_50N</v>
      </c>
      <c r="I97" s="6" t="s">
        <v>267</v>
      </c>
      <c r="J97" s="6" t="s">
        <v>182</v>
      </c>
      <c r="K97" s="6" t="s">
        <v>179</v>
      </c>
      <c r="L97" s="6"/>
      <c r="M97" s="6"/>
      <c r="N97" s="6">
        <f t="shared" si="2"/>
        <v>65</v>
      </c>
    </row>
    <row r="98" spans="1:14" x14ac:dyDescent="0.25">
      <c r="A98" s="6" t="s">
        <v>190</v>
      </c>
      <c r="B98" s="6" t="str">
        <f>Informações!$C$3</f>
        <v>IMA</v>
      </c>
      <c r="C98" s="6" t="s">
        <v>29</v>
      </c>
      <c r="D98" s="6" t="s">
        <v>206</v>
      </c>
      <c r="E98" s="2" t="s">
        <v>25</v>
      </c>
      <c r="F98" s="6" t="str">
        <f>VLOOKUP(G98,[1]Discrete!$A:$B,2,FALSE)</f>
        <v>51 - SOBRECORRENTE TEMPORIZADA FASE</v>
      </c>
      <c r="G98" s="6" t="s">
        <v>98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IMA_LT3_LT3_P_51F</v>
      </c>
      <c r="I98" s="6" t="s">
        <v>267</v>
      </c>
      <c r="J98" s="6" t="s">
        <v>182</v>
      </c>
      <c r="K98" s="6" t="s">
        <v>179</v>
      </c>
      <c r="L98" s="6"/>
      <c r="M98" s="6"/>
      <c r="N98" s="6">
        <f t="shared" ref="N98:N104" si="3">N97+1</f>
        <v>66</v>
      </c>
    </row>
    <row r="99" spans="1:14" x14ac:dyDescent="0.25">
      <c r="A99" s="6" t="s">
        <v>190</v>
      </c>
      <c r="B99" s="6" t="str">
        <f>Informações!$C$3</f>
        <v>IMA</v>
      </c>
      <c r="C99" s="6" t="s">
        <v>29</v>
      </c>
      <c r="D99" s="6" t="s">
        <v>206</v>
      </c>
      <c r="E99" s="2" t="s">
        <v>25</v>
      </c>
      <c r="F99" s="6" t="str">
        <f>VLOOKUP(G99,[1]Discrete!$A:$B,2,FALSE)</f>
        <v>51 - SOBRECORRENTE TEMPORIZADA FASE NEUTRO</v>
      </c>
      <c r="G99" s="6" t="s">
        <v>427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IMA_LT3_LT3_P_51FN</v>
      </c>
      <c r="I99" s="6" t="s">
        <v>267</v>
      </c>
      <c r="J99" s="6" t="s">
        <v>182</v>
      </c>
      <c r="K99" s="6" t="s">
        <v>179</v>
      </c>
      <c r="L99" s="6"/>
      <c r="M99" s="6"/>
      <c r="N99" s="6">
        <f t="shared" si="3"/>
        <v>67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29</v>
      </c>
      <c r="D100" s="6" t="s">
        <v>207</v>
      </c>
      <c r="E100" s="2" t="s">
        <v>25</v>
      </c>
      <c r="F100" s="6" t="str">
        <f>VLOOKUP(G100,[1]Discrete!$A:$B,2,FALSE)</f>
        <v>50 - SOBRECORRENTE INSTANTANEA FASE</v>
      </c>
      <c r="G100" s="6" t="s">
        <v>416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IMA_LT3_LT3_A_50F</v>
      </c>
      <c r="I100" s="6" t="s">
        <v>267</v>
      </c>
      <c r="J100" s="6" t="s">
        <v>182</v>
      </c>
      <c r="K100" s="6" t="s">
        <v>179</v>
      </c>
      <c r="L100" s="6"/>
      <c r="M100" s="6"/>
      <c r="N100" s="6">
        <f t="shared" si="3"/>
        <v>68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29</v>
      </c>
      <c r="D101" s="6" t="s">
        <v>207</v>
      </c>
      <c r="E101" s="2" t="s">
        <v>25</v>
      </c>
      <c r="F101" s="6" t="str">
        <f>VLOOKUP(G101,[1]Discrete!$A:$B,2,FALSE)</f>
        <v>50 - SOBRECORRENTE INSTANTANEA NEUTRO</v>
      </c>
      <c r="G101" s="6" t="s">
        <v>417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IMA_LT3_LT3_A_50N</v>
      </c>
      <c r="I101" s="6" t="s">
        <v>267</v>
      </c>
      <c r="J101" s="6" t="s">
        <v>182</v>
      </c>
      <c r="K101" s="6" t="s">
        <v>179</v>
      </c>
      <c r="L101" s="6"/>
      <c r="M101" s="6"/>
      <c r="N101" s="6">
        <f t="shared" si="3"/>
        <v>69</v>
      </c>
    </row>
    <row r="102" spans="1:14" x14ac:dyDescent="0.25">
      <c r="A102" s="6" t="s">
        <v>190</v>
      </c>
      <c r="B102" s="6" t="str">
        <f>Informações!$C$3</f>
        <v>IMA</v>
      </c>
      <c r="C102" s="6" t="s">
        <v>29</v>
      </c>
      <c r="D102" s="6" t="s">
        <v>207</v>
      </c>
      <c r="E102" s="2" t="s">
        <v>25</v>
      </c>
      <c r="F102" s="6" t="str">
        <f>VLOOKUP(G102,[1]Discrete!$A:$B,2,FALSE)</f>
        <v>51 - SOBRECORRENTE TEMPORIZADA FASE</v>
      </c>
      <c r="G102" s="6" t="s">
        <v>98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IMA_LT3_LT3_A_51F</v>
      </c>
      <c r="I102" s="6" t="s">
        <v>267</v>
      </c>
      <c r="J102" s="6" t="s">
        <v>182</v>
      </c>
      <c r="K102" s="6" t="s">
        <v>179</v>
      </c>
      <c r="L102" s="6"/>
      <c r="M102" s="6"/>
      <c r="N102" s="6">
        <f t="shared" si="3"/>
        <v>70</v>
      </c>
    </row>
    <row r="103" spans="1:14" x14ac:dyDescent="0.25">
      <c r="A103" s="6" t="s">
        <v>190</v>
      </c>
      <c r="B103" s="6" t="str">
        <f>Informações!$C$3</f>
        <v>IMA</v>
      </c>
      <c r="C103" s="6" t="s">
        <v>29</v>
      </c>
      <c r="D103" s="6" t="s">
        <v>206</v>
      </c>
      <c r="E103" s="2" t="s">
        <v>25</v>
      </c>
      <c r="F103" s="6" t="str">
        <f>VLOOKUP(G103,[1]Discrete!$A:$B,2,FALSE)</f>
        <v>51 - SOBRECORRENTE TEMPORIZADA FASE NEUTRO</v>
      </c>
      <c r="G103" s="6" t="s">
        <v>427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IMA_LT3_LT3_P_51FN</v>
      </c>
      <c r="I103" s="6" t="s">
        <v>267</v>
      </c>
      <c r="J103" s="6" t="s">
        <v>182</v>
      </c>
      <c r="K103" s="6" t="s">
        <v>180</v>
      </c>
      <c r="L103" s="6" t="s">
        <v>188</v>
      </c>
      <c r="M103" s="6" t="s">
        <v>188</v>
      </c>
      <c r="N103" s="6">
        <f t="shared" si="3"/>
        <v>71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29</v>
      </c>
      <c r="D104" s="6" t="s">
        <v>207</v>
      </c>
      <c r="E104" s="2" t="s">
        <v>25</v>
      </c>
      <c r="F104" s="6" t="str">
        <f>VLOOKUP(G104,[1]Discrete!$A:$B,2,FALSE)</f>
        <v>FALHA COMUNICACAO</v>
      </c>
      <c r="G104" s="6" t="s">
        <v>78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IMA_LT3_LT3_A_FCOM</v>
      </c>
      <c r="I104" s="6" t="s">
        <v>267</v>
      </c>
      <c r="J104" s="6" t="s">
        <v>182</v>
      </c>
      <c r="K104" s="6" t="s">
        <v>180</v>
      </c>
      <c r="L104" s="6" t="s">
        <v>188</v>
      </c>
      <c r="M104" s="6" t="s">
        <v>188</v>
      </c>
      <c r="N104" s="6">
        <f t="shared" si="3"/>
        <v>72</v>
      </c>
    </row>
    <row r="105" spans="1:14" x14ac:dyDescent="0.25">
      <c r="A105" s="95" t="s">
        <v>190</v>
      </c>
      <c r="B105" s="95" t="str">
        <f>Informações!$C$3</f>
        <v>IMA</v>
      </c>
      <c r="C105" s="95" t="s">
        <v>29</v>
      </c>
      <c r="D105" s="95" t="s">
        <v>29</v>
      </c>
      <c r="E105" s="2" t="s">
        <v>25</v>
      </c>
      <c r="F105" s="95" t="str">
        <f>VLOOKUP(G105,[1]Discrete!$A:$B,2,FALSE)</f>
        <v>25 - FUNCAO SINCRONISMO</v>
      </c>
      <c r="G105" s="6" t="s">
        <v>36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IMA_LT3_LT3_25IE</v>
      </c>
      <c r="I105" s="6" t="s">
        <v>267</v>
      </c>
      <c r="J105" s="6" t="s">
        <v>183</v>
      </c>
      <c r="K105" s="6" t="s">
        <v>184</v>
      </c>
      <c r="L105" s="6" t="s">
        <v>188</v>
      </c>
      <c r="M105" s="6" t="s">
        <v>188</v>
      </c>
      <c r="N105" s="95">
        <f>'TR 1'!N230+1</f>
        <v>935</v>
      </c>
    </row>
    <row r="107" spans="1:14" x14ac:dyDescent="0.25">
      <c r="A107" s="108" t="s">
        <v>215</v>
      </c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</row>
    <row r="108" spans="1:14" ht="180" x14ac:dyDescent="0.25">
      <c r="A108" s="3" t="s">
        <v>189</v>
      </c>
      <c r="B108" s="3" t="s">
        <v>1</v>
      </c>
      <c r="C108" s="3" t="s">
        <v>83</v>
      </c>
      <c r="D108" s="3" t="s">
        <v>26</v>
      </c>
      <c r="E108" s="3" t="s">
        <v>7</v>
      </c>
      <c r="F108" s="3" t="s">
        <v>84</v>
      </c>
      <c r="G108" s="3" t="s">
        <v>85</v>
      </c>
      <c r="H108" s="3" t="s">
        <v>86</v>
      </c>
      <c r="I108" s="3" t="s">
        <v>254</v>
      </c>
      <c r="J108" s="3" t="s">
        <v>177</v>
      </c>
      <c r="K108" s="3" t="s">
        <v>178</v>
      </c>
      <c r="L108" s="3" t="s">
        <v>260</v>
      </c>
      <c r="M108" s="3" t="s">
        <v>266</v>
      </c>
      <c r="N108" s="3" t="s">
        <v>192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29</v>
      </c>
      <c r="D109" s="6" t="s">
        <v>206</v>
      </c>
      <c r="E109" s="6" t="s">
        <v>25</v>
      </c>
      <c r="F109" s="6" t="s">
        <v>238</v>
      </c>
      <c r="G109" s="6" t="s">
        <v>239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IMA_LT3_LT3_P_FGOO</v>
      </c>
      <c r="I109" s="6" t="s">
        <v>267</v>
      </c>
      <c r="J109" s="6" t="s">
        <v>182</v>
      </c>
      <c r="K109" s="6" t="s">
        <v>180</v>
      </c>
      <c r="L109" s="6" t="s">
        <v>188</v>
      </c>
      <c r="M109" s="6" t="s">
        <v>188</v>
      </c>
      <c r="N109" s="6">
        <f>N104+1</f>
        <v>73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29</v>
      </c>
      <c r="D110" s="6" t="s">
        <v>207</v>
      </c>
      <c r="E110" s="6" t="s">
        <v>25</v>
      </c>
      <c r="F110" s="6" t="s">
        <v>238</v>
      </c>
      <c r="G110" s="6" t="s">
        <v>239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IMA_LT3_LT3_A_FGOO</v>
      </c>
      <c r="I110" s="6" t="s">
        <v>267</v>
      </c>
      <c r="J110" s="6" t="s">
        <v>182</v>
      </c>
      <c r="K110" s="6" t="s">
        <v>180</v>
      </c>
      <c r="L110" s="6" t="s">
        <v>188</v>
      </c>
      <c r="M110" s="6" t="s">
        <v>188</v>
      </c>
      <c r="N110" s="6">
        <f>N109+1</f>
        <v>74</v>
      </c>
    </row>
    <row r="112" spans="1:14" x14ac:dyDescent="0.25">
      <c r="A112" s="116" t="s">
        <v>214</v>
      </c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8"/>
    </row>
    <row r="113" spans="1:14" ht="180" x14ac:dyDescent="0.25">
      <c r="A113" s="3" t="s">
        <v>189</v>
      </c>
      <c r="B113" s="3" t="s">
        <v>1</v>
      </c>
      <c r="C113" s="3" t="s">
        <v>83</v>
      </c>
      <c r="D113" s="3" t="s">
        <v>26</v>
      </c>
      <c r="E113" s="3" t="s">
        <v>7</v>
      </c>
      <c r="F113" s="3" t="s">
        <v>84</v>
      </c>
      <c r="G113" s="3" t="s">
        <v>85</v>
      </c>
      <c r="H113" s="3" t="s">
        <v>86</v>
      </c>
      <c r="I113" s="3" t="s">
        <v>254</v>
      </c>
      <c r="J113" s="3" t="s">
        <v>177</v>
      </c>
      <c r="K113" s="3" t="s">
        <v>178</v>
      </c>
      <c r="L113" s="3" t="s">
        <v>260</v>
      </c>
      <c r="M113" s="3" t="s">
        <v>266</v>
      </c>
      <c r="N113" s="3" t="s">
        <v>192</v>
      </c>
    </row>
    <row r="114" spans="1:14" x14ac:dyDescent="0.25">
      <c r="A114" s="93" t="s">
        <v>191</v>
      </c>
      <c r="B114" s="6" t="str">
        <f>Informações!$C$3</f>
        <v>IMA</v>
      </c>
      <c r="C114" s="6" t="s">
        <v>29</v>
      </c>
      <c r="D114" s="6" t="s">
        <v>30</v>
      </c>
      <c r="E114" s="2" t="s">
        <v>24</v>
      </c>
      <c r="F114" s="96" t="s">
        <v>217</v>
      </c>
      <c r="G114" s="6" t="s">
        <v>196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IMA_LT3_52-3_TAL</v>
      </c>
      <c r="I114" s="6" t="s">
        <v>188</v>
      </c>
      <c r="J114" s="6" t="s">
        <v>188</v>
      </c>
      <c r="K114" s="6" t="s">
        <v>188</v>
      </c>
      <c r="L114" s="6" t="s">
        <v>188</v>
      </c>
      <c r="M114" s="6" t="s">
        <v>280</v>
      </c>
      <c r="N114" s="93" t="s">
        <v>430</v>
      </c>
    </row>
    <row r="115" spans="1:14" x14ac:dyDescent="0.25">
      <c r="A115" s="93" t="s">
        <v>191</v>
      </c>
      <c r="B115" s="6" t="str">
        <f>Informações!$C$3</f>
        <v>IMA</v>
      </c>
      <c r="C115" s="6" t="s">
        <v>29</v>
      </c>
      <c r="D115" s="6" t="s">
        <v>30</v>
      </c>
      <c r="E115" s="2" t="s">
        <v>24</v>
      </c>
      <c r="F115" s="96" t="s">
        <v>216</v>
      </c>
      <c r="G115" s="6" t="s">
        <v>197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IMA_LT3_52-3_TPPM</v>
      </c>
      <c r="I115" s="6" t="s">
        <v>188</v>
      </c>
      <c r="J115" s="6" t="s">
        <v>188</v>
      </c>
      <c r="K115" s="6" t="s">
        <v>188</v>
      </c>
      <c r="L115" s="6" t="s">
        <v>188</v>
      </c>
      <c r="M115" s="6" t="s">
        <v>280</v>
      </c>
      <c r="N115" s="93" t="str">
        <f>VALUE(LEFT(N114, FIND(";",N114)-1)) + 1 &amp; ";" &amp; VALUE(LEFT(N114, FIND(";",N114)-1)) + 1</f>
        <v>201;201</v>
      </c>
    </row>
    <row r="116" spans="1:14" x14ac:dyDescent="0.25">
      <c r="A116" s="93" t="s">
        <v>191</v>
      </c>
      <c r="B116" s="6" t="str">
        <f>Informações!$C$3</f>
        <v>IMA</v>
      </c>
      <c r="C116" s="6" t="s">
        <v>29</v>
      </c>
      <c r="D116" s="6" t="s">
        <v>30</v>
      </c>
      <c r="E116" s="2" t="s">
        <v>24</v>
      </c>
      <c r="F116" s="6" t="s">
        <v>227</v>
      </c>
      <c r="G116" s="6" t="s">
        <v>201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IMA_LT3_52-3_81A</v>
      </c>
      <c r="I116" s="6" t="s">
        <v>188</v>
      </c>
      <c r="J116" s="6" t="s">
        <v>188</v>
      </c>
      <c r="K116" s="6" t="s">
        <v>188</v>
      </c>
      <c r="L116" s="6" t="s">
        <v>188</v>
      </c>
      <c r="M116" s="6" t="s">
        <v>280</v>
      </c>
      <c r="N116" s="93" t="str">
        <f>VALUE(LEFT(N115, FIND(";",N115)-1)) + 1 &amp; ";" &amp; VALUE(LEFT(N115, FIND(";",N115)-1)) + 1</f>
        <v>202;202</v>
      </c>
    </row>
    <row r="117" spans="1:14" x14ac:dyDescent="0.25">
      <c r="A117" s="93" t="s">
        <v>191</v>
      </c>
      <c r="B117" s="6" t="str">
        <f>Informações!$C$3</f>
        <v>IMA</v>
      </c>
      <c r="C117" s="6" t="s">
        <v>29</v>
      </c>
      <c r="D117" s="6" t="s">
        <v>30</v>
      </c>
      <c r="E117" s="2" t="s">
        <v>25</v>
      </c>
      <c r="F117" s="6" t="s">
        <v>217</v>
      </c>
      <c r="G117" s="6" t="s">
        <v>196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IMA_LT3_52-3_TAL</v>
      </c>
      <c r="I117" s="6" t="s">
        <v>267</v>
      </c>
      <c r="J117" s="6" t="s">
        <v>183</v>
      </c>
      <c r="K117" s="6" t="s">
        <v>184</v>
      </c>
      <c r="L117" s="6" t="s">
        <v>188</v>
      </c>
      <c r="M117" s="6" t="s">
        <v>188</v>
      </c>
      <c r="N117" s="93">
        <f>'RET 2'!N15+1</f>
        <v>920</v>
      </c>
    </row>
    <row r="118" spans="1:14" x14ac:dyDescent="0.25">
      <c r="A118" s="93" t="s">
        <v>191</v>
      </c>
      <c r="B118" s="6" t="str">
        <f>Informações!$C$3</f>
        <v>IMA</v>
      </c>
      <c r="C118" s="6" t="s">
        <v>29</v>
      </c>
      <c r="D118" s="6" t="s">
        <v>30</v>
      </c>
      <c r="E118" s="2" t="s">
        <v>25</v>
      </c>
      <c r="F118" s="6" t="s">
        <v>218</v>
      </c>
      <c r="G118" s="6" t="s">
        <v>234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IMA_LT3_52-3_TALS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93">
        <f>N117+1</f>
        <v>921</v>
      </c>
    </row>
    <row r="119" spans="1:14" x14ac:dyDescent="0.25">
      <c r="A119" s="93" t="s">
        <v>191</v>
      </c>
      <c r="B119" s="6" t="str">
        <f>Informações!$C$3</f>
        <v>IMA</v>
      </c>
      <c r="C119" s="6" t="s">
        <v>29</v>
      </c>
      <c r="D119" s="6" t="s">
        <v>30</v>
      </c>
      <c r="E119" s="2" t="s">
        <v>25</v>
      </c>
      <c r="F119" s="6" t="s">
        <v>219</v>
      </c>
      <c r="G119" s="6" t="s">
        <v>231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IMA_LT3_52-3_TALF</v>
      </c>
      <c r="I119" s="6" t="s">
        <v>267</v>
      </c>
      <c r="J119" s="6" t="s">
        <v>182</v>
      </c>
      <c r="K119" s="6" t="s">
        <v>180</v>
      </c>
      <c r="L119" s="6" t="s">
        <v>188</v>
      </c>
      <c r="M119" s="6" t="s">
        <v>188</v>
      </c>
      <c r="N119" s="93">
        <f t="shared" ref="N119:N123" si="4">N118+1</f>
        <v>922</v>
      </c>
    </row>
    <row r="120" spans="1:14" x14ac:dyDescent="0.25">
      <c r="A120" s="93" t="s">
        <v>191</v>
      </c>
      <c r="B120" s="6" t="str">
        <f>Informações!$C$3</f>
        <v>IMA</v>
      </c>
      <c r="C120" s="6" t="s">
        <v>29</v>
      </c>
      <c r="D120" s="6" t="s">
        <v>30</v>
      </c>
      <c r="E120" s="2" t="s">
        <v>25</v>
      </c>
      <c r="F120" s="6" t="s">
        <v>233</v>
      </c>
      <c r="G120" s="6" t="s">
        <v>232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IMA_LT3_52-3_TALB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93">
        <f t="shared" si="4"/>
        <v>923</v>
      </c>
    </row>
    <row r="121" spans="1:14" x14ac:dyDescent="0.25">
      <c r="A121" s="93" t="s">
        <v>191</v>
      </c>
      <c r="B121" s="6" t="str">
        <f>Informações!$C$3</f>
        <v>IMA</v>
      </c>
      <c r="C121" s="6" t="s">
        <v>29</v>
      </c>
      <c r="D121" s="6" t="s">
        <v>30</v>
      </c>
      <c r="E121" s="2" t="s">
        <v>25</v>
      </c>
      <c r="F121" s="6" t="s">
        <v>216</v>
      </c>
      <c r="G121" s="6" t="s">
        <v>197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IMA_LT3_52-3_TPPM</v>
      </c>
      <c r="I121" s="6" t="s">
        <v>267</v>
      </c>
      <c r="J121" s="6" t="s">
        <v>183</v>
      </c>
      <c r="K121" s="6" t="s">
        <v>184</v>
      </c>
      <c r="L121" s="6" t="s">
        <v>188</v>
      </c>
      <c r="M121" s="6" t="s">
        <v>188</v>
      </c>
      <c r="N121" s="93">
        <f t="shared" si="4"/>
        <v>924</v>
      </c>
    </row>
    <row r="122" spans="1:14" x14ac:dyDescent="0.25">
      <c r="A122" s="93" t="s">
        <v>191</v>
      </c>
      <c r="B122" s="6" t="str">
        <f>Informações!$C$3</f>
        <v>IMA</v>
      </c>
      <c r="C122" s="6" t="s">
        <v>29</v>
      </c>
      <c r="D122" s="6" t="s">
        <v>30</v>
      </c>
      <c r="E122" s="2" t="s">
        <v>25</v>
      </c>
      <c r="F122" s="6" t="s">
        <v>224</v>
      </c>
      <c r="G122" s="6" t="s">
        <v>235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IMA_LT3_52-3_TPPS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93">
        <f t="shared" si="4"/>
        <v>925</v>
      </c>
    </row>
    <row r="123" spans="1:14" x14ac:dyDescent="0.25">
      <c r="A123" s="93" t="s">
        <v>191</v>
      </c>
      <c r="B123" s="6" t="str">
        <f>Informações!$C$3</f>
        <v>IMA</v>
      </c>
      <c r="C123" s="6" t="s">
        <v>29</v>
      </c>
      <c r="D123" s="6" t="s">
        <v>30</v>
      </c>
      <c r="E123" s="2" t="s">
        <v>25</v>
      </c>
      <c r="F123" s="6" t="s">
        <v>225</v>
      </c>
      <c r="G123" s="6" t="s">
        <v>198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IMA_LT3_52-3_TPPF</v>
      </c>
      <c r="I123" s="6" t="s">
        <v>267</v>
      </c>
      <c r="J123" s="6" t="s">
        <v>182</v>
      </c>
      <c r="K123" s="6" t="s">
        <v>180</v>
      </c>
      <c r="L123" s="6" t="s">
        <v>188</v>
      </c>
      <c r="M123" s="6" t="s">
        <v>188</v>
      </c>
      <c r="N123" s="93">
        <f t="shared" si="4"/>
        <v>926</v>
      </c>
    </row>
  </sheetData>
  <autoFilter ref="A10:K105" xr:uid="{7CBEA51F-8118-4A4D-8379-D3E8D66B28F3}"/>
  <mergeCells count="10">
    <mergeCell ref="A112:N112"/>
    <mergeCell ref="A107:N107"/>
    <mergeCell ref="B7:N7"/>
    <mergeCell ref="B8:N8"/>
    <mergeCell ref="A1:N1"/>
    <mergeCell ref="B2:N2"/>
    <mergeCell ref="B3:N3"/>
    <mergeCell ref="B4:N4"/>
    <mergeCell ref="B5:N5"/>
    <mergeCell ref="B6:N6"/>
  </mergeCells>
  <conditionalFormatting sqref="E9:E106">
    <cfRule type="cellIs" dxfId="167" priority="1" operator="equal">
      <formula>"D"</formula>
    </cfRule>
    <cfRule type="cellIs" dxfId="166" priority="2" operator="equal">
      <formula>"C"</formula>
    </cfRule>
    <cfRule type="cellIs" dxfId="165" priority="3" operator="equal">
      <formula>"A"</formula>
    </cfRule>
  </conditionalFormatting>
  <conditionalFormatting sqref="E108">
    <cfRule type="cellIs" dxfId="164" priority="16" operator="equal">
      <formula>"D"</formula>
    </cfRule>
    <cfRule type="cellIs" dxfId="163" priority="17" operator="equal">
      <formula>"C"</formula>
    </cfRule>
    <cfRule type="cellIs" dxfId="162" priority="18" operator="equal">
      <formula>"A"</formula>
    </cfRule>
  </conditionalFormatting>
  <conditionalFormatting sqref="E111">
    <cfRule type="cellIs" dxfId="161" priority="22" operator="equal">
      <formula>"D"</formula>
    </cfRule>
    <cfRule type="cellIs" dxfId="160" priority="23" operator="equal">
      <formula>"C"</formula>
    </cfRule>
    <cfRule type="cellIs" dxfId="159" priority="24" operator="equal">
      <formula>"A"</formula>
    </cfRule>
  </conditionalFormatting>
  <conditionalFormatting sqref="E113:E1048576">
    <cfRule type="cellIs" dxfId="158" priority="10" operator="equal">
      <formula>"D"</formula>
    </cfRule>
    <cfRule type="cellIs" dxfId="157" priority="11" operator="equal">
      <formula>"C"</formula>
    </cfRule>
    <cfRule type="cellIs" dxfId="156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3249FDD-4601-4255-91BF-BA6A02D07530}">
          <x14:formula1>
            <xm:f>Lista!$B$2:$B$3</xm:f>
          </x14:formula1>
          <xm:sqref>A114:A123 A109:A110 A11:A105</xm:sqref>
        </x14:dataValidation>
        <x14:dataValidation type="list" allowBlank="1" showInputMessage="1" showErrorMessage="1" xr:uid="{DD97E473-69A6-4771-86E3-B79351FECEC3}">
          <x14:formula1>
            <xm:f>Lista!$A$2:$A$19</xm:f>
          </x14:formula1>
          <xm:sqref>J117:K123 J109:K110 J11:K105</xm:sqref>
        </x14:dataValidation>
        <x14:dataValidation type="list" allowBlank="1" showInputMessage="1" showErrorMessage="1" xr:uid="{93E3D89B-8A37-4C63-8C5F-E619DECDB306}">
          <x14:formula1>
            <xm:f>Lista!$D$2:$D$4</xm:f>
          </x14:formula1>
          <xm:sqref>M114:M123 M109:M110 M11:M105</xm:sqref>
        </x14:dataValidation>
        <x14:dataValidation type="list" allowBlank="1" showInputMessage="1" showErrorMessage="1" xr:uid="{585B7ED4-CF5E-4A78-8FA0-4F4F53646D99}">
          <x14:formula1>
            <xm:f>Lista!$E$2:$E$4</xm:f>
          </x14:formula1>
          <xm:sqref>I114:I123 I109:I110 J114:K116 I11:I105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A51F-8118-4A4D-8379-D3E8D66B28F3}">
  <sheetPr>
    <tabColor theme="6"/>
  </sheetPr>
  <dimension ref="A1:N110"/>
  <sheetViews>
    <sheetView topLeftCell="G19" zoomScale="115" zoomScaleNormal="115" workbookViewId="0">
      <selection activeCell="N31" sqref="N31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60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4.7109375" style="1" customWidth="1"/>
    <col min="11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701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4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305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302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301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303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25">
      <c r="A8" s="2" t="s">
        <v>82</v>
      </c>
      <c r="B8" s="119" t="s">
        <v>304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 s="4" customFormat="1" x14ac:dyDescent="0.25">
      <c r="B9" s="5"/>
      <c r="C9" s="5"/>
      <c r="D9" s="5"/>
      <c r="E9" s="5"/>
      <c r="F9" s="5"/>
      <c r="G9" s="5"/>
      <c r="H9" s="5"/>
    </row>
    <row r="10" spans="1:14" x14ac:dyDescent="0.25">
      <c r="A10" s="3" t="s">
        <v>189</v>
      </c>
      <c r="B10" s="3" t="s">
        <v>1</v>
      </c>
      <c r="C10" s="3" t="s">
        <v>83</v>
      </c>
      <c r="D10" s="3" t="s">
        <v>26</v>
      </c>
      <c r="E10" s="3" t="s">
        <v>7</v>
      </c>
      <c r="F10" s="3" t="s">
        <v>84</v>
      </c>
      <c r="G10" s="3" t="s">
        <v>85</v>
      </c>
      <c r="H10" s="3" t="s">
        <v>86</v>
      </c>
      <c r="I10" s="3" t="s">
        <v>254</v>
      </c>
      <c r="J10" s="3" t="s">
        <v>177</v>
      </c>
      <c r="K10" s="3" t="s">
        <v>178</v>
      </c>
      <c r="L10" s="3" t="s">
        <v>260</v>
      </c>
      <c r="M10" s="3" t="s">
        <v>266</v>
      </c>
      <c r="N10" s="3" t="s">
        <v>192</v>
      </c>
    </row>
    <row r="11" spans="1:14" x14ac:dyDescent="0.25">
      <c r="A11" s="6" t="s">
        <v>190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A</v>
      </c>
      <c r="G11" s="6" t="s">
        <v>9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IMA_LT4_LT4_IA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'LT 3'!N23+1</f>
        <v>13</v>
      </c>
    </row>
    <row r="12" spans="1:14" x14ac:dyDescent="0.25">
      <c r="A12" s="6" t="s">
        <v>190</v>
      </c>
      <c r="B12" s="6" t="str">
        <f>Informações!$C$3</f>
        <v>IMA</v>
      </c>
      <c r="C12" s="6" t="s">
        <v>29</v>
      </c>
      <c r="D12" s="6" t="s">
        <v>27</v>
      </c>
      <c r="E12" s="2" t="s">
        <v>8</v>
      </c>
      <c r="F12" s="6" t="str">
        <f>VLOOKUP(G12,[1]Analog!$A:$B,2,FALSE)</f>
        <v>CORRENTE FASE B</v>
      </c>
      <c r="G12" s="6" t="s">
        <v>10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IMA_LT4_LT4_IB</v>
      </c>
      <c r="I12" s="6" t="s">
        <v>267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>N11+1</f>
        <v>14</v>
      </c>
    </row>
    <row r="13" spans="1:14" x14ac:dyDescent="0.25">
      <c r="A13" s="6" t="s">
        <v>190</v>
      </c>
      <c r="B13" s="6" t="str">
        <f>Informações!$C$3</f>
        <v>IMA</v>
      </c>
      <c r="C13" s="6" t="s">
        <v>29</v>
      </c>
      <c r="D13" s="6" t="s">
        <v>27</v>
      </c>
      <c r="E13" s="2" t="s">
        <v>8</v>
      </c>
      <c r="F13" s="6" t="str">
        <f>VLOOKUP(G13,[1]Analog!$A:$B,2,FALSE)</f>
        <v>CORRENTE FASE C</v>
      </c>
      <c r="G13" s="6" t="s">
        <v>11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IMA_LT4_LT4_IC</v>
      </c>
      <c r="I13" s="6" t="s">
        <v>267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ref="N13:N23" si="0">N12+1</f>
        <v>15</v>
      </c>
    </row>
    <row r="14" spans="1:14" x14ac:dyDescent="0.25">
      <c r="A14" s="6" t="s">
        <v>190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A</v>
      </c>
      <c r="G14" s="6" t="s">
        <v>12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IMA_LT4_LT4_VA_B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16</v>
      </c>
    </row>
    <row r="15" spans="1:14" x14ac:dyDescent="0.25">
      <c r="A15" s="6" t="s">
        <v>190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BARRA FASE B</v>
      </c>
      <c r="G15" s="6" t="s">
        <v>13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IMA_LT4_LT4_VB_B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>
        <f t="shared" si="0"/>
        <v>17</v>
      </c>
    </row>
    <row r="16" spans="1:14" x14ac:dyDescent="0.25">
      <c r="A16" s="6" t="s">
        <v>190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BARRA FASE C</v>
      </c>
      <c r="G16" s="6" t="s">
        <v>14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IMA_LT4_LT4_VC_B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>
        <f t="shared" si="0"/>
        <v>18</v>
      </c>
    </row>
    <row r="17" spans="1:14" x14ac:dyDescent="0.25">
      <c r="A17" s="6" t="s">
        <v>190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B</v>
      </c>
      <c r="G17" s="6" t="s">
        <v>16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IMA_LT4_LT4_VB_L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19</v>
      </c>
    </row>
    <row r="18" spans="1:14" x14ac:dyDescent="0.25">
      <c r="A18" s="6" t="s">
        <v>190</v>
      </c>
      <c r="B18" s="6" t="str">
        <f>Informações!$C$3</f>
        <v>IMA</v>
      </c>
      <c r="C18" s="6" t="s">
        <v>29</v>
      </c>
      <c r="D18" s="6" t="s">
        <v>27</v>
      </c>
      <c r="E18" s="2" t="s">
        <v>8</v>
      </c>
      <c r="F18" s="6" t="str">
        <f>VLOOKUP(G18,[1]Analog!$A:$B,2,FALSE)</f>
        <v>POTENCIA ATIVA</v>
      </c>
      <c r="G18" s="6" t="s">
        <v>18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IMA_LT4_LT4_P</v>
      </c>
      <c r="I18" s="6" t="s">
        <v>267</v>
      </c>
      <c r="J18" s="6" t="s">
        <v>188</v>
      </c>
      <c r="K18" s="6" t="s">
        <v>188</v>
      </c>
      <c r="L18" s="8">
        <v>10</v>
      </c>
      <c r="M18" s="6" t="s">
        <v>188</v>
      </c>
      <c r="N18" s="6">
        <f t="shared" si="0"/>
        <v>20</v>
      </c>
    </row>
    <row r="19" spans="1:14" x14ac:dyDescent="0.25">
      <c r="A19" s="6" t="s">
        <v>190</v>
      </c>
      <c r="B19" s="6" t="str">
        <f>Informações!$C$3</f>
        <v>IMA</v>
      </c>
      <c r="C19" s="6" t="s">
        <v>29</v>
      </c>
      <c r="D19" s="6" t="s">
        <v>27</v>
      </c>
      <c r="E19" s="2" t="s">
        <v>8</v>
      </c>
      <c r="F19" s="6" t="str">
        <f>VLOOKUP(G19,[1]Analog!$A:$B,2,FALSE)</f>
        <v>POTENCIA REATIVA</v>
      </c>
      <c r="G19" s="6" t="s">
        <v>19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IMA_LT4_LT4_Q</v>
      </c>
      <c r="I19" s="6" t="s">
        <v>267</v>
      </c>
      <c r="J19" s="6" t="s">
        <v>188</v>
      </c>
      <c r="K19" s="6" t="s">
        <v>188</v>
      </c>
      <c r="L19" s="8">
        <v>10</v>
      </c>
      <c r="M19" s="6" t="s">
        <v>188</v>
      </c>
      <c r="N19" s="6">
        <f t="shared" si="0"/>
        <v>21</v>
      </c>
    </row>
    <row r="20" spans="1:14" x14ac:dyDescent="0.25">
      <c r="A20" s="6" t="s">
        <v>190</v>
      </c>
      <c r="B20" s="6" t="str">
        <f>Informações!$C$3</f>
        <v>IMA</v>
      </c>
      <c r="C20" s="6" t="s">
        <v>29</v>
      </c>
      <c r="D20" s="6" t="s">
        <v>29</v>
      </c>
      <c r="E20" s="2" t="s">
        <v>8</v>
      </c>
      <c r="F20" s="6" t="str">
        <f>VLOOKUP(G20,[1]Analog!$A:$B,2,FALSE)</f>
        <v>DISTANCIA DEFEITO</v>
      </c>
      <c r="G20" s="6" t="s">
        <v>20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IMA_LT4_LT4_KMDF</v>
      </c>
      <c r="I20" s="6" t="s">
        <v>267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22</v>
      </c>
    </row>
    <row r="21" spans="1:14" x14ac:dyDescent="0.25">
      <c r="A21" s="6" t="s">
        <v>190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CORRENTE CURTO CIRCUITO FASE A</v>
      </c>
      <c r="G21" s="6" t="s">
        <v>21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IMA_LT4_LT4_IACC</v>
      </c>
      <c r="I21" s="6" t="s">
        <v>267</v>
      </c>
      <c r="J21" s="6" t="s">
        <v>188</v>
      </c>
      <c r="K21" s="6" t="s">
        <v>188</v>
      </c>
      <c r="L21" s="8">
        <v>1</v>
      </c>
      <c r="M21" s="6" t="s">
        <v>188</v>
      </c>
      <c r="N21" s="6">
        <f t="shared" si="0"/>
        <v>23</v>
      </c>
    </row>
    <row r="22" spans="1:14" x14ac:dyDescent="0.25">
      <c r="A22" s="6" t="s">
        <v>190</v>
      </c>
      <c r="B22" s="6" t="str">
        <f>Informações!$C$3</f>
        <v>IMA</v>
      </c>
      <c r="C22" s="6" t="s">
        <v>29</v>
      </c>
      <c r="D22" s="6" t="s">
        <v>27</v>
      </c>
      <c r="E22" s="2" t="s">
        <v>8</v>
      </c>
      <c r="F22" s="6" t="str">
        <f>VLOOKUP(G22,[1]Analog!$A:$B,2,FALSE)</f>
        <v>CORRENTE CURTO CIRCUITO FASE B</v>
      </c>
      <c r="G22" s="6" t="s">
        <v>22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IMA_LT4_LT4_IBCC</v>
      </c>
      <c r="I22" s="6" t="s">
        <v>267</v>
      </c>
      <c r="J22" s="6" t="s">
        <v>188</v>
      </c>
      <c r="K22" s="6" t="s">
        <v>188</v>
      </c>
      <c r="L22" s="8">
        <v>1</v>
      </c>
      <c r="M22" s="6" t="s">
        <v>188</v>
      </c>
      <c r="N22" s="6">
        <f t="shared" si="0"/>
        <v>24</v>
      </c>
    </row>
    <row r="23" spans="1:14" x14ac:dyDescent="0.25">
      <c r="A23" s="6" t="s">
        <v>190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C</v>
      </c>
      <c r="G23" s="6" t="s">
        <v>23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IMA_LT4_LT4_ICCC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>
        <f t="shared" si="0"/>
        <v>25</v>
      </c>
    </row>
    <row r="24" spans="1:14" x14ac:dyDescent="0.25">
      <c r="A24" s="95" t="s">
        <v>190</v>
      </c>
      <c r="B24" s="95" t="str">
        <f>Informações!$C$3</f>
        <v>IMA</v>
      </c>
      <c r="C24" s="95" t="s">
        <v>29</v>
      </c>
      <c r="D24" s="95" t="s">
        <v>27</v>
      </c>
      <c r="E24" s="2" t="s">
        <v>8</v>
      </c>
      <c r="F24" s="95" t="str">
        <f>VLOOKUP(G24,[1]Analog!$A:$B,2,FALSE)</f>
        <v>CORRENTE CURTO CIRCUITO NEUTRO</v>
      </c>
      <c r="G24" s="6" t="s">
        <v>92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IMA_LT4_LT4_INCC</v>
      </c>
      <c r="I24" s="6" t="s">
        <v>267</v>
      </c>
      <c r="J24" s="6" t="s">
        <v>188</v>
      </c>
      <c r="K24" s="6" t="s">
        <v>188</v>
      </c>
      <c r="L24" s="8">
        <v>1</v>
      </c>
      <c r="M24" s="6" t="s">
        <v>188</v>
      </c>
      <c r="N24" s="95">
        <f>'LT 3'!N24+1</f>
        <v>199</v>
      </c>
    </row>
    <row r="25" spans="1:14" x14ac:dyDescent="0.25">
      <c r="A25" s="6" t="s">
        <v>190</v>
      </c>
      <c r="B25" s="6" t="str">
        <f>Informações!$C$3</f>
        <v>IMA</v>
      </c>
      <c r="C25" s="6" t="s">
        <v>29</v>
      </c>
      <c r="D25" s="6" t="s">
        <v>31</v>
      </c>
      <c r="E25" s="7" t="s">
        <v>24</v>
      </c>
      <c r="F25" s="6" t="str">
        <f>VLOOKUP(G25,[1]Discrete!$A:$B,2,FALSE)</f>
        <v>SECCIONADORA CARGA</v>
      </c>
      <c r="G25" s="6" t="s">
        <v>31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IMA_LT4_89-22_SECC</v>
      </c>
      <c r="I25" s="6" t="s">
        <v>188</v>
      </c>
      <c r="J25" s="6" t="s">
        <v>188</v>
      </c>
      <c r="K25" s="6" t="s">
        <v>188</v>
      </c>
      <c r="L25" s="6" t="s">
        <v>188</v>
      </c>
      <c r="M25" s="6" t="s">
        <v>279</v>
      </c>
      <c r="N25" s="6" t="str">
        <f>VALUE(LEFT('LT 3'!N31, FIND(";",'LT 3'!N31)-1)) + 1 &amp; ";" &amp; VALUE(LEFT('LT 3'!N31, FIND(";",'LT 3'!N31)-1)) + 1</f>
        <v>7;7</v>
      </c>
    </row>
    <row r="26" spans="1:14" x14ac:dyDescent="0.25">
      <c r="A26" s="6" t="s">
        <v>190</v>
      </c>
      <c r="B26" s="6" t="str">
        <f>Informações!$C$3</f>
        <v>IMA</v>
      </c>
      <c r="C26" s="6" t="s">
        <v>29</v>
      </c>
      <c r="D26" s="6" t="s">
        <v>32</v>
      </c>
      <c r="E26" s="7" t="s">
        <v>24</v>
      </c>
      <c r="F26" s="6" t="str">
        <f>VLOOKUP(G26,[1]Discrete!$A:$B,2,FALSE)</f>
        <v>SECCIONADORA FONTE</v>
      </c>
      <c r="G26" s="6" t="s">
        <v>32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IMA_LT4_89-20_SECF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 t="str">
        <f>VALUE(LEFT(N25, FIND(";",N25)-1)) + 1 &amp; ";" &amp; VALUE(LEFT(N25, FIND(";",N25)-1)) + 1</f>
        <v>8;8</v>
      </c>
    </row>
    <row r="27" spans="1:14" x14ac:dyDescent="0.25">
      <c r="A27" s="6" t="s">
        <v>190</v>
      </c>
      <c r="B27" s="6" t="str">
        <f>Informações!$C$3</f>
        <v>IMA</v>
      </c>
      <c r="C27" s="6" t="s">
        <v>29</v>
      </c>
      <c r="D27" s="6" t="s">
        <v>33</v>
      </c>
      <c r="E27" s="7" t="s">
        <v>24</v>
      </c>
      <c r="F27" s="6" t="str">
        <f>VLOOKUP(G27,[1]Discrete!$A:$B,2,FALSE)</f>
        <v>SECCIONADORA TRANSFERENCIA</v>
      </c>
      <c r="G27" s="6" t="s">
        <v>33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IMA_LT4_89-24_SECT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 t="str">
        <f t="shared" ref="N27:N31" si="1">VALUE(LEFT(N26, FIND(";",N26)-1)) + 1 &amp; ";" &amp; VALUE(LEFT(N26, FIND(";",N26)-1)) + 1</f>
        <v>9;9</v>
      </c>
    </row>
    <row r="28" spans="1:14" x14ac:dyDescent="0.25">
      <c r="A28" s="6" t="s">
        <v>190</v>
      </c>
      <c r="B28" s="6" t="str">
        <f>Informações!$C$3</f>
        <v>IMA</v>
      </c>
      <c r="C28" s="6" t="s">
        <v>29</v>
      </c>
      <c r="D28" s="6" t="s">
        <v>30</v>
      </c>
      <c r="E28" s="7" t="s">
        <v>24</v>
      </c>
      <c r="F28" s="6" t="str">
        <f>VLOOKUP(G28,[1]Discrete!$A:$B,2,FALSE)</f>
        <v>DISJUNTOR NF</v>
      </c>
      <c r="G28" s="6" t="s">
        <v>34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IMA_LT4_52-4_DJF1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279</v>
      </c>
      <c r="N28" s="6" t="str">
        <f t="shared" si="1"/>
        <v>10;10</v>
      </c>
    </row>
    <row r="29" spans="1:14" x14ac:dyDescent="0.25">
      <c r="A29" s="6" t="s">
        <v>190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e">
        <f>VLOOKUP(G29,[1]Discrete!$A:$B,2,FALSE)</f>
        <v>#N/A</v>
      </c>
      <c r="G29" s="6">
        <v>79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IMA_LT4_52-4_79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280</v>
      </c>
      <c r="N29" s="6" t="str">
        <f t="shared" si="1"/>
        <v>11;11</v>
      </c>
    </row>
    <row r="30" spans="1:14" x14ac:dyDescent="0.25">
      <c r="A30" s="6" t="s">
        <v>190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str">
        <f>VLOOKUP(G30,[1]Discrete!$A:$B,2,FALSE)</f>
        <v>51 - FUNCAO SOBRECORRENTE TEMPORIZADA NEUTRO</v>
      </c>
      <c r="G30" s="6" t="s">
        <v>35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IMA_LT4_52-4_51N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 t="str">
        <f t="shared" si="1"/>
        <v>12;12</v>
      </c>
    </row>
    <row r="31" spans="1:14" x14ac:dyDescent="0.25">
      <c r="A31" s="6" t="s">
        <v>190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25 - FUNCAO SINCRONISMO</v>
      </c>
      <c r="G31" s="6" t="s">
        <v>36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IMA_LT4_52-4_25IE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 t="str">
        <f t="shared" si="1"/>
        <v>13;13</v>
      </c>
    </row>
    <row r="32" spans="1:14" x14ac:dyDescent="0.25">
      <c r="A32" s="6" t="s">
        <v>190</v>
      </c>
      <c r="B32" s="6" t="str">
        <f>Informações!$C$3</f>
        <v>IMA</v>
      </c>
      <c r="C32" s="6" t="s">
        <v>29</v>
      </c>
      <c r="D32" s="6" t="s">
        <v>31</v>
      </c>
      <c r="E32" s="2" t="s">
        <v>25</v>
      </c>
      <c r="F32" s="104" t="str">
        <f>VLOOKUP(G32,[1]Discrete!$A:$B,2,FALSE)</f>
        <v>SECCIONADORA CARGA</v>
      </c>
      <c r="G32" s="6" t="s">
        <v>31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IMA_LT4_89-22_SECC</v>
      </c>
      <c r="I32" s="6" t="s">
        <v>268</v>
      </c>
      <c r="J32" s="104" t="s">
        <v>281</v>
      </c>
      <c r="K32" s="104" t="s">
        <v>285</v>
      </c>
      <c r="L32" s="6" t="s">
        <v>188</v>
      </c>
      <c r="M32" s="6" t="s">
        <v>188</v>
      </c>
      <c r="N32" s="104" t="str">
        <f>VALUE(LEFT('LT 3'!N48, FIND(";",'LT 3'!N48)-1)) + 2 &amp; ";" &amp; VALUE(LEFT('LT 3'!N48, FIND(";",'LT 3'!N48)-1)) + 3</f>
        <v>1110;1111</v>
      </c>
    </row>
    <row r="33" spans="1:14" x14ac:dyDescent="0.25">
      <c r="A33" s="6" t="s">
        <v>190</v>
      </c>
      <c r="B33" s="6" t="str">
        <f>Informações!$C$3</f>
        <v>IMA</v>
      </c>
      <c r="C33" s="6" t="s">
        <v>29</v>
      </c>
      <c r="D33" s="6" t="s">
        <v>31</v>
      </c>
      <c r="E33" s="2" t="s">
        <v>25</v>
      </c>
      <c r="F33" s="6" t="str">
        <f>VLOOKUP(G33,[1]Discrete!$A:$B,2,FALSE)</f>
        <v>43 - CHAVE LOCAL REMOTO</v>
      </c>
      <c r="G33" s="6" t="s">
        <v>39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IMA_LT4_89-22_43LR</v>
      </c>
      <c r="I33" s="6" t="s">
        <v>267</v>
      </c>
      <c r="J33" s="6" t="s">
        <v>186</v>
      </c>
      <c r="K33" s="6" t="s">
        <v>185</v>
      </c>
      <c r="L33" s="6" t="s">
        <v>188</v>
      </c>
      <c r="M33" s="6" t="s">
        <v>188</v>
      </c>
      <c r="N33" s="6">
        <v>76</v>
      </c>
    </row>
    <row r="34" spans="1:14" x14ac:dyDescent="0.25">
      <c r="A34" s="6" t="s">
        <v>190</v>
      </c>
      <c r="B34" s="6" t="str">
        <f>Informações!$C$3</f>
        <v>IMA</v>
      </c>
      <c r="C34" s="6" t="s">
        <v>29</v>
      </c>
      <c r="D34" s="6" t="s">
        <v>31</v>
      </c>
      <c r="E34" s="2" t="s">
        <v>25</v>
      </c>
      <c r="F34" s="6" t="str">
        <f>VLOOKUP(G34,[1]Discrete!$A:$B,2,FALSE)</f>
        <v>FALTA VCC</v>
      </c>
      <c r="G34" s="6" t="s">
        <v>42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IMA_LT4_89-22_CCFL</v>
      </c>
      <c r="I34" s="6" t="s">
        <v>267</v>
      </c>
      <c r="J34" s="6" t="s">
        <v>182</v>
      </c>
      <c r="K34" s="6" t="s">
        <v>181</v>
      </c>
      <c r="L34" s="6" t="s">
        <v>188</v>
      </c>
      <c r="M34" s="6" t="s">
        <v>188</v>
      </c>
      <c r="N34" s="6">
        <f t="shared" ref="N34:N97" si="2">N33+1</f>
        <v>77</v>
      </c>
    </row>
    <row r="35" spans="1:14" x14ac:dyDescent="0.25">
      <c r="A35" s="6" t="s">
        <v>190</v>
      </c>
      <c r="B35" s="6" t="str">
        <f>Informações!$C$3</f>
        <v>IMA</v>
      </c>
      <c r="C35" s="6" t="s">
        <v>29</v>
      </c>
      <c r="D35" s="6" t="s">
        <v>31</v>
      </c>
      <c r="E35" s="2" t="s">
        <v>25</v>
      </c>
      <c r="F35" s="6" t="str">
        <f>VLOOKUP(G35,[1]Discrete!$A:$B,2,FALSE)</f>
        <v>OPERACAO INDEVIDA SECCIONADORA</v>
      </c>
      <c r="G35" s="6" t="s">
        <v>295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IMA_LT4_89-22_OI</v>
      </c>
      <c r="I35" s="6" t="s">
        <v>267</v>
      </c>
      <c r="J35" s="6" t="s">
        <v>182</v>
      </c>
      <c r="K35" s="6" t="s">
        <v>179</v>
      </c>
      <c r="L35" s="6" t="s">
        <v>188</v>
      </c>
      <c r="M35" s="6" t="s">
        <v>188</v>
      </c>
      <c r="N35" s="6">
        <f t="shared" si="2"/>
        <v>78</v>
      </c>
    </row>
    <row r="36" spans="1:14" x14ac:dyDescent="0.25">
      <c r="A36" s="6" t="s">
        <v>190</v>
      </c>
      <c r="B36" s="6" t="str">
        <f>Informações!$C$3</f>
        <v>IMA</v>
      </c>
      <c r="C36" s="6" t="s">
        <v>29</v>
      </c>
      <c r="D36" s="6" t="s">
        <v>31</v>
      </c>
      <c r="E36" s="2" t="s">
        <v>25</v>
      </c>
      <c r="F36" s="6" t="str">
        <f>VLOOKUP(G36,[1]Discrete!$A:$B,2,FALSE)</f>
        <v>LIBERA MANOBRA</v>
      </c>
      <c r="G36" s="6" t="s">
        <v>112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IMA_LT4_89-22_LIBM</v>
      </c>
      <c r="I36" s="6" t="s">
        <v>267</v>
      </c>
      <c r="J36" s="6" t="s">
        <v>209</v>
      </c>
      <c r="K36" s="6" t="s">
        <v>210</v>
      </c>
      <c r="L36" s="6" t="s">
        <v>188</v>
      </c>
      <c r="M36" s="6" t="s">
        <v>188</v>
      </c>
      <c r="N36" s="6">
        <f t="shared" si="2"/>
        <v>79</v>
      </c>
    </row>
    <row r="37" spans="1:14" x14ac:dyDescent="0.25">
      <c r="A37" s="6" t="s">
        <v>190</v>
      </c>
      <c r="B37" s="6" t="str">
        <f>Informações!$C$3</f>
        <v>IMA</v>
      </c>
      <c r="C37" s="6" t="s">
        <v>29</v>
      </c>
      <c r="D37" s="6" t="s">
        <v>32</v>
      </c>
      <c r="E37" s="2" t="s">
        <v>25</v>
      </c>
      <c r="F37" s="104" t="str">
        <f>VLOOKUP(G37,[1]Discrete!$A:$B,2,FALSE)</f>
        <v>SECCIONADORA FONTE</v>
      </c>
      <c r="G37" s="6" t="s">
        <v>32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IMA_LT4_89-20_SECF</v>
      </c>
      <c r="I37" s="6" t="s">
        <v>268</v>
      </c>
      <c r="J37" s="104" t="s">
        <v>281</v>
      </c>
      <c r="K37" s="104" t="s">
        <v>285</v>
      </c>
      <c r="L37" s="6" t="s">
        <v>188</v>
      </c>
      <c r="M37" s="6" t="s">
        <v>188</v>
      </c>
      <c r="N37" s="104" t="str">
        <f>VALUE(LEFT(N32, FIND(";",N32)-1)) + 2 &amp; ";" &amp; VALUE(LEFT(N32, FIND(";",N32)-1)) + 3</f>
        <v>1112;1113</v>
      </c>
    </row>
    <row r="38" spans="1:14" x14ac:dyDescent="0.25">
      <c r="A38" s="6" t="s">
        <v>190</v>
      </c>
      <c r="B38" s="6" t="str">
        <f>Informações!$C$3</f>
        <v>IMA</v>
      </c>
      <c r="C38" s="6" t="s">
        <v>29</v>
      </c>
      <c r="D38" s="6" t="s">
        <v>32</v>
      </c>
      <c r="E38" s="2" t="s">
        <v>25</v>
      </c>
      <c r="F38" s="6" t="str">
        <f>VLOOKUP(G38,[1]Discrete!$A:$B,2,FALSE)</f>
        <v>43 - CHAVE LOCAL REMOTO</v>
      </c>
      <c r="G38" s="6" t="s">
        <v>39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IMA_LT4_89-20_43LR</v>
      </c>
      <c r="I38" s="6" t="s">
        <v>267</v>
      </c>
      <c r="J38" s="6" t="s">
        <v>186</v>
      </c>
      <c r="K38" s="6" t="s">
        <v>185</v>
      </c>
      <c r="L38" s="6" t="s">
        <v>188</v>
      </c>
      <c r="M38" s="6" t="s">
        <v>188</v>
      </c>
      <c r="N38" s="6">
        <v>81</v>
      </c>
    </row>
    <row r="39" spans="1:14" x14ac:dyDescent="0.25">
      <c r="A39" s="6" t="s">
        <v>190</v>
      </c>
      <c r="B39" s="6" t="str">
        <f>Informações!$C$3</f>
        <v>IMA</v>
      </c>
      <c r="C39" s="6" t="s">
        <v>29</v>
      </c>
      <c r="D39" s="6" t="s">
        <v>32</v>
      </c>
      <c r="E39" s="2" t="s">
        <v>25</v>
      </c>
      <c r="F39" s="6" t="str">
        <f>VLOOKUP(G39,[1]Discrete!$A:$B,2,FALSE)</f>
        <v>FALTA VCC</v>
      </c>
      <c r="G39" s="6" t="s">
        <v>42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IMA_LT4_89-20_CCFL</v>
      </c>
      <c r="I39" s="6" t="s">
        <v>267</v>
      </c>
      <c r="J39" s="6" t="s">
        <v>182</v>
      </c>
      <c r="K39" s="6" t="s">
        <v>181</v>
      </c>
      <c r="L39" s="6" t="s">
        <v>188</v>
      </c>
      <c r="M39" s="6" t="s">
        <v>188</v>
      </c>
      <c r="N39" s="6">
        <f t="shared" si="2"/>
        <v>82</v>
      </c>
    </row>
    <row r="40" spans="1:14" x14ac:dyDescent="0.25">
      <c r="A40" s="6" t="s">
        <v>190</v>
      </c>
      <c r="B40" s="6" t="str">
        <f>Informações!$C$3</f>
        <v>IMA</v>
      </c>
      <c r="C40" s="6" t="s">
        <v>29</v>
      </c>
      <c r="D40" s="6" t="s">
        <v>32</v>
      </c>
      <c r="E40" s="2" t="s">
        <v>25</v>
      </c>
      <c r="F40" s="6" t="str">
        <f>VLOOKUP(G40,[1]Discrete!$A:$B,2,FALSE)</f>
        <v>OPERACAO INDEVIDA SECCIONADORA</v>
      </c>
      <c r="G40" s="6" t="s">
        <v>295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IMA_LT4_89-20_OI</v>
      </c>
      <c r="I40" s="6" t="s">
        <v>267</v>
      </c>
      <c r="J40" s="6" t="s">
        <v>182</v>
      </c>
      <c r="K40" s="6" t="s">
        <v>179</v>
      </c>
      <c r="L40" s="6" t="s">
        <v>188</v>
      </c>
      <c r="M40" s="6" t="s">
        <v>188</v>
      </c>
      <c r="N40" s="6">
        <f t="shared" si="2"/>
        <v>83</v>
      </c>
    </row>
    <row r="41" spans="1:14" x14ac:dyDescent="0.25">
      <c r="A41" s="6" t="s">
        <v>190</v>
      </c>
      <c r="B41" s="6" t="str">
        <f>Informações!$C$3</f>
        <v>IMA</v>
      </c>
      <c r="C41" s="6" t="s">
        <v>29</v>
      </c>
      <c r="D41" s="6" t="s">
        <v>32</v>
      </c>
      <c r="E41" s="2" t="s">
        <v>25</v>
      </c>
      <c r="F41" s="6" t="str">
        <f>VLOOKUP(G41,[1]Discrete!$A:$B,2,FALSE)</f>
        <v>LIBERA MANOBRA</v>
      </c>
      <c r="G41" s="6" t="s">
        <v>112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IMA_LT4_89-20_LIBM</v>
      </c>
      <c r="I41" s="6" t="s">
        <v>267</v>
      </c>
      <c r="J41" s="6" t="s">
        <v>209</v>
      </c>
      <c r="K41" s="6" t="s">
        <v>210</v>
      </c>
      <c r="L41" s="6" t="s">
        <v>188</v>
      </c>
      <c r="M41" s="6" t="s">
        <v>188</v>
      </c>
      <c r="N41" s="6">
        <f t="shared" si="2"/>
        <v>84</v>
      </c>
    </row>
    <row r="42" spans="1:14" x14ac:dyDescent="0.25">
      <c r="A42" s="6" t="s">
        <v>190</v>
      </c>
      <c r="B42" s="6" t="str">
        <f>Informações!$C$3</f>
        <v>IMA</v>
      </c>
      <c r="C42" s="6" t="s">
        <v>29</v>
      </c>
      <c r="D42" s="6" t="s">
        <v>33</v>
      </c>
      <c r="E42" s="2" t="s">
        <v>25</v>
      </c>
      <c r="F42" s="104" t="str">
        <f>VLOOKUP(G42,[1]Discrete!$A:$B,2,FALSE)</f>
        <v>SECCIONADORA TRANSFERENCIA</v>
      </c>
      <c r="G42" s="6" t="s">
        <v>33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IMA_LT4_89-24_SECT</v>
      </c>
      <c r="I42" s="6" t="s">
        <v>268</v>
      </c>
      <c r="J42" s="104" t="s">
        <v>281</v>
      </c>
      <c r="K42" s="104" t="s">
        <v>285</v>
      </c>
      <c r="L42" s="6" t="s">
        <v>188</v>
      </c>
      <c r="M42" s="6" t="s">
        <v>188</v>
      </c>
      <c r="N42" s="104" t="str">
        <f>VALUE(LEFT(N37, FIND(";",N37)-1)) + 2 &amp; ";" &amp; VALUE(LEFT(N37, FIND(";",N37)-1)) + 3</f>
        <v>1114;1115</v>
      </c>
    </row>
    <row r="43" spans="1:14" x14ac:dyDescent="0.25">
      <c r="A43" s="6" t="s">
        <v>190</v>
      </c>
      <c r="B43" s="6" t="str">
        <f>Informações!$C$3</f>
        <v>IMA</v>
      </c>
      <c r="C43" s="6" t="s">
        <v>29</v>
      </c>
      <c r="D43" s="6" t="s">
        <v>33</v>
      </c>
      <c r="E43" s="2" t="s">
        <v>25</v>
      </c>
      <c r="F43" s="6" t="str">
        <f>VLOOKUP(G43,[1]Discrete!$A:$B,2,FALSE)</f>
        <v>43 - CHAVE LOCAL REMOTO</v>
      </c>
      <c r="G43" s="6" t="s">
        <v>39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IMA_LT4_89-24_43LR</v>
      </c>
      <c r="I43" s="6" t="s">
        <v>267</v>
      </c>
      <c r="J43" s="6" t="s">
        <v>186</v>
      </c>
      <c r="K43" s="6" t="s">
        <v>185</v>
      </c>
      <c r="L43" s="6" t="s">
        <v>188</v>
      </c>
      <c r="M43" s="6" t="s">
        <v>188</v>
      </c>
      <c r="N43" s="6">
        <v>86</v>
      </c>
    </row>
    <row r="44" spans="1:14" x14ac:dyDescent="0.25">
      <c r="A44" s="6" t="s">
        <v>190</v>
      </c>
      <c r="B44" s="6" t="str">
        <f>Informações!$C$3</f>
        <v>IMA</v>
      </c>
      <c r="C44" s="6" t="s">
        <v>29</v>
      </c>
      <c r="D44" s="6" t="s">
        <v>33</v>
      </c>
      <c r="E44" s="2" t="s">
        <v>25</v>
      </c>
      <c r="F44" s="6" t="str">
        <f>VLOOKUP(G44,[1]Discrete!$A:$B,2,FALSE)</f>
        <v>FALTA VCC</v>
      </c>
      <c r="G44" s="6" t="s">
        <v>42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IMA_LT4_89-24_CCFL</v>
      </c>
      <c r="I44" s="6" t="s">
        <v>267</v>
      </c>
      <c r="J44" s="6" t="s">
        <v>182</v>
      </c>
      <c r="K44" s="6" t="s">
        <v>181</v>
      </c>
      <c r="L44" s="6" t="s">
        <v>188</v>
      </c>
      <c r="M44" s="6" t="s">
        <v>188</v>
      </c>
      <c r="N44" s="6">
        <f t="shared" si="2"/>
        <v>87</v>
      </c>
    </row>
    <row r="45" spans="1:14" x14ac:dyDescent="0.25">
      <c r="A45" s="93" t="s">
        <v>191</v>
      </c>
      <c r="B45" s="6" t="str">
        <f>Informações!$C$3</f>
        <v>IMA</v>
      </c>
      <c r="C45" s="6" t="s">
        <v>29</v>
      </c>
      <c r="D45" s="6" t="s">
        <v>33</v>
      </c>
      <c r="E45" s="2" t="s">
        <v>25</v>
      </c>
      <c r="F45" s="93" t="str">
        <f>VLOOKUP(G45,[1]Discrete!$A:$B,2,FALSE)</f>
        <v>OPERACAO INDEVIDA SECCIONADORA</v>
      </c>
      <c r="G45" s="6" t="s">
        <v>295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IMA_LT4_89-24_OI</v>
      </c>
      <c r="I45" s="6" t="s">
        <v>267</v>
      </c>
      <c r="J45" s="6" t="s">
        <v>182</v>
      </c>
      <c r="K45" s="6" t="s">
        <v>179</v>
      </c>
      <c r="L45" s="6" t="s">
        <v>188</v>
      </c>
      <c r="M45" s="6" t="s">
        <v>188</v>
      </c>
      <c r="N45" s="93">
        <f t="shared" si="2"/>
        <v>88</v>
      </c>
    </row>
    <row r="46" spans="1:14" x14ac:dyDescent="0.25">
      <c r="A46" s="6" t="s">
        <v>190</v>
      </c>
      <c r="B46" s="6" t="str">
        <f>Informações!$C$3</f>
        <v>IMA</v>
      </c>
      <c r="C46" s="6" t="s">
        <v>29</v>
      </c>
      <c r="D46" s="6" t="s">
        <v>33</v>
      </c>
      <c r="E46" s="2" t="s">
        <v>25</v>
      </c>
      <c r="F46" s="6" t="str">
        <f>VLOOKUP(G46,[1]Discrete!$A:$B,2,FALSE)</f>
        <v>LIBERA MANOBRA</v>
      </c>
      <c r="G46" s="6" t="s">
        <v>112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IMA_LT4_89-24_LIBM</v>
      </c>
      <c r="I46" s="6" t="s">
        <v>267</v>
      </c>
      <c r="J46" s="6" t="s">
        <v>209</v>
      </c>
      <c r="K46" s="6" t="s">
        <v>210</v>
      </c>
      <c r="L46" s="6" t="s">
        <v>188</v>
      </c>
      <c r="M46" s="6" t="s">
        <v>188</v>
      </c>
      <c r="N46" s="6">
        <f t="shared" si="2"/>
        <v>89</v>
      </c>
    </row>
    <row r="47" spans="1:14" x14ac:dyDescent="0.25">
      <c r="A47" s="6" t="s">
        <v>190</v>
      </c>
      <c r="B47" s="6" t="str">
        <f>Informações!$C$3</f>
        <v>IMA</v>
      </c>
      <c r="C47" s="6" t="s">
        <v>29</v>
      </c>
      <c r="D47" s="6" t="s">
        <v>82</v>
      </c>
      <c r="E47" s="2" t="s">
        <v>25</v>
      </c>
      <c r="F47" s="104" t="str">
        <f>VLOOKUP(G47,[1]Discrete!$A:$B,2,FALSE)</f>
        <v>SECCIONADORA TERRA</v>
      </c>
      <c r="G47" s="6" t="s">
        <v>82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IMA_LT4_29-7_SECG</v>
      </c>
      <c r="I47" s="6" t="s">
        <v>268</v>
      </c>
      <c r="J47" s="104" t="s">
        <v>281</v>
      </c>
      <c r="K47" s="104" t="s">
        <v>285</v>
      </c>
      <c r="L47" s="6" t="s">
        <v>188</v>
      </c>
      <c r="M47" s="6" t="s">
        <v>188</v>
      </c>
      <c r="N47" s="104" t="str">
        <f>VALUE(LEFT(N42, FIND(";",N42)-1)) + 2 &amp; ";" &amp; VALUE(LEFT(N42, FIND(";",N42)-1)) + 3</f>
        <v>1116;1117</v>
      </c>
    </row>
    <row r="48" spans="1:14" x14ac:dyDescent="0.25">
      <c r="A48" s="6" t="s">
        <v>190</v>
      </c>
      <c r="B48" s="6" t="str">
        <f>Informações!$C$3</f>
        <v>IMA</v>
      </c>
      <c r="C48" s="6" t="s">
        <v>29</v>
      </c>
      <c r="D48" s="6" t="s">
        <v>30</v>
      </c>
      <c r="E48" s="2" t="s">
        <v>25</v>
      </c>
      <c r="F48" s="104" t="str">
        <f>VLOOKUP(G48,[1]Discrete!$A:$B,2,FALSE)</f>
        <v>DISJUNTOR NF</v>
      </c>
      <c r="G48" s="6" t="s">
        <v>34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IMA_LT4_52-4_DJF1</v>
      </c>
      <c r="I48" s="6" t="s">
        <v>268</v>
      </c>
      <c r="J48" s="104" t="s">
        <v>284</v>
      </c>
      <c r="K48" s="104" t="s">
        <v>286</v>
      </c>
      <c r="L48" s="6" t="s">
        <v>188</v>
      </c>
      <c r="M48" s="6" t="s">
        <v>188</v>
      </c>
      <c r="N48" s="104" t="str">
        <f>VALUE(LEFT(N47, FIND(";",N47)-1)) + 2 &amp; ";" &amp; VALUE(LEFT(N47, FIND(";",N47)-1)) + 3</f>
        <v>1118;1119</v>
      </c>
    </row>
    <row r="49" spans="1:14" x14ac:dyDescent="0.25">
      <c r="A49" s="6" t="s">
        <v>190</v>
      </c>
      <c r="B49" s="6" t="str">
        <f>Informações!$C$3</f>
        <v>IMA</v>
      </c>
      <c r="C49" s="6" t="s">
        <v>29</v>
      </c>
      <c r="D49" s="6" t="s">
        <v>30</v>
      </c>
      <c r="E49" s="2" t="s">
        <v>25</v>
      </c>
      <c r="F49" s="6" t="e">
        <f>VLOOKUP(G49,[1]Discrete!$A:$B,2,FALSE)</f>
        <v>#N/A</v>
      </c>
      <c r="G49" s="6">
        <v>79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IMA_LT4_52-4_79</v>
      </c>
      <c r="I49" s="6" t="s">
        <v>267</v>
      </c>
      <c r="J49" s="6" t="s">
        <v>182</v>
      </c>
      <c r="K49" s="6" t="s">
        <v>179</v>
      </c>
      <c r="L49" s="6" t="s">
        <v>188</v>
      </c>
      <c r="M49" s="6" t="s">
        <v>188</v>
      </c>
      <c r="N49" s="6">
        <v>92</v>
      </c>
    </row>
    <row r="50" spans="1:14" x14ac:dyDescent="0.25">
      <c r="A50" s="6" t="s">
        <v>190</v>
      </c>
      <c r="B50" s="6" t="str">
        <f>Informações!$C$3</f>
        <v>IMA</v>
      </c>
      <c r="C50" s="6" t="s">
        <v>29</v>
      </c>
      <c r="D50" s="6" t="s">
        <v>30</v>
      </c>
      <c r="E50" s="2" t="s">
        <v>25</v>
      </c>
      <c r="F50" s="6" t="str">
        <f>VLOOKUP(G50,[1]Discrete!$A:$B,2,FALSE)</f>
        <v>51 - FUNCAO SOBRECORRENTE TEMPORIZADA NEUTRO</v>
      </c>
      <c r="G50" s="6" t="s">
        <v>35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IMA_LT4_52-4_51N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2"/>
        <v>93</v>
      </c>
    </row>
    <row r="51" spans="1:14" x14ac:dyDescent="0.25">
      <c r="A51" s="6" t="s">
        <v>190</v>
      </c>
      <c r="B51" s="6" t="str">
        <f>Informações!$C$3</f>
        <v>IMA</v>
      </c>
      <c r="C51" s="6" t="s">
        <v>29</v>
      </c>
      <c r="D51" s="6" t="s">
        <v>30</v>
      </c>
      <c r="E51" s="2" t="s">
        <v>25</v>
      </c>
      <c r="F51" s="6" t="str">
        <f>VLOOKUP(G51,[1]Discrete!$A:$B,2,FALSE)</f>
        <v>ALARME BAIXA PRESSAO SF6</v>
      </c>
      <c r="G51" s="6" t="s">
        <v>37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IMA_LT4_52-4_SF6A</v>
      </c>
      <c r="I51" s="6" t="s">
        <v>267</v>
      </c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2"/>
        <v>94</v>
      </c>
    </row>
    <row r="52" spans="1:14" x14ac:dyDescent="0.25">
      <c r="A52" s="6" t="s">
        <v>190</v>
      </c>
      <c r="B52" s="6" t="str">
        <f>Informações!$C$3</f>
        <v>IMA</v>
      </c>
      <c r="C52" s="6" t="s">
        <v>29</v>
      </c>
      <c r="D52" s="6" t="s">
        <v>30</v>
      </c>
      <c r="E52" s="2" t="s">
        <v>25</v>
      </c>
      <c r="F52" s="6" t="str">
        <f>VLOOKUP(G52,[1]Discrete!$A:$B,2,FALSE)</f>
        <v>BLOQUEIO BAIXA PRESSAO SF6</v>
      </c>
      <c r="G52" s="6" t="s">
        <v>49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IMA_LT4_52-4_SF6B</v>
      </c>
      <c r="I52" s="6" t="s">
        <v>267</v>
      </c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2"/>
        <v>95</v>
      </c>
    </row>
    <row r="53" spans="1:14" x14ac:dyDescent="0.25">
      <c r="A53" s="6" t="s">
        <v>190</v>
      </c>
      <c r="B53" s="6" t="str">
        <f>Informações!$C$3</f>
        <v>IMA</v>
      </c>
      <c r="C53" s="6" t="s">
        <v>29</v>
      </c>
      <c r="D53" s="6" t="s">
        <v>30</v>
      </c>
      <c r="E53" s="2" t="s">
        <v>25</v>
      </c>
      <c r="F53" s="6" t="str">
        <f>VLOOKUP(G53,[1]Discrete!$A:$B,2,FALSE)</f>
        <v>MOLA</v>
      </c>
      <c r="G53" s="6" t="s">
        <v>38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IMA_LT4_52-4_MOLA</v>
      </c>
      <c r="I53" s="6" t="s">
        <v>267</v>
      </c>
      <c r="J53" s="94" t="s">
        <v>282</v>
      </c>
      <c r="K53" s="94" t="s">
        <v>283</v>
      </c>
      <c r="L53" s="6" t="s">
        <v>188</v>
      </c>
      <c r="M53" s="6" t="s">
        <v>188</v>
      </c>
      <c r="N53" s="6">
        <f t="shared" si="2"/>
        <v>96</v>
      </c>
    </row>
    <row r="54" spans="1:14" x14ac:dyDescent="0.25">
      <c r="A54" s="6" t="s">
        <v>190</v>
      </c>
      <c r="B54" s="6" t="str">
        <f>Informações!$C$3</f>
        <v>IMA</v>
      </c>
      <c r="C54" s="6" t="s">
        <v>29</v>
      </c>
      <c r="D54" s="6" t="s">
        <v>30</v>
      </c>
      <c r="E54" s="2" t="s">
        <v>25</v>
      </c>
      <c r="F54" s="6" t="str">
        <f>VLOOKUP(G54,[1]Discrete!$A:$B,2,FALSE)</f>
        <v>43 - CHAVE LOCAL REMOTO</v>
      </c>
      <c r="G54" s="6" t="s">
        <v>39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IMA_LT4_52-4_43LR</v>
      </c>
      <c r="I54" s="6" t="s">
        <v>267</v>
      </c>
      <c r="J54" s="6" t="s">
        <v>186</v>
      </c>
      <c r="K54" s="6" t="s">
        <v>185</v>
      </c>
      <c r="L54" s="6" t="s">
        <v>188</v>
      </c>
      <c r="M54" s="6" t="s">
        <v>188</v>
      </c>
      <c r="N54" s="6">
        <f t="shared" si="2"/>
        <v>97</v>
      </c>
    </row>
    <row r="55" spans="1:14" x14ac:dyDescent="0.25">
      <c r="A55" s="6" t="s">
        <v>190</v>
      </c>
      <c r="B55" s="6" t="str">
        <f>Informações!$C$3</f>
        <v>IMA</v>
      </c>
      <c r="C55" s="6" t="s">
        <v>29</v>
      </c>
      <c r="D55" s="6" t="s">
        <v>30</v>
      </c>
      <c r="E55" s="2" t="s">
        <v>25</v>
      </c>
      <c r="F55" s="6" t="str">
        <f>VLOOKUP(G55,[1]Discrete!$A:$B,2,FALSE)</f>
        <v>43 - CHAVE TELECOMANDO</v>
      </c>
      <c r="G55" s="6" t="s">
        <v>40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IMA_LT4_52-4_43TC</v>
      </c>
      <c r="I55" s="6" t="s">
        <v>267</v>
      </c>
      <c r="J55" s="6" t="s">
        <v>183</v>
      </c>
      <c r="K55" s="6" t="s">
        <v>184</v>
      </c>
      <c r="L55" s="6" t="s">
        <v>188</v>
      </c>
      <c r="M55" s="6" t="s">
        <v>188</v>
      </c>
      <c r="N55" s="6">
        <f t="shared" si="2"/>
        <v>98</v>
      </c>
    </row>
    <row r="56" spans="1:14" x14ac:dyDescent="0.25">
      <c r="A56" s="6" t="s">
        <v>190</v>
      </c>
      <c r="B56" s="6" t="str">
        <f>Informações!$C$3</f>
        <v>IMA</v>
      </c>
      <c r="C56" s="6" t="s">
        <v>29</v>
      </c>
      <c r="D56" s="6" t="s">
        <v>30</v>
      </c>
      <c r="E56" s="2" t="s">
        <v>25</v>
      </c>
      <c r="F56" s="6" t="str">
        <f>VLOOKUP(G56,[1]Discrete!$A:$B,2,FALSE)</f>
        <v>BOBINA ABERTURA</v>
      </c>
      <c r="G56" s="6" t="s">
        <v>41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IMA_LT4_52-4_BBAB</v>
      </c>
      <c r="I56" s="6" t="s">
        <v>267</v>
      </c>
      <c r="J56" s="6" t="s">
        <v>182</v>
      </c>
      <c r="K56" s="6" t="s">
        <v>180</v>
      </c>
      <c r="L56" s="6" t="s">
        <v>188</v>
      </c>
      <c r="M56" s="6" t="s">
        <v>188</v>
      </c>
      <c r="N56" s="6">
        <f t="shared" si="2"/>
        <v>99</v>
      </c>
    </row>
    <row r="57" spans="1:14" x14ac:dyDescent="0.25">
      <c r="A57" s="6" t="s">
        <v>190</v>
      </c>
      <c r="B57" s="6" t="str">
        <f>Informações!$C$3</f>
        <v>IMA</v>
      </c>
      <c r="C57" s="6" t="s">
        <v>29</v>
      </c>
      <c r="D57" s="6" t="s">
        <v>30</v>
      </c>
      <c r="E57" s="2" t="s">
        <v>25</v>
      </c>
      <c r="F57" s="6" t="str">
        <f>VLOOKUP(G57,[1]Discrete!$A:$B,2,FALSE)</f>
        <v>BOBINA FECHAMENTO</v>
      </c>
      <c r="G57" s="6" t="s">
        <v>50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IMA_LT4_52-4_BBFC</v>
      </c>
      <c r="I57" s="6" t="s">
        <v>267</v>
      </c>
      <c r="J57" s="6" t="s">
        <v>182</v>
      </c>
      <c r="K57" s="6" t="s">
        <v>180</v>
      </c>
      <c r="L57" s="6" t="s">
        <v>188</v>
      </c>
      <c r="M57" s="6" t="s">
        <v>188</v>
      </c>
      <c r="N57" s="6">
        <f t="shared" si="2"/>
        <v>100</v>
      </c>
    </row>
    <row r="58" spans="1:14" x14ac:dyDescent="0.25">
      <c r="A58" s="6" t="s">
        <v>190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FALTA VCC</v>
      </c>
      <c r="G58" s="6" t="s">
        <v>42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IMA_LT4_52-4_CCFL</v>
      </c>
      <c r="I58" s="6" t="s">
        <v>267</v>
      </c>
      <c r="J58" s="6" t="s">
        <v>182</v>
      </c>
      <c r="K58" s="6" t="s">
        <v>187</v>
      </c>
      <c r="L58" s="6" t="s">
        <v>188</v>
      </c>
      <c r="M58" s="6" t="s">
        <v>188</v>
      </c>
      <c r="N58" s="6">
        <f t="shared" si="2"/>
        <v>101</v>
      </c>
    </row>
    <row r="59" spans="1:14" x14ac:dyDescent="0.25">
      <c r="A59" s="6" t="s">
        <v>190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str">
        <f>VLOOKUP(G59,[1]Discrete!$A:$B,2,FALSE)</f>
        <v>FALTA VCA</v>
      </c>
      <c r="G59" s="6" t="s">
        <v>43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IMA_LT4_52-4_CAFL</v>
      </c>
      <c r="I59" s="6" t="s">
        <v>267</v>
      </c>
      <c r="J59" s="6" t="s">
        <v>182</v>
      </c>
      <c r="K59" s="6" t="s">
        <v>187</v>
      </c>
      <c r="L59" s="6" t="s">
        <v>188</v>
      </c>
      <c r="M59" s="6" t="s">
        <v>188</v>
      </c>
      <c r="N59" s="6">
        <f t="shared" si="2"/>
        <v>102</v>
      </c>
    </row>
    <row r="60" spans="1:14" x14ac:dyDescent="0.25">
      <c r="A60" s="94" t="s">
        <v>190</v>
      </c>
      <c r="B60" s="94" t="str">
        <f>Informações!$C$3</f>
        <v>IMA</v>
      </c>
      <c r="C60" s="94" t="s">
        <v>29</v>
      </c>
      <c r="D60" s="94" t="s">
        <v>205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IMA_LT4_52-4_P_62BF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2"/>
        <v>103</v>
      </c>
    </row>
    <row r="61" spans="1:14" x14ac:dyDescent="0.25">
      <c r="A61" s="6" t="s">
        <v>190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79 - RELIGAMENTO BLOQUEADO</v>
      </c>
      <c r="G61" s="6" t="s">
        <v>45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IMA_LT4_52-4_79LO</v>
      </c>
      <c r="I61" s="6" t="s">
        <v>267</v>
      </c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2"/>
        <v>104</v>
      </c>
    </row>
    <row r="62" spans="1:14" x14ac:dyDescent="0.25">
      <c r="A62" s="6" t="s">
        <v>190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79 - RELIGAMENTO COM SUCESSO</v>
      </c>
      <c r="G62" s="6" t="s">
        <v>46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IMA_LT4_52-4_79OK</v>
      </c>
      <c r="I62" s="6" t="s">
        <v>267</v>
      </c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2"/>
        <v>105</v>
      </c>
    </row>
    <row r="63" spans="1:14" x14ac:dyDescent="0.25">
      <c r="A63" s="6" t="s">
        <v>190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79 - RELIGAMENTO PRONTO</v>
      </c>
      <c r="G63" s="6" t="s">
        <v>47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IMA_LT4_52-4_79RE</v>
      </c>
      <c r="I63" s="6" t="s">
        <v>267</v>
      </c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2"/>
        <v>106</v>
      </c>
    </row>
    <row r="64" spans="1:14" x14ac:dyDescent="0.25">
      <c r="A64" s="6" t="s">
        <v>190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79 - PARTIDA RELIGAMENTO</v>
      </c>
      <c r="G64" s="6" t="s">
        <v>48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IMA_LT4_52-4_79_1</v>
      </c>
      <c r="I64" s="6" t="s">
        <v>267</v>
      </c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2"/>
        <v>107</v>
      </c>
    </row>
    <row r="65" spans="1:14" x14ac:dyDescent="0.25">
      <c r="A65" s="6" t="s">
        <v>190</v>
      </c>
      <c r="B65" s="6" t="str">
        <f>Informações!$C$3</f>
        <v>IMA</v>
      </c>
      <c r="C65" s="6" t="s">
        <v>29</v>
      </c>
      <c r="D65" s="94" t="s">
        <v>204</v>
      </c>
      <c r="E65" s="2" t="s">
        <v>25</v>
      </c>
      <c r="F65" s="94" t="str">
        <f>VLOOKUP(G65,[1]Discrete!$A:$B,2,FALSE)</f>
        <v>62 - FALHA DISJUNTOR BLOQUEIO</v>
      </c>
      <c r="G65" s="6" t="s">
        <v>44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IMA_LT4_52-4_A_62BF</v>
      </c>
      <c r="I65" s="6" t="s">
        <v>267</v>
      </c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2"/>
        <v>108</v>
      </c>
    </row>
    <row r="66" spans="1:14" x14ac:dyDescent="0.25">
      <c r="A66" s="93" t="s">
        <v>191</v>
      </c>
      <c r="B66" s="6" t="str">
        <f>Informações!$C$3</f>
        <v>IMA</v>
      </c>
      <c r="C66" s="6" t="s">
        <v>29</v>
      </c>
      <c r="D66" s="6" t="s">
        <v>204</v>
      </c>
      <c r="E66" s="2" t="s">
        <v>25</v>
      </c>
      <c r="F66" s="93" t="str">
        <f>VLOOKUP(G66,[1]Discrete!$A:$B,2,FALSE)</f>
        <v>50 - FALHA DISJUNTOR</v>
      </c>
      <c r="G66" s="6" t="s">
        <v>703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IMA_LT4_52-4_A_50BF</v>
      </c>
      <c r="I66" s="6" t="s">
        <v>267</v>
      </c>
      <c r="J66" s="6" t="s">
        <v>182</v>
      </c>
      <c r="K66" s="6" t="s">
        <v>179</v>
      </c>
      <c r="L66" s="6" t="s">
        <v>188</v>
      </c>
      <c r="M66" s="6" t="s">
        <v>188</v>
      </c>
      <c r="N66" s="93">
        <f t="shared" si="2"/>
        <v>109</v>
      </c>
    </row>
    <row r="67" spans="1:14" x14ac:dyDescent="0.25">
      <c r="A67" s="6" t="s">
        <v>190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DEFEITO RELE</v>
      </c>
      <c r="G67" s="6" t="s">
        <v>51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IMA_LT4_52-4_DR</v>
      </c>
      <c r="I67" s="6" t="s">
        <v>267</v>
      </c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2"/>
        <v>110</v>
      </c>
    </row>
    <row r="68" spans="1:14" x14ac:dyDescent="0.25">
      <c r="A68" s="6" t="s">
        <v>190</v>
      </c>
      <c r="B68" s="6" t="str">
        <f>Informações!$C$3</f>
        <v>IMA</v>
      </c>
      <c r="C68" s="6" t="s">
        <v>29</v>
      </c>
      <c r="D68" s="6" t="s">
        <v>29</v>
      </c>
      <c r="E68" s="2" t="s">
        <v>25</v>
      </c>
      <c r="F68" s="94" t="str">
        <f>VLOOKUP(G68,[1]Discrete!$A:$B,2,FALSE)</f>
        <v>FALTA POTENCIAL LT</v>
      </c>
      <c r="G68" s="6" t="s">
        <v>722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IMA_LT4_LT4_FVLT</v>
      </c>
      <c r="I68" s="6" t="s">
        <v>267</v>
      </c>
      <c r="J68" s="94" t="s">
        <v>182</v>
      </c>
      <c r="K68" s="94" t="s">
        <v>179</v>
      </c>
      <c r="L68" s="6" t="s">
        <v>188</v>
      </c>
      <c r="M68" s="6" t="s">
        <v>188</v>
      </c>
      <c r="N68" s="6">
        <f t="shared" si="2"/>
        <v>111</v>
      </c>
    </row>
    <row r="69" spans="1:14" x14ac:dyDescent="0.25">
      <c r="A69" s="6" t="s">
        <v>190</v>
      </c>
      <c r="B69" s="6" t="str">
        <f>Informações!$C$3</f>
        <v>IMA</v>
      </c>
      <c r="C69" s="6" t="s">
        <v>29</v>
      </c>
      <c r="D69" s="6" t="s">
        <v>29</v>
      </c>
      <c r="E69" s="2" t="s">
        <v>25</v>
      </c>
      <c r="F69" s="94" t="str">
        <f>VLOOKUP(G69,[1]Discrete!$A:$B,2,FALSE)</f>
        <v>FALTA POTENCIAL BARRA</v>
      </c>
      <c r="G69" s="6" t="s">
        <v>723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IMA_LT4_LT4_FPBR</v>
      </c>
      <c r="I69" s="6" t="s">
        <v>267</v>
      </c>
      <c r="J69" s="94" t="s">
        <v>182</v>
      </c>
      <c r="K69" s="94" t="s">
        <v>179</v>
      </c>
      <c r="L69" s="6" t="s">
        <v>188</v>
      </c>
      <c r="M69" s="6" t="s">
        <v>188</v>
      </c>
      <c r="N69" s="6">
        <f t="shared" si="2"/>
        <v>112</v>
      </c>
    </row>
    <row r="70" spans="1:14" x14ac:dyDescent="0.25">
      <c r="A70" s="6" t="s">
        <v>190</v>
      </c>
      <c r="B70" s="6" t="str">
        <f>Informações!$C$3</f>
        <v>IMA</v>
      </c>
      <c r="C70" s="6" t="s">
        <v>29</v>
      </c>
      <c r="D70" s="6" t="s">
        <v>205</v>
      </c>
      <c r="E70" s="2" t="s">
        <v>25</v>
      </c>
      <c r="F70" s="6" t="str">
        <f>VLOOKUP(G70,[1]Discrete!$A:$B,2,FALSE)</f>
        <v>FASE A</v>
      </c>
      <c r="G70" s="6" t="s">
        <v>54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IMA_LT4_52-4_P_FA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2"/>
        <v>113</v>
      </c>
    </row>
    <row r="71" spans="1:14" x14ac:dyDescent="0.25">
      <c r="A71" s="6" t="s">
        <v>190</v>
      </c>
      <c r="B71" s="6" t="str">
        <f>Informações!$C$3</f>
        <v>IMA</v>
      </c>
      <c r="C71" s="6" t="s">
        <v>29</v>
      </c>
      <c r="D71" s="6" t="s">
        <v>205</v>
      </c>
      <c r="E71" s="2" t="s">
        <v>25</v>
      </c>
      <c r="F71" s="6" t="str">
        <f>VLOOKUP(G71,[1]Discrete!$A:$B,2,FALSE)</f>
        <v>FASE B</v>
      </c>
      <c r="G71" s="6" t="s">
        <v>55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IMA_LT4_52-4_P_FB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2"/>
        <v>114</v>
      </c>
    </row>
    <row r="72" spans="1:14" x14ac:dyDescent="0.25">
      <c r="A72" s="6" t="s">
        <v>190</v>
      </c>
      <c r="B72" s="6" t="str">
        <f>Informações!$C$3</f>
        <v>IMA</v>
      </c>
      <c r="C72" s="6" t="s">
        <v>29</v>
      </c>
      <c r="D72" s="6" t="s">
        <v>205</v>
      </c>
      <c r="E72" s="2" t="s">
        <v>25</v>
      </c>
      <c r="F72" s="6" t="str">
        <f>VLOOKUP(G72,[1]Discrete!$A:$B,2,FALSE)</f>
        <v>FASE C</v>
      </c>
      <c r="G72" s="6" t="s">
        <v>56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IMA_LT4_52-4_P_FC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>
        <f t="shared" si="2"/>
        <v>115</v>
      </c>
    </row>
    <row r="73" spans="1:14" x14ac:dyDescent="0.25">
      <c r="A73" s="6" t="s">
        <v>190</v>
      </c>
      <c r="B73" s="6" t="str">
        <f>Informações!$C$3</f>
        <v>IMA</v>
      </c>
      <c r="C73" s="6" t="s">
        <v>29</v>
      </c>
      <c r="D73" s="6" t="s">
        <v>205</v>
      </c>
      <c r="E73" s="2" t="s">
        <v>25</v>
      </c>
      <c r="F73" s="6" t="str">
        <f>VLOOKUP(G73,[1]Discrete!$A:$B,2,FALSE)</f>
        <v>NEUTRO</v>
      </c>
      <c r="G73" s="6" t="s">
        <v>420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IMA_LT4_52-4_P_N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>
        <f t="shared" si="2"/>
        <v>116</v>
      </c>
    </row>
    <row r="74" spans="1:14" x14ac:dyDescent="0.25">
      <c r="A74" s="6" t="s">
        <v>190</v>
      </c>
      <c r="B74" s="6" t="str">
        <f>Informações!$C$3</f>
        <v>IMA</v>
      </c>
      <c r="C74" s="6" t="s">
        <v>29</v>
      </c>
      <c r="D74" s="6" t="s">
        <v>204</v>
      </c>
      <c r="E74" s="2" t="s">
        <v>25</v>
      </c>
      <c r="F74" s="6" t="str">
        <f>VLOOKUP(G74,[1]Discrete!$A:$B,2,FALSE)</f>
        <v>FASE A</v>
      </c>
      <c r="G74" s="6" t="s">
        <v>54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IMA_LT4_52-4_A_FA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>
        <f t="shared" si="2"/>
        <v>117</v>
      </c>
    </row>
    <row r="75" spans="1:14" x14ac:dyDescent="0.25">
      <c r="A75" s="6" t="s">
        <v>190</v>
      </c>
      <c r="B75" s="6" t="str">
        <f>Informações!$C$3</f>
        <v>IMA</v>
      </c>
      <c r="C75" s="6" t="s">
        <v>29</v>
      </c>
      <c r="D75" s="6" t="s">
        <v>204</v>
      </c>
      <c r="E75" s="2" t="s">
        <v>25</v>
      </c>
      <c r="F75" s="6" t="str">
        <f>VLOOKUP(G75,[1]Discrete!$A:$B,2,FALSE)</f>
        <v>FASE B</v>
      </c>
      <c r="G75" s="6" t="s">
        <v>55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IMA_LT4_52-4_A_FB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>
        <f t="shared" si="2"/>
        <v>118</v>
      </c>
    </row>
    <row r="76" spans="1:14" x14ac:dyDescent="0.25">
      <c r="A76" s="6" t="s">
        <v>190</v>
      </c>
      <c r="B76" s="6" t="str">
        <f>Informações!$C$3</f>
        <v>IMA</v>
      </c>
      <c r="C76" s="6" t="s">
        <v>29</v>
      </c>
      <c r="D76" s="6" t="s">
        <v>204</v>
      </c>
      <c r="E76" s="2" t="s">
        <v>25</v>
      </c>
      <c r="F76" s="6" t="str">
        <f>VLOOKUP(G76,[1]Discrete!$A:$B,2,FALSE)</f>
        <v>FASE C</v>
      </c>
      <c r="G76" s="6" t="s">
        <v>56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IMA_LT4_52-4_A_FC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2"/>
        <v>119</v>
      </c>
    </row>
    <row r="77" spans="1:14" x14ac:dyDescent="0.25">
      <c r="A77" s="6" t="s">
        <v>190</v>
      </c>
      <c r="B77" s="6" t="str">
        <f>Informações!$C$3</f>
        <v>IMA</v>
      </c>
      <c r="C77" s="6" t="s">
        <v>29</v>
      </c>
      <c r="D77" s="6" t="s">
        <v>204</v>
      </c>
      <c r="E77" s="2" t="s">
        <v>25</v>
      </c>
      <c r="F77" s="6" t="str">
        <f>VLOOKUP(G77,[1]Discrete!$A:$B,2,FALSE)</f>
        <v>NEUTRO</v>
      </c>
      <c r="G77" s="6" t="s">
        <v>420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IMA_LT4_52-4_A_N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>
        <f t="shared" si="2"/>
        <v>120</v>
      </c>
    </row>
    <row r="78" spans="1:14" x14ac:dyDescent="0.25">
      <c r="A78" s="93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93" t="str">
        <f>VLOOKUP(G78,[1]Discrete!$A:$B,2,FALSE)</f>
        <v>86 - BLOQUEIO DEFEITO DISJUNTOR</v>
      </c>
      <c r="G78" s="6" t="s">
        <v>57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IMA_LT4_52-4_86BF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93">
        <f t="shared" si="2"/>
        <v>121</v>
      </c>
    </row>
    <row r="79" spans="1:14" x14ac:dyDescent="0.25">
      <c r="A79" s="6" t="s">
        <v>190</v>
      </c>
      <c r="B79" s="6" t="str">
        <f>Informações!$C$3</f>
        <v>IMA</v>
      </c>
      <c r="C79" s="6" t="s">
        <v>29</v>
      </c>
      <c r="D79" s="6" t="s">
        <v>205</v>
      </c>
      <c r="E79" s="2" t="s">
        <v>25</v>
      </c>
      <c r="F79" s="6" t="str">
        <f>VLOOKUP(G79,[1]Discrete!$A:$B,2,FALSE)</f>
        <v>67 - DIRECIONAL SOBRECORRENTE FASE TEMPORIZADO</v>
      </c>
      <c r="G79" s="6" t="s">
        <v>60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IMA_LT4_52-4_P_67FT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>
        <f t="shared" si="2"/>
        <v>122</v>
      </c>
    </row>
    <row r="80" spans="1:14" x14ac:dyDescent="0.25">
      <c r="A80" s="6" t="s">
        <v>190</v>
      </c>
      <c r="B80" s="6" t="str">
        <f>Informações!$C$3</f>
        <v>IMA</v>
      </c>
      <c r="C80" s="6" t="s">
        <v>29</v>
      </c>
      <c r="D80" s="6" t="s">
        <v>205</v>
      </c>
      <c r="E80" s="2" t="s">
        <v>25</v>
      </c>
      <c r="F80" s="6" t="str">
        <f>VLOOKUP(G80,[1]Discrete!$A:$B,2,FALSE)</f>
        <v>67 - DIRECIONAL SOBRECORRENTE NEUTRO TEMPORIZADO</v>
      </c>
      <c r="G80" s="6" t="s">
        <v>63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IMA_LT4_52-4_P_67NT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>
        <f t="shared" si="2"/>
        <v>123</v>
      </c>
    </row>
    <row r="81" spans="1:14" x14ac:dyDescent="0.25">
      <c r="A81" s="6" t="s">
        <v>190</v>
      </c>
      <c r="B81" s="6" t="str">
        <f>Informações!$C$3</f>
        <v>IMA</v>
      </c>
      <c r="C81" s="6" t="s">
        <v>29</v>
      </c>
      <c r="D81" s="6" t="s">
        <v>204</v>
      </c>
      <c r="E81" s="2" t="s">
        <v>25</v>
      </c>
      <c r="F81" s="6" t="str">
        <f>VLOOKUP(G81,[1]Discrete!$A:$B,2,FALSE)</f>
        <v>67 - DIRECIONAL SOBRECORRENTE FASE TEMPORIZADO</v>
      </c>
      <c r="G81" s="6" t="s">
        <v>60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IMA_LT4_52-4_A_67FT</v>
      </c>
      <c r="I81" s="6" t="s">
        <v>267</v>
      </c>
      <c r="J81" s="6" t="s">
        <v>182</v>
      </c>
      <c r="K81" s="6" t="s">
        <v>179</v>
      </c>
      <c r="L81" s="6" t="s">
        <v>188</v>
      </c>
      <c r="M81" s="6" t="s">
        <v>188</v>
      </c>
      <c r="N81" s="6">
        <f t="shared" si="2"/>
        <v>124</v>
      </c>
    </row>
    <row r="82" spans="1:14" x14ac:dyDescent="0.25">
      <c r="A82" s="6" t="s">
        <v>190</v>
      </c>
      <c r="B82" s="6" t="str">
        <f>Informações!$C$3</f>
        <v>IMA</v>
      </c>
      <c r="C82" s="6" t="s">
        <v>29</v>
      </c>
      <c r="D82" s="6" t="s">
        <v>204</v>
      </c>
      <c r="E82" s="2" t="s">
        <v>25</v>
      </c>
      <c r="F82" s="6" t="str">
        <f>VLOOKUP(G82,[1]Discrete!$A:$B,2,FALSE)</f>
        <v>67 - DIRECIONAL SOBRECORRENTE NEUTRO TEMPORIZADO</v>
      </c>
      <c r="G82" s="6" t="s">
        <v>63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IMA_LT4_52-4_A_67NT</v>
      </c>
      <c r="I82" s="6" t="s">
        <v>267</v>
      </c>
      <c r="J82" s="6" t="s">
        <v>182</v>
      </c>
      <c r="K82" s="6" t="s">
        <v>179</v>
      </c>
      <c r="L82" s="6" t="s">
        <v>188</v>
      </c>
      <c r="M82" s="6" t="s">
        <v>188</v>
      </c>
      <c r="N82" s="6">
        <f t="shared" si="2"/>
        <v>125</v>
      </c>
    </row>
    <row r="83" spans="1:14" x14ac:dyDescent="0.25">
      <c r="A83" s="6" t="s">
        <v>190</v>
      </c>
      <c r="B83" s="6" t="str">
        <f>Informações!$C$3</f>
        <v>IMA</v>
      </c>
      <c r="C83" s="6" t="s">
        <v>29</v>
      </c>
      <c r="D83" s="6" t="s">
        <v>206</v>
      </c>
      <c r="E83" s="2" t="s">
        <v>25</v>
      </c>
      <c r="F83" s="6" t="str">
        <f>VLOOKUP(G83,[1]Discrete!$A:$B,2,FALSE)</f>
        <v>21 - TRIP ZONA 1</v>
      </c>
      <c r="G83" s="6" t="s">
        <v>64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IMA_LT4_LT4_P_21Z1</v>
      </c>
      <c r="I83" s="6" t="s">
        <v>267</v>
      </c>
      <c r="J83" s="6" t="s">
        <v>182</v>
      </c>
      <c r="K83" s="6" t="s">
        <v>179</v>
      </c>
      <c r="L83" s="6" t="s">
        <v>188</v>
      </c>
      <c r="M83" s="6" t="s">
        <v>188</v>
      </c>
      <c r="N83" s="6">
        <f t="shared" si="2"/>
        <v>126</v>
      </c>
    </row>
    <row r="84" spans="1:14" x14ac:dyDescent="0.25">
      <c r="A84" s="6" t="s">
        <v>190</v>
      </c>
      <c r="B84" s="6" t="str">
        <f>Informações!$C$3</f>
        <v>IMA</v>
      </c>
      <c r="C84" s="6" t="s">
        <v>29</v>
      </c>
      <c r="D84" s="6" t="s">
        <v>206</v>
      </c>
      <c r="E84" s="2" t="s">
        <v>25</v>
      </c>
      <c r="F84" s="6" t="str">
        <f>VLOOKUP(G84,[1]Discrete!$A:$B,2,FALSE)</f>
        <v>21 - TRIP ZONA 2</v>
      </c>
      <c r="G84" s="6" t="s">
        <v>65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IMA_LT4_LT4_P_21Z2</v>
      </c>
      <c r="I84" s="6" t="s">
        <v>267</v>
      </c>
      <c r="J84" s="6" t="s">
        <v>182</v>
      </c>
      <c r="K84" s="6" t="s">
        <v>179</v>
      </c>
      <c r="L84" s="6" t="s">
        <v>188</v>
      </c>
      <c r="M84" s="6" t="s">
        <v>188</v>
      </c>
      <c r="N84" s="6">
        <f t="shared" si="2"/>
        <v>127</v>
      </c>
    </row>
    <row r="85" spans="1:14" x14ac:dyDescent="0.25">
      <c r="A85" s="6" t="s">
        <v>190</v>
      </c>
      <c r="B85" s="6" t="str">
        <f>Informações!$C$3</f>
        <v>IMA</v>
      </c>
      <c r="C85" s="6" t="s">
        <v>29</v>
      </c>
      <c r="D85" s="6" t="s">
        <v>206</v>
      </c>
      <c r="E85" s="2" t="s">
        <v>25</v>
      </c>
      <c r="F85" s="6" t="str">
        <f>VLOOKUP(G85,[1]Discrete!$A:$B,2,FALSE)</f>
        <v>21 - TRIP ZONA 3</v>
      </c>
      <c r="G85" s="6" t="s">
        <v>66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IMA_LT4_LT4_P_21Z3</v>
      </c>
      <c r="I85" s="6" t="s">
        <v>267</v>
      </c>
      <c r="J85" s="6" t="s">
        <v>182</v>
      </c>
      <c r="K85" s="6" t="s">
        <v>179</v>
      </c>
      <c r="L85" s="6" t="s">
        <v>188</v>
      </c>
      <c r="M85" s="6" t="s">
        <v>188</v>
      </c>
      <c r="N85" s="6">
        <f t="shared" si="2"/>
        <v>128</v>
      </c>
    </row>
    <row r="86" spans="1:14" x14ac:dyDescent="0.25">
      <c r="A86" s="6" t="s">
        <v>190</v>
      </c>
      <c r="B86" s="6" t="str">
        <f>Informações!$C$3</f>
        <v>IMA</v>
      </c>
      <c r="C86" s="6" t="s">
        <v>29</v>
      </c>
      <c r="D86" s="6" t="s">
        <v>207</v>
      </c>
      <c r="E86" s="2" t="s">
        <v>25</v>
      </c>
      <c r="F86" s="6" t="str">
        <f>VLOOKUP(G86,[1]Discrete!$A:$B,2,FALSE)</f>
        <v>21 - TRIP ZONA 1</v>
      </c>
      <c r="G86" s="6" t="s">
        <v>64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IMA_LT4_LT4_A_21Z1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2"/>
        <v>129</v>
      </c>
    </row>
    <row r="87" spans="1:14" x14ac:dyDescent="0.25">
      <c r="A87" s="6" t="s">
        <v>190</v>
      </c>
      <c r="B87" s="6" t="str">
        <f>Informações!$C$3</f>
        <v>IMA</v>
      </c>
      <c r="C87" s="6" t="s">
        <v>29</v>
      </c>
      <c r="D87" s="6" t="s">
        <v>207</v>
      </c>
      <c r="E87" s="2" t="s">
        <v>25</v>
      </c>
      <c r="F87" s="6" t="str">
        <f>VLOOKUP(G87,[1]Discrete!$A:$B,2,FALSE)</f>
        <v>21 - TRIP ZONA 2</v>
      </c>
      <c r="G87" s="6" t="s">
        <v>65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IMA_LT4_LT4_A_21Z2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2"/>
        <v>130</v>
      </c>
    </row>
    <row r="88" spans="1:14" x14ac:dyDescent="0.25">
      <c r="A88" s="6" t="s">
        <v>190</v>
      </c>
      <c r="B88" s="6" t="str">
        <f>Informações!$C$3</f>
        <v>IMA</v>
      </c>
      <c r="C88" s="6" t="s">
        <v>29</v>
      </c>
      <c r="D88" s="6" t="s">
        <v>207</v>
      </c>
      <c r="E88" s="2" t="s">
        <v>25</v>
      </c>
      <c r="F88" s="6" t="str">
        <f>VLOOKUP(G88,[1]Discrete!$A:$B,2,FALSE)</f>
        <v>21 - TRIP ZONA 3</v>
      </c>
      <c r="G88" s="6" t="s">
        <v>66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IMA_LT4_LT4_A_21Z3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2"/>
        <v>131</v>
      </c>
    </row>
    <row r="89" spans="1:14" x14ac:dyDescent="0.25">
      <c r="A89" s="6" t="s">
        <v>190</v>
      </c>
      <c r="B89" s="6" t="str">
        <f>Informações!$C$3</f>
        <v>IMA</v>
      </c>
      <c r="C89" s="6" t="s">
        <v>29</v>
      </c>
      <c r="D89" s="6" t="s">
        <v>206</v>
      </c>
      <c r="E89" s="2" t="s">
        <v>25</v>
      </c>
      <c r="F89" s="6" t="str">
        <f>VLOOKUP(G89,[1]Discrete!$A:$B,2,FALSE)</f>
        <v>FALHA COMUNICACAO</v>
      </c>
      <c r="G89" s="6" t="s">
        <v>78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IMA_LT4_LT4_P_FCOM</v>
      </c>
      <c r="I89" s="6" t="s">
        <v>267</v>
      </c>
      <c r="J89" s="6" t="s">
        <v>182</v>
      </c>
      <c r="K89" s="6" t="s">
        <v>180</v>
      </c>
      <c r="L89" s="6" t="s">
        <v>188</v>
      </c>
      <c r="M89" s="6" t="s">
        <v>188</v>
      </c>
      <c r="N89" s="6">
        <f t="shared" si="2"/>
        <v>132</v>
      </c>
    </row>
    <row r="90" spans="1:14" x14ac:dyDescent="0.25">
      <c r="A90" s="6" t="s">
        <v>190</v>
      </c>
      <c r="B90" s="6" t="str">
        <f>Informações!$C$3</f>
        <v>IMA</v>
      </c>
      <c r="C90" s="6" t="s">
        <v>29</v>
      </c>
      <c r="D90" s="6" t="s">
        <v>30</v>
      </c>
      <c r="E90" s="2" t="s">
        <v>25</v>
      </c>
      <c r="F90" s="6" t="str">
        <f>VLOOKUP(G90,[1]Discrete!$A:$B,2,FALSE)</f>
        <v>FALTA VCC COMANDO</v>
      </c>
      <c r="G90" s="6" t="s">
        <v>79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IMA_LT4_52-4_CCCO</v>
      </c>
      <c r="I90" s="6" t="s">
        <v>267</v>
      </c>
      <c r="J90" s="6" t="s">
        <v>182</v>
      </c>
      <c r="K90" s="6" t="s">
        <v>187</v>
      </c>
      <c r="L90" s="6" t="s">
        <v>188</v>
      </c>
      <c r="M90" s="6" t="s">
        <v>188</v>
      </c>
      <c r="N90" s="6">
        <f t="shared" si="2"/>
        <v>133</v>
      </c>
    </row>
    <row r="91" spans="1:14" x14ac:dyDescent="0.25">
      <c r="A91" s="6" t="s">
        <v>190</v>
      </c>
      <c r="B91" s="6" t="str">
        <f>Informações!$C$3</f>
        <v>IMA</v>
      </c>
      <c r="C91" s="6" t="s">
        <v>29</v>
      </c>
      <c r="D91" s="6" t="s">
        <v>30</v>
      </c>
      <c r="E91" s="2" t="s">
        <v>25</v>
      </c>
      <c r="F91" s="6" t="str">
        <f>VLOOKUP(G91,[1]Discrete!$A:$B,2,FALSE)</f>
        <v>FALTA VCC MOTOR</v>
      </c>
      <c r="G91" s="6" t="s">
        <v>80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IMA_LT4_52-4_CCMO</v>
      </c>
      <c r="I91" s="6" t="s">
        <v>267</v>
      </c>
      <c r="J91" s="6" t="s">
        <v>182</v>
      </c>
      <c r="K91" s="6" t="s">
        <v>187</v>
      </c>
      <c r="L91" s="6" t="s">
        <v>188</v>
      </c>
      <c r="M91" s="6" t="s">
        <v>188</v>
      </c>
      <c r="N91" s="6">
        <f t="shared" si="2"/>
        <v>134</v>
      </c>
    </row>
    <row r="92" spans="1:14" x14ac:dyDescent="0.25">
      <c r="A92" s="6" t="s">
        <v>190</v>
      </c>
      <c r="B92" s="6" t="str">
        <f>Informações!$C$3</f>
        <v>IMA</v>
      </c>
      <c r="C92" s="6" t="s">
        <v>29</v>
      </c>
      <c r="D92" s="6" t="s">
        <v>29</v>
      </c>
      <c r="E92" s="2" t="s">
        <v>25</v>
      </c>
      <c r="F92" s="6" t="str">
        <f>VLOOKUP(G92,[1]Discrete!$A:$B,2,FALSE)</f>
        <v>FALHA FUSIVEL TP</v>
      </c>
      <c r="G92" s="6" t="s">
        <v>81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IMA_LT4_LT4_FUTP</v>
      </c>
      <c r="I92" s="6" t="s">
        <v>267</v>
      </c>
      <c r="J92" s="6" t="s">
        <v>182</v>
      </c>
      <c r="K92" s="6" t="s">
        <v>180</v>
      </c>
      <c r="L92" s="6" t="s">
        <v>188</v>
      </c>
      <c r="M92" s="6" t="s">
        <v>188</v>
      </c>
      <c r="N92" s="6">
        <f t="shared" si="2"/>
        <v>135</v>
      </c>
    </row>
    <row r="93" spans="1:14" x14ac:dyDescent="0.25">
      <c r="A93" s="6" t="s">
        <v>190</v>
      </c>
      <c r="B93" s="6" t="str">
        <f>Informações!$C$3</f>
        <v>IMA</v>
      </c>
      <c r="C93" s="6" t="s">
        <v>29</v>
      </c>
      <c r="D93" s="6" t="s">
        <v>29</v>
      </c>
      <c r="E93" s="2" t="s">
        <v>25</v>
      </c>
      <c r="F93" s="6" t="str">
        <f>VLOOKUP(G93,[1]Discrete!$A:$B,2,FALSE)</f>
        <v>25 - FALHA SINCRONISMO</v>
      </c>
      <c r="G93" s="6" t="s">
        <v>155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IMA_LT4_LT4_25ER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2"/>
        <v>136</v>
      </c>
    </row>
    <row r="94" spans="1:14" x14ac:dyDescent="0.25">
      <c r="A94" s="6" t="s">
        <v>190</v>
      </c>
      <c r="B94" s="6" t="str">
        <f>Informações!$C$3</f>
        <v>IMA</v>
      </c>
      <c r="C94" s="6" t="s">
        <v>29</v>
      </c>
      <c r="D94" s="6" t="s">
        <v>29</v>
      </c>
      <c r="E94" s="2" t="s">
        <v>25</v>
      </c>
      <c r="F94" s="6" t="str">
        <f>VLOOKUP(G94,[1]Discrete!$A:$B,2,FALSE)</f>
        <v>FALHA SINCRONISMO HORA</v>
      </c>
      <c r="G94" s="6" t="s">
        <v>162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IMA_LT4_LT4_FSIH</v>
      </c>
      <c r="I94" s="6" t="s">
        <v>267</v>
      </c>
      <c r="J94" s="6" t="s">
        <v>182</v>
      </c>
      <c r="K94" s="6" t="s">
        <v>180</v>
      </c>
      <c r="L94" s="6" t="s">
        <v>188</v>
      </c>
      <c r="M94" s="6" t="s">
        <v>188</v>
      </c>
      <c r="N94" s="6">
        <f t="shared" si="2"/>
        <v>137</v>
      </c>
    </row>
    <row r="95" spans="1:14" x14ac:dyDescent="0.25">
      <c r="A95" s="6" t="s">
        <v>190</v>
      </c>
      <c r="B95" s="6" t="str">
        <f>Informações!$C$3</f>
        <v>IMA</v>
      </c>
      <c r="C95" s="6" t="s">
        <v>29</v>
      </c>
      <c r="D95" s="6" t="s">
        <v>29</v>
      </c>
      <c r="E95" s="2" t="s">
        <v>25</v>
      </c>
      <c r="F95" s="6" t="str">
        <f>VLOOKUP(G95,[1]Discrete!$A:$B,2,FALSE)</f>
        <v>PERDA DE POTENCIAL</v>
      </c>
      <c r="G95" s="6" t="s">
        <v>208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IMA_LT4_LT4_PPOT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>
        <f t="shared" si="2"/>
        <v>138</v>
      </c>
    </row>
    <row r="96" spans="1:14" x14ac:dyDescent="0.25">
      <c r="A96" s="6" t="s">
        <v>190</v>
      </c>
      <c r="B96" s="6" t="str">
        <f>Informações!$C$3</f>
        <v>IMA</v>
      </c>
      <c r="C96" s="6" t="s">
        <v>29</v>
      </c>
      <c r="D96" s="6" t="s">
        <v>206</v>
      </c>
      <c r="E96" s="2" t="s">
        <v>25</v>
      </c>
      <c r="F96" s="6" t="str">
        <f>VLOOKUP(G96,[1]Discrete!$A:$B,2,FALSE)</f>
        <v>50 - SOBRECORRENTE INSTANTANEA FASE</v>
      </c>
      <c r="G96" s="6" t="s">
        <v>416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IMA_LT4_LT4_P_50F</v>
      </c>
      <c r="I96" s="6" t="s">
        <v>267</v>
      </c>
      <c r="J96" s="6" t="s">
        <v>182</v>
      </c>
      <c r="K96" s="6" t="s">
        <v>179</v>
      </c>
      <c r="L96" s="6"/>
      <c r="M96" s="6"/>
      <c r="N96" s="6">
        <f t="shared" si="2"/>
        <v>139</v>
      </c>
    </row>
    <row r="97" spans="1:14" x14ac:dyDescent="0.25">
      <c r="A97" s="6" t="s">
        <v>190</v>
      </c>
      <c r="B97" s="6" t="str">
        <f>Informações!$C$3</f>
        <v>IMA</v>
      </c>
      <c r="C97" s="6" t="s">
        <v>29</v>
      </c>
      <c r="D97" s="6" t="s">
        <v>206</v>
      </c>
      <c r="E97" s="2" t="s">
        <v>25</v>
      </c>
      <c r="F97" s="6" t="str">
        <f>VLOOKUP(G97,[1]Discrete!$A:$B,2,FALSE)</f>
        <v>50 - SOBRECORRENTE INSTANTANEA NEUTRO</v>
      </c>
      <c r="G97" s="6" t="s">
        <v>417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IMA_LT4_LT4_P_50N</v>
      </c>
      <c r="I97" s="6" t="s">
        <v>267</v>
      </c>
      <c r="J97" s="6" t="s">
        <v>182</v>
      </c>
      <c r="K97" s="6" t="s">
        <v>179</v>
      </c>
      <c r="L97" s="6"/>
      <c r="M97" s="6"/>
      <c r="N97" s="6">
        <f t="shared" si="2"/>
        <v>140</v>
      </c>
    </row>
    <row r="98" spans="1:14" x14ac:dyDescent="0.25">
      <c r="A98" s="6" t="s">
        <v>190</v>
      </c>
      <c r="B98" s="6" t="str">
        <f>Informações!$C$3</f>
        <v>IMA</v>
      </c>
      <c r="C98" s="6" t="s">
        <v>29</v>
      </c>
      <c r="D98" s="6" t="s">
        <v>206</v>
      </c>
      <c r="E98" s="2" t="s">
        <v>25</v>
      </c>
      <c r="F98" s="6" t="str">
        <f>VLOOKUP(G98,[1]Discrete!$A:$B,2,FALSE)</f>
        <v>51 - SOBRECORRENTE TEMPORIZADA FASE</v>
      </c>
      <c r="G98" s="6" t="s">
        <v>98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IMA_LT4_LT4_P_51F</v>
      </c>
      <c r="I98" s="6" t="s">
        <v>267</v>
      </c>
      <c r="J98" s="6" t="s">
        <v>182</v>
      </c>
      <c r="K98" s="6" t="s">
        <v>179</v>
      </c>
      <c r="L98" s="6"/>
      <c r="M98" s="6"/>
      <c r="N98" s="6">
        <f t="shared" ref="N98:N104" si="3">N97+1</f>
        <v>141</v>
      </c>
    </row>
    <row r="99" spans="1:14" x14ac:dyDescent="0.25">
      <c r="A99" s="6" t="s">
        <v>190</v>
      </c>
      <c r="B99" s="6" t="str">
        <f>Informações!$C$3</f>
        <v>IMA</v>
      </c>
      <c r="C99" s="6" t="s">
        <v>29</v>
      </c>
      <c r="D99" s="6" t="s">
        <v>206</v>
      </c>
      <c r="E99" s="2" t="s">
        <v>25</v>
      </c>
      <c r="F99" s="6" t="str">
        <f>VLOOKUP(G99,[1]Discrete!$A:$B,2,FALSE)</f>
        <v>51 - SOBRECORRENTE TEMPORIZADA FASE NEUTRO</v>
      </c>
      <c r="G99" s="6" t="s">
        <v>427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IMA_LT4_LT4_P_51FN</v>
      </c>
      <c r="I99" s="6" t="s">
        <v>267</v>
      </c>
      <c r="J99" s="6" t="s">
        <v>182</v>
      </c>
      <c r="K99" s="6" t="s">
        <v>179</v>
      </c>
      <c r="L99" s="6"/>
      <c r="M99" s="6"/>
      <c r="N99" s="6">
        <f t="shared" si="3"/>
        <v>142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29</v>
      </c>
      <c r="D100" s="6" t="s">
        <v>207</v>
      </c>
      <c r="E100" s="2" t="s">
        <v>25</v>
      </c>
      <c r="F100" s="6" t="str">
        <f>VLOOKUP(G100,[1]Discrete!$A:$B,2,FALSE)</f>
        <v>50 - SOBRECORRENTE INSTANTANEA FASE</v>
      </c>
      <c r="G100" s="6" t="s">
        <v>416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IMA_LT4_LT4_A_50F</v>
      </c>
      <c r="I100" s="6" t="s">
        <v>267</v>
      </c>
      <c r="J100" s="6" t="s">
        <v>182</v>
      </c>
      <c r="K100" s="6" t="s">
        <v>179</v>
      </c>
      <c r="L100" s="6"/>
      <c r="M100" s="6"/>
      <c r="N100" s="6">
        <f t="shared" si="3"/>
        <v>143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29</v>
      </c>
      <c r="D101" s="6" t="s">
        <v>207</v>
      </c>
      <c r="E101" s="2" t="s">
        <v>25</v>
      </c>
      <c r="F101" s="6" t="str">
        <f>VLOOKUP(G101,[1]Discrete!$A:$B,2,FALSE)</f>
        <v>50 - SOBRECORRENTE INSTANTANEA NEUTRO</v>
      </c>
      <c r="G101" s="6" t="s">
        <v>417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IMA_LT4_LT4_A_50N</v>
      </c>
      <c r="I101" s="6" t="s">
        <v>267</v>
      </c>
      <c r="J101" s="6" t="s">
        <v>182</v>
      </c>
      <c r="K101" s="6" t="s">
        <v>179</v>
      </c>
      <c r="L101" s="6"/>
      <c r="M101" s="6"/>
      <c r="N101" s="6">
        <f t="shared" si="3"/>
        <v>144</v>
      </c>
    </row>
    <row r="102" spans="1:14" x14ac:dyDescent="0.25">
      <c r="A102" s="6" t="s">
        <v>190</v>
      </c>
      <c r="B102" s="6" t="str">
        <f>Informações!$C$3</f>
        <v>IMA</v>
      </c>
      <c r="C102" s="6" t="s">
        <v>29</v>
      </c>
      <c r="D102" s="6" t="s">
        <v>207</v>
      </c>
      <c r="E102" s="2" t="s">
        <v>25</v>
      </c>
      <c r="F102" s="6" t="str">
        <f>VLOOKUP(G102,[1]Discrete!$A:$B,2,FALSE)</f>
        <v>51 - SOBRECORRENTE TEMPORIZADA FASE</v>
      </c>
      <c r="G102" s="6" t="s">
        <v>98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IMA_LT4_LT4_A_51F</v>
      </c>
      <c r="I102" s="6" t="s">
        <v>267</v>
      </c>
      <c r="J102" s="6" t="s">
        <v>182</v>
      </c>
      <c r="K102" s="6" t="s">
        <v>179</v>
      </c>
      <c r="L102" s="6"/>
      <c r="M102" s="6"/>
      <c r="N102" s="6">
        <f t="shared" si="3"/>
        <v>145</v>
      </c>
    </row>
    <row r="103" spans="1:14" x14ac:dyDescent="0.25">
      <c r="A103" s="6" t="s">
        <v>190</v>
      </c>
      <c r="B103" s="6" t="s">
        <v>203</v>
      </c>
      <c r="C103" s="6" t="s">
        <v>29</v>
      </c>
      <c r="D103" s="6" t="s">
        <v>206</v>
      </c>
      <c r="E103" s="2" t="s">
        <v>25</v>
      </c>
      <c r="F103" s="6" t="str">
        <f>VLOOKUP(G103,[1]Discrete!$A:$B,2,FALSE)</f>
        <v>51 - SOBRECORRENTE TEMPORIZADA FASE NEUTRO</v>
      </c>
      <c r="G103" s="6" t="s">
        <v>427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CZA_LT4_LT4_P_51FN</v>
      </c>
      <c r="I103" s="6" t="s">
        <v>267</v>
      </c>
      <c r="J103" s="6" t="s">
        <v>182</v>
      </c>
      <c r="K103" s="6" t="s">
        <v>180</v>
      </c>
      <c r="L103" s="6" t="s">
        <v>188</v>
      </c>
      <c r="M103" s="6" t="s">
        <v>188</v>
      </c>
      <c r="N103" s="6">
        <f t="shared" si="3"/>
        <v>146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29</v>
      </c>
      <c r="D104" s="6" t="s">
        <v>207</v>
      </c>
      <c r="E104" s="2" t="s">
        <v>25</v>
      </c>
      <c r="F104" s="6" t="str">
        <f>VLOOKUP(G104,[1]Discrete!$A:$B,2,FALSE)</f>
        <v>FALHA COMUNICACAO</v>
      </c>
      <c r="G104" s="6" t="s">
        <v>78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IMA_LT4_LT4_A_FCOM</v>
      </c>
      <c r="I104" s="6" t="s">
        <v>267</v>
      </c>
      <c r="J104" s="6" t="s">
        <v>182</v>
      </c>
      <c r="K104" s="6" t="s">
        <v>180</v>
      </c>
      <c r="L104" s="6" t="s">
        <v>188</v>
      </c>
      <c r="M104" s="6" t="s">
        <v>188</v>
      </c>
      <c r="N104" s="6">
        <f t="shared" si="3"/>
        <v>147</v>
      </c>
    </row>
    <row r="105" spans="1:14" x14ac:dyDescent="0.25">
      <c r="A105" s="6" t="s">
        <v>190</v>
      </c>
      <c r="B105" s="6" t="str">
        <f>Informações!$C$3</f>
        <v>IMA</v>
      </c>
      <c r="C105" s="6" t="s">
        <v>29</v>
      </c>
      <c r="D105" s="6" t="s">
        <v>29</v>
      </c>
      <c r="E105" s="2" t="s">
        <v>25</v>
      </c>
      <c r="F105" s="95" t="str">
        <f>VLOOKUP(G105,[1]Discrete!$A:$B,2,FALSE)</f>
        <v>25 - FUNCAO SINCRONISMO</v>
      </c>
      <c r="G105" s="6" t="s">
        <v>36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IMA_LT4_LT4_25IE</v>
      </c>
      <c r="I105" s="6" t="s">
        <v>267</v>
      </c>
      <c r="J105" s="6" t="s">
        <v>183</v>
      </c>
      <c r="K105" s="6" t="s">
        <v>184</v>
      </c>
      <c r="L105" s="6" t="s">
        <v>188</v>
      </c>
      <c r="M105" s="6" t="s">
        <v>188</v>
      </c>
      <c r="N105" s="95">
        <f>'LT 3'!N105+1</f>
        <v>936</v>
      </c>
    </row>
    <row r="107" spans="1:14" x14ac:dyDescent="0.25">
      <c r="A107" s="108" t="s">
        <v>215</v>
      </c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</row>
    <row r="108" spans="1:14" x14ac:dyDescent="0.25">
      <c r="A108" s="3" t="s">
        <v>189</v>
      </c>
      <c r="B108" s="3" t="s">
        <v>1</v>
      </c>
      <c r="C108" s="3" t="s">
        <v>83</v>
      </c>
      <c r="D108" s="3" t="s">
        <v>26</v>
      </c>
      <c r="E108" s="3" t="s">
        <v>7</v>
      </c>
      <c r="F108" s="3" t="s">
        <v>84</v>
      </c>
      <c r="G108" s="3" t="s">
        <v>85</v>
      </c>
      <c r="H108" s="3" t="s">
        <v>86</v>
      </c>
      <c r="I108" s="3" t="s">
        <v>254</v>
      </c>
      <c r="J108" s="3" t="s">
        <v>177</v>
      </c>
      <c r="K108" s="3" t="s">
        <v>178</v>
      </c>
      <c r="L108" s="3" t="s">
        <v>260</v>
      </c>
      <c r="M108" s="3" t="s">
        <v>266</v>
      </c>
      <c r="N108" s="3" t="s">
        <v>192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29</v>
      </c>
      <c r="D109" s="6" t="s">
        <v>206</v>
      </c>
      <c r="E109" s="6" t="s">
        <v>25</v>
      </c>
      <c r="F109" s="6" t="s">
        <v>238</v>
      </c>
      <c r="G109" s="6" t="s">
        <v>239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IMA_LT4_LT4_P_FGOO</v>
      </c>
      <c r="I109" s="6" t="s">
        <v>267</v>
      </c>
      <c r="J109" s="6" t="s">
        <v>182</v>
      </c>
      <c r="K109" s="6" t="s">
        <v>180</v>
      </c>
      <c r="L109" s="6" t="s">
        <v>188</v>
      </c>
      <c r="M109" s="6" t="s">
        <v>188</v>
      </c>
      <c r="N109" s="6">
        <f>N104+1</f>
        <v>148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29</v>
      </c>
      <c r="D110" s="6" t="s">
        <v>207</v>
      </c>
      <c r="E110" s="6" t="s">
        <v>25</v>
      </c>
      <c r="F110" s="6" t="s">
        <v>238</v>
      </c>
      <c r="G110" s="6" t="s">
        <v>239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IMA_LT4_LT4_A_FGOO</v>
      </c>
      <c r="I110" s="6" t="s">
        <v>267</v>
      </c>
      <c r="J110" s="6" t="s">
        <v>182</v>
      </c>
      <c r="K110" s="6" t="s">
        <v>180</v>
      </c>
      <c r="L110" s="6" t="s">
        <v>188</v>
      </c>
      <c r="M110" s="6" t="s">
        <v>188</v>
      </c>
      <c r="N110" s="6">
        <f>N109+1</f>
        <v>149</v>
      </c>
    </row>
  </sheetData>
  <autoFilter ref="A10:K112" xr:uid="{7CBEA51F-8118-4A4D-8379-D3E8D66B28F3}"/>
  <mergeCells count="9">
    <mergeCell ref="A107:N107"/>
    <mergeCell ref="B8:N8"/>
    <mergeCell ref="B7:N7"/>
    <mergeCell ref="A1:N1"/>
    <mergeCell ref="B6:N6"/>
    <mergeCell ref="B5:N5"/>
    <mergeCell ref="B4:N4"/>
    <mergeCell ref="B3:N3"/>
    <mergeCell ref="B2:N2"/>
  </mergeCells>
  <phoneticPr fontId="5" type="noConversion"/>
  <conditionalFormatting sqref="E9:E106">
    <cfRule type="cellIs" dxfId="155" priority="1" operator="equal">
      <formula>"D"</formula>
    </cfRule>
    <cfRule type="cellIs" dxfId="154" priority="2" operator="equal">
      <formula>"C"</formula>
    </cfRule>
    <cfRule type="cellIs" dxfId="153" priority="3" operator="equal">
      <formula>"A"</formula>
    </cfRule>
  </conditionalFormatting>
  <conditionalFormatting sqref="E108">
    <cfRule type="cellIs" dxfId="152" priority="13" operator="equal">
      <formula>"D"</formula>
    </cfRule>
    <cfRule type="cellIs" dxfId="151" priority="14" operator="equal">
      <formula>"C"</formula>
    </cfRule>
    <cfRule type="cellIs" dxfId="150" priority="15" operator="equal">
      <formula>"A"</formula>
    </cfRule>
  </conditionalFormatting>
  <conditionalFormatting sqref="E111:E1048576">
    <cfRule type="cellIs" dxfId="149" priority="16" operator="equal">
      <formula>"D"</formula>
    </cfRule>
    <cfRule type="cellIs" dxfId="148" priority="17" operator="equal">
      <formula>"C"</formula>
    </cfRule>
    <cfRule type="cellIs" dxfId="147" priority="18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C332E1-9D78-45D8-8392-33EB01A9399F}">
          <x14:formula1>
            <xm:f>Lista!$B$2:$B$3</xm:f>
          </x14:formula1>
          <xm:sqref>A109:A110 A11:A105</xm:sqref>
        </x14:dataValidation>
        <x14:dataValidation type="list" allowBlank="1" showInputMessage="1" showErrorMessage="1" xr:uid="{A1A1D4EA-82D3-4354-8EE5-4A200624E878}">
          <x14:formula1>
            <xm:f>Lista!$A$2:$A$19</xm:f>
          </x14:formula1>
          <xm:sqref>J109:K110 J11:K105</xm:sqref>
        </x14:dataValidation>
        <x14:dataValidation type="list" allowBlank="1" showInputMessage="1" showErrorMessage="1" xr:uid="{4D8F25A2-5637-48F5-BF56-DDB186AB8F5C}">
          <x14:formula1>
            <xm:f>Lista!$D$2:$D$4</xm:f>
          </x14:formula1>
          <xm:sqref>M109:M110 M11:M105</xm:sqref>
        </x14:dataValidation>
        <x14:dataValidation type="list" allowBlank="1" showInputMessage="1" showErrorMessage="1" xr:uid="{B3E505F3-E87D-47E1-8C71-D3286BC2086B}">
          <x14:formula1>
            <xm:f>Lista!$E$2:$E$4</xm:f>
          </x14:formula1>
          <xm:sqref>I109:I110 I11:I105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B4D1-E67B-4D26-A886-EA8D7745C748}">
  <sheetPr>
    <tabColor theme="2" tint="-9.9978637043366805E-2"/>
  </sheetPr>
  <dimension ref="A1:N200"/>
  <sheetViews>
    <sheetView topLeftCell="A139" zoomScale="70" zoomScaleNormal="70" workbookViewId="0">
      <selection activeCell="I162" sqref="I162"/>
    </sheetView>
  </sheetViews>
  <sheetFormatPr defaultColWidth="9.140625" defaultRowHeight="15" x14ac:dyDescent="0.25"/>
  <cols>
    <col min="1" max="1" width="14.7109375" style="1" bestFit="1" customWidth="1"/>
    <col min="2" max="2" width="14" style="1" customWidth="1"/>
    <col min="3" max="3" width="12.7109375" style="1" customWidth="1"/>
    <col min="4" max="4" width="17.140625" style="1" customWidth="1"/>
    <col min="5" max="5" width="9.7109375" style="1" bestFit="1" customWidth="1"/>
    <col min="6" max="6" width="56.7109375" style="1" customWidth="1"/>
    <col min="7" max="7" width="14.28515625" style="1" customWidth="1"/>
    <col min="8" max="8" width="26.140625" style="1" bestFit="1" customWidth="1"/>
    <col min="9" max="9" width="13.85546875" style="1" bestFit="1" customWidth="1"/>
    <col min="10" max="10" width="17.28515625" style="1" customWidth="1"/>
    <col min="11" max="11" width="16.28515625" style="1" customWidth="1"/>
    <col min="12" max="12" width="13.28515625" style="1" customWidth="1"/>
    <col min="13" max="13" width="34.855468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313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39" t="s">
        <v>327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2" t="s">
        <v>31</v>
      </c>
      <c r="B5" s="109" t="s">
        <v>329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328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s="4" customFormat="1" x14ac:dyDescent="0.25">
      <c r="B7" s="5"/>
      <c r="C7" s="5"/>
      <c r="D7" s="5"/>
      <c r="E7" s="5"/>
      <c r="F7" s="5"/>
      <c r="G7" s="5"/>
      <c r="H7" s="5"/>
    </row>
    <row r="8" spans="1:14" ht="30" x14ac:dyDescent="0.25">
      <c r="A8" s="3" t="s">
        <v>189</v>
      </c>
      <c r="B8" s="3" t="s">
        <v>1</v>
      </c>
      <c r="C8" s="3" t="s">
        <v>83</v>
      </c>
      <c r="D8" s="3" t="s">
        <v>26</v>
      </c>
      <c r="E8" s="3" t="s">
        <v>7</v>
      </c>
      <c r="F8" s="3" t="s">
        <v>84</v>
      </c>
      <c r="G8" s="3" t="s">
        <v>85</v>
      </c>
      <c r="H8" s="3" t="s">
        <v>86</v>
      </c>
      <c r="I8" s="3" t="s">
        <v>254</v>
      </c>
      <c r="J8" s="3" t="s">
        <v>177</v>
      </c>
      <c r="K8" s="3" t="s">
        <v>178</v>
      </c>
      <c r="L8" s="3" t="s">
        <v>260</v>
      </c>
      <c r="M8" s="3" t="s">
        <v>266</v>
      </c>
      <c r="N8" s="3" t="s">
        <v>192</v>
      </c>
    </row>
    <row r="9" spans="1:14" x14ac:dyDescent="0.25">
      <c r="A9" s="6" t="s">
        <v>191</v>
      </c>
      <c r="B9" s="6" t="str">
        <f>Informações!$C$3</f>
        <v>IMA</v>
      </c>
      <c r="C9" s="6" t="s">
        <v>29</v>
      </c>
      <c r="D9" s="6" t="s">
        <v>27</v>
      </c>
      <c r="E9" s="2" t="s">
        <v>8</v>
      </c>
      <c r="F9" s="6" t="str">
        <f>VLOOKUP(G9,[1]Analog!$A:$B,2,FALSE)</f>
        <v>CORRENTE FASE A</v>
      </c>
      <c r="G9" s="6" t="s">
        <v>9</v>
      </c>
      <c r="H9" s="6" t="str" cm="1">
        <f t="array" ref="H9">_xlfn.IFS(OR(D9="TC",D9="TP",D9="LT"),CONCATENATE(B9,"_",C9,$B$3,"_",C9,$B$3,"_",G9),D9="SECC",CONCATENATE(B9,"_",C9,$B$3,"_",$B$5,"_",G9),D9="SECF",CONCATENATE(B9,"_",C9,$B$3,"_",$B$6,"_",G9),D9="SECT",CONCATENATE(B9,"_",C9,$B$3,"_",$B$7,"_",G9),D9="SECG",CONCATENATE(B9,"_",C9,$B$3,"_",$B$8,"_",G9),D9="DJ",CONCATENATE(B9,"_",C9,$B$3,"_",$B$4,"_",G9),D9="DJ_P",CONCATENATE(B9,"_",C9,$B$3,"_",$B$4,"_P","_",G9),D9="DJ_A",CONCATENATE(B9,"_",C9,$B$3,"_",$B$4,"_A","_",G9),D9="LT_P",CONCATENATE(B9,"_",C9,$B$3,"_",C9,$B$3,"_P","_",G9),D9="LT_A",CONCATENATE(B9,"_",C9,$B$3,"_",C9,$B$3,"_A","_",G9))</f>
        <v>IMA_LT5_LT5_IA</v>
      </c>
      <c r="I9" s="6" t="s">
        <v>267</v>
      </c>
      <c r="J9" s="6" t="s">
        <v>188</v>
      </c>
      <c r="K9" s="6" t="s">
        <v>188</v>
      </c>
      <c r="L9" s="8">
        <v>1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29</v>
      </c>
      <c r="D10" s="6" t="s">
        <v>27</v>
      </c>
      <c r="E10" s="2" t="s">
        <v>8</v>
      </c>
      <c r="F10" s="6" t="str">
        <f>VLOOKUP(G10,[1]Analog!$A:$B,2,FALSE)</f>
        <v>CORRENTE FASE B</v>
      </c>
      <c r="G10" s="6" t="s">
        <v>10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$B$8,"_",G10),D10="DJ",CONCATENATE(B10,"_",C10,$B$3,"_",$B$4,"_",G10),D10="DJ_P",CONCATENATE(B10,"_",C10,$B$3,"_",$B$4,"_P","_",G10),D10="DJ_A",CONCATENATE(B10,"_",C10,$B$3,"_",$B$4,"_A","_",G10),D10="LT_P",CONCATENATE(B10,"_",C10,$B$3,"_",C10,$B$3,"_P","_",G10),D10="LT_A",CONCATENATE(B10,"_",C10,$B$3,"_",C10,$B$3,"_A","_",G10))</f>
        <v>IMA_LT5_LT5_IB</v>
      </c>
      <c r="I10" s="6" t="s">
        <v>267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29</v>
      </c>
      <c r="D11" s="6" t="s">
        <v>27</v>
      </c>
      <c r="E11" s="2" t="s">
        <v>8</v>
      </c>
      <c r="F11" s="6" t="str">
        <f>VLOOKUP(G11,[1]Analog!$A:$B,2,FALSE)</f>
        <v>CORRENTE FASE C</v>
      </c>
      <c r="G11" s="6" t="s">
        <v>11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$B$8,"_",G11),D11="DJ",CONCATENATE(B11,"_",C11,$B$3,"_",$B$4,"_",G11),D11="DJ_P",CONCATENATE(B11,"_",C11,$B$3,"_",$B$4,"_P","_",G11),D11="DJ_A",CONCATENATE(B11,"_",C11,$B$3,"_",$B$4,"_A","_",G11),D11="LT_P",CONCATENATE(B11,"_",C11,$B$3,"_",C11,$B$3,"_P","_",G11),D11="LT_A",CONCATENATE(B11,"_",C11,$B$3,"_",C11,$B$3,"_A","_",G11))</f>
        <v>IMA_LT5_LT5_IC</v>
      </c>
      <c r="I11" s="6" t="s">
        <v>267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29</v>
      </c>
      <c r="D12" s="6" t="s">
        <v>28</v>
      </c>
      <c r="E12" s="2" t="s">
        <v>8</v>
      </c>
      <c r="F12" s="6" t="str">
        <f>VLOOKUP(G12,[1]Analog!$A:$B,2,FALSE)</f>
        <v>TENSAO BARRA FASE A</v>
      </c>
      <c r="G12" s="6" t="s">
        <v>12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$B$8,"_",G12),D12="DJ",CONCATENATE(B12,"_",C12,$B$3,"_",$B$4,"_",G12),D12="DJ_P",CONCATENATE(B12,"_",C12,$B$3,"_",$B$4,"_P","_",G12),D12="DJ_A",CONCATENATE(B12,"_",C12,$B$3,"_",$B$4,"_A","_",G12),D12="LT_P",CONCATENATE(B12,"_",C12,$B$3,"_",C12,$B$3,"_P","_",G12),D12="LT_A",CONCATENATE(B12,"_",C12,$B$3,"_",C12,$B$3,"_A","_",G12))</f>
        <v>IMA_LT5_LT5_VA_B</v>
      </c>
      <c r="I12" s="6" t="s">
        <v>267</v>
      </c>
      <c r="J12" s="6" t="s">
        <v>188</v>
      </c>
      <c r="K12" s="6" t="s">
        <v>188</v>
      </c>
      <c r="L12" s="8">
        <v>0.01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29</v>
      </c>
      <c r="D13" s="6" t="s">
        <v>28</v>
      </c>
      <c r="E13" s="2" t="s">
        <v>8</v>
      </c>
      <c r="F13" s="6" t="str">
        <f>VLOOKUP(G13,[1]Analog!$A:$B,2,FALSE)</f>
        <v>TENSAO BARRA FASE B</v>
      </c>
      <c r="G13" s="6" t="s">
        <v>13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$B$8,"_",G13),D13="DJ",CONCATENATE(B13,"_",C13,$B$3,"_",$B$4,"_",G13),D13="DJ_P",CONCATENATE(B13,"_",C13,$B$3,"_",$B$4,"_P","_",G13),D13="DJ_A",CONCATENATE(B13,"_",C13,$B$3,"_",$B$4,"_A","_",G13),D13="LT_P",CONCATENATE(B13,"_",C13,$B$3,"_",C13,$B$3,"_P","_",G13),D13="LT_A",CONCATENATE(B13,"_",C13,$B$3,"_",C13,$B$3,"_A","_",G13))</f>
        <v>IMA_LT5_LT5_VB_B</v>
      </c>
      <c r="I13" s="6" t="s">
        <v>267</v>
      </c>
      <c r="J13" s="6" t="s">
        <v>188</v>
      </c>
      <c r="K13" s="6" t="s">
        <v>188</v>
      </c>
      <c r="L13" s="8">
        <v>0.01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29</v>
      </c>
      <c r="D14" s="6" t="s">
        <v>28</v>
      </c>
      <c r="E14" s="2" t="s">
        <v>8</v>
      </c>
      <c r="F14" s="6" t="str">
        <f>VLOOKUP(G14,[1]Analog!$A:$B,2,FALSE)</f>
        <v>TENSAO BARRA FASE C</v>
      </c>
      <c r="G14" s="6" t="s">
        <v>14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$B$8,"_",G14),D14="DJ",CONCATENATE(B14,"_",C14,$B$3,"_",$B$4,"_",G14),D14="DJ_P",CONCATENATE(B14,"_",C14,$B$3,"_",$B$4,"_P","_",G14),D14="DJ_A",CONCATENATE(B14,"_",C14,$B$3,"_",$B$4,"_A","_",G14),D14="LT_P",CONCATENATE(B14,"_",C14,$B$3,"_",C14,$B$3,"_P","_",G14),D14="LT_A",CONCATENATE(B14,"_",C14,$B$3,"_",C14,$B$3,"_A","_",G14))</f>
        <v>IMA_LT5_LT5_VC_B</v>
      </c>
      <c r="I14" s="6" t="s">
        <v>267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29</v>
      </c>
      <c r="D15" s="6" t="s">
        <v>28</v>
      </c>
      <c r="E15" s="2" t="s">
        <v>8</v>
      </c>
      <c r="F15" s="6" t="str">
        <f>VLOOKUP(G15,[1]Analog!$A:$B,2,FALSE)</f>
        <v>TENSAO LINHA FASE A</v>
      </c>
      <c r="G15" s="6" t="s">
        <v>15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$B$8,"_",G15),D15="DJ",CONCATENATE(B15,"_",C15,$B$3,"_",$B$4,"_",G15),D15="DJ_P",CONCATENATE(B15,"_",C15,$B$3,"_",$B$4,"_P","_",G15),D15="DJ_A",CONCATENATE(B15,"_",C15,$B$3,"_",$B$4,"_A","_",G15),D15="LT_P",CONCATENATE(B15,"_",C15,$B$3,"_",C15,$B$3,"_P","_",G15),D15="LT_A",CONCATENATE(B15,"_",C15,$B$3,"_",C15,$B$3,"_A","_",G15))</f>
        <v>IMA_LT5_LT5_VA_L</v>
      </c>
      <c r="I15" s="6" t="s">
        <v>267</v>
      </c>
      <c r="J15" s="6" t="s">
        <v>188</v>
      </c>
      <c r="K15" s="6" t="s">
        <v>188</v>
      </c>
      <c r="L15" s="8">
        <v>0.01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29</v>
      </c>
      <c r="D16" s="6" t="s">
        <v>28</v>
      </c>
      <c r="E16" s="2" t="s">
        <v>8</v>
      </c>
      <c r="F16" s="6" t="str">
        <f>VLOOKUP(G16,[1]Analog!$A:$B,2,FALSE)</f>
        <v>TENSAO LINHA FASE B</v>
      </c>
      <c r="G16" s="6" t="s">
        <v>16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$B$8,"_",G16),D16="DJ",CONCATENATE(B16,"_",C16,$B$3,"_",$B$4,"_",G16),D16="DJ_P",CONCATENATE(B16,"_",C16,$B$3,"_",$B$4,"_P","_",G16),D16="DJ_A",CONCATENATE(B16,"_",C16,$B$3,"_",$B$4,"_A","_",G16),D16="LT_P",CONCATENATE(B16,"_",C16,$B$3,"_",C16,$B$3,"_P","_",G16),D16="LT_A",CONCATENATE(B16,"_",C16,$B$3,"_",C16,$B$3,"_A","_",G16))</f>
        <v>IMA_LT5_LT5_VB_L</v>
      </c>
      <c r="I16" s="6" t="s">
        <v>267</v>
      </c>
      <c r="J16" s="6" t="s">
        <v>188</v>
      </c>
      <c r="K16" s="6" t="s">
        <v>188</v>
      </c>
      <c r="L16" s="8">
        <v>0.01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29</v>
      </c>
      <c r="D17" s="6" t="s">
        <v>28</v>
      </c>
      <c r="E17" s="2" t="s">
        <v>8</v>
      </c>
      <c r="F17" s="6" t="str">
        <f>VLOOKUP(G17,[1]Analog!$A:$B,2,FALSE)</f>
        <v>TENSAO LINHA FASE C</v>
      </c>
      <c r="G17" s="6" t="s">
        <v>17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$B$8,"_",G17),D17="DJ",CONCATENATE(B17,"_",C17,$B$3,"_",$B$4,"_",G17),D17="DJ_P",CONCATENATE(B17,"_",C17,$B$3,"_",$B$4,"_P","_",G17),D17="DJ_A",CONCATENATE(B17,"_",C17,$B$3,"_",$B$4,"_A","_",G17),D17="LT_P",CONCATENATE(B17,"_",C17,$B$3,"_",C17,$B$3,"_P","_",G17),D17="LT_A",CONCATENATE(B17,"_",C17,$B$3,"_",C17,$B$3,"_A","_",G17))</f>
        <v>IMA_LT5_LT5_VC_L</v>
      </c>
      <c r="I17" s="6" t="s">
        <v>267</v>
      </c>
      <c r="J17" s="6" t="s">
        <v>188</v>
      </c>
      <c r="K17" s="6" t="s">
        <v>188</v>
      </c>
      <c r="L17" s="8">
        <v>0.01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29</v>
      </c>
      <c r="D18" s="6" t="s">
        <v>27</v>
      </c>
      <c r="E18" s="2" t="s">
        <v>8</v>
      </c>
      <c r="F18" s="6" t="str">
        <f>VLOOKUP(G18,[1]Analog!$A:$B,2,FALSE)</f>
        <v>POTENCIA ATIVA</v>
      </c>
      <c r="G18" s="6" t="s">
        <v>18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$B$8,"_",G18),D18="DJ",CONCATENATE(B18,"_",C18,$B$3,"_",$B$4,"_",G18),D18="DJ_P",CONCATENATE(B18,"_",C18,$B$3,"_",$B$4,"_P","_",G18),D18="DJ_A",CONCATENATE(B18,"_",C18,$B$3,"_",$B$4,"_A","_",G18),D18="LT_P",CONCATENATE(B18,"_",C18,$B$3,"_",C18,$B$3,"_P","_",G18),D18="LT_A",CONCATENATE(B18,"_",C18,$B$3,"_",C18,$B$3,"_A","_",G18))</f>
        <v>IMA_LT5_LT5_P</v>
      </c>
      <c r="I18" s="6" t="s">
        <v>267</v>
      </c>
      <c r="J18" s="6" t="s">
        <v>188</v>
      </c>
      <c r="K18" s="6" t="s">
        <v>188</v>
      </c>
      <c r="L18" s="8">
        <v>10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29</v>
      </c>
      <c r="D19" s="6" t="s">
        <v>27</v>
      </c>
      <c r="E19" s="2" t="s">
        <v>8</v>
      </c>
      <c r="F19" s="6" t="str">
        <f>VLOOKUP(G19,[1]Analog!$A:$B,2,FALSE)</f>
        <v>POTENCIA REATIVA</v>
      </c>
      <c r="G19" s="6" t="s">
        <v>19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$B$8,"_",G19),D19="DJ",CONCATENATE(B19,"_",C19,$B$3,"_",$B$4,"_",G19),D19="DJ_P",CONCATENATE(B19,"_",C19,$B$3,"_",$B$4,"_P","_",G19),D19="DJ_A",CONCATENATE(B19,"_",C19,$B$3,"_",$B$4,"_A","_",G19),D19="LT_P",CONCATENATE(B19,"_",C19,$B$3,"_",C19,$B$3,"_P","_",G19),D19="LT_A",CONCATENATE(B19,"_",C19,$B$3,"_",C19,$B$3,"_A","_",G19))</f>
        <v>IMA_LT5_LT5_Q</v>
      </c>
      <c r="I19" s="6" t="s">
        <v>267</v>
      </c>
      <c r="J19" s="6" t="s">
        <v>188</v>
      </c>
      <c r="K19" s="6" t="s">
        <v>188</v>
      </c>
      <c r="L19" s="8">
        <v>10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29</v>
      </c>
      <c r="D20" s="6" t="s">
        <v>29</v>
      </c>
      <c r="E20" s="2" t="s">
        <v>8</v>
      </c>
      <c r="F20" s="6" t="str">
        <f>VLOOKUP(G20,[1]Analog!$A:$B,2,FALSE)</f>
        <v>DISTANCIA DEFEITO</v>
      </c>
      <c r="G20" s="6" t="s">
        <v>20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$B$8,"_",G20),D20="DJ",CONCATENATE(B20,"_",C20,$B$3,"_",$B$4,"_",G20),D20="DJ_P",CONCATENATE(B20,"_",C20,$B$3,"_",$B$4,"_P","_",G20),D20="DJ_A",CONCATENATE(B20,"_",C20,$B$3,"_",$B$4,"_A","_",G20),D20="LT_P",CONCATENATE(B20,"_",C20,$B$3,"_",C20,$B$3,"_P","_",G20),D20="LT_A",CONCATENATE(B20,"_",C20,$B$3,"_",C20,$B$3,"_A","_",G20))</f>
        <v>IMA_LT5_LT5_KMDF</v>
      </c>
      <c r="I20" s="6" t="s">
        <v>267</v>
      </c>
      <c r="J20" s="6" t="s">
        <v>188</v>
      </c>
      <c r="K20" s="6" t="s">
        <v>188</v>
      </c>
      <c r="L20" s="8">
        <v>0.01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29</v>
      </c>
      <c r="D21" s="6" t="s">
        <v>27</v>
      </c>
      <c r="E21" s="2" t="s">
        <v>8</v>
      </c>
      <c r="F21" s="6" t="str">
        <f>VLOOKUP(G21,[1]Analog!$A:$B,2,FALSE)</f>
        <v>CORRENTE CURTO CIRCUITO FASE A</v>
      </c>
      <c r="G21" s="6" t="s">
        <v>21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$B$8,"_",G21),D21="DJ",CONCATENATE(B21,"_",C21,$B$3,"_",$B$4,"_",G21),D21="DJ_P",CONCATENATE(B21,"_",C21,$B$3,"_",$B$4,"_P","_",G21),D21="DJ_A",CONCATENATE(B21,"_",C21,$B$3,"_",$B$4,"_A","_",G21),D21="LT_P",CONCATENATE(B21,"_",C21,$B$3,"_",C21,$B$3,"_P","_",G21),D21="LT_A",CONCATENATE(B21,"_",C21,$B$3,"_",C21,$B$3,"_A","_",G21))</f>
        <v>IMA_LT5_LT5_IACC</v>
      </c>
      <c r="I21" s="6" t="s">
        <v>267</v>
      </c>
      <c r="J21" s="6" t="s">
        <v>188</v>
      </c>
      <c r="K21" s="6" t="s">
        <v>188</v>
      </c>
      <c r="L21" s="8">
        <v>1</v>
      </c>
      <c r="M21" s="6" t="s">
        <v>188</v>
      </c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29</v>
      </c>
      <c r="D22" s="6" t="s">
        <v>27</v>
      </c>
      <c r="E22" s="2" t="s">
        <v>8</v>
      </c>
      <c r="F22" s="6" t="str">
        <f>VLOOKUP(G22,[1]Analog!$A:$B,2,FALSE)</f>
        <v>CORRENTE CURTO CIRCUITO FASE B</v>
      </c>
      <c r="G22" s="6" t="s">
        <v>22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$B$8,"_",G22),D22="DJ",CONCATENATE(B22,"_",C22,$B$3,"_",$B$4,"_",G22),D22="DJ_P",CONCATENATE(B22,"_",C22,$B$3,"_",$B$4,"_P","_",G22),D22="DJ_A",CONCATENATE(B22,"_",C22,$B$3,"_",$B$4,"_A","_",G22),D22="LT_P",CONCATENATE(B22,"_",C22,$B$3,"_",C22,$B$3,"_P","_",G22),D22="LT_A",CONCATENATE(B22,"_",C22,$B$3,"_",C22,$B$3,"_A","_",G22))</f>
        <v>IMA_LT5_LT5_IBCC</v>
      </c>
      <c r="I22" s="6" t="s">
        <v>267</v>
      </c>
      <c r="J22" s="6" t="s">
        <v>188</v>
      </c>
      <c r="K22" s="6" t="s">
        <v>188</v>
      </c>
      <c r="L22" s="8">
        <v>1</v>
      </c>
      <c r="M22" s="6" t="s">
        <v>188</v>
      </c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29</v>
      </c>
      <c r="D23" s="6" t="s">
        <v>27</v>
      </c>
      <c r="E23" s="2" t="s">
        <v>8</v>
      </c>
      <c r="F23" s="6" t="str">
        <f>VLOOKUP(G23,[1]Analog!$A:$B,2,FALSE)</f>
        <v>CORRENTE CURTO CIRCUITO FASE C</v>
      </c>
      <c r="G23" s="6" t="s">
        <v>23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$B$8,"_",G23),D23="DJ",CONCATENATE(B23,"_",C23,$B$3,"_",$B$4,"_",G23),D23="DJ_P",CONCATENATE(B23,"_",C23,$B$3,"_",$B$4,"_P","_",G23),D23="DJ_A",CONCATENATE(B23,"_",C23,$B$3,"_",$B$4,"_A","_",G23),D23="LT_P",CONCATENATE(B23,"_",C23,$B$3,"_",C23,$B$3,"_P","_",G23),D23="LT_A",CONCATENATE(B23,"_",C23,$B$3,"_",C23,$B$3,"_A","_",G23))</f>
        <v>IMA_LT5_LT5_ICCC</v>
      </c>
      <c r="I23" s="6" t="s">
        <v>267</v>
      </c>
      <c r="J23" s="6" t="s">
        <v>188</v>
      </c>
      <c r="K23" s="6" t="s">
        <v>188</v>
      </c>
      <c r="L23" s="8">
        <v>1</v>
      </c>
      <c r="M23" s="6" t="s">
        <v>188</v>
      </c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29</v>
      </c>
      <c r="D24" s="6" t="s">
        <v>31</v>
      </c>
      <c r="E24" s="7" t="s">
        <v>24</v>
      </c>
      <c r="F24" s="6" t="str">
        <f>VLOOKUP(G24,[1]Discrete!$A:$B,2,FALSE)</f>
        <v>SECCIONADORA CARGA</v>
      </c>
      <c r="G24" s="6" t="s">
        <v>31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$B$8,"_",G24),D24="DJ",CONCATENATE(B24,"_",C24,$B$3,"_",$B$4,"_",G24),D24="DJ_P",CONCATENATE(B24,"_",C24,$B$3,"_",$B$4,"_P","_",G24),D24="DJ_A",CONCATENATE(B24,"_",C24,$B$3,"_",$B$4,"_A","_",G24),D24="LT_P",CONCATENATE(B24,"_",C24,$B$3,"_",C24,$B$3,"_P","_",G24),D24="LT_A",CONCATENATE(B24,"_",C24,$B$3,"_",C24,$B$3,"_A","_",G24))</f>
        <v>IMA_LT5_89-44_SECC</v>
      </c>
      <c r="I24" s="6" t="s">
        <v>188</v>
      </c>
      <c r="J24" s="6" t="s">
        <v>188</v>
      </c>
      <c r="K24" s="6" t="s">
        <v>188</v>
      </c>
      <c r="L24" s="6" t="s">
        <v>188</v>
      </c>
      <c r="M24" s="6" t="s">
        <v>279</v>
      </c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29</v>
      </c>
      <c r="D25" s="6" t="s">
        <v>32</v>
      </c>
      <c r="E25" s="7" t="s">
        <v>24</v>
      </c>
      <c r="F25" s="6" t="str">
        <f>VLOOKUP(G25,[1]Discrete!$A:$B,2,FALSE)</f>
        <v>SECCIONADORA FONTE</v>
      </c>
      <c r="G25" s="6" t="s">
        <v>32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$B$8,"_",G25),D25="DJ",CONCATENATE(B25,"_",C25,$B$3,"_",$B$4,"_",G25),D25="DJ_P",CONCATENATE(B25,"_",C25,$B$3,"_",$B$4,"_P","_",G25),D25="DJ_A",CONCATENATE(B25,"_",C25,$B$3,"_",$B$4,"_A","_",G25),D25="LT_P",CONCATENATE(B25,"_",C25,$B$3,"_",C25,$B$3,"_P","_",G25),D25="LT_A",CONCATENATE(B25,"_",C25,$B$3,"_",C25,$B$3,"_A","_",G25))</f>
        <v>IMA_LT5_89-42_SECF</v>
      </c>
      <c r="I25" s="6" t="s">
        <v>188</v>
      </c>
      <c r="J25" s="6" t="s">
        <v>188</v>
      </c>
      <c r="K25" s="6" t="s">
        <v>188</v>
      </c>
      <c r="L25" s="6" t="s">
        <v>188</v>
      </c>
      <c r="M25" s="6" t="s">
        <v>279</v>
      </c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29</v>
      </c>
      <c r="D26" s="6" t="s">
        <v>33</v>
      </c>
      <c r="E26" s="7" t="s">
        <v>24</v>
      </c>
      <c r="F26" s="6" t="str">
        <f>VLOOKUP(G26,[1]Discrete!$A:$B,2,FALSE)</f>
        <v>SECCIONADORA TRANSFERENCIA</v>
      </c>
      <c r="G26" s="6" t="s">
        <v>33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$B$8,"_",G26),D26="DJ",CONCATENATE(B26,"_",C26,$B$3,"_",$B$4,"_",G26),D26="DJ_P",CONCATENATE(B26,"_",C26,$B$3,"_",$B$4,"_P","_",G26),D26="DJ_A",CONCATENATE(B26,"_",C26,$B$3,"_",$B$4,"_A","_",G26),D26="LT_P",CONCATENATE(B26,"_",C26,$B$3,"_",C26,$B$3,"_P","_",G26),D26="LT_A",CONCATENATE(B26,"_",C26,$B$3,"_",C26,$B$3,"_A","_",G26))</f>
        <v>IMA_LT5__SECT</v>
      </c>
      <c r="I26" s="6" t="s">
        <v>188</v>
      </c>
      <c r="J26" s="6" t="s">
        <v>188</v>
      </c>
      <c r="K26" s="6" t="s">
        <v>188</v>
      </c>
      <c r="L26" s="6" t="s">
        <v>188</v>
      </c>
      <c r="M26" s="6" t="s">
        <v>279</v>
      </c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29</v>
      </c>
      <c r="D27" s="6" t="s">
        <v>30</v>
      </c>
      <c r="E27" s="7" t="s">
        <v>24</v>
      </c>
      <c r="F27" s="6" t="str">
        <f>VLOOKUP(G27,[1]Discrete!$A:$B,2,FALSE)</f>
        <v>DISJUNTOR NF</v>
      </c>
      <c r="G27" s="6" t="s">
        <v>34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$B$8,"_",G27),D27="DJ",CONCATENATE(B27,"_",C27,$B$3,"_",$B$4,"_",G27),D27="DJ_P",CONCATENATE(B27,"_",C27,$B$3,"_",$B$4,"_P","_",G27),D27="DJ_A",CONCATENATE(B27,"_",C27,$B$3,"_",$B$4,"_A","_",G27),D27="LT_P",CONCATENATE(B27,"_",C27,$B$3,"_",C27,$B$3,"_P","_",G27),D27="LT_A",CONCATENATE(B27,"_",C27,$B$3,"_",C27,$B$3,"_A","_",G27))</f>
        <v>IMA_LT5_24-3_DJF1</v>
      </c>
      <c r="I27" s="6" t="s">
        <v>188</v>
      </c>
      <c r="J27" s="6" t="s">
        <v>188</v>
      </c>
      <c r="K27" s="6" t="s">
        <v>188</v>
      </c>
      <c r="L27" s="6" t="s">
        <v>188</v>
      </c>
      <c r="M27" s="6" t="s">
        <v>279</v>
      </c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29</v>
      </c>
      <c r="D28" s="6" t="s">
        <v>30</v>
      </c>
      <c r="E28" s="7" t="s">
        <v>24</v>
      </c>
      <c r="F28" s="6" t="e">
        <f>VLOOKUP(G28,[1]Discrete!$A:$B,2,FALSE)</f>
        <v>#N/A</v>
      </c>
      <c r="G28" s="6">
        <v>79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$B$8,"_",G28),D28="DJ",CONCATENATE(B28,"_",C28,$B$3,"_",$B$4,"_",G28),D28="DJ_P",CONCATENATE(B28,"_",C28,$B$3,"_",$B$4,"_P","_",G28),D28="DJ_A",CONCATENATE(B28,"_",C28,$B$3,"_",$B$4,"_A","_",G28),D28="LT_P",CONCATENATE(B28,"_",C28,$B$3,"_",C28,$B$3,"_P","_",G28),D28="LT_A",CONCATENATE(B28,"_",C28,$B$3,"_",C28,$B$3,"_A","_",G28))</f>
        <v>IMA_LT5_24-3_79</v>
      </c>
      <c r="I28" s="6" t="s">
        <v>188</v>
      </c>
      <c r="J28" s="6" t="s">
        <v>188</v>
      </c>
      <c r="K28" s="6" t="s">
        <v>188</v>
      </c>
      <c r="L28" s="6" t="s">
        <v>188</v>
      </c>
      <c r="M28" s="6" t="s">
        <v>280</v>
      </c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29</v>
      </c>
      <c r="D29" s="6" t="s">
        <v>30</v>
      </c>
      <c r="E29" s="7" t="s">
        <v>24</v>
      </c>
      <c r="F29" s="6" t="str">
        <f>VLOOKUP(G29,[1]Discrete!$A:$B,2,FALSE)</f>
        <v>51 - FUNCAO SOBRECORRENTE TEMPORIZADA NEUTRO</v>
      </c>
      <c r="G29" s="6" t="s">
        <v>35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$B$8,"_",G29),D29="DJ",CONCATENATE(B29,"_",C29,$B$3,"_",$B$4,"_",G29),D29="DJ_P",CONCATENATE(B29,"_",C29,$B$3,"_",$B$4,"_P","_",G29),D29="DJ_A",CONCATENATE(B29,"_",C29,$B$3,"_",$B$4,"_A","_",G29),D29="LT_P",CONCATENATE(B29,"_",C29,$B$3,"_",C29,$B$3,"_P","_",G29),D29="LT_A",CONCATENATE(B29,"_",C29,$B$3,"_",C29,$B$3,"_A","_",G29))</f>
        <v>IMA_LT5_24-3_51N</v>
      </c>
      <c r="I29" s="6" t="s">
        <v>188</v>
      </c>
      <c r="J29" s="6" t="s">
        <v>188</v>
      </c>
      <c r="K29" s="6" t="s">
        <v>188</v>
      </c>
      <c r="L29" s="6" t="s">
        <v>188</v>
      </c>
      <c r="M29" s="6" t="s">
        <v>280</v>
      </c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29</v>
      </c>
      <c r="D30" s="6" t="s">
        <v>30</v>
      </c>
      <c r="E30" s="7" t="s">
        <v>24</v>
      </c>
      <c r="F30" s="6" t="e">
        <f>VLOOKUP(G30,[1]Discrete!$A:$B,2,FALSE)</f>
        <v>#N/A</v>
      </c>
      <c r="G30" s="6">
        <v>81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$B$8,"_",G30),D30="DJ",CONCATENATE(B30,"_",C30,$B$3,"_",$B$4,"_",G30),D30="DJ_P",CONCATENATE(B30,"_",C30,$B$3,"_",$B$4,"_P","_",G30),D30="DJ_A",CONCATENATE(B30,"_",C30,$B$3,"_",$B$4,"_A","_",G30),D30="LT_P",CONCATENATE(B30,"_",C30,$B$3,"_",C30,$B$3,"_P","_",G30),D30="LT_A",CONCATENATE(B30,"_",C30,$B$3,"_",C30,$B$3,"_A","_",G30))</f>
        <v>IMA_LT5_24-3_81</v>
      </c>
      <c r="I30" s="6" t="s">
        <v>188</v>
      </c>
      <c r="J30" s="6" t="s">
        <v>188</v>
      </c>
      <c r="K30" s="6" t="s">
        <v>188</v>
      </c>
      <c r="L30" s="6" t="s">
        <v>188</v>
      </c>
      <c r="M30" s="6" t="s">
        <v>280</v>
      </c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29</v>
      </c>
      <c r="D31" s="6" t="s">
        <v>30</v>
      </c>
      <c r="E31" s="7" t="s">
        <v>24</v>
      </c>
      <c r="F31" s="6" t="str">
        <f>VLOOKUP(G31,[1]Discrete!$A:$B,2,FALSE)</f>
        <v>GRUPO DE AJUSTE FUNCAO 81</v>
      </c>
      <c r="G31" s="6" t="s">
        <v>77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$B$8,"_",G31),D31="DJ",CONCATENATE(B31,"_",C31,$B$3,"_",$B$4,"_",G31),D31="DJ_P",CONCATENATE(B31,"_",C31,$B$3,"_",$B$4,"_P","_",G31),D31="DJ_A",CONCATENATE(B31,"_",C31,$B$3,"_",$B$4,"_A","_",G31),D31="LT_P",CONCATENATE(B31,"_",C31,$B$3,"_",C31,$B$3,"_P","_",G31),D31="LT_A",CONCATENATE(B31,"_",C31,$B$3,"_",C31,$B$3,"_A","_",G31))</f>
        <v>IMA_LT5_24-3_81AJST</v>
      </c>
      <c r="I31" s="6" t="s">
        <v>188</v>
      </c>
      <c r="J31" s="6" t="s">
        <v>188</v>
      </c>
      <c r="K31" s="6" t="s">
        <v>188</v>
      </c>
      <c r="L31" s="6" t="s">
        <v>188</v>
      </c>
      <c r="M31" s="6" t="s">
        <v>280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29</v>
      </c>
      <c r="D32" s="6" t="s">
        <v>30</v>
      </c>
      <c r="E32" s="7" t="s">
        <v>24</v>
      </c>
      <c r="F32" s="6" t="str">
        <f>VLOOKUP(G32,[1]Discrete!$A:$B,2,FALSE)</f>
        <v>25 - FUNCAO SINCRONISMO</v>
      </c>
      <c r="G32" s="6" t="s">
        <v>36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$B$8,"_",G32),D32="DJ",CONCATENATE(B32,"_",C32,$B$3,"_",$B$4,"_",G32),D32="DJ_P",CONCATENATE(B32,"_",C32,$B$3,"_",$B$4,"_P","_",G32),D32="DJ_A",CONCATENATE(B32,"_",C32,$B$3,"_",$B$4,"_A","_",G32),D32="LT_P",CONCATENATE(B32,"_",C32,$B$3,"_",C32,$B$3,"_P","_",G32),D32="LT_A",CONCATENATE(B32,"_",C32,$B$3,"_",C32,$B$3,"_A","_",G32))</f>
        <v>IMA_LT5_24-3_25IE</v>
      </c>
      <c r="I32" s="6" t="s">
        <v>188</v>
      </c>
      <c r="J32" s="6" t="s">
        <v>188</v>
      </c>
      <c r="K32" s="6" t="s">
        <v>188</v>
      </c>
      <c r="L32" s="6" t="s">
        <v>188</v>
      </c>
      <c r="M32" s="6" t="s">
        <v>280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29</v>
      </c>
      <c r="D33" s="6" t="s">
        <v>30</v>
      </c>
      <c r="E33" s="7" t="s">
        <v>24</v>
      </c>
      <c r="F33" s="6" t="e">
        <f>VLOOKUP(G33,[1]Discrete!$A:$B,2,FALSE)</f>
        <v>#N/A</v>
      </c>
      <c r="G33" s="6">
        <v>27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$B$8,"_",G33),D33="DJ",CONCATENATE(B33,"_",C33,$B$3,"_",$B$4,"_",G33),D33="DJ_P",CONCATENATE(B33,"_",C33,$B$3,"_",$B$4,"_P","_",G33),D33="DJ_A",CONCATENATE(B33,"_",C33,$B$3,"_",$B$4,"_A","_",G33),D33="LT_P",CONCATENATE(B33,"_",C33,$B$3,"_",C33,$B$3,"_P","_",G33),D33="LT_A",CONCATENATE(B33,"_",C33,$B$3,"_",C33,$B$3,"_A","_",G33))</f>
        <v>IMA_LT5_24-3_27</v>
      </c>
      <c r="I33" s="6" t="s">
        <v>188</v>
      </c>
      <c r="J33" s="6" t="s">
        <v>188</v>
      </c>
      <c r="K33" s="6" t="s">
        <v>188</v>
      </c>
      <c r="L33" s="6" t="s">
        <v>188</v>
      </c>
      <c r="M33" s="6" t="s">
        <v>280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29</v>
      </c>
      <c r="D34" s="6" t="s">
        <v>30</v>
      </c>
      <c r="E34" s="7" t="s">
        <v>24</v>
      </c>
      <c r="F34" s="6" t="e">
        <f>VLOOKUP(G34,[1]Discrete!$A:$B,2,FALSE)</f>
        <v>#N/A</v>
      </c>
      <c r="G34" s="6">
        <v>59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$B$8,"_",G34),D34="DJ",CONCATENATE(B34,"_",C34,$B$3,"_",$B$4,"_",G34),D34="DJ_P",CONCATENATE(B34,"_",C34,$B$3,"_",$B$4,"_P","_",G34),D34="DJ_A",CONCATENATE(B34,"_",C34,$B$3,"_",$B$4,"_A","_",G34),D34="LT_P",CONCATENATE(B34,"_",C34,$B$3,"_",C34,$B$3,"_P","_",G34),D34="LT_A",CONCATENATE(B34,"_",C34,$B$3,"_",C34,$B$3,"_A","_",G34))</f>
        <v>IMA_LT5_24-3_59</v>
      </c>
      <c r="I34" s="6" t="s">
        <v>188</v>
      </c>
      <c r="J34" s="6" t="s">
        <v>188</v>
      </c>
      <c r="K34" s="6" t="s">
        <v>188</v>
      </c>
      <c r="L34" s="6" t="s">
        <v>188</v>
      </c>
      <c r="M34" s="6" t="s">
        <v>280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29</v>
      </c>
      <c r="D35" s="6" t="s">
        <v>30</v>
      </c>
      <c r="E35" s="7" t="s">
        <v>24</v>
      </c>
      <c r="F35" s="6" t="str">
        <f>VLOOKUP(G35,[1]Discrete!$A:$B,2,FALSE)</f>
        <v>AJUSTE PARA 81 E1</v>
      </c>
      <c r="G35" s="6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$B$8,"_",G35),D35="DJ",CONCATENATE(B35,"_",C35,$B$3,"_",$B$4,"_",G35),D35="DJ_P",CONCATENATE(B35,"_",C35,$B$3,"_",$B$4,"_P","_",G35),D35="DJ_A",CONCATENATE(B35,"_",C35,$B$3,"_",$B$4,"_A","_",G35),D35="LT_P",CONCATENATE(B35,"_",C35,$B$3,"_",C35,$B$3,"_P","_",G35),D35="LT_A",CONCATENATE(B35,"_",C35,$B$3,"_",C35,$B$3,"_A","_",G35))</f>
        <v>IMA_LT5_24-3_81U1</v>
      </c>
      <c r="I35" s="6" t="s">
        <v>188</v>
      </c>
      <c r="J35" s="6" t="s">
        <v>188</v>
      </c>
      <c r="K35" s="6" t="s">
        <v>188</v>
      </c>
      <c r="L35" s="6" t="s">
        <v>188</v>
      </c>
      <c r="M35" s="6" t="s">
        <v>280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29</v>
      </c>
      <c r="D36" s="6" t="s">
        <v>30</v>
      </c>
      <c r="E36" s="7" t="s">
        <v>24</v>
      </c>
      <c r="F36" s="6" t="str">
        <f>VLOOKUP(G36,[1]Discrete!$A:$B,2,FALSE)</f>
        <v>AJUSTE PARA 81 E2</v>
      </c>
      <c r="G36" s="6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$B$8,"_",G36),D36="DJ",CONCATENATE(B36,"_",C36,$B$3,"_",$B$4,"_",G36),D36="DJ_P",CONCATENATE(B36,"_",C36,$B$3,"_",$B$4,"_P","_",G36),D36="DJ_A",CONCATENATE(B36,"_",C36,$B$3,"_",$B$4,"_A","_",G36),D36="LT_P",CONCATENATE(B36,"_",C36,$B$3,"_",C36,$B$3,"_P","_",G36),D36="LT_A",CONCATENATE(B36,"_",C36,$B$3,"_",C36,$B$3,"_A","_",G36))</f>
        <v>IMA_LT5_24-3_81U2</v>
      </c>
      <c r="I36" s="6" t="s">
        <v>188</v>
      </c>
      <c r="J36" s="6" t="s">
        <v>188</v>
      </c>
      <c r="K36" s="6" t="s">
        <v>188</v>
      </c>
      <c r="L36" s="6" t="s">
        <v>188</v>
      </c>
      <c r="M36" s="6" t="s">
        <v>280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29</v>
      </c>
      <c r="D37" s="6" t="s">
        <v>30</v>
      </c>
      <c r="E37" s="7" t="s">
        <v>24</v>
      </c>
      <c r="F37" s="6" t="str">
        <f>VLOOKUP(G37,[1]Discrete!$A:$B,2,FALSE)</f>
        <v>AJUSTE PARA 81 E3</v>
      </c>
      <c r="G37" s="6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$B$8,"_",G37),D37="DJ",CONCATENATE(B37,"_",C37,$B$3,"_",$B$4,"_",G37),D37="DJ_P",CONCATENATE(B37,"_",C37,$B$3,"_",$B$4,"_P","_",G37),D37="DJ_A",CONCATENATE(B37,"_",C37,$B$3,"_",$B$4,"_A","_",G37),D37="LT_P",CONCATENATE(B37,"_",C37,$B$3,"_",C37,$B$3,"_P","_",G37),D37="LT_A",CONCATENATE(B37,"_",C37,$B$3,"_",C37,$B$3,"_A","_",G37))</f>
        <v>IMA_LT5_24-3_81U3</v>
      </c>
      <c r="I37" s="6" t="s">
        <v>188</v>
      </c>
      <c r="J37" s="6" t="s">
        <v>188</v>
      </c>
      <c r="K37" s="6" t="s">
        <v>188</v>
      </c>
      <c r="L37" s="6" t="s">
        <v>188</v>
      </c>
      <c r="M37" s="6" t="s">
        <v>280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29</v>
      </c>
      <c r="D38" s="6" t="s">
        <v>30</v>
      </c>
      <c r="E38" s="7" t="s">
        <v>24</v>
      </c>
      <c r="F38" s="6" t="str">
        <f>VLOOKUP(G38,[1]Discrete!$A:$B,2,FALSE)</f>
        <v>AJUSTE PARA 81 E4</v>
      </c>
      <c r="G38" s="6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$B$8,"_",G38),D38="DJ",CONCATENATE(B38,"_",C38,$B$3,"_",$B$4,"_",G38),D38="DJ_P",CONCATENATE(B38,"_",C38,$B$3,"_",$B$4,"_P","_",G38),D38="DJ_A",CONCATENATE(B38,"_",C38,$B$3,"_",$B$4,"_A","_",G38),D38="LT_P",CONCATENATE(B38,"_",C38,$B$3,"_",C38,$B$3,"_P","_",G38),D38="LT_A",CONCATENATE(B38,"_",C38,$B$3,"_",C38,$B$3,"_A","_",G38))</f>
        <v>IMA_LT5_24-3_81U4</v>
      </c>
      <c r="I38" s="6" t="s">
        <v>188</v>
      </c>
      <c r="J38" s="6" t="s">
        <v>188</v>
      </c>
      <c r="K38" s="6" t="s">
        <v>188</v>
      </c>
      <c r="L38" s="6" t="s">
        <v>188</v>
      </c>
      <c r="M38" s="6" t="s">
        <v>280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29</v>
      </c>
      <c r="D39" s="6" t="s">
        <v>30</v>
      </c>
      <c r="E39" s="7" t="s">
        <v>24</v>
      </c>
      <c r="F39" s="6" t="s">
        <v>296</v>
      </c>
      <c r="G39" s="6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$B$8,"_",G39),D39="DJ",CONCATENATE(B39,"_",C39,$B$3,"_",$B$4,"_",G39),D39="DJ_P",CONCATENATE(B39,"_",C39,$B$3,"_",$B$4,"_P","_",G39),D39="DJ_A",CONCATENATE(B39,"_",C39,$B$3,"_",$B$4,"_A","_",G39),D39="LT_P",CONCATENATE(B39,"_",C39,$B$3,"_",C39,$B$3,"_P","_",G39),D39="LT_A",CONCATENATE(B39,"_",C39,$B$3,"_",C39,$B$3,"_A","_",G39))</f>
        <v>IMA_LT5_24-3_81U5</v>
      </c>
      <c r="I39" s="6" t="s">
        <v>188</v>
      </c>
      <c r="J39" s="6" t="s">
        <v>188</v>
      </c>
      <c r="K39" s="6" t="s">
        <v>188</v>
      </c>
      <c r="L39" s="6" t="s">
        <v>188</v>
      </c>
      <c r="M39" s="6" t="s">
        <v>280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29</v>
      </c>
      <c r="D40" s="6" t="s">
        <v>31</v>
      </c>
      <c r="E40" s="2" t="s">
        <v>25</v>
      </c>
      <c r="F40" s="6" t="str">
        <f>VLOOKUP(G40,[1]Discrete!$A:$B,2,FALSE)</f>
        <v>SECCIONADORA CARGA</v>
      </c>
      <c r="G40" s="6" t="s">
        <v>31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$B$8,"_",G40),D40="DJ",CONCATENATE(B40,"_",C40,$B$3,"_",$B$4,"_",G40),D40="DJ_P",CONCATENATE(B40,"_",C40,$B$3,"_",$B$4,"_P","_",G40),D40="DJ_A",CONCATENATE(B40,"_",C40,$B$3,"_",$B$4,"_A","_",G40),D40="LT_P",CONCATENATE(B40,"_",C40,$B$3,"_",C40,$B$3,"_P","_",G40),D40="LT_A",CONCATENATE(B40,"_",C40,$B$3,"_",C40,$B$3,"_A","_",G40))</f>
        <v>IMA_LT5_89-44_SECC</v>
      </c>
      <c r="I40" s="6" t="s">
        <v>267</v>
      </c>
      <c r="J40" s="6" t="s">
        <v>281</v>
      </c>
      <c r="K40" s="6" t="s">
        <v>285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29</v>
      </c>
      <c r="D41" s="6" t="s">
        <v>31</v>
      </c>
      <c r="E41" s="2" t="s">
        <v>25</v>
      </c>
      <c r="F41" s="6" t="str">
        <f>VLOOKUP(G41,[1]Discrete!$A:$B,2,FALSE)</f>
        <v>43 - CHAVE LOCAL REMOTO</v>
      </c>
      <c r="G41" s="6" t="s">
        <v>39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$B$8,"_",G41),D41="DJ",CONCATENATE(B41,"_",C41,$B$3,"_",$B$4,"_",G41),D41="DJ_P",CONCATENATE(B41,"_",C41,$B$3,"_",$B$4,"_P","_",G41),D41="DJ_A",CONCATENATE(B41,"_",C41,$B$3,"_",$B$4,"_A","_",G41),D41="LT_P",CONCATENATE(B41,"_",C41,$B$3,"_",C41,$B$3,"_P","_",G41),D41="LT_A",CONCATENATE(B41,"_",C41,$B$3,"_",C41,$B$3,"_A","_",G41))</f>
        <v>IMA_LT5_89-44_43LR</v>
      </c>
      <c r="I41" s="6" t="s">
        <v>267</v>
      </c>
      <c r="J41" s="6" t="s">
        <v>186</v>
      </c>
      <c r="K41" s="6" t="s">
        <v>185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29</v>
      </c>
      <c r="D42" s="6" t="s">
        <v>31</v>
      </c>
      <c r="E42" s="2" t="s">
        <v>25</v>
      </c>
      <c r="F42" s="6" t="str">
        <f>VLOOKUP(G42,[1]Discrete!$A:$B,2,FALSE)</f>
        <v>FALTA VCC</v>
      </c>
      <c r="G42" s="6" t="s">
        <v>42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$B$8,"_",G42),D42="DJ",CONCATENATE(B42,"_",C42,$B$3,"_",$B$4,"_",G42),D42="DJ_P",CONCATENATE(B42,"_",C42,$B$3,"_",$B$4,"_P","_",G42),D42="DJ_A",CONCATENATE(B42,"_",C42,$B$3,"_",$B$4,"_A","_",G42),D42="LT_P",CONCATENATE(B42,"_",C42,$B$3,"_",C42,$B$3,"_P","_",G42),D42="LT_A",CONCATENATE(B42,"_",C42,$B$3,"_",C42,$B$3,"_A","_",G42))</f>
        <v>IMA_LT5_89-44_CCFL</v>
      </c>
      <c r="I42" s="6" t="s">
        <v>267</v>
      </c>
      <c r="J42" s="6" t="s">
        <v>182</v>
      </c>
      <c r="K42" s="6" t="s">
        <v>181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29</v>
      </c>
      <c r="D43" s="6" t="s">
        <v>31</v>
      </c>
      <c r="E43" s="2" t="s">
        <v>25</v>
      </c>
      <c r="F43" s="6" t="str">
        <f>VLOOKUP(G43,[1]Discrete!$A:$B,2,FALSE)</f>
        <v>OPERACAO INDEVIDA SECCIONADORA</v>
      </c>
      <c r="G43" s="6" t="s">
        <v>295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$B$8,"_",G43),D43="DJ",CONCATENATE(B43,"_",C43,$B$3,"_",$B$4,"_",G43),D43="DJ_P",CONCATENATE(B43,"_",C43,$B$3,"_",$B$4,"_P","_",G43),D43="DJ_A",CONCATENATE(B43,"_",C43,$B$3,"_",$B$4,"_A","_",G43),D43="LT_P",CONCATENATE(B43,"_",C43,$B$3,"_",C43,$B$3,"_P","_",G43),D43="LT_A",CONCATENATE(B43,"_",C43,$B$3,"_",C43,$B$3,"_A","_",G43))</f>
        <v>IMA_LT5_89-44_OI</v>
      </c>
      <c r="I43" s="6" t="s">
        <v>267</v>
      </c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29</v>
      </c>
      <c r="D44" s="6" t="s">
        <v>31</v>
      </c>
      <c r="E44" s="2" t="s">
        <v>25</v>
      </c>
      <c r="F44" s="6" t="str">
        <f>VLOOKUP(G44,[1]Discrete!$A:$B,2,FALSE)</f>
        <v>LIBERA MANOBRA</v>
      </c>
      <c r="G44" s="6" t="s">
        <v>112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$B$8,"_",G44),D44="DJ",CONCATENATE(B44,"_",C44,$B$3,"_",$B$4,"_",G44),D44="DJ_P",CONCATENATE(B44,"_",C44,$B$3,"_",$B$4,"_P","_",G44),D44="DJ_A",CONCATENATE(B44,"_",C44,$B$3,"_",$B$4,"_A","_",G44),D44="LT_P",CONCATENATE(B44,"_",C44,$B$3,"_",C44,$B$3,"_P","_",G44),D44="LT_A",CONCATENATE(B44,"_",C44,$B$3,"_",C44,$B$3,"_A","_",G44))</f>
        <v>IMA_LT5_89-44_LIBM</v>
      </c>
      <c r="I44" s="6" t="s">
        <v>267</v>
      </c>
      <c r="J44" s="6" t="s">
        <v>209</v>
      </c>
      <c r="K44" s="6" t="s">
        <v>210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29</v>
      </c>
      <c r="D45" s="6" t="s">
        <v>32</v>
      </c>
      <c r="E45" s="2" t="s">
        <v>25</v>
      </c>
      <c r="F45" s="6" t="str">
        <f>VLOOKUP(G45,[1]Discrete!$A:$B,2,FALSE)</f>
        <v>SECCIONADORA FONTE</v>
      </c>
      <c r="G45" s="6" t="s">
        <v>32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$B$8,"_",G45),D45="DJ",CONCATENATE(B45,"_",C45,$B$3,"_",$B$4,"_",G45),D45="DJ_P",CONCATENATE(B45,"_",C45,$B$3,"_",$B$4,"_P","_",G45),D45="DJ_A",CONCATENATE(B45,"_",C45,$B$3,"_",$B$4,"_A","_",G45),D45="LT_P",CONCATENATE(B45,"_",C45,$B$3,"_",C45,$B$3,"_P","_",G45),D45="LT_A",CONCATENATE(B45,"_",C45,$B$3,"_",C45,$B$3,"_A","_",G45))</f>
        <v>IMA_LT5_89-42_SECF</v>
      </c>
      <c r="I45" s="6" t="s">
        <v>267</v>
      </c>
      <c r="J45" s="6" t="s">
        <v>281</v>
      </c>
      <c r="K45" s="6" t="s">
        <v>285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29</v>
      </c>
      <c r="D46" s="6" t="s">
        <v>32</v>
      </c>
      <c r="E46" s="2" t="s">
        <v>25</v>
      </c>
      <c r="F46" s="6" t="str">
        <f>VLOOKUP(G46,[1]Discrete!$A:$B,2,FALSE)</f>
        <v>43 - CHAVE LOCAL REMOTO</v>
      </c>
      <c r="G46" s="6" t="s">
        <v>39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$B$8,"_",G46),D46="DJ",CONCATENATE(B46,"_",C46,$B$3,"_",$B$4,"_",G46),D46="DJ_P",CONCATENATE(B46,"_",C46,$B$3,"_",$B$4,"_P","_",G46),D46="DJ_A",CONCATENATE(B46,"_",C46,$B$3,"_",$B$4,"_A","_",G46),D46="LT_P",CONCATENATE(B46,"_",C46,$B$3,"_",C46,$B$3,"_P","_",G46),D46="LT_A",CONCATENATE(B46,"_",C46,$B$3,"_",C46,$B$3,"_A","_",G46))</f>
        <v>IMA_LT5_89-42_43LR</v>
      </c>
      <c r="I46" s="6" t="s">
        <v>267</v>
      </c>
      <c r="J46" s="6" t="s">
        <v>186</v>
      </c>
      <c r="K46" s="6" t="s">
        <v>185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29</v>
      </c>
      <c r="D47" s="6" t="s">
        <v>32</v>
      </c>
      <c r="E47" s="2" t="s">
        <v>25</v>
      </c>
      <c r="F47" s="6" t="str">
        <f>VLOOKUP(G47,[1]Discrete!$A:$B,2,FALSE)</f>
        <v>FALTA VCC</v>
      </c>
      <c r="G47" s="6" t="s">
        <v>42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$B$8,"_",G47),D47="DJ",CONCATENATE(B47,"_",C47,$B$3,"_",$B$4,"_",G47),D47="DJ_P",CONCATENATE(B47,"_",C47,$B$3,"_",$B$4,"_P","_",G47),D47="DJ_A",CONCATENATE(B47,"_",C47,$B$3,"_",$B$4,"_A","_",G47),D47="LT_P",CONCATENATE(B47,"_",C47,$B$3,"_",C47,$B$3,"_P","_",G47),D47="LT_A",CONCATENATE(B47,"_",C47,$B$3,"_",C47,$B$3,"_A","_",G47))</f>
        <v>IMA_LT5_89-42_CCFL</v>
      </c>
      <c r="I47" s="6" t="s">
        <v>267</v>
      </c>
      <c r="J47" s="6" t="s">
        <v>182</v>
      </c>
      <c r="K47" s="6" t="s">
        <v>181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29</v>
      </c>
      <c r="D48" s="6" t="s">
        <v>32</v>
      </c>
      <c r="E48" s="2" t="s">
        <v>25</v>
      </c>
      <c r="F48" s="6" t="str">
        <f>VLOOKUP(G48,[1]Discrete!$A:$B,2,FALSE)</f>
        <v>OPERACAO INDEVIDA SECCIONADORA</v>
      </c>
      <c r="G48" s="6" t="s">
        <v>295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$B$8,"_",G48),D48="DJ",CONCATENATE(B48,"_",C48,$B$3,"_",$B$4,"_",G48),D48="DJ_P",CONCATENATE(B48,"_",C48,$B$3,"_",$B$4,"_P","_",G48),D48="DJ_A",CONCATENATE(B48,"_",C48,$B$3,"_",$B$4,"_A","_",G48),D48="LT_P",CONCATENATE(B48,"_",C48,$B$3,"_",C48,$B$3,"_P","_",G48),D48="LT_A",CONCATENATE(B48,"_",C48,$B$3,"_",C48,$B$3,"_A","_",G48))</f>
        <v>IMA_LT5_89-42_OI</v>
      </c>
      <c r="I48" s="6" t="s">
        <v>267</v>
      </c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29</v>
      </c>
      <c r="D49" s="6" t="s">
        <v>32</v>
      </c>
      <c r="E49" s="2" t="s">
        <v>25</v>
      </c>
      <c r="F49" s="6" t="str">
        <f>VLOOKUP(G49,[1]Discrete!$A:$B,2,FALSE)</f>
        <v>LIBERA MANOBRA</v>
      </c>
      <c r="G49" s="6" t="s">
        <v>112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$B$8,"_",G49),D49="DJ",CONCATENATE(B49,"_",C49,$B$3,"_",$B$4,"_",G49),D49="DJ_P",CONCATENATE(B49,"_",C49,$B$3,"_",$B$4,"_P","_",G49),D49="DJ_A",CONCATENATE(B49,"_",C49,$B$3,"_",$B$4,"_A","_",G49),D49="LT_P",CONCATENATE(B49,"_",C49,$B$3,"_",C49,$B$3,"_P","_",G49),D49="LT_A",CONCATENATE(B49,"_",C49,$B$3,"_",C49,$B$3,"_A","_",G49))</f>
        <v>IMA_LT5_89-42_LIBM</v>
      </c>
      <c r="I49" s="6" t="s">
        <v>267</v>
      </c>
      <c r="J49" s="6" t="s">
        <v>209</v>
      </c>
      <c r="K49" s="6" t="s">
        <v>210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29</v>
      </c>
      <c r="D50" s="6" t="s">
        <v>33</v>
      </c>
      <c r="E50" s="2" t="s">
        <v>25</v>
      </c>
      <c r="F50" s="6" t="str">
        <f>VLOOKUP(G50,[1]Discrete!$A:$B,2,FALSE)</f>
        <v>SECCIONADORA TRANSFERENCIA</v>
      </c>
      <c r="G50" s="6" t="s">
        <v>33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$B$8,"_",G50),D50="DJ",CONCATENATE(B50,"_",C50,$B$3,"_",$B$4,"_",G50),D50="DJ_P",CONCATENATE(B50,"_",C50,$B$3,"_",$B$4,"_P","_",G50),D50="DJ_A",CONCATENATE(B50,"_",C50,$B$3,"_",$B$4,"_A","_",G50),D50="LT_P",CONCATENATE(B50,"_",C50,$B$3,"_",C50,$B$3,"_P","_",G50),D50="LT_A",CONCATENATE(B50,"_",C50,$B$3,"_",C50,$B$3,"_A","_",G50))</f>
        <v>IMA_LT5__SECT</v>
      </c>
      <c r="I50" s="6" t="s">
        <v>267</v>
      </c>
      <c r="J50" s="6" t="s">
        <v>281</v>
      </c>
      <c r="K50" s="6" t="s">
        <v>285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29</v>
      </c>
      <c r="D51" s="6" t="s">
        <v>33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$B$8,"_",G51),D51="DJ",CONCATENATE(B51,"_",C51,$B$3,"_",$B$4,"_",G51),D51="DJ_P",CONCATENATE(B51,"_",C51,$B$3,"_",$B$4,"_P","_",G51),D51="DJ_A",CONCATENATE(B51,"_",C51,$B$3,"_",$B$4,"_A","_",G51),D51="LT_P",CONCATENATE(B51,"_",C51,$B$3,"_",C51,$B$3,"_P","_",G51),D51="LT_A",CONCATENATE(B51,"_",C51,$B$3,"_",C51,$B$3,"_A","_",G51))</f>
        <v>IMA_LT5__43LR</v>
      </c>
      <c r="I51" s="6" t="s">
        <v>267</v>
      </c>
      <c r="J51" s="6" t="s">
        <v>186</v>
      </c>
      <c r="K51" s="6" t="s">
        <v>185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29</v>
      </c>
      <c r="D52" s="6" t="s">
        <v>33</v>
      </c>
      <c r="E52" s="2" t="s">
        <v>25</v>
      </c>
      <c r="F52" s="6" t="str">
        <f>VLOOKUP(G52,[1]Discrete!$A:$B,2,FALSE)</f>
        <v>FALTA VCC</v>
      </c>
      <c r="G52" s="6" t="s">
        <v>42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$B$8,"_",G52),D52="DJ",CONCATENATE(B52,"_",C52,$B$3,"_",$B$4,"_",G52),D52="DJ_P",CONCATENATE(B52,"_",C52,$B$3,"_",$B$4,"_P","_",G52),D52="DJ_A",CONCATENATE(B52,"_",C52,$B$3,"_",$B$4,"_A","_",G52),D52="LT_P",CONCATENATE(B52,"_",C52,$B$3,"_",C52,$B$3,"_P","_",G52),D52="LT_A",CONCATENATE(B52,"_",C52,$B$3,"_",C52,$B$3,"_A","_",G52))</f>
        <v>IMA_LT5__CCFL</v>
      </c>
      <c r="I52" s="6" t="s">
        <v>267</v>
      </c>
      <c r="J52" s="6" t="s">
        <v>182</v>
      </c>
      <c r="K52" s="6" t="s">
        <v>181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29</v>
      </c>
      <c r="D53" s="6" t="s">
        <v>33</v>
      </c>
      <c r="E53" s="2" t="s">
        <v>25</v>
      </c>
      <c r="F53" s="6" t="str">
        <f>VLOOKUP(G53,[1]Discrete!$A:$B,2,FALSE)</f>
        <v>OPERACAO INDEVIDA SECCIONADORA</v>
      </c>
      <c r="G53" s="6" t="s">
        <v>295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$B$8,"_",G53),D53="DJ",CONCATENATE(B53,"_",C53,$B$3,"_",$B$4,"_",G53),D53="DJ_P",CONCATENATE(B53,"_",C53,$B$3,"_",$B$4,"_P","_",G53),D53="DJ_A",CONCATENATE(B53,"_",C53,$B$3,"_",$B$4,"_A","_",G53),D53="LT_P",CONCATENATE(B53,"_",C53,$B$3,"_",C53,$B$3,"_P","_",G53),D53="LT_A",CONCATENATE(B53,"_",C53,$B$3,"_",C53,$B$3,"_A","_",G53))</f>
        <v>IMA_LT5__OI</v>
      </c>
      <c r="I53" s="6" t="s">
        <v>267</v>
      </c>
      <c r="J53" s="6" t="s">
        <v>182</v>
      </c>
      <c r="K53" s="6" t="s">
        <v>179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29</v>
      </c>
      <c r="D54" s="6" t="s">
        <v>33</v>
      </c>
      <c r="E54" s="2" t="s">
        <v>25</v>
      </c>
      <c r="F54" s="6" t="str">
        <f>VLOOKUP(G54,[1]Discrete!$A:$B,2,FALSE)</f>
        <v>LIBERA MANOBRA</v>
      </c>
      <c r="G54" s="6" t="s">
        <v>112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$B$8,"_",G54),D54="DJ",CONCATENATE(B54,"_",C54,$B$3,"_",$B$4,"_",G54),D54="DJ_P",CONCATENATE(B54,"_",C54,$B$3,"_",$B$4,"_P","_",G54),D54="DJ_A",CONCATENATE(B54,"_",C54,$B$3,"_",$B$4,"_A","_",G54),D54="LT_P",CONCATENATE(B54,"_",C54,$B$3,"_",C54,$B$3,"_P","_",G54),D54="LT_A",CONCATENATE(B54,"_",C54,$B$3,"_",C54,$B$3,"_A","_",G54))</f>
        <v>IMA_LT5__LIBM</v>
      </c>
      <c r="I54" s="6" t="s">
        <v>267</v>
      </c>
      <c r="J54" s="6" t="s">
        <v>209</v>
      </c>
      <c r="K54" s="6" t="s">
        <v>210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29</v>
      </c>
      <c r="D55" s="6" t="s">
        <v>82</v>
      </c>
      <c r="E55" s="2" t="s">
        <v>25</v>
      </c>
      <c r="F55" s="6" t="str">
        <f>VLOOKUP(G55,[1]Discrete!$A:$B,2,FALSE)</f>
        <v>SECCIONADORA TERRA</v>
      </c>
      <c r="G55" s="6" t="s">
        <v>82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$B$8,"_",G55),D55="DJ",CONCATENATE(B55,"_",C55,$B$3,"_",$B$4,"_",G55),D55="DJ_P",CONCATENATE(B55,"_",C55,$B$3,"_",$B$4,"_P","_",G55),D55="DJ_A",CONCATENATE(B55,"_",C55,$B$3,"_",$B$4,"_A","_",G55),D55="LT_P",CONCATENATE(B55,"_",C55,$B$3,"_",C55,$B$3,"_P","_",G55),D55="LT_A",CONCATENATE(B55,"_",C55,$B$3,"_",C55,$B$3,"_A","_",G55))</f>
        <v>IMA_LT5_SUBESTAÇÃO_SECG</v>
      </c>
      <c r="I55" s="6" t="s">
        <v>267</v>
      </c>
      <c r="J55" s="6" t="s">
        <v>281</v>
      </c>
      <c r="K55" s="6" t="s">
        <v>285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29</v>
      </c>
      <c r="D56" s="6" t="s">
        <v>30</v>
      </c>
      <c r="E56" s="2" t="s">
        <v>25</v>
      </c>
      <c r="F56" s="6" t="str">
        <f>VLOOKUP(G56,[1]Discrete!$A:$B,2,FALSE)</f>
        <v>DISJUNTOR NF</v>
      </c>
      <c r="G56" s="6" t="s">
        <v>34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$B$8,"_",G56),D56="DJ",CONCATENATE(B56,"_",C56,$B$3,"_",$B$4,"_",G56),D56="DJ_P",CONCATENATE(B56,"_",C56,$B$3,"_",$B$4,"_P","_",G56),D56="DJ_A",CONCATENATE(B56,"_",C56,$B$3,"_",$B$4,"_A","_",G56),D56="LT_P",CONCATENATE(B56,"_",C56,$B$3,"_",C56,$B$3,"_P","_",G56),D56="LT_A",CONCATENATE(B56,"_",C56,$B$3,"_",C56,$B$3,"_A","_",G56))</f>
        <v>IMA_LT5_24-3_DJF1</v>
      </c>
      <c r="I56" s="6" t="s">
        <v>267</v>
      </c>
      <c r="J56" s="6" t="s">
        <v>284</v>
      </c>
      <c r="K56" s="6" t="s">
        <v>286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29</v>
      </c>
      <c r="D57" s="6" t="s">
        <v>30</v>
      </c>
      <c r="E57" s="2" t="s">
        <v>25</v>
      </c>
      <c r="F57" s="6" t="e">
        <f>VLOOKUP(G57,[1]Discrete!$A:$B,2,FALSE)</f>
        <v>#N/A</v>
      </c>
      <c r="G57" s="6">
        <v>79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$B$8,"_",G57),D57="DJ",CONCATENATE(B57,"_",C57,$B$3,"_",$B$4,"_",G57),D57="DJ_P",CONCATENATE(B57,"_",C57,$B$3,"_",$B$4,"_P","_",G57),D57="DJ_A",CONCATENATE(B57,"_",C57,$B$3,"_",$B$4,"_A","_",G57),D57="LT_P",CONCATENATE(B57,"_",C57,$B$3,"_",C57,$B$3,"_P","_",G57),D57="LT_A",CONCATENATE(B57,"_",C57,$B$3,"_",C57,$B$3,"_A","_",G57))</f>
        <v>IMA_LT5_24-3_79</v>
      </c>
      <c r="I57" s="6" t="s">
        <v>267</v>
      </c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29</v>
      </c>
      <c r="D58" s="6" t="s">
        <v>30</v>
      </c>
      <c r="E58" s="2" t="s">
        <v>25</v>
      </c>
      <c r="F58" s="6" t="str">
        <f>VLOOKUP(G58,[1]Discrete!$A:$B,2,FALSE)</f>
        <v>51 - FUNCAO SOBRECORRENTE TEMPORIZADA NEUTRO</v>
      </c>
      <c r="G58" s="6" t="s">
        <v>35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$B$8,"_",G58),D58="DJ",CONCATENATE(B58,"_",C58,$B$3,"_",$B$4,"_",G58),D58="DJ_P",CONCATENATE(B58,"_",C58,$B$3,"_",$B$4,"_P","_",G58),D58="DJ_A",CONCATENATE(B58,"_",C58,$B$3,"_",$B$4,"_A","_",G58),D58="LT_P",CONCATENATE(B58,"_",C58,$B$3,"_",C58,$B$3,"_P","_",G58),D58="LT_A",CONCATENATE(B58,"_",C58,$B$3,"_",C58,$B$3,"_A","_",G58))</f>
        <v>IMA_LT5_24-3_51N</v>
      </c>
      <c r="I58" s="6" t="s">
        <v>267</v>
      </c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29</v>
      </c>
      <c r="D59" s="6" t="s">
        <v>30</v>
      </c>
      <c r="E59" s="2" t="s">
        <v>25</v>
      </c>
      <c r="F59" s="6" t="str">
        <f>VLOOKUP(G59,[1]Discrete!$A:$B,2,FALSE)</f>
        <v>ALARME BAIXA PRESSAO SF6</v>
      </c>
      <c r="G59" s="6" t="s">
        <v>37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$B$8,"_",G59),D59="DJ",CONCATENATE(B59,"_",C59,$B$3,"_",$B$4,"_",G59),D59="DJ_P",CONCATENATE(B59,"_",C59,$B$3,"_",$B$4,"_P","_",G59),D59="DJ_A",CONCATENATE(B59,"_",C59,$B$3,"_",$B$4,"_A","_",G59),D59="LT_P",CONCATENATE(B59,"_",C59,$B$3,"_",C59,$B$3,"_P","_",G59),D59="LT_A",CONCATENATE(B59,"_",C59,$B$3,"_",C59,$B$3,"_A","_",G59))</f>
        <v>IMA_LT5_24-3_SF6A</v>
      </c>
      <c r="I59" s="6" t="s">
        <v>267</v>
      </c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29</v>
      </c>
      <c r="D60" s="6" t="s">
        <v>30</v>
      </c>
      <c r="E60" s="2" t="s">
        <v>25</v>
      </c>
      <c r="F60" s="6" t="str">
        <f>VLOOKUP(G60,[1]Discrete!$A:$B,2,FALSE)</f>
        <v>BLOQUEIO BAIXA PRESSAO SF6</v>
      </c>
      <c r="G60" s="6" t="s">
        <v>49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$B$8,"_",G60),D60="DJ",CONCATENATE(B60,"_",C60,$B$3,"_",$B$4,"_",G60),D60="DJ_P",CONCATENATE(B60,"_",C60,$B$3,"_",$B$4,"_P","_",G60),D60="DJ_A",CONCATENATE(B60,"_",C60,$B$3,"_",$B$4,"_A","_",G60),D60="LT_P",CONCATENATE(B60,"_",C60,$B$3,"_",C60,$B$3,"_P","_",G60),D60="LT_A",CONCATENATE(B60,"_",C60,$B$3,"_",C60,$B$3,"_A","_",G60))</f>
        <v>IMA_LT5_24-3_SF6B</v>
      </c>
      <c r="I60" s="6" t="s">
        <v>267</v>
      </c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29</v>
      </c>
      <c r="D61" s="6" t="s">
        <v>30</v>
      </c>
      <c r="E61" s="2" t="s">
        <v>25</v>
      </c>
      <c r="F61" s="6" t="str">
        <f>VLOOKUP(G61,[1]Discrete!$A:$B,2,FALSE)</f>
        <v>MOLA</v>
      </c>
      <c r="G61" s="6" t="s">
        <v>38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$B$8,"_",G61),D61="DJ",CONCATENATE(B61,"_",C61,$B$3,"_",$B$4,"_",G61),D61="DJ_P",CONCATENATE(B61,"_",C61,$B$3,"_",$B$4,"_P","_",G61),D61="DJ_A",CONCATENATE(B61,"_",C61,$B$3,"_",$B$4,"_A","_",G61),D61="LT_P",CONCATENATE(B61,"_",C61,$B$3,"_",C61,$B$3,"_P","_",G61),D61="LT_A",CONCATENATE(B61,"_",C61,$B$3,"_",C61,$B$3,"_A","_",G61))</f>
        <v>IMA_LT5_24-3_MOLA</v>
      </c>
      <c r="I61" s="6" t="s">
        <v>267</v>
      </c>
      <c r="J61" s="6" t="s">
        <v>283</v>
      </c>
      <c r="K61" s="6" t="s">
        <v>282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29</v>
      </c>
      <c r="D62" s="6" t="s">
        <v>30</v>
      </c>
      <c r="E62" s="2" t="s">
        <v>25</v>
      </c>
      <c r="F62" s="6" t="str">
        <f>VLOOKUP(G62,[1]Discrete!$A:$B,2,FALSE)</f>
        <v>43 - CHAVE LOCAL REMOTO</v>
      </c>
      <c r="G62" s="6" t="s">
        <v>39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$B$8,"_",G62),D62="DJ",CONCATENATE(B62,"_",C62,$B$3,"_",$B$4,"_",G62),D62="DJ_P",CONCATENATE(B62,"_",C62,$B$3,"_",$B$4,"_P","_",G62),D62="DJ_A",CONCATENATE(B62,"_",C62,$B$3,"_",$B$4,"_A","_",G62),D62="LT_P",CONCATENATE(B62,"_",C62,$B$3,"_",C62,$B$3,"_P","_",G62),D62="LT_A",CONCATENATE(B62,"_",C62,$B$3,"_",C62,$B$3,"_A","_",G62))</f>
        <v>IMA_LT5_24-3_43LR</v>
      </c>
      <c r="I62" s="6" t="s">
        <v>267</v>
      </c>
      <c r="J62" s="6" t="s">
        <v>186</v>
      </c>
      <c r="K62" s="6" t="s">
        <v>185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29</v>
      </c>
      <c r="D63" s="6" t="s">
        <v>30</v>
      </c>
      <c r="E63" s="2" t="s">
        <v>25</v>
      </c>
      <c r="F63" s="6" t="str">
        <f>VLOOKUP(G63,[1]Discrete!$A:$B,2,FALSE)</f>
        <v>43 - CHAVE TELECOMANDO</v>
      </c>
      <c r="G63" s="6" t="s">
        <v>40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$B$8,"_",G63),D63="DJ",CONCATENATE(B63,"_",C63,$B$3,"_",$B$4,"_",G63),D63="DJ_P",CONCATENATE(B63,"_",C63,$B$3,"_",$B$4,"_P","_",G63),D63="DJ_A",CONCATENATE(B63,"_",C63,$B$3,"_",$B$4,"_A","_",G63),D63="LT_P",CONCATENATE(B63,"_",C63,$B$3,"_",C63,$B$3,"_P","_",G63),D63="LT_A",CONCATENATE(B63,"_",C63,$B$3,"_",C63,$B$3,"_A","_",G63))</f>
        <v>IMA_LT5_24-3_43TC</v>
      </c>
      <c r="I63" s="6" t="s">
        <v>267</v>
      </c>
      <c r="J63" s="6" t="s">
        <v>184</v>
      </c>
      <c r="K63" s="6" t="s">
        <v>183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29</v>
      </c>
      <c r="D64" s="6" t="s">
        <v>30</v>
      </c>
      <c r="E64" s="2" t="s">
        <v>25</v>
      </c>
      <c r="F64" s="6" t="str">
        <f>VLOOKUP(G64,[1]Discrete!$A:$B,2,FALSE)</f>
        <v>BOBINA ABERTURA</v>
      </c>
      <c r="G64" s="6" t="s">
        <v>41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$B$8,"_",G64),D64="DJ",CONCATENATE(B64,"_",C64,$B$3,"_",$B$4,"_",G64),D64="DJ_P",CONCATENATE(B64,"_",C64,$B$3,"_",$B$4,"_P","_",G64),D64="DJ_A",CONCATENATE(B64,"_",C64,$B$3,"_",$B$4,"_A","_",G64),D64="LT_P",CONCATENATE(B64,"_",C64,$B$3,"_",C64,$B$3,"_P","_",G64),D64="LT_A",CONCATENATE(B64,"_",C64,$B$3,"_",C64,$B$3,"_A","_",G64))</f>
        <v>IMA_LT5_24-3_BBAB</v>
      </c>
      <c r="I64" s="6" t="s">
        <v>267</v>
      </c>
      <c r="J64" s="6" t="s">
        <v>182</v>
      </c>
      <c r="K64" s="6" t="s">
        <v>180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29</v>
      </c>
      <c r="D65" s="6" t="s">
        <v>30</v>
      </c>
      <c r="E65" s="2" t="s">
        <v>25</v>
      </c>
      <c r="F65" s="6" t="str">
        <f>VLOOKUP(G65,[1]Discrete!$A:$B,2,FALSE)</f>
        <v>BOBINA FECHAMENTO</v>
      </c>
      <c r="G65" s="6" t="s">
        <v>50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$B$8,"_",G65),D65="DJ",CONCATENATE(B65,"_",C65,$B$3,"_",$B$4,"_",G65),D65="DJ_P",CONCATENATE(B65,"_",C65,$B$3,"_",$B$4,"_P","_",G65),D65="DJ_A",CONCATENATE(B65,"_",C65,$B$3,"_",$B$4,"_A","_",G65),D65="LT_P",CONCATENATE(B65,"_",C65,$B$3,"_",C65,$B$3,"_P","_",G65),D65="LT_A",CONCATENATE(B65,"_",C65,$B$3,"_",C65,$B$3,"_A","_",G65))</f>
        <v>IMA_LT5_24-3_BBFC</v>
      </c>
      <c r="I65" s="6" t="s">
        <v>267</v>
      </c>
      <c r="J65" s="6" t="s">
        <v>182</v>
      </c>
      <c r="K65" s="6" t="s">
        <v>180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29</v>
      </c>
      <c r="D66" s="6" t="s">
        <v>30</v>
      </c>
      <c r="E66" s="2" t="s">
        <v>25</v>
      </c>
      <c r="F66" s="6" t="str">
        <f>VLOOKUP(G66,[1]Discrete!$A:$B,2,FALSE)</f>
        <v>FALTA VCC</v>
      </c>
      <c r="G66" s="6" t="s">
        <v>42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$B$8,"_",G66),D66="DJ",CONCATENATE(B66,"_",C66,$B$3,"_",$B$4,"_",G66),D66="DJ_P",CONCATENATE(B66,"_",C66,$B$3,"_",$B$4,"_P","_",G66),D66="DJ_A",CONCATENATE(B66,"_",C66,$B$3,"_",$B$4,"_A","_",G66),D66="LT_P",CONCATENATE(B66,"_",C66,$B$3,"_",C66,$B$3,"_P","_",G66),D66="LT_A",CONCATENATE(B66,"_",C66,$B$3,"_",C66,$B$3,"_A","_",G66))</f>
        <v>IMA_LT5_24-3_CCFL</v>
      </c>
      <c r="I66" s="6" t="s">
        <v>267</v>
      </c>
      <c r="J66" s="6" t="s">
        <v>182</v>
      </c>
      <c r="K66" s="6" t="s">
        <v>187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29</v>
      </c>
      <c r="D67" s="6" t="s">
        <v>30</v>
      </c>
      <c r="E67" s="2" t="s">
        <v>25</v>
      </c>
      <c r="F67" s="6" t="str">
        <f>VLOOKUP(G67,[1]Discrete!$A:$B,2,FALSE)</f>
        <v>FALTA VCA</v>
      </c>
      <c r="G67" s="6" t="s">
        <v>43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$B$8,"_",G67),D67="DJ",CONCATENATE(B67,"_",C67,$B$3,"_",$B$4,"_",G67),D67="DJ_P",CONCATENATE(B67,"_",C67,$B$3,"_",$B$4,"_P","_",G67),D67="DJ_A",CONCATENATE(B67,"_",C67,$B$3,"_",$B$4,"_A","_",G67),D67="LT_P",CONCATENATE(B67,"_",C67,$B$3,"_",C67,$B$3,"_P","_",G67),D67="LT_A",CONCATENATE(B67,"_",C67,$B$3,"_",C67,$B$3,"_A","_",G67))</f>
        <v>IMA_LT5_24-3_CAFL</v>
      </c>
      <c r="I67" s="6" t="s">
        <v>267</v>
      </c>
      <c r="J67" s="6" t="s">
        <v>182</v>
      </c>
      <c r="K67" s="6" t="s">
        <v>187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29</v>
      </c>
      <c r="D68" s="6" t="s">
        <v>30</v>
      </c>
      <c r="E68" s="2" t="s">
        <v>25</v>
      </c>
      <c r="F68" s="6" t="e">
        <f>VLOOKUP(G68,[1]Discrete!$A:$B,2,FALSE)</f>
        <v>#N/A</v>
      </c>
      <c r="G68" s="6">
        <v>81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$B$8,"_",G68),D68="DJ",CONCATENATE(B68,"_",C68,$B$3,"_",$B$4,"_",G68),D68="DJ_P",CONCATENATE(B68,"_",C68,$B$3,"_",$B$4,"_P","_",G68),D68="DJ_A",CONCATENATE(B68,"_",C68,$B$3,"_",$B$4,"_A","_",G68),D68="LT_P",CONCATENATE(B68,"_",C68,$B$3,"_",C68,$B$3,"_P","_",G68),D68="LT_A",CONCATENATE(B68,"_",C68,$B$3,"_",C68,$B$3,"_A","_",G68))</f>
        <v>IMA_LT5_24-3_81</v>
      </c>
      <c r="I68" s="6" t="s">
        <v>267</v>
      </c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29</v>
      </c>
      <c r="D69" s="6" t="s">
        <v>30</v>
      </c>
      <c r="E69" s="2" t="s">
        <v>25</v>
      </c>
      <c r="F69" s="6" t="str">
        <f>VLOOKUP(G69,[1]Discrete!$A:$B,2,FALSE)</f>
        <v>AJUSTE PARA 81 E1</v>
      </c>
      <c r="G69" s="6" t="s">
        <v>72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$B$8,"_",G69),D69="DJ",CONCATENATE(B69,"_",C69,$B$3,"_",$B$4,"_",G69),D69="DJ_P",CONCATENATE(B69,"_",C69,$B$3,"_",$B$4,"_P","_",G69),D69="DJ_A",CONCATENATE(B69,"_",C69,$B$3,"_",$B$4,"_A","_",G69),D69="LT_P",CONCATENATE(B69,"_",C69,$B$3,"_",C69,$B$3,"_P","_",G69),D69="LT_A",CONCATENATE(B69,"_",C69,$B$3,"_",C69,$B$3,"_A","_",G69))</f>
        <v>IMA_LT5_24-3_81U1</v>
      </c>
      <c r="I69" s="6" t="s">
        <v>267</v>
      </c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29</v>
      </c>
      <c r="D70" s="6" t="s">
        <v>30</v>
      </c>
      <c r="E70" s="2" t="s">
        <v>25</v>
      </c>
      <c r="F70" s="6" t="str">
        <f>VLOOKUP(G70,[1]Discrete!$A:$B,2,FALSE)</f>
        <v>AJUSTE PARA 81 E2</v>
      </c>
      <c r="G70" s="6" t="s">
        <v>73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$B$8,"_",G70),D70="DJ",CONCATENATE(B70,"_",C70,$B$3,"_",$B$4,"_",G70),D70="DJ_P",CONCATENATE(B70,"_",C70,$B$3,"_",$B$4,"_P","_",G70),D70="DJ_A",CONCATENATE(B70,"_",C70,$B$3,"_",$B$4,"_A","_",G70),D70="LT_P",CONCATENATE(B70,"_",C70,$B$3,"_",C70,$B$3,"_P","_",G70),D70="LT_A",CONCATENATE(B70,"_",C70,$B$3,"_",C70,$B$3,"_A","_",G70))</f>
        <v>IMA_LT5_24-3_81U2</v>
      </c>
      <c r="I70" s="6" t="s">
        <v>267</v>
      </c>
      <c r="J70" s="6" t="s">
        <v>182</v>
      </c>
      <c r="K70" s="6" t="s">
        <v>179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29</v>
      </c>
      <c r="D71" s="6" t="s">
        <v>30</v>
      </c>
      <c r="E71" s="2" t="s">
        <v>25</v>
      </c>
      <c r="F71" s="6" t="str">
        <f>VLOOKUP(G71,[1]Discrete!$A:$B,2,FALSE)</f>
        <v>AJUSTE PARA 81 E3</v>
      </c>
      <c r="G71" s="6" t="s">
        <v>74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$B$8,"_",G71),D71="DJ",CONCATENATE(B71,"_",C71,$B$3,"_",$B$4,"_",G71),D71="DJ_P",CONCATENATE(B71,"_",C71,$B$3,"_",$B$4,"_P","_",G71),D71="DJ_A",CONCATENATE(B71,"_",C71,$B$3,"_",$B$4,"_A","_",G71),D71="LT_P",CONCATENATE(B71,"_",C71,$B$3,"_",C71,$B$3,"_P","_",G71),D71="LT_A",CONCATENATE(B71,"_",C71,$B$3,"_",C71,$B$3,"_A","_",G71))</f>
        <v>IMA_LT5_24-3_81U3</v>
      </c>
      <c r="I71" s="6" t="s">
        <v>267</v>
      </c>
      <c r="J71" s="6" t="s">
        <v>182</v>
      </c>
      <c r="K71" s="6" t="s">
        <v>179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29</v>
      </c>
      <c r="D72" s="6" t="s">
        <v>30</v>
      </c>
      <c r="E72" s="2" t="s">
        <v>25</v>
      </c>
      <c r="F72" s="6" t="str">
        <f>VLOOKUP(G72,[1]Discrete!$A:$B,2,FALSE)</f>
        <v>AJUSTE PARA 81 E4</v>
      </c>
      <c r="G72" s="6" t="s">
        <v>75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$B$8,"_",G72),D72="DJ",CONCATENATE(B72,"_",C72,$B$3,"_",$B$4,"_",G72),D72="DJ_P",CONCATENATE(B72,"_",C72,$B$3,"_",$B$4,"_P","_",G72),D72="DJ_A",CONCATENATE(B72,"_",C72,$B$3,"_",$B$4,"_A","_",G72),D72="LT_P",CONCATENATE(B72,"_",C72,$B$3,"_",C72,$B$3,"_P","_",G72),D72="LT_A",CONCATENATE(B72,"_",C72,$B$3,"_",C72,$B$3,"_A","_",G72))</f>
        <v>IMA_LT5_24-3_81U4</v>
      </c>
      <c r="I72" s="6" t="s">
        <v>267</v>
      </c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29</v>
      </c>
      <c r="D73" s="6" t="s">
        <v>30</v>
      </c>
      <c r="E73" s="2" t="s">
        <v>25</v>
      </c>
      <c r="F73" s="6" t="s">
        <v>296</v>
      </c>
      <c r="G73" s="6" t="s">
        <v>76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$B$8,"_",G73),D73="DJ",CONCATENATE(B73,"_",C73,$B$3,"_",$B$4,"_",G73),D73="DJ_P",CONCATENATE(B73,"_",C73,$B$3,"_",$B$4,"_P","_",G73),D73="DJ_A",CONCATENATE(B73,"_",C73,$B$3,"_",$B$4,"_A","_",G73),D73="LT_P",CONCATENATE(B73,"_",C73,$B$3,"_",C73,$B$3,"_P","_",G73),D73="LT_A",CONCATENATE(B73,"_",C73,$B$3,"_",C73,$B$3,"_A","_",G73))</f>
        <v>IMA_LT5_24-3_81U5</v>
      </c>
      <c r="I73" s="6" t="s">
        <v>267</v>
      </c>
      <c r="J73" s="6" t="s">
        <v>182</v>
      </c>
      <c r="K73" s="6" t="s">
        <v>179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29</v>
      </c>
      <c r="D74" s="6" t="s">
        <v>30</v>
      </c>
      <c r="E74" s="2" t="s">
        <v>25</v>
      </c>
      <c r="F74" s="6" t="str">
        <f>VLOOKUP(G74,[1]Discrete!$A:$B,2,FALSE)</f>
        <v>62 - FALHA DISJUNTOR BLOQUEIO</v>
      </c>
      <c r="G74" s="6" t="s">
        <v>44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$B$8,"_",G74),D74="DJ",CONCATENATE(B74,"_",C74,$B$3,"_",$B$4,"_",G74),D74="DJ_P",CONCATENATE(B74,"_",C74,$B$3,"_",$B$4,"_P","_",G74),D74="DJ_A",CONCATENATE(B74,"_",C74,$B$3,"_",$B$4,"_A","_",G74),D74="LT_P",CONCATENATE(B74,"_",C74,$B$3,"_",C74,$B$3,"_P","_",G74),D74="LT_A",CONCATENATE(B74,"_",C74,$B$3,"_",C74,$B$3,"_A","_",G74))</f>
        <v>IMA_LT5_24-3_62BF</v>
      </c>
      <c r="I74" s="6" t="s">
        <v>267</v>
      </c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29</v>
      </c>
      <c r="D75" s="6" t="s">
        <v>30</v>
      </c>
      <c r="E75" s="2" t="s">
        <v>25</v>
      </c>
      <c r="F75" s="6" t="str">
        <f>VLOOKUP(G75,[1]Discrete!$A:$B,2,FALSE)</f>
        <v>79 - RELIGAMENTO BLOQUEADO</v>
      </c>
      <c r="G75" s="6" t="s">
        <v>45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$B$8,"_",G75),D75="DJ",CONCATENATE(B75,"_",C75,$B$3,"_",$B$4,"_",G75),D75="DJ_P",CONCATENATE(B75,"_",C75,$B$3,"_",$B$4,"_P","_",G75),D75="DJ_A",CONCATENATE(B75,"_",C75,$B$3,"_",$B$4,"_A","_",G75),D75="LT_P",CONCATENATE(B75,"_",C75,$B$3,"_",C75,$B$3,"_P","_",G75),D75="LT_A",CONCATENATE(B75,"_",C75,$B$3,"_",C75,$B$3,"_A","_",G75))</f>
        <v>IMA_LT5_24-3_79LO</v>
      </c>
      <c r="I75" s="6" t="s">
        <v>267</v>
      </c>
      <c r="J75" s="6" t="s">
        <v>182</v>
      </c>
      <c r="K75" s="6" t="s">
        <v>179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29</v>
      </c>
      <c r="D76" s="6" t="s">
        <v>30</v>
      </c>
      <c r="E76" s="2" t="s">
        <v>25</v>
      </c>
      <c r="F76" s="6" t="str">
        <f>VLOOKUP(G76,[1]Discrete!$A:$B,2,FALSE)</f>
        <v>79 - RELIGAMENTO COM SUCESSO</v>
      </c>
      <c r="G76" s="6" t="s">
        <v>46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$B$8,"_",G76),D76="DJ",CONCATENATE(B76,"_",C76,$B$3,"_",$B$4,"_",G76),D76="DJ_P",CONCATENATE(B76,"_",C76,$B$3,"_",$B$4,"_P","_",G76),D76="DJ_A",CONCATENATE(B76,"_",C76,$B$3,"_",$B$4,"_A","_",G76),D76="LT_P",CONCATENATE(B76,"_",C76,$B$3,"_",C76,$B$3,"_P","_",G76),D76="LT_A",CONCATENATE(B76,"_",C76,$B$3,"_",C76,$B$3,"_A","_",G76))</f>
        <v>IMA_LT5_24-3_79OK</v>
      </c>
      <c r="I76" s="6" t="s">
        <v>267</v>
      </c>
      <c r="J76" s="6" t="s">
        <v>182</v>
      </c>
      <c r="K76" s="6" t="s">
        <v>179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29</v>
      </c>
      <c r="D77" s="6" t="s">
        <v>30</v>
      </c>
      <c r="E77" s="2" t="s">
        <v>25</v>
      </c>
      <c r="F77" s="6" t="str">
        <f>VLOOKUP(G77,[1]Discrete!$A:$B,2,FALSE)</f>
        <v>79 - RELIGAMENTO PRONTO</v>
      </c>
      <c r="G77" s="6" t="s">
        <v>47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$B$8,"_",G77),D77="DJ",CONCATENATE(B77,"_",C77,$B$3,"_",$B$4,"_",G77),D77="DJ_P",CONCATENATE(B77,"_",C77,$B$3,"_",$B$4,"_P","_",G77),D77="DJ_A",CONCATENATE(B77,"_",C77,$B$3,"_",$B$4,"_A","_",G77),D77="LT_P",CONCATENATE(B77,"_",C77,$B$3,"_",C77,$B$3,"_P","_",G77),D77="LT_A",CONCATENATE(B77,"_",C77,$B$3,"_",C77,$B$3,"_A","_",G77))</f>
        <v>IMA_LT5_24-3_79RE</v>
      </c>
      <c r="I77" s="6" t="s">
        <v>267</v>
      </c>
      <c r="J77" s="6" t="s">
        <v>182</v>
      </c>
      <c r="K77" s="6" t="s">
        <v>179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29</v>
      </c>
      <c r="D78" s="6" t="s">
        <v>30</v>
      </c>
      <c r="E78" s="2" t="s">
        <v>25</v>
      </c>
      <c r="F78" s="6" t="str">
        <f>VLOOKUP(G78,[1]Discrete!$A:$B,2,FALSE)</f>
        <v>79 - PARTIDA RELIGAMENTO</v>
      </c>
      <c r="G78" s="6" t="s">
        <v>48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$B$8,"_",G78),D78="DJ",CONCATENATE(B78,"_",C78,$B$3,"_",$B$4,"_",G78),D78="DJ_P",CONCATENATE(B78,"_",C78,$B$3,"_",$B$4,"_P","_",G78),D78="DJ_A",CONCATENATE(B78,"_",C78,$B$3,"_",$B$4,"_A","_",G78),D78="LT_P",CONCATENATE(B78,"_",C78,$B$3,"_",C78,$B$3,"_P","_",G78),D78="LT_A",CONCATENATE(B78,"_",C78,$B$3,"_",C78,$B$3,"_A","_",G78))</f>
        <v>IMA_LT5_24-3_79_1</v>
      </c>
      <c r="I78" s="6" t="s">
        <v>267</v>
      </c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29</v>
      </c>
      <c r="D79" s="6" t="s">
        <v>205</v>
      </c>
      <c r="E79" s="2" t="s">
        <v>25</v>
      </c>
      <c r="F79" s="6" t="str">
        <f>VLOOKUP(G79,[1]Discrete!$A:$B,2,FALSE)</f>
        <v>62 - FALHA DISJUNTOR BLOQUEIO</v>
      </c>
      <c r="G79" s="6" t="s">
        <v>44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$B$8,"_",G79),D79="DJ",CONCATENATE(B79,"_",C79,$B$3,"_",$B$4,"_",G79),D79="DJ_P",CONCATENATE(B79,"_",C79,$B$3,"_",$B$4,"_P","_",G79),D79="DJ_A",CONCATENATE(B79,"_",C79,$B$3,"_",$B$4,"_A","_",G79),D79="LT_P",CONCATENATE(B79,"_",C79,$B$3,"_",C79,$B$3,"_P","_",G79),D79="LT_A",CONCATENATE(B79,"_",C79,$B$3,"_",C79,$B$3,"_A","_",G79))</f>
        <v>IMA_LT5_24-3_P_62BF</v>
      </c>
      <c r="I79" s="6" t="s">
        <v>267</v>
      </c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29</v>
      </c>
      <c r="D80" s="6" t="s">
        <v>204</v>
      </c>
      <c r="E80" s="2" t="s">
        <v>25</v>
      </c>
      <c r="F80" s="6" t="str">
        <f>VLOOKUP(G80,[1]Discrete!$A:$B,2,FALSE)</f>
        <v>62 - FALHA DISJUNTOR BLOQUEIO</v>
      </c>
      <c r="G80" s="6" t="s">
        <v>44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IMA_LT5_24-3_A_62BF</v>
      </c>
      <c r="I80" s="6" t="s">
        <v>267</v>
      </c>
      <c r="J80" s="6" t="s">
        <v>182</v>
      </c>
      <c r="K80" s="6" t="s">
        <v>179</v>
      </c>
      <c r="L80" s="6" t="s">
        <v>188</v>
      </c>
      <c r="M80" s="6" t="s">
        <v>188</v>
      </c>
      <c r="N80" s="6"/>
    </row>
    <row r="81" spans="1:14" x14ac:dyDescent="0.25">
      <c r="A81" s="6" t="s">
        <v>191</v>
      </c>
      <c r="B81" s="6" t="str">
        <f>Informações!$C$3</f>
        <v>IMA</v>
      </c>
      <c r="C81" s="6" t="s">
        <v>29</v>
      </c>
      <c r="D81" s="6" t="s">
        <v>30</v>
      </c>
      <c r="E81" s="2" t="s">
        <v>25</v>
      </c>
      <c r="F81" s="6" t="str">
        <f>VLOOKUP(G81,[1]Discrete!$A:$B,2,FALSE)</f>
        <v>DEFEITO RELE</v>
      </c>
      <c r="G81" s="6" t="s">
        <v>51</v>
      </c>
      <c r="H81" s="6" t="str" cm="1">
        <f t="array" ref="H81">_xlfn.IFS(OR(D81="TC",D81="TP",D81="LT"),CONCATENATE(B81,"_",C81,$B$3,"_",C81,$B$3,"_",G81),D81="SECC",CONCATENATE(B81,"_",C81,$B$3,"_",$B$5,"_",G81),D81="SECF",CONCATENATE(B81,"_",C81,$B$3,"_",$B$6,"_",G81),D81="SECT",CONCATENATE(B81,"_",C81,$B$3,"_",$B$7,"_",G81),D81="SECG",CONCATENATE(B81,"_",C81,$B$3,"_",$B$8,"_",G81),D81="DJ",CONCATENATE(B81,"_",C81,$B$3,"_",$B$4,"_",G81),D81="DJ_P",CONCATENATE(B81,"_",C81,$B$3,"_",$B$4,"_P","_",G81),D81="DJ_A",CONCATENATE(B81,"_",C81,$B$3,"_",$B$4,"_A","_",G81),D81="LT_P",CONCATENATE(B81,"_",C81,$B$3,"_",C81,$B$3,"_P","_",G81),D81="LT_A",CONCATENATE(B81,"_",C81,$B$3,"_",C81,$B$3,"_A","_",G81))</f>
        <v>IMA_LT5_24-3_DR</v>
      </c>
      <c r="I81" s="6" t="s">
        <v>267</v>
      </c>
      <c r="J81" s="6" t="s">
        <v>182</v>
      </c>
      <c r="K81" s="6" t="s">
        <v>180</v>
      </c>
      <c r="L81" s="6" t="s">
        <v>188</v>
      </c>
      <c r="M81" s="6" t="s">
        <v>188</v>
      </c>
      <c r="N81" s="6"/>
    </row>
    <row r="82" spans="1:14" x14ac:dyDescent="0.25">
      <c r="A82" s="6" t="s">
        <v>191</v>
      </c>
      <c r="B82" s="6" t="str">
        <f>Informações!$C$3</f>
        <v>IMA</v>
      </c>
      <c r="C82" s="6" t="s">
        <v>29</v>
      </c>
      <c r="D82" s="6" t="s">
        <v>30</v>
      </c>
      <c r="E82" s="2" t="s">
        <v>25</v>
      </c>
      <c r="F82" s="6" t="str">
        <f>VLOOKUP(G82,[1]Discrete!$A:$B,2,FALSE)</f>
        <v>MINI DISJUNTOR LT</v>
      </c>
      <c r="G82" s="6" t="s">
        <v>52</v>
      </c>
      <c r="H82" s="6" t="str" cm="1">
        <f t="array" ref="H82">_xlfn.IFS(OR(D82="TC",D82="TP",D82="LT"),CONCATENATE(B82,"_",C82,$B$3,"_",C82,$B$3,"_",G82),D82="SECC",CONCATENATE(B82,"_",C82,$B$3,"_",$B$5,"_",G82),D82="SECF",CONCATENATE(B82,"_",C82,$B$3,"_",$B$6,"_",G82),D82="SECT",CONCATENATE(B82,"_",C82,$B$3,"_",$B$7,"_",G82),D82="SECG",CONCATENATE(B82,"_",C82,$B$3,"_",$B$8,"_",G82),D82="DJ",CONCATENATE(B82,"_",C82,$B$3,"_",$B$4,"_",G82),D82="DJ_P",CONCATENATE(B82,"_",C82,$B$3,"_",$B$4,"_P","_",G82),D82="DJ_A",CONCATENATE(B82,"_",C82,$B$3,"_",$B$4,"_A","_",G82),D82="LT_P",CONCATENATE(B82,"_",C82,$B$3,"_",C82,$B$3,"_P","_",G82),D82="LT_A",CONCATENATE(B82,"_",C82,$B$3,"_",C82,$B$3,"_A","_",G82))</f>
        <v>IMA_LT5_24-3_MDLT</v>
      </c>
      <c r="I82" s="6" t="s">
        <v>267</v>
      </c>
      <c r="J82" s="6" t="s">
        <v>284</v>
      </c>
      <c r="K82" s="6" t="s">
        <v>286</v>
      </c>
      <c r="L82" s="6" t="s">
        <v>188</v>
      </c>
      <c r="M82" s="6" t="s">
        <v>188</v>
      </c>
      <c r="N82" s="6"/>
    </row>
    <row r="83" spans="1:14" x14ac:dyDescent="0.25">
      <c r="A83" s="6" t="s">
        <v>191</v>
      </c>
      <c r="B83" s="6" t="str">
        <f>Informações!$C$3</f>
        <v>IMA</v>
      </c>
      <c r="C83" s="6" t="s">
        <v>29</v>
      </c>
      <c r="D83" s="6" t="s">
        <v>30</v>
      </c>
      <c r="E83" s="2" t="s">
        <v>25</v>
      </c>
      <c r="F83" s="6" t="str">
        <f>VLOOKUP(G83,[1]Discrete!$A:$B,2,FALSE)</f>
        <v>MINI DISJUNTOR BARRA PAINEL</v>
      </c>
      <c r="G83" s="6" t="s">
        <v>53</v>
      </c>
      <c r="H83" s="6" t="str" cm="1">
        <f t="array" ref="H83">_xlfn.IFS(OR(D83="TC",D83="TP",D83="LT"),CONCATENATE(B83,"_",C83,$B$3,"_",C83,$B$3,"_",G83),D83="SECC",CONCATENATE(B83,"_",C83,$B$3,"_",$B$5,"_",G83),D83="SECF",CONCATENATE(B83,"_",C83,$B$3,"_",$B$6,"_",G83),D83="SECT",CONCATENATE(B83,"_",C83,$B$3,"_",$B$7,"_",G83),D83="SECG",CONCATENATE(B83,"_",C83,$B$3,"_",$B$8,"_",G83),D83="DJ",CONCATENATE(B83,"_",C83,$B$3,"_",$B$4,"_",G83),D83="DJ_P",CONCATENATE(B83,"_",C83,$B$3,"_",$B$4,"_P","_",G83),D83="DJ_A",CONCATENATE(B83,"_",C83,$B$3,"_",$B$4,"_A","_",G83),D83="LT_P",CONCATENATE(B83,"_",C83,$B$3,"_",C83,$B$3,"_P","_",G83),D83="LT_A",CONCATENATE(B83,"_",C83,$B$3,"_",C83,$B$3,"_A","_",G83))</f>
        <v>IMA_LT5_24-3_MDBC</v>
      </c>
      <c r="I83" s="6" t="s">
        <v>267</v>
      </c>
      <c r="J83" s="6" t="s">
        <v>284</v>
      </c>
      <c r="K83" s="6" t="s">
        <v>286</v>
      </c>
      <c r="L83" s="6" t="s">
        <v>188</v>
      </c>
      <c r="M83" s="6" t="s">
        <v>188</v>
      </c>
      <c r="N83" s="6"/>
    </row>
    <row r="84" spans="1:14" x14ac:dyDescent="0.25">
      <c r="A84" s="6" t="s">
        <v>191</v>
      </c>
      <c r="B84" s="6" t="str">
        <f>Informações!$C$3</f>
        <v>IMA</v>
      </c>
      <c r="C84" s="6" t="s">
        <v>29</v>
      </c>
      <c r="D84" s="6" t="s">
        <v>205</v>
      </c>
      <c r="E84" s="2" t="s">
        <v>25</v>
      </c>
      <c r="F84" s="6" t="str">
        <f>VLOOKUP(G84,[1]Discrete!$A:$B,2,FALSE)</f>
        <v>FASE A</v>
      </c>
      <c r="G84" s="6" t="s">
        <v>54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IMA_LT5_24-3_P_FA</v>
      </c>
      <c r="I84" s="6" t="s">
        <v>267</v>
      </c>
      <c r="J84" s="6" t="s">
        <v>182</v>
      </c>
      <c r="K84" s="6" t="s">
        <v>179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29</v>
      </c>
      <c r="D85" s="6" t="s">
        <v>205</v>
      </c>
      <c r="E85" s="2" t="s">
        <v>25</v>
      </c>
      <c r="F85" s="6" t="str">
        <f>VLOOKUP(G85,[1]Discrete!$A:$B,2,FALSE)</f>
        <v>FASE B</v>
      </c>
      <c r="G85" s="6" t="s">
        <v>55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$B$8,"_",G85),D85="DJ",CONCATENATE(B85,"_",C85,$B$3,"_",$B$4,"_",G85),D85="DJ_P",CONCATENATE(B85,"_",C85,$B$3,"_",$B$4,"_P","_",G85),D85="DJ_A",CONCATENATE(B85,"_",C85,$B$3,"_",$B$4,"_A","_",G85),D85="LT_P",CONCATENATE(B85,"_",C85,$B$3,"_",C85,$B$3,"_P","_",G85),D85="LT_A",CONCATENATE(B85,"_",C85,$B$3,"_",C85,$B$3,"_A","_",G85))</f>
        <v>IMA_LT5_24-3_P_FB</v>
      </c>
      <c r="I85" s="6" t="s">
        <v>267</v>
      </c>
      <c r="J85" s="6" t="s">
        <v>182</v>
      </c>
      <c r="K85" s="6" t="s">
        <v>179</v>
      </c>
      <c r="L85" s="6" t="s">
        <v>188</v>
      </c>
      <c r="M85" s="6" t="s">
        <v>188</v>
      </c>
      <c r="N85" s="6"/>
    </row>
    <row r="86" spans="1:14" x14ac:dyDescent="0.25">
      <c r="A86" s="6" t="s">
        <v>191</v>
      </c>
      <c r="B86" s="6" t="str">
        <f>Informações!$C$3</f>
        <v>IMA</v>
      </c>
      <c r="C86" s="6" t="s">
        <v>29</v>
      </c>
      <c r="D86" s="6" t="s">
        <v>205</v>
      </c>
      <c r="E86" s="2" t="s">
        <v>25</v>
      </c>
      <c r="F86" s="6" t="str">
        <f>VLOOKUP(G86,[1]Discrete!$A:$B,2,FALSE)</f>
        <v>NEUTRO</v>
      </c>
      <c r="G86" s="6" t="s">
        <v>420</v>
      </c>
      <c r="H86" s="6" t="str" cm="1">
        <f t="array" ref="H86">_xlfn.IFS(OR(D86="TC",D86="TP",D86="LT"),CONCATENATE(B86,"_",C86,$B$3,"_",C86,$B$3,"_",G86),D86="SECC",CONCATENATE(B86,"_",C86,$B$3,"_",$B$5,"_",G86),D86="SECF",CONCATENATE(B86,"_",C86,$B$3,"_",$B$6,"_",G86),D86="SECT",CONCATENATE(B86,"_",C86,$B$3,"_",$B$7,"_",G86),D86="SECG",CONCATENATE(B86,"_",C86,$B$3,"_",$B$8,"_",G86),D86="DJ",CONCATENATE(B86,"_",C86,$B$3,"_",$B$4,"_",G86),D86="DJ_P",CONCATENATE(B86,"_",C86,$B$3,"_",$B$4,"_P","_",G86),D86="DJ_A",CONCATENATE(B86,"_",C86,$B$3,"_",$B$4,"_A","_",G86),D86="LT_P",CONCATENATE(B86,"_",C86,$B$3,"_",C86,$B$3,"_P","_",G86),D86="LT_A",CONCATENATE(B86,"_",C86,$B$3,"_",C86,$B$3,"_A","_",G86))</f>
        <v>IMA_LT5_24-3_P_N</v>
      </c>
      <c r="I86" s="6" t="s">
        <v>267</v>
      </c>
      <c r="J86" s="6" t="s">
        <v>182</v>
      </c>
      <c r="K86" s="6" t="s">
        <v>179</v>
      </c>
      <c r="L86" s="6" t="s">
        <v>188</v>
      </c>
      <c r="M86" s="6" t="s">
        <v>188</v>
      </c>
      <c r="N86" s="6"/>
    </row>
    <row r="87" spans="1:14" x14ac:dyDescent="0.25">
      <c r="A87" s="6" t="s">
        <v>191</v>
      </c>
      <c r="B87" s="6" t="str">
        <f>Informações!$C$3</f>
        <v>IMA</v>
      </c>
      <c r="C87" s="6" t="s">
        <v>29</v>
      </c>
      <c r="D87" s="6" t="s">
        <v>205</v>
      </c>
      <c r="E87" s="2" t="s">
        <v>25</v>
      </c>
      <c r="F87" s="6" t="str">
        <f>VLOOKUP(G87,[1]Discrete!$A:$B,2,FALSE)</f>
        <v>FASE C</v>
      </c>
      <c r="G87" s="6" t="s">
        <v>56</v>
      </c>
      <c r="H87" s="6" t="str" cm="1">
        <f t="array" ref="H87">_xlfn.IFS(OR(D87="TC",D87="TP",D87="LT"),CONCATENATE(B87,"_",C87,$B$3,"_",C87,$B$3,"_",G87),D87="SECC",CONCATENATE(B87,"_",C87,$B$3,"_",$B$5,"_",G87),D87="SECF",CONCATENATE(B87,"_",C87,$B$3,"_",$B$6,"_",G87),D87="SECT",CONCATENATE(B87,"_",C87,$B$3,"_",$B$7,"_",G87),D87="SECG",CONCATENATE(B87,"_",C87,$B$3,"_",$B$8,"_",G87),D87="DJ",CONCATENATE(B87,"_",C87,$B$3,"_",$B$4,"_",G87),D87="DJ_P",CONCATENATE(B87,"_",C87,$B$3,"_",$B$4,"_P","_",G87),D87="DJ_A",CONCATENATE(B87,"_",C87,$B$3,"_",$B$4,"_A","_",G87),D87="LT_P",CONCATENATE(B87,"_",C87,$B$3,"_",C87,$B$3,"_P","_",G87),D87="LT_A",CONCATENATE(B87,"_",C87,$B$3,"_",C87,$B$3,"_A","_",G87))</f>
        <v>IMA_LT5_24-3_P_FC</v>
      </c>
      <c r="I87" s="6" t="s">
        <v>267</v>
      </c>
      <c r="J87" s="6" t="s">
        <v>182</v>
      </c>
      <c r="K87" s="6" t="s">
        <v>179</v>
      </c>
      <c r="L87" s="6" t="s">
        <v>188</v>
      </c>
      <c r="M87" s="6" t="s">
        <v>188</v>
      </c>
      <c r="N87" s="6"/>
    </row>
    <row r="88" spans="1:14" x14ac:dyDescent="0.25">
      <c r="A88" s="6" t="s">
        <v>191</v>
      </c>
      <c r="B88" s="6" t="str">
        <f>Informações!$C$3</f>
        <v>IMA</v>
      </c>
      <c r="C88" s="6" t="s">
        <v>29</v>
      </c>
      <c r="D88" s="6" t="s">
        <v>204</v>
      </c>
      <c r="E88" s="2" t="s">
        <v>25</v>
      </c>
      <c r="F88" s="6" t="str">
        <f>VLOOKUP(G88,[1]Discrete!$A:$B,2,FALSE)</f>
        <v>FASE A</v>
      </c>
      <c r="G88" s="6" t="s">
        <v>54</v>
      </c>
      <c r="H88" s="6" t="str" cm="1">
        <f t="array" ref="H88">_xlfn.IFS(OR(D88="TC",D88="TP",D88="LT"),CONCATENATE(B88,"_",C88,$B$3,"_",C88,$B$3,"_",G88),D88="SECC",CONCATENATE(B88,"_",C88,$B$3,"_",$B$5,"_",G88),D88="SECF",CONCATENATE(B88,"_",C88,$B$3,"_",$B$6,"_",G88),D88="SECT",CONCATENATE(B88,"_",C88,$B$3,"_",$B$7,"_",G88),D88="SECG",CONCATENATE(B88,"_",C88,$B$3,"_",$B$8,"_",G88),D88="DJ",CONCATENATE(B88,"_",C88,$B$3,"_",$B$4,"_",G88),D88="DJ_P",CONCATENATE(B88,"_",C88,$B$3,"_",$B$4,"_P","_",G88),D88="DJ_A",CONCATENATE(B88,"_",C88,$B$3,"_",$B$4,"_A","_",G88),D88="LT_P",CONCATENATE(B88,"_",C88,$B$3,"_",C88,$B$3,"_P","_",G88),D88="LT_A",CONCATENATE(B88,"_",C88,$B$3,"_",C88,$B$3,"_A","_",G88))</f>
        <v>IMA_LT5_24-3_A_FA</v>
      </c>
      <c r="I88" s="6" t="s">
        <v>267</v>
      </c>
      <c r="J88" s="6" t="s">
        <v>182</v>
      </c>
      <c r="K88" s="6" t="s">
        <v>179</v>
      </c>
      <c r="L88" s="6" t="s">
        <v>188</v>
      </c>
      <c r="M88" s="6" t="s">
        <v>188</v>
      </c>
      <c r="N88" s="6"/>
    </row>
    <row r="89" spans="1:14" x14ac:dyDescent="0.25">
      <c r="A89" s="6" t="s">
        <v>191</v>
      </c>
      <c r="B89" s="6" t="str">
        <f>Informações!$C$3</f>
        <v>IMA</v>
      </c>
      <c r="C89" s="6" t="s">
        <v>29</v>
      </c>
      <c r="D89" s="6" t="s">
        <v>204</v>
      </c>
      <c r="E89" s="2" t="s">
        <v>25</v>
      </c>
      <c r="F89" s="6" t="str">
        <f>VLOOKUP(G89,[1]Discrete!$A:$B,2,FALSE)</f>
        <v>FASE B</v>
      </c>
      <c r="G89" s="6" t="s">
        <v>55</v>
      </c>
      <c r="H89" s="6" t="str" cm="1">
        <f t="array" ref="H89">_xlfn.IFS(OR(D89="TC",D89="TP",D89="LT"),CONCATENATE(B89,"_",C89,$B$3,"_",C89,$B$3,"_",G89),D89="SECC",CONCATENATE(B89,"_",C89,$B$3,"_",$B$5,"_",G89),D89="SECF",CONCATENATE(B89,"_",C89,$B$3,"_",$B$6,"_",G89),D89="SECT",CONCATENATE(B89,"_",C89,$B$3,"_",$B$7,"_",G89),D89="SECG",CONCATENATE(B89,"_",C89,$B$3,"_",$B$8,"_",G89),D89="DJ",CONCATENATE(B89,"_",C89,$B$3,"_",$B$4,"_",G89),D89="DJ_P",CONCATENATE(B89,"_",C89,$B$3,"_",$B$4,"_P","_",G89),D89="DJ_A",CONCATENATE(B89,"_",C89,$B$3,"_",$B$4,"_A","_",G89),D89="LT_P",CONCATENATE(B89,"_",C89,$B$3,"_",C89,$B$3,"_P","_",G89),D89="LT_A",CONCATENATE(B89,"_",C89,$B$3,"_",C89,$B$3,"_A","_",G89))</f>
        <v>IMA_LT5_24-3_A_FB</v>
      </c>
      <c r="I89" s="6" t="s">
        <v>267</v>
      </c>
      <c r="J89" s="6" t="s">
        <v>182</v>
      </c>
      <c r="K89" s="6" t="s">
        <v>179</v>
      </c>
      <c r="L89" s="6" t="s">
        <v>188</v>
      </c>
      <c r="M89" s="6" t="s">
        <v>188</v>
      </c>
      <c r="N89" s="6"/>
    </row>
    <row r="90" spans="1:14" x14ac:dyDescent="0.25">
      <c r="A90" s="6" t="s">
        <v>191</v>
      </c>
      <c r="B90" s="6" t="str">
        <f>Informações!$C$3</f>
        <v>IMA</v>
      </c>
      <c r="C90" s="6" t="s">
        <v>29</v>
      </c>
      <c r="D90" s="6" t="s">
        <v>204</v>
      </c>
      <c r="E90" s="2" t="s">
        <v>25</v>
      </c>
      <c r="F90" s="6" t="str">
        <f>VLOOKUP(G90,[1]Discrete!$A:$B,2,FALSE)</f>
        <v>FASE C</v>
      </c>
      <c r="G90" s="6" t="s">
        <v>56</v>
      </c>
      <c r="H90" s="6" t="str" cm="1">
        <f t="array" ref="H90">_xlfn.IFS(OR(D90="TC",D90="TP",D90="LT"),CONCATENATE(B90,"_",C90,$B$3,"_",C90,$B$3,"_",G90),D90="SECC",CONCATENATE(B90,"_",C90,$B$3,"_",$B$5,"_",G90),D90="SECF",CONCATENATE(B90,"_",C90,$B$3,"_",$B$6,"_",G90),D90="SECT",CONCATENATE(B90,"_",C90,$B$3,"_",$B$7,"_",G90),D90="SECG",CONCATENATE(B90,"_",C90,$B$3,"_",$B$8,"_",G90),D90="DJ",CONCATENATE(B90,"_",C90,$B$3,"_",$B$4,"_",G90),D90="DJ_P",CONCATENATE(B90,"_",C90,$B$3,"_",$B$4,"_P","_",G90),D90="DJ_A",CONCATENATE(B90,"_",C90,$B$3,"_",$B$4,"_A","_",G90),D90="LT_P",CONCATENATE(B90,"_",C90,$B$3,"_",C90,$B$3,"_P","_",G90),D90="LT_A",CONCATENATE(B90,"_",C90,$B$3,"_",C90,$B$3,"_A","_",G90))</f>
        <v>IMA_LT5_24-3_A_FC</v>
      </c>
      <c r="I90" s="6" t="s">
        <v>267</v>
      </c>
      <c r="J90" s="6" t="s">
        <v>182</v>
      </c>
      <c r="K90" s="6" t="s">
        <v>179</v>
      </c>
      <c r="L90" s="6" t="s">
        <v>188</v>
      </c>
      <c r="M90" s="6" t="s">
        <v>188</v>
      </c>
      <c r="N90" s="6"/>
    </row>
    <row r="91" spans="1:14" x14ac:dyDescent="0.25">
      <c r="A91" s="6" t="s">
        <v>191</v>
      </c>
      <c r="B91" s="6" t="str">
        <f>Informações!$C$3</f>
        <v>IMA</v>
      </c>
      <c r="C91" s="6" t="s">
        <v>29</v>
      </c>
      <c r="D91" s="6" t="s">
        <v>204</v>
      </c>
      <c r="E91" s="2" t="s">
        <v>25</v>
      </c>
      <c r="F91" s="6" t="str">
        <f>VLOOKUP(G91,[1]Discrete!$A:$B,2,FALSE)</f>
        <v>NEUTRO</v>
      </c>
      <c r="G91" s="6" t="s">
        <v>420</v>
      </c>
      <c r="H91" s="6" t="str" cm="1">
        <f t="array" ref="H91">_xlfn.IFS(OR(D91="TC",D91="TP",D91="LT"),CONCATENATE(B91,"_",C91,$B$3,"_",C91,$B$3,"_",G91),D91="SECC",CONCATENATE(B91,"_",C91,$B$3,"_",$B$5,"_",G91),D91="SECF",CONCATENATE(B91,"_",C91,$B$3,"_",$B$6,"_",G91),D91="SECT",CONCATENATE(B91,"_",C91,$B$3,"_",$B$7,"_",G91),D91="SECG",CONCATENATE(B91,"_",C91,$B$3,"_",$B$8,"_",G91),D91="DJ",CONCATENATE(B91,"_",C91,$B$3,"_",$B$4,"_",G91),D91="DJ_P",CONCATENATE(B91,"_",C91,$B$3,"_",$B$4,"_P","_",G91),D91="DJ_A",CONCATENATE(B91,"_",C91,$B$3,"_",$B$4,"_A","_",G91),D91="LT_P",CONCATENATE(B91,"_",C91,$B$3,"_",C91,$B$3,"_P","_",G91),D91="LT_A",CONCATENATE(B91,"_",C91,$B$3,"_",C91,$B$3,"_A","_",G91))</f>
        <v>IMA_LT5_24-3_A_N</v>
      </c>
      <c r="I91" s="6" t="s">
        <v>267</v>
      </c>
      <c r="J91" s="6" t="s">
        <v>182</v>
      </c>
      <c r="K91" s="6" t="s">
        <v>179</v>
      </c>
      <c r="L91" s="6" t="s">
        <v>188</v>
      </c>
      <c r="M91" s="6" t="s">
        <v>188</v>
      </c>
      <c r="N91" s="6"/>
    </row>
    <row r="92" spans="1:14" x14ac:dyDescent="0.25">
      <c r="A92" s="6" t="s">
        <v>191</v>
      </c>
      <c r="B92" s="6" t="str">
        <f>Informações!$C$3</f>
        <v>IMA</v>
      </c>
      <c r="C92" s="6" t="s">
        <v>29</v>
      </c>
      <c r="D92" s="6" t="s">
        <v>30</v>
      </c>
      <c r="E92" s="2" t="s">
        <v>25</v>
      </c>
      <c r="F92" s="6" t="str">
        <f>VLOOKUP(G92,[1]Discrete!$A:$B,2,FALSE)</f>
        <v>86 - BLOQUEIO DEFEITO DISJUNTOR</v>
      </c>
      <c r="G92" s="6" t="s">
        <v>57</v>
      </c>
      <c r="H92" s="6" t="str" cm="1">
        <f t="array" ref="H92">_xlfn.IFS(OR(D92="TC",D92="TP",D92="LT"),CONCATENATE(B92,"_",C92,$B$3,"_",C92,$B$3,"_",G92),D92="SECC",CONCATENATE(B92,"_",C92,$B$3,"_",$B$5,"_",G92),D92="SECF",CONCATENATE(B92,"_",C92,$B$3,"_",$B$6,"_",G92),D92="SECT",CONCATENATE(B92,"_",C92,$B$3,"_",$B$7,"_",G92),D92="SECG",CONCATENATE(B92,"_",C92,$B$3,"_",$B$8,"_",G92),D92="DJ",CONCATENATE(B92,"_",C92,$B$3,"_",$B$4,"_",G92),D92="DJ_P",CONCATENATE(B92,"_",C92,$B$3,"_",$B$4,"_P","_",G92),D92="DJ_A",CONCATENATE(B92,"_",C92,$B$3,"_",$B$4,"_A","_",G92),D92="LT_P",CONCATENATE(B92,"_",C92,$B$3,"_",C92,$B$3,"_P","_",G92),D92="LT_A",CONCATENATE(B92,"_",C92,$B$3,"_",C92,$B$3,"_A","_",G92))</f>
        <v>IMA_LT5_24-3_86BF</v>
      </c>
      <c r="I92" s="6" t="s">
        <v>267</v>
      </c>
      <c r="J92" s="6" t="s">
        <v>182</v>
      </c>
      <c r="K92" s="6" t="s">
        <v>179</v>
      </c>
      <c r="L92" s="6" t="s">
        <v>188</v>
      </c>
      <c r="M92" s="6" t="s">
        <v>188</v>
      </c>
      <c r="N92" s="6"/>
    </row>
    <row r="93" spans="1:14" x14ac:dyDescent="0.25">
      <c r="A93" s="6" t="s">
        <v>191</v>
      </c>
      <c r="B93" s="6" t="str">
        <f>Informações!$C$3</f>
        <v>IMA</v>
      </c>
      <c r="C93" s="6" t="s">
        <v>29</v>
      </c>
      <c r="D93" s="6" t="s">
        <v>205</v>
      </c>
      <c r="E93" s="2" t="s">
        <v>25</v>
      </c>
      <c r="F93" s="6" t="str">
        <f>VLOOKUP(G93,[1]Discrete!$A:$B,2,FALSE)</f>
        <v>67 - DIRECIONAL SOBRECORRENTE FASE E1</v>
      </c>
      <c r="G93" s="6" t="s">
        <v>61</v>
      </c>
      <c r="H93" s="6" t="str" cm="1">
        <f t="array" ref="H93">_xlfn.IFS(OR(D93="TC",D93="TP",D93="LT"),CONCATENATE(B93,"_",C93,$B$3,"_",C93,$B$3,"_",G93),D93="SECC",CONCATENATE(B93,"_",C93,$B$3,"_",$B$5,"_",G93),D93="SECF",CONCATENATE(B93,"_",C93,$B$3,"_",$B$6,"_",G93),D93="SECT",CONCATENATE(B93,"_",C93,$B$3,"_",$B$7,"_",G93),D93="SECG",CONCATENATE(B93,"_",C93,$B$3,"_",$B$8,"_",G93),D93="DJ",CONCATENATE(B93,"_",C93,$B$3,"_",$B$4,"_",G93),D93="DJ_P",CONCATENATE(B93,"_",C93,$B$3,"_",$B$4,"_P","_",G93),D93="DJ_A",CONCATENATE(B93,"_",C93,$B$3,"_",$B$4,"_A","_",G93),D93="LT_P",CONCATENATE(B93,"_",C93,$B$3,"_",C93,$B$3,"_P","_",G93),D93="LT_A",CONCATENATE(B93,"_",C93,$B$3,"_",C93,$B$3,"_A","_",G93))</f>
        <v>IMA_LT5_24-3_P_67F1</v>
      </c>
      <c r="I93" s="6" t="s">
        <v>267</v>
      </c>
      <c r="J93" s="6" t="s">
        <v>182</v>
      </c>
      <c r="K93" s="6" t="s">
        <v>179</v>
      </c>
      <c r="L93" s="6" t="s">
        <v>188</v>
      </c>
      <c r="M93" s="6" t="s">
        <v>188</v>
      </c>
      <c r="N93" s="6"/>
    </row>
    <row r="94" spans="1:14" x14ac:dyDescent="0.25">
      <c r="A94" s="6" t="s">
        <v>191</v>
      </c>
      <c r="B94" s="6" t="str">
        <f>Informações!$C$3</f>
        <v>IMA</v>
      </c>
      <c r="C94" s="6" t="s">
        <v>29</v>
      </c>
      <c r="D94" s="6" t="s">
        <v>205</v>
      </c>
      <c r="E94" s="2" t="s">
        <v>25</v>
      </c>
      <c r="F94" s="6" t="str">
        <f>VLOOKUP(G94,[1]Discrete!$A:$B,2,FALSE)</f>
        <v>67 - DIRECIONAL SOBRECORRENTE FASE E2</v>
      </c>
      <c r="G94" s="6" t="s">
        <v>62</v>
      </c>
      <c r="H94" s="6" t="str" cm="1">
        <f t="array" ref="H94">_xlfn.IFS(OR(D94="TC",D94="TP",D94="LT"),CONCATENATE(B94,"_",C94,$B$3,"_",C94,$B$3,"_",G94),D94="SECC",CONCATENATE(B94,"_",C94,$B$3,"_",$B$5,"_",G94),D94="SECF",CONCATENATE(B94,"_",C94,$B$3,"_",$B$6,"_",G94),D94="SECT",CONCATENATE(B94,"_",C94,$B$3,"_",$B$7,"_",G94),D94="SECG",CONCATENATE(B94,"_",C94,$B$3,"_",$B$8,"_",G94),D94="DJ",CONCATENATE(B94,"_",C94,$B$3,"_",$B$4,"_",G94),D94="DJ_P",CONCATENATE(B94,"_",C94,$B$3,"_",$B$4,"_P","_",G94),D94="DJ_A",CONCATENATE(B94,"_",C94,$B$3,"_",$B$4,"_A","_",G94),D94="LT_P",CONCATENATE(B94,"_",C94,$B$3,"_",C94,$B$3,"_P","_",G94),D94="LT_A",CONCATENATE(B94,"_",C94,$B$3,"_",C94,$B$3,"_A","_",G94))</f>
        <v>IMA_LT5_24-3_P_67F2</v>
      </c>
      <c r="I94" s="6" t="s">
        <v>267</v>
      </c>
      <c r="J94" s="6" t="s">
        <v>182</v>
      </c>
      <c r="K94" s="6" t="s">
        <v>179</v>
      </c>
      <c r="L94" s="6" t="s">
        <v>188</v>
      </c>
      <c r="M94" s="6" t="s">
        <v>188</v>
      </c>
      <c r="N94" s="6"/>
    </row>
    <row r="95" spans="1:14" x14ac:dyDescent="0.25">
      <c r="A95" s="6" t="s">
        <v>191</v>
      </c>
      <c r="B95" s="6" t="str">
        <f>Informações!$C$3</f>
        <v>IMA</v>
      </c>
      <c r="C95" s="6" t="s">
        <v>29</v>
      </c>
      <c r="D95" s="6" t="s">
        <v>205</v>
      </c>
      <c r="E95" s="2" t="s">
        <v>25</v>
      </c>
      <c r="F95" s="6" t="str">
        <f>VLOOKUP(G95,[1]Discrete!$A:$B,2,FALSE)</f>
        <v>67 - DIRECIONAL SOBRECORRENTE NEUTRO E1</v>
      </c>
      <c r="G95" s="6" t="s">
        <v>58</v>
      </c>
      <c r="H95" s="6" t="str" cm="1">
        <f t="array" ref="H95">_xlfn.IFS(OR(D95="TC",D95="TP",D95="LT"),CONCATENATE(B95,"_",C95,$B$3,"_",C95,$B$3,"_",G95),D95="SECC",CONCATENATE(B95,"_",C95,$B$3,"_",$B$5,"_",G95),D95="SECF",CONCATENATE(B95,"_",C95,$B$3,"_",$B$6,"_",G95),D95="SECT",CONCATENATE(B95,"_",C95,$B$3,"_",$B$7,"_",G95),D95="SECG",CONCATENATE(B95,"_",C95,$B$3,"_",$B$8,"_",G95),D95="DJ",CONCATENATE(B95,"_",C95,$B$3,"_",$B$4,"_",G95),D95="DJ_P",CONCATENATE(B95,"_",C95,$B$3,"_",$B$4,"_P","_",G95),D95="DJ_A",CONCATENATE(B95,"_",C95,$B$3,"_",$B$4,"_A","_",G95),D95="LT_P",CONCATENATE(B95,"_",C95,$B$3,"_",C95,$B$3,"_P","_",G95),D95="LT_A",CONCATENATE(B95,"_",C95,$B$3,"_",C95,$B$3,"_A","_",G95))</f>
        <v>IMA_LT5_24-3_P_67N1</v>
      </c>
      <c r="I95" s="6" t="s">
        <v>267</v>
      </c>
      <c r="J95" s="6" t="s">
        <v>182</v>
      </c>
      <c r="K95" s="6" t="s">
        <v>179</v>
      </c>
      <c r="L95" s="6" t="s">
        <v>188</v>
      </c>
      <c r="M95" s="6" t="s">
        <v>188</v>
      </c>
      <c r="N95" s="6"/>
    </row>
    <row r="96" spans="1:14" x14ac:dyDescent="0.25">
      <c r="A96" s="6" t="s">
        <v>191</v>
      </c>
      <c r="B96" s="6" t="str">
        <f>Informações!$C$3</f>
        <v>IMA</v>
      </c>
      <c r="C96" s="6" t="s">
        <v>29</v>
      </c>
      <c r="D96" s="6" t="s">
        <v>205</v>
      </c>
      <c r="E96" s="2" t="s">
        <v>25</v>
      </c>
      <c r="F96" s="6" t="str">
        <f>VLOOKUP(G96,[1]Discrete!$A:$B,2,FALSE)</f>
        <v>67 - DIRECIONAL SOBRECORRENTE NEUTRO E2</v>
      </c>
      <c r="G96" s="6" t="s">
        <v>59</v>
      </c>
      <c r="H96" s="6" t="str" cm="1">
        <f t="array" ref="H96">_xlfn.IFS(OR(D96="TC",D96="TP",D96="LT"),CONCATENATE(B96,"_",C96,$B$3,"_",C96,$B$3,"_",G96),D96="SECC",CONCATENATE(B96,"_",C96,$B$3,"_",$B$5,"_",G96),D96="SECF",CONCATENATE(B96,"_",C96,$B$3,"_",$B$6,"_",G96),D96="SECT",CONCATENATE(B96,"_",C96,$B$3,"_",$B$7,"_",G96),D96="SECG",CONCATENATE(B96,"_",C96,$B$3,"_",$B$8,"_",G96),D96="DJ",CONCATENATE(B96,"_",C96,$B$3,"_",$B$4,"_",G96),D96="DJ_P",CONCATENATE(B96,"_",C96,$B$3,"_",$B$4,"_P","_",G96),D96="DJ_A",CONCATENATE(B96,"_",C96,$B$3,"_",$B$4,"_A","_",G96),D96="LT_P",CONCATENATE(B96,"_",C96,$B$3,"_",C96,$B$3,"_P","_",G96),D96="LT_A",CONCATENATE(B96,"_",C96,$B$3,"_",C96,$B$3,"_A","_",G96))</f>
        <v>IMA_LT5_24-3_P_67N2</v>
      </c>
      <c r="I96" s="6" t="s">
        <v>267</v>
      </c>
      <c r="J96" s="6" t="s">
        <v>182</v>
      </c>
      <c r="K96" s="6" t="s">
        <v>179</v>
      </c>
      <c r="L96" s="6" t="s">
        <v>188</v>
      </c>
      <c r="M96" s="6" t="s">
        <v>188</v>
      </c>
      <c r="N96" s="6"/>
    </row>
    <row r="97" spans="1:14" x14ac:dyDescent="0.25">
      <c r="A97" s="6" t="s">
        <v>191</v>
      </c>
      <c r="B97" s="6" t="str">
        <f>Informações!$C$3</f>
        <v>IMA</v>
      </c>
      <c r="C97" s="6" t="s">
        <v>29</v>
      </c>
      <c r="D97" s="6" t="s">
        <v>205</v>
      </c>
      <c r="E97" s="2" t="s">
        <v>25</v>
      </c>
      <c r="F97" s="6" t="str">
        <f>VLOOKUP(G97,[1]Discrete!$A:$B,2,FALSE)</f>
        <v>67 - DIRECIONAL SOBRECORRENTE FASE TEMPORIZADO</v>
      </c>
      <c r="G97" s="6" t="s">
        <v>60</v>
      </c>
      <c r="H97" s="6" t="str" cm="1">
        <f t="array" ref="H97">_xlfn.IFS(OR(D97="TC",D97="TP",D97="LT"),CONCATENATE(B97,"_",C97,$B$3,"_",C97,$B$3,"_",G97),D97="SECC",CONCATENATE(B97,"_",C97,$B$3,"_",$B$5,"_",G97),D97="SECF",CONCATENATE(B97,"_",C97,$B$3,"_",$B$6,"_",G97),D97="SECT",CONCATENATE(B97,"_",C97,$B$3,"_",$B$7,"_",G97),D97="SECG",CONCATENATE(B97,"_",C97,$B$3,"_",$B$8,"_",G97),D97="DJ",CONCATENATE(B97,"_",C97,$B$3,"_",$B$4,"_",G97),D97="DJ_P",CONCATENATE(B97,"_",C97,$B$3,"_",$B$4,"_P","_",G97),D97="DJ_A",CONCATENATE(B97,"_",C97,$B$3,"_",$B$4,"_A","_",G97),D97="LT_P",CONCATENATE(B97,"_",C97,$B$3,"_",C97,$B$3,"_P","_",G97),D97="LT_A",CONCATENATE(B97,"_",C97,$B$3,"_",C97,$B$3,"_A","_",G97))</f>
        <v>IMA_LT5_24-3_P_67FT</v>
      </c>
      <c r="I97" s="6" t="s">
        <v>267</v>
      </c>
      <c r="J97" s="6" t="s">
        <v>182</v>
      </c>
      <c r="K97" s="6" t="s">
        <v>179</v>
      </c>
      <c r="L97" s="6" t="s">
        <v>188</v>
      </c>
      <c r="M97" s="6" t="s">
        <v>188</v>
      </c>
      <c r="N97" s="6"/>
    </row>
    <row r="98" spans="1:14" x14ac:dyDescent="0.25">
      <c r="A98" s="6" t="s">
        <v>191</v>
      </c>
      <c r="B98" s="6" t="str">
        <f>Informações!$C$3</f>
        <v>IMA</v>
      </c>
      <c r="C98" s="6" t="s">
        <v>29</v>
      </c>
      <c r="D98" s="6" t="s">
        <v>205</v>
      </c>
      <c r="E98" s="2" t="s">
        <v>25</v>
      </c>
      <c r="F98" s="6" t="str">
        <f>VLOOKUP(G98,[1]Discrete!$A:$B,2,FALSE)</f>
        <v>67 - DIRECIONAL SOBRECORRENTE NEUTRO TEMPORIZADO</v>
      </c>
      <c r="G98" s="6" t="s">
        <v>63</v>
      </c>
      <c r="H98" s="6" t="str" cm="1">
        <f t="array" ref="H98">_xlfn.IFS(OR(D98="TC",D98="TP",D98="LT"),CONCATENATE(B98,"_",C98,$B$3,"_",C98,$B$3,"_",G98),D98="SECC",CONCATENATE(B98,"_",C98,$B$3,"_",$B$5,"_",G98),D98="SECF",CONCATENATE(B98,"_",C98,$B$3,"_",$B$6,"_",G98),D98="SECT",CONCATENATE(B98,"_",C98,$B$3,"_",$B$7,"_",G98),D98="SECG",CONCATENATE(B98,"_",C98,$B$3,"_",$B$8,"_",G98),D98="DJ",CONCATENATE(B98,"_",C98,$B$3,"_",$B$4,"_",G98),D98="DJ_P",CONCATENATE(B98,"_",C98,$B$3,"_",$B$4,"_P","_",G98),D98="DJ_A",CONCATENATE(B98,"_",C98,$B$3,"_",$B$4,"_A","_",G98),D98="LT_P",CONCATENATE(B98,"_",C98,$B$3,"_",C98,$B$3,"_P","_",G98),D98="LT_A",CONCATENATE(B98,"_",C98,$B$3,"_",C98,$B$3,"_A","_",G98))</f>
        <v>IMA_LT5_24-3_P_67NT</v>
      </c>
      <c r="I98" s="6" t="s">
        <v>267</v>
      </c>
      <c r="J98" s="6" t="s">
        <v>182</v>
      </c>
      <c r="K98" s="6" t="s">
        <v>179</v>
      </c>
      <c r="L98" s="6" t="s">
        <v>188</v>
      </c>
      <c r="M98" s="6" t="s">
        <v>188</v>
      </c>
      <c r="N98" s="6"/>
    </row>
    <row r="99" spans="1:14" x14ac:dyDescent="0.25">
      <c r="A99" s="6" t="s">
        <v>191</v>
      </c>
      <c r="B99" s="6" t="str">
        <f>Informações!$C$3</f>
        <v>IMA</v>
      </c>
      <c r="C99" s="6" t="s">
        <v>29</v>
      </c>
      <c r="D99" s="6" t="s">
        <v>204</v>
      </c>
      <c r="E99" s="2" t="s">
        <v>25</v>
      </c>
      <c r="F99" s="6" t="str">
        <f>VLOOKUP(G99,[1]Discrete!$A:$B,2,FALSE)</f>
        <v>67 - DIRECIONAL SOBRECORRENTE FASE E1</v>
      </c>
      <c r="G99" s="6" t="s">
        <v>61</v>
      </c>
      <c r="H99" s="6" t="str" cm="1">
        <f t="array" ref="H99">_xlfn.IFS(OR(D99="TC",D99="TP",D99="LT"),CONCATENATE(B99,"_",C99,$B$3,"_",C99,$B$3,"_",G99),D99="SECC",CONCATENATE(B99,"_",C99,$B$3,"_",$B$5,"_",G99),D99="SECF",CONCATENATE(B99,"_",C99,$B$3,"_",$B$6,"_",G99),D99="SECT",CONCATENATE(B99,"_",C99,$B$3,"_",$B$7,"_",G99),D99="SECG",CONCATENATE(B99,"_",C99,$B$3,"_",$B$8,"_",G99),D99="DJ",CONCATENATE(B99,"_",C99,$B$3,"_",$B$4,"_",G99),D99="DJ_P",CONCATENATE(B99,"_",C99,$B$3,"_",$B$4,"_P","_",G99),D99="DJ_A",CONCATENATE(B99,"_",C99,$B$3,"_",$B$4,"_A","_",G99),D99="LT_P",CONCATENATE(B99,"_",C99,$B$3,"_",C99,$B$3,"_P","_",G99),D99="LT_A",CONCATENATE(B99,"_",C99,$B$3,"_",C99,$B$3,"_A","_",G99))</f>
        <v>IMA_LT5_24-3_A_67F1</v>
      </c>
      <c r="I99" s="6" t="s">
        <v>267</v>
      </c>
      <c r="J99" s="6" t="s">
        <v>182</v>
      </c>
      <c r="K99" s="6" t="s">
        <v>179</v>
      </c>
      <c r="L99" s="6" t="s">
        <v>188</v>
      </c>
      <c r="M99" s="6" t="s">
        <v>188</v>
      </c>
      <c r="N99" s="6"/>
    </row>
    <row r="100" spans="1:14" x14ac:dyDescent="0.25">
      <c r="A100" s="6" t="s">
        <v>191</v>
      </c>
      <c r="B100" s="6" t="str">
        <f>Informações!$C$3</f>
        <v>IMA</v>
      </c>
      <c r="C100" s="6" t="s">
        <v>29</v>
      </c>
      <c r="D100" s="6" t="s">
        <v>204</v>
      </c>
      <c r="E100" s="2" t="s">
        <v>25</v>
      </c>
      <c r="F100" s="6" t="str">
        <f>VLOOKUP(G100,[1]Discrete!$A:$B,2,FALSE)</f>
        <v>67 - DIRECIONAL SOBRECORRENTE FASE E2</v>
      </c>
      <c r="G100" s="6" t="s">
        <v>62</v>
      </c>
      <c r="H100" s="6" t="str" cm="1">
        <f t="array" ref="H100">_xlfn.IFS(OR(D100="TC",D100="TP",D100="LT"),CONCATENATE(B100,"_",C100,$B$3,"_",C100,$B$3,"_",G100),D100="SECC",CONCATENATE(B100,"_",C100,$B$3,"_",$B$5,"_",G100),D100="SECF",CONCATENATE(B100,"_",C100,$B$3,"_",$B$6,"_",G100),D100="SECT",CONCATENATE(B100,"_",C100,$B$3,"_",$B$7,"_",G100),D100="SECG",CONCATENATE(B100,"_",C100,$B$3,"_",$B$8,"_",G100),D100="DJ",CONCATENATE(B100,"_",C100,$B$3,"_",$B$4,"_",G100),D100="DJ_P",CONCATENATE(B100,"_",C100,$B$3,"_",$B$4,"_P","_",G100),D100="DJ_A",CONCATENATE(B100,"_",C100,$B$3,"_",$B$4,"_A","_",G100),D100="LT_P",CONCATENATE(B100,"_",C100,$B$3,"_",C100,$B$3,"_P","_",G100),D100="LT_A",CONCATENATE(B100,"_",C100,$B$3,"_",C100,$B$3,"_A","_",G100))</f>
        <v>IMA_LT5_24-3_A_67F2</v>
      </c>
      <c r="I100" s="6" t="s">
        <v>267</v>
      </c>
      <c r="J100" s="6" t="s">
        <v>182</v>
      </c>
      <c r="K100" s="6" t="s">
        <v>179</v>
      </c>
      <c r="L100" s="6" t="s">
        <v>188</v>
      </c>
      <c r="M100" s="6" t="s">
        <v>188</v>
      </c>
      <c r="N100" s="6"/>
    </row>
    <row r="101" spans="1:14" x14ac:dyDescent="0.25">
      <c r="A101" s="6" t="s">
        <v>191</v>
      </c>
      <c r="B101" s="6" t="str">
        <f>Informações!$C$3</f>
        <v>IMA</v>
      </c>
      <c r="C101" s="6" t="s">
        <v>29</v>
      </c>
      <c r="D101" s="6" t="s">
        <v>204</v>
      </c>
      <c r="E101" s="2" t="s">
        <v>25</v>
      </c>
      <c r="F101" s="6" t="str">
        <f>VLOOKUP(G101,[1]Discrete!$A:$B,2,FALSE)</f>
        <v>67 - DIRECIONAL SOBRECORRENTE NEUTRO E1</v>
      </c>
      <c r="G101" s="6" t="s">
        <v>58</v>
      </c>
      <c r="H101" s="6" t="str" cm="1">
        <f t="array" ref="H101">_xlfn.IFS(OR(D101="TC",D101="TP",D101="LT"),CONCATENATE(B101,"_",C101,$B$3,"_",C101,$B$3,"_",G101),D101="SECC",CONCATENATE(B101,"_",C101,$B$3,"_",$B$5,"_",G101),D101="SECF",CONCATENATE(B101,"_",C101,$B$3,"_",$B$6,"_",G101),D101="SECT",CONCATENATE(B101,"_",C101,$B$3,"_",$B$7,"_",G101),D101="SECG",CONCATENATE(B101,"_",C101,$B$3,"_",$B$8,"_",G101),D101="DJ",CONCATENATE(B101,"_",C101,$B$3,"_",$B$4,"_",G101),D101="DJ_P",CONCATENATE(B101,"_",C101,$B$3,"_",$B$4,"_P","_",G101),D101="DJ_A",CONCATENATE(B101,"_",C101,$B$3,"_",$B$4,"_A","_",G101),D101="LT_P",CONCATENATE(B101,"_",C101,$B$3,"_",C101,$B$3,"_P","_",G101),D101="LT_A",CONCATENATE(B101,"_",C101,$B$3,"_",C101,$B$3,"_A","_",G101))</f>
        <v>IMA_LT5_24-3_A_67N1</v>
      </c>
      <c r="I101" s="6" t="s">
        <v>267</v>
      </c>
      <c r="J101" s="6" t="s">
        <v>182</v>
      </c>
      <c r="K101" s="6" t="s">
        <v>179</v>
      </c>
      <c r="L101" s="6" t="s">
        <v>188</v>
      </c>
      <c r="M101" s="6" t="s">
        <v>188</v>
      </c>
      <c r="N101" s="6"/>
    </row>
    <row r="102" spans="1:14" x14ac:dyDescent="0.25">
      <c r="A102" s="6" t="s">
        <v>191</v>
      </c>
      <c r="B102" s="6" t="str">
        <f>Informações!$C$3</f>
        <v>IMA</v>
      </c>
      <c r="C102" s="6" t="s">
        <v>29</v>
      </c>
      <c r="D102" s="6" t="s">
        <v>204</v>
      </c>
      <c r="E102" s="2" t="s">
        <v>25</v>
      </c>
      <c r="F102" s="6" t="str">
        <f>VLOOKUP(G102,[1]Discrete!$A:$B,2,FALSE)</f>
        <v>67 - DIRECIONAL SOBRECORRENTE NEUTRO E2</v>
      </c>
      <c r="G102" s="6" t="s">
        <v>59</v>
      </c>
      <c r="H102" s="6" t="str" cm="1">
        <f t="array" ref="H102">_xlfn.IFS(OR(D102="TC",D102="TP",D102="LT"),CONCATENATE(B102,"_",C102,$B$3,"_",C102,$B$3,"_",G102),D102="SECC",CONCATENATE(B102,"_",C102,$B$3,"_",$B$5,"_",G102),D102="SECF",CONCATENATE(B102,"_",C102,$B$3,"_",$B$6,"_",G102),D102="SECT",CONCATENATE(B102,"_",C102,$B$3,"_",$B$7,"_",G102),D102="SECG",CONCATENATE(B102,"_",C102,$B$3,"_",$B$8,"_",G102),D102="DJ",CONCATENATE(B102,"_",C102,$B$3,"_",$B$4,"_",G102),D102="DJ_P",CONCATENATE(B102,"_",C102,$B$3,"_",$B$4,"_P","_",G102),D102="DJ_A",CONCATENATE(B102,"_",C102,$B$3,"_",$B$4,"_A","_",G102),D102="LT_P",CONCATENATE(B102,"_",C102,$B$3,"_",C102,$B$3,"_P","_",G102),D102="LT_A",CONCATENATE(B102,"_",C102,$B$3,"_",C102,$B$3,"_A","_",G102))</f>
        <v>IMA_LT5_24-3_A_67N2</v>
      </c>
      <c r="I102" s="6" t="s">
        <v>267</v>
      </c>
      <c r="J102" s="6" t="s">
        <v>182</v>
      </c>
      <c r="K102" s="6" t="s">
        <v>179</v>
      </c>
      <c r="L102" s="6" t="s">
        <v>188</v>
      </c>
      <c r="M102" s="6" t="s">
        <v>188</v>
      </c>
      <c r="N102" s="6"/>
    </row>
    <row r="103" spans="1:14" x14ac:dyDescent="0.25">
      <c r="A103" s="6" t="s">
        <v>191</v>
      </c>
      <c r="B103" s="6" t="str">
        <f>Informações!$C$3</f>
        <v>IMA</v>
      </c>
      <c r="C103" s="6" t="s">
        <v>29</v>
      </c>
      <c r="D103" s="6" t="s">
        <v>204</v>
      </c>
      <c r="E103" s="2" t="s">
        <v>25</v>
      </c>
      <c r="F103" s="6" t="str">
        <f>VLOOKUP(G103,[1]Discrete!$A:$B,2,FALSE)</f>
        <v>67 - DIRECIONAL SOBRECORRENTE FASE TEMPORIZADO</v>
      </c>
      <c r="G103" s="6" t="s">
        <v>60</v>
      </c>
      <c r="H103" s="6" t="str" cm="1">
        <f t="array" ref="H103">_xlfn.IFS(OR(D103="TC",D103="TP",D103="LT"),CONCATENATE(B103,"_",C103,$B$3,"_",C103,$B$3,"_",G103),D103="SECC",CONCATENATE(B103,"_",C103,$B$3,"_",$B$5,"_",G103),D103="SECF",CONCATENATE(B103,"_",C103,$B$3,"_",$B$6,"_",G103),D103="SECT",CONCATENATE(B103,"_",C103,$B$3,"_",$B$7,"_",G103),D103="SECG",CONCATENATE(B103,"_",C103,$B$3,"_",$B$8,"_",G103),D103="DJ",CONCATENATE(B103,"_",C103,$B$3,"_",$B$4,"_",G103),D103="DJ_P",CONCATENATE(B103,"_",C103,$B$3,"_",$B$4,"_P","_",G103),D103="DJ_A",CONCATENATE(B103,"_",C103,$B$3,"_",$B$4,"_A","_",G103),D103="LT_P",CONCATENATE(B103,"_",C103,$B$3,"_",C103,$B$3,"_P","_",G103),D103="LT_A",CONCATENATE(B103,"_",C103,$B$3,"_",C103,$B$3,"_A","_",G103))</f>
        <v>IMA_LT5_24-3_A_67FT</v>
      </c>
      <c r="I103" s="6" t="s">
        <v>267</v>
      </c>
      <c r="J103" s="6" t="s">
        <v>182</v>
      </c>
      <c r="K103" s="6" t="s">
        <v>179</v>
      </c>
      <c r="L103" s="6" t="s">
        <v>188</v>
      </c>
      <c r="M103" s="6" t="s">
        <v>188</v>
      </c>
      <c r="N103" s="6"/>
    </row>
    <row r="104" spans="1:14" x14ac:dyDescent="0.25">
      <c r="A104" s="6" t="s">
        <v>191</v>
      </c>
      <c r="B104" s="6" t="str">
        <f>Informações!$C$3</f>
        <v>IMA</v>
      </c>
      <c r="C104" s="6" t="s">
        <v>29</v>
      </c>
      <c r="D104" s="6" t="s">
        <v>204</v>
      </c>
      <c r="E104" s="2" t="s">
        <v>25</v>
      </c>
      <c r="F104" s="6" t="str">
        <f>VLOOKUP(G104,[1]Discrete!$A:$B,2,FALSE)</f>
        <v>67 - DIRECIONAL SOBRECORRENTE NEUTRO TEMPORIZADO</v>
      </c>
      <c r="G104" s="6" t="s">
        <v>63</v>
      </c>
      <c r="H104" s="6" t="str" cm="1">
        <f t="array" ref="H104">_xlfn.IFS(OR(D104="TC",D104="TP",D104="LT"),CONCATENATE(B104,"_",C104,$B$3,"_",C104,$B$3,"_",G104),D104="SECC",CONCATENATE(B104,"_",C104,$B$3,"_",$B$5,"_",G104),D104="SECF",CONCATENATE(B104,"_",C104,$B$3,"_",$B$6,"_",G104),D104="SECT",CONCATENATE(B104,"_",C104,$B$3,"_",$B$7,"_",G104),D104="SECG",CONCATENATE(B104,"_",C104,$B$3,"_",$B$8,"_",G104),D104="DJ",CONCATENATE(B104,"_",C104,$B$3,"_",$B$4,"_",G104),D104="DJ_P",CONCATENATE(B104,"_",C104,$B$3,"_",$B$4,"_P","_",G104),D104="DJ_A",CONCATENATE(B104,"_",C104,$B$3,"_",$B$4,"_A","_",G104),D104="LT_P",CONCATENATE(B104,"_",C104,$B$3,"_",C104,$B$3,"_P","_",G104),D104="LT_A",CONCATENATE(B104,"_",C104,$B$3,"_",C104,$B$3,"_A","_",G104))</f>
        <v>IMA_LT5_24-3_A_67NT</v>
      </c>
      <c r="I104" s="6" t="s">
        <v>267</v>
      </c>
      <c r="J104" s="6" t="s">
        <v>182</v>
      </c>
      <c r="K104" s="6" t="s">
        <v>179</v>
      </c>
      <c r="L104" s="6" t="s">
        <v>188</v>
      </c>
      <c r="M104" s="6" t="s">
        <v>188</v>
      </c>
      <c r="N104" s="6"/>
    </row>
    <row r="105" spans="1:14" x14ac:dyDescent="0.25">
      <c r="A105" s="6" t="s">
        <v>191</v>
      </c>
      <c r="B105" s="6" t="str">
        <f>Informações!$C$3</f>
        <v>IMA</v>
      </c>
      <c r="C105" s="6" t="s">
        <v>29</v>
      </c>
      <c r="D105" s="6" t="s">
        <v>206</v>
      </c>
      <c r="E105" s="2" t="s">
        <v>25</v>
      </c>
      <c r="F105" s="6" t="str">
        <f>VLOOKUP(G105,[1]Discrete!$A:$B,2,FALSE)</f>
        <v>21 - TRIP ZONA 1</v>
      </c>
      <c r="G105" s="6" t="s">
        <v>64</v>
      </c>
      <c r="H105" s="6" t="str" cm="1">
        <f t="array" ref="H105">_xlfn.IFS(OR(D105="TC",D105="TP",D105="LT"),CONCATENATE(B105,"_",C105,$B$3,"_",C105,$B$3,"_",G105),D105="SECC",CONCATENATE(B105,"_",C105,$B$3,"_",$B$5,"_",G105),D105="SECF",CONCATENATE(B105,"_",C105,$B$3,"_",$B$6,"_",G105),D105="SECT",CONCATENATE(B105,"_",C105,$B$3,"_",$B$7,"_",G105),D105="SECG",CONCATENATE(B105,"_",C105,$B$3,"_",$B$8,"_",G105),D105="DJ",CONCATENATE(B105,"_",C105,$B$3,"_",$B$4,"_",G105),D105="DJ_P",CONCATENATE(B105,"_",C105,$B$3,"_",$B$4,"_P","_",G105),D105="DJ_A",CONCATENATE(B105,"_",C105,$B$3,"_",$B$4,"_A","_",G105),D105="LT_P",CONCATENATE(B105,"_",C105,$B$3,"_",C105,$B$3,"_P","_",G105),D105="LT_A",CONCATENATE(B105,"_",C105,$B$3,"_",C105,$B$3,"_A","_",G105))</f>
        <v>IMA_LT5_LT5_P_21Z1</v>
      </c>
      <c r="I105" s="6" t="s">
        <v>267</v>
      </c>
      <c r="J105" s="6" t="s">
        <v>182</v>
      </c>
      <c r="K105" s="6" t="s">
        <v>179</v>
      </c>
      <c r="L105" s="6" t="s">
        <v>188</v>
      </c>
      <c r="M105" s="6" t="s">
        <v>188</v>
      </c>
      <c r="N105" s="6"/>
    </row>
    <row r="106" spans="1:14" x14ac:dyDescent="0.25">
      <c r="A106" s="6" t="s">
        <v>191</v>
      </c>
      <c r="B106" s="6" t="str">
        <f>Informações!$C$3</f>
        <v>IMA</v>
      </c>
      <c r="C106" s="6" t="s">
        <v>29</v>
      </c>
      <c r="D106" s="6" t="s">
        <v>206</v>
      </c>
      <c r="E106" s="2" t="s">
        <v>25</v>
      </c>
      <c r="F106" s="6" t="str">
        <f>VLOOKUP(G106,[1]Discrete!$A:$B,2,FALSE)</f>
        <v>21 - TRIP ZONA 2</v>
      </c>
      <c r="G106" s="6" t="s">
        <v>65</v>
      </c>
      <c r="H106" s="6" t="str" cm="1">
        <f t="array" ref="H106">_xlfn.IFS(OR(D106="TC",D106="TP",D106="LT"),CONCATENATE(B106,"_",C106,$B$3,"_",C106,$B$3,"_",G106),D106="SECC",CONCATENATE(B106,"_",C106,$B$3,"_",$B$5,"_",G106),D106="SECF",CONCATENATE(B106,"_",C106,$B$3,"_",$B$6,"_",G106),D106="SECT",CONCATENATE(B106,"_",C106,$B$3,"_",$B$7,"_",G106),D106="SECG",CONCATENATE(B106,"_",C106,$B$3,"_",$B$8,"_",G106),D106="DJ",CONCATENATE(B106,"_",C106,$B$3,"_",$B$4,"_",G106),D106="DJ_P",CONCATENATE(B106,"_",C106,$B$3,"_",$B$4,"_P","_",G106),D106="DJ_A",CONCATENATE(B106,"_",C106,$B$3,"_",$B$4,"_A","_",G106),D106="LT_P",CONCATENATE(B106,"_",C106,$B$3,"_",C106,$B$3,"_P","_",G106),D106="LT_A",CONCATENATE(B106,"_",C106,$B$3,"_",C106,$B$3,"_A","_",G106))</f>
        <v>IMA_LT5_LT5_P_21Z2</v>
      </c>
      <c r="I106" s="6" t="s">
        <v>267</v>
      </c>
      <c r="J106" s="6" t="s">
        <v>182</v>
      </c>
      <c r="K106" s="6" t="s">
        <v>179</v>
      </c>
      <c r="L106" s="6" t="s">
        <v>188</v>
      </c>
      <c r="M106" s="6" t="s">
        <v>188</v>
      </c>
      <c r="N106" s="6"/>
    </row>
    <row r="107" spans="1:14" x14ac:dyDescent="0.25">
      <c r="A107" s="6" t="s">
        <v>191</v>
      </c>
      <c r="B107" s="6" t="str">
        <f>Informações!$C$3</f>
        <v>IMA</v>
      </c>
      <c r="C107" s="6" t="s">
        <v>29</v>
      </c>
      <c r="D107" s="6" t="s">
        <v>206</v>
      </c>
      <c r="E107" s="2" t="s">
        <v>25</v>
      </c>
      <c r="F107" s="6" t="str">
        <f>VLOOKUP(G107,[1]Discrete!$A:$B,2,FALSE)</f>
        <v>21 - TRIP ZONA 3</v>
      </c>
      <c r="G107" s="6" t="s">
        <v>66</v>
      </c>
      <c r="H107" s="6" t="str" cm="1">
        <f t="array" ref="H107">_xlfn.IFS(OR(D107="TC",D107="TP",D107="LT"),CONCATENATE(B107,"_",C107,$B$3,"_",C107,$B$3,"_",G107),D107="SECC",CONCATENATE(B107,"_",C107,$B$3,"_",$B$5,"_",G107),D107="SECF",CONCATENATE(B107,"_",C107,$B$3,"_",$B$6,"_",G107),D107="SECT",CONCATENATE(B107,"_",C107,$B$3,"_",$B$7,"_",G107),D107="SECG",CONCATENATE(B107,"_",C107,$B$3,"_",$B$8,"_",G107),D107="DJ",CONCATENATE(B107,"_",C107,$B$3,"_",$B$4,"_",G107),D107="DJ_P",CONCATENATE(B107,"_",C107,$B$3,"_",$B$4,"_P","_",G107),D107="DJ_A",CONCATENATE(B107,"_",C107,$B$3,"_",$B$4,"_A","_",G107),D107="LT_P",CONCATENATE(B107,"_",C107,$B$3,"_",C107,$B$3,"_P","_",G107),D107="LT_A",CONCATENATE(B107,"_",C107,$B$3,"_",C107,$B$3,"_A","_",G107))</f>
        <v>IMA_LT5_LT5_P_21Z3</v>
      </c>
      <c r="I107" s="6" t="s">
        <v>267</v>
      </c>
      <c r="J107" s="6" t="s">
        <v>182</v>
      </c>
      <c r="K107" s="6" t="s">
        <v>179</v>
      </c>
      <c r="L107" s="6" t="s">
        <v>188</v>
      </c>
      <c r="M107" s="6" t="s">
        <v>188</v>
      </c>
      <c r="N107" s="6"/>
    </row>
    <row r="108" spans="1:14" x14ac:dyDescent="0.25">
      <c r="A108" s="6" t="s">
        <v>191</v>
      </c>
      <c r="B108" s="6" t="str">
        <f>Informações!$C$3</f>
        <v>IMA</v>
      </c>
      <c r="C108" s="6" t="s">
        <v>29</v>
      </c>
      <c r="D108" s="6" t="s">
        <v>206</v>
      </c>
      <c r="E108" s="2" t="s">
        <v>25</v>
      </c>
      <c r="F108" s="6" t="str">
        <f>VLOOKUP(G108,[1]Discrete!$A:$B,2,FALSE)</f>
        <v>21 - TRIP ZONA 4</v>
      </c>
      <c r="G108" s="6" t="s">
        <v>67</v>
      </c>
      <c r="H108" s="6" t="str" cm="1">
        <f t="array" ref="H108">_xlfn.IFS(OR(D108="TC",D108="TP",D108="LT"),CONCATENATE(B108,"_",C108,$B$3,"_",C108,$B$3,"_",G108),D108="SECC",CONCATENATE(B108,"_",C108,$B$3,"_",$B$5,"_",G108),D108="SECF",CONCATENATE(B108,"_",C108,$B$3,"_",$B$6,"_",G108),D108="SECT",CONCATENATE(B108,"_",C108,$B$3,"_",$B$7,"_",G108),D108="SECG",CONCATENATE(B108,"_",C108,$B$3,"_",$B$8,"_",G108),D108="DJ",CONCATENATE(B108,"_",C108,$B$3,"_",$B$4,"_",G108),D108="DJ_P",CONCATENATE(B108,"_",C108,$B$3,"_",$B$4,"_P","_",G108),D108="DJ_A",CONCATENATE(B108,"_",C108,$B$3,"_",$B$4,"_A","_",G108),D108="LT_P",CONCATENATE(B108,"_",C108,$B$3,"_",C108,$B$3,"_P","_",G108),D108="LT_A",CONCATENATE(B108,"_",C108,$B$3,"_",C108,$B$3,"_A","_",G108))</f>
        <v>IMA_LT5_LT5_P_21Z4</v>
      </c>
      <c r="I108" s="6" t="s">
        <v>267</v>
      </c>
      <c r="J108" s="6" t="s">
        <v>182</v>
      </c>
      <c r="K108" s="6" t="s">
        <v>179</v>
      </c>
      <c r="L108" s="6" t="s">
        <v>188</v>
      </c>
      <c r="M108" s="6" t="s">
        <v>188</v>
      </c>
      <c r="N108" s="6"/>
    </row>
    <row r="109" spans="1:14" x14ac:dyDescent="0.25">
      <c r="A109" s="6" t="s">
        <v>191</v>
      </c>
      <c r="B109" s="6" t="str">
        <f>Informações!$C$3</f>
        <v>IMA</v>
      </c>
      <c r="C109" s="6" t="s">
        <v>29</v>
      </c>
      <c r="D109" s="6" t="s">
        <v>206</v>
      </c>
      <c r="E109" s="2" t="s">
        <v>25</v>
      </c>
      <c r="F109" s="6" t="str">
        <f>VLOOKUP(G109,[1]Discrete!$A:$B,2,FALSE)</f>
        <v>21 - TRIP ZONA 5</v>
      </c>
      <c r="G109" s="6" t="s">
        <v>68</v>
      </c>
      <c r="H109" s="6" t="str" cm="1">
        <f t="array" ref="H109">_xlfn.IFS(OR(D109="TC",D109="TP",D109="LT"),CONCATENATE(B109,"_",C109,$B$3,"_",C109,$B$3,"_",G109),D109="SECC",CONCATENATE(B109,"_",C109,$B$3,"_",$B$5,"_",G109),D109="SECF",CONCATENATE(B109,"_",C109,$B$3,"_",$B$6,"_",G109),D109="SECT",CONCATENATE(B109,"_",C109,$B$3,"_",$B$7,"_",G109),D109="SECG",CONCATENATE(B109,"_",C109,$B$3,"_",$B$8,"_",G109),D109="DJ",CONCATENATE(B109,"_",C109,$B$3,"_",$B$4,"_",G109),D109="DJ_P",CONCATENATE(B109,"_",C109,$B$3,"_",$B$4,"_P","_",G109),D109="DJ_A",CONCATENATE(B109,"_",C109,$B$3,"_",$B$4,"_A","_",G109),D109="LT_P",CONCATENATE(B109,"_",C109,$B$3,"_",C109,$B$3,"_P","_",G109),D109="LT_A",CONCATENATE(B109,"_",C109,$B$3,"_",C109,$B$3,"_A","_",G109))</f>
        <v>IMA_LT5_LT5_P_21Z5</v>
      </c>
      <c r="I109" s="6" t="s">
        <v>267</v>
      </c>
      <c r="J109" s="6" t="s">
        <v>182</v>
      </c>
      <c r="K109" s="6" t="s">
        <v>179</v>
      </c>
      <c r="L109" s="6" t="s">
        <v>188</v>
      </c>
      <c r="M109" s="6" t="s">
        <v>188</v>
      </c>
      <c r="N109" s="6"/>
    </row>
    <row r="110" spans="1:14" x14ac:dyDescent="0.25">
      <c r="A110" s="6" t="s">
        <v>191</v>
      </c>
      <c r="B110" s="6" t="str">
        <f>Informações!$C$3</f>
        <v>IMA</v>
      </c>
      <c r="C110" s="6" t="s">
        <v>29</v>
      </c>
      <c r="D110" s="6" t="s">
        <v>207</v>
      </c>
      <c r="E110" s="2" t="s">
        <v>25</v>
      </c>
      <c r="F110" s="6" t="str">
        <f>VLOOKUP(G110,[1]Discrete!$A:$B,2,FALSE)</f>
        <v>21 - TRIP ZONA 1</v>
      </c>
      <c r="G110" s="6" t="s">
        <v>64</v>
      </c>
      <c r="H110" s="6" t="str" cm="1">
        <f t="array" ref="H110">_xlfn.IFS(OR(D110="TC",D110="TP",D110="LT"),CONCATENATE(B110,"_",C110,$B$3,"_",C110,$B$3,"_",G110),D110="SECC",CONCATENATE(B110,"_",C110,$B$3,"_",$B$5,"_",G110),D110="SECF",CONCATENATE(B110,"_",C110,$B$3,"_",$B$6,"_",G110),D110="SECT",CONCATENATE(B110,"_",C110,$B$3,"_",$B$7,"_",G110),D110="SECG",CONCATENATE(B110,"_",C110,$B$3,"_",$B$8,"_",G110),D110="DJ",CONCATENATE(B110,"_",C110,$B$3,"_",$B$4,"_",G110),D110="DJ_P",CONCATENATE(B110,"_",C110,$B$3,"_",$B$4,"_P","_",G110),D110="DJ_A",CONCATENATE(B110,"_",C110,$B$3,"_",$B$4,"_A","_",G110),D110="LT_P",CONCATENATE(B110,"_",C110,$B$3,"_",C110,$B$3,"_P","_",G110),D110="LT_A",CONCATENATE(B110,"_",C110,$B$3,"_",C110,$B$3,"_A","_",G110))</f>
        <v>IMA_LT5_LT5_A_21Z1</v>
      </c>
      <c r="I110" s="6" t="s">
        <v>267</v>
      </c>
      <c r="J110" s="6" t="s">
        <v>182</v>
      </c>
      <c r="K110" s="6" t="s">
        <v>179</v>
      </c>
      <c r="L110" s="6" t="s">
        <v>188</v>
      </c>
      <c r="M110" s="6" t="s">
        <v>188</v>
      </c>
      <c r="N110" s="6"/>
    </row>
    <row r="111" spans="1:14" x14ac:dyDescent="0.25">
      <c r="A111" s="6" t="s">
        <v>191</v>
      </c>
      <c r="B111" s="6" t="str">
        <f>Informações!$C$3</f>
        <v>IMA</v>
      </c>
      <c r="C111" s="6" t="s">
        <v>29</v>
      </c>
      <c r="D111" s="6" t="s">
        <v>207</v>
      </c>
      <c r="E111" s="2" t="s">
        <v>25</v>
      </c>
      <c r="F111" s="6" t="str">
        <f>VLOOKUP(G111,[1]Discrete!$A:$B,2,FALSE)</f>
        <v>21 - TRIP ZONA 2</v>
      </c>
      <c r="G111" s="6" t="s">
        <v>65</v>
      </c>
      <c r="H111" s="6" t="str" cm="1">
        <f t="array" ref="H111">_xlfn.IFS(OR(D111="TC",D111="TP",D111="LT"),CONCATENATE(B111,"_",C111,$B$3,"_",C111,$B$3,"_",G111),D111="SECC",CONCATENATE(B111,"_",C111,$B$3,"_",$B$5,"_",G111),D111="SECF",CONCATENATE(B111,"_",C111,$B$3,"_",$B$6,"_",G111),D111="SECT",CONCATENATE(B111,"_",C111,$B$3,"_",$B$7,"_",G111),D111="SECG",CONCATENATE(B111,"_",C111,$B$3,"_",$B$8,"_",G111),D111="DJ",CONCATENATE(B111,"_",C111,$B$3,"_",$B$4,"_",G111),D111="DJ_P",CONCATENATE(B111,"_",C111,$B$3,"_",$B$4,"_P","_",G111),D111="DJ_A",CONCATENATE(B111,"_",C111,$B$3,"_",$B$4,"_A","_",G111),D111="LT_P",CONCATENATE(B111,"_",C111,$B$3,"_",C111,$B$3,"_P","_",G111),D111="LT_A",CONCATENATE(B111,"_",C111,$B$3,"_",C111,$B$3,"_A","_",G111))</f>
        <v>IMA_LT5_LT5_A_21Z2</v>
      </c>
      <c r="I111" s="6" t="s">
        <v>267</v>
      </c>
      <c r="J111" s="6" t="s">
        <v>182</v>
      </c>
      <c r="K111" s="6" t="s">
        <v>179</v>
      </c>
      <c r="L111" s="6" t="s">
        <v>188</v>
      </c>
      <c r="M111" s="6" t="s">
        <v>188</v>
      </c>
      <c r="N111" s="6"/>
    </row>
    <row r="112" spans="1:14" x14ac:dyDescent="0.25">
      <c r="A112" s="6" t="s">
        <v>191</v>
      </c>
      <c r="B112" s="6" t="str">
        <f>Informações!$C$3</f>
        <v>IMA</v>
      </c>
      <c r="C112" s="6" t="s">
        <v>29</v>
      </c>
      <c r="D112" s="6" t="s">
        <v>207</v>
      </c>
      <c r="E112" s="2" t="s">
        <v>25</v>
      </c>
      <c r="F112" s="6" t="str">
        <f>VLOOKUP(G112,[1]Discrete!$A:$B,2,FALSE)</f>
        <v>21 - TRIP ZONA 3</v>
      </c>
      <c r="G112" s="6" t="s">
        <v>66</v>
      </c>
      <c r="H112" s="6" t="str" cm="1">
        <f t="array" ref="H112">_xlfn.IFS(OR(D112="TC",D112="TP",D112="LT"),CONCATENATE(B112,"_",C112,$B$3,"_",C112,$B$3,"_",G112),D112="SECC",CONCATENATE(B112,"_",C112,$B$3,"_",$B$5,"_",G112),D112="SECF",CONCATENATE(B112,"_",C112,$B$3,"_",$B$6,"_",G112),D112="SECT",CONCATENATE(B112,"_",C112,$B$3,"_",$B$7,"_",G112),D112="SECG",CONCATENATE(B112,"_",C112,$B$3,"_",$B$8,"_",G112),D112="DJ",CONCATENATE(B112,"_",C112,$B$3,"_",$B$4,"_",G112),D112="DJ_P",CONCATENATE(B112,"_",C112,$B$3,"_",$B$4,"_P","_",G112),D112="DJ_A",CONCATENATE(B112,"_",C112,$B$3,"_",$B$4,"_A","_",G112),D112="LT_P",CONCATENATE(B112,"_",C112,$B$3,"_",C112,$B$3,"_P","_",G112),D112="LT_A",CONCATENATE(B112,"_",C112,$B$3,"_",C112,$B$3,"_A","_",G112))</f>
        <v>IMA_LT5_LT5_A_21Z3</v>
      </c>
      <c r="I112" s="6" t="s">
        <v>267</v>
      </c>
      <c r="J112" s="6" t="s">
        <v>182</v>
      </c>
      <c r="K112" s="6" t="s">
        <v>179</v>
      </c>
      <c r="L112" s="6" t="s">
        <v>188</v>
      </c>
      <c r="M112" s="6" t="s">
        <v>188</v>
      </c>
      <c r="N112" s="6"/>
    </row>
    <row r="113" spans="1:14" x14ac:dyDescent="0.25">
      <c r="A113" s="6" t="s">
        <v>191</v>
      </c>
      <c r="B113" s="6" t="str">
        <f>Informações!$C$3</f>
        <v>IMA</v>
      </c>
      <c r="C113" s="6" t="s">
        <v>29</v>
      </c>
      <c r="D113" s="6" t="s">
        <v>207</v>
      </c>
      <c r="E113" s="2" t="s">
        <v>25</v>
      </c>
      <c r="F113" s="6" t="str">
        <f>VLOOKUP(G113,[1]Discrete!$A:$B,2,FALSE)</f>
        <v>21 - TRIP ZONA 4</v>
      </c>
      <c r="G113" s="6" t="s">
        <v>67</v>
      </c>
      <c r="H113" s="6" t="str" cm="1">
        <f t="array" ref="H113">_xlfn.IFS(OR(D113="TC",D113="TP",D113="LT"),CONCATENATE(B113,"_",C113,$B$3,"_",C113,$B$3,"_",G113),D113="SECC",CONCATENATE(B113,"_",C113,$B$3,"_",$B$5,"_",G113),D113="SECF",CONCATENATE(B113,"_",C113,$B$3,"_",$B$6,"_",G113),D113="SECT",CONCATENATE(B113,"_",C113,$B$3,"_",$B$7,"_",G113),D113="SECG",CONCATENATE(B113,"_",C113,$B$3,"_",$B$8,"_",G113),D113="DJ",CONCATENATE(B113,"_",C113,$B$3,"_",$B$4,"_",G113),D113="DJ_P",CONCATENATE(B113,"_",C113,$B$3,"_",$B$4,"_P","_",G113),D113="DJ_A",CONCATENATE(B113,"_",C113,$B$3,"_",$B$4,"_A","_",G113),D113="LT_P",CONCATENATE(B113,"_",C113,$B$3,"_",C113,$B$3,"_P","_",G113),D113="LT_A",CONCATENATE(B113,"_",C113,$B$3,"_",C113,$B$3,"_A","_",G113))</f>
        <v>IMA_LT5_LT5_A_21Z4</v>
      </c>
      <c r="I113" s="6" t="s">
        <v>267</v>
      </c>
      <c r="J113" s="6" t="s">
        <v>182</v>
      </c>
      <c r="K113" s="6" t="s">
        <v>179</v>
      </c>
      <c r="L113" s="6" t="s">
        <v>188</v>
      </c>
      <c r="M113" s="6" t="s">
        <v>188</v>
      </c>
      <c r="N113" s="6"/>
    </row>
    <row r="114" spans="1:14" x14ac:dyDescent="0.25">
      <c r="A114" s="6" t="s">
        <v>191</v>
      </c>
      <c r="B114" s="6" t="str">
        <f>Informações!$C$3</f>
        <v>IMA</v>
      </c>
      <c r="C114" s="6" t="s">
        <v>29</v>
      </c>
      <c r="D114" s="6" t="s">
        <v>207</v>
      </c>
      <c r="E114" s="2" t="s">
        <v>25</v>
      </c>
      <c r="F114" s="6" t="str">
        <f>VLOOKUP(G114,[1]Discrete!$A:$B,2,FALSE)</f>
        <v>21 - TRIP ZONA 5</v>
      </c>
      <c r="G114" s="6" t="s">
        <v>68</v>
      </c>
      <c r="H114" s="6" t="str" cm="1">
        <f t="array" ref="H114">_xlfn.IFS(OR(D114="TC",D114="TP",D114="LT"),CONCATENATE(B114,"_",C114,$B$3,"_",C114,$B$3,"_",G114),D114="SECC",CONCATENATE(B114,"_",C114,$B$3,"_",$B$5,"_",G114),D114="SECF",CONCATENATE(B114,"_",C114,$B$3,"_",$B$6,"_",G114),D114="SECT",CONCATENATE(B114,"_",C114,$B$3,"_",$B$7,"_",G114),D114="SECG",CONCATENATE(B114,"_",C114,$B$3,"_",$B$8,"_",G114),D114="DJ",CONCATENATE(B114,"_",C114,$B$3,"_",$B$4,"_",G114),D114="DJ_P",CONCATENATE(B114,"_",C114,$B$3,"_",$B$4,"_P","_",G114),D114="DJ_A",CONCATENATE(B114,"_",C114,$B$3,"_",$B$4,"_A","_",G114),D114="LT_P",CONCATENATE(B114,"_",C114,$B$3,"_",C114,$B$3,"_P","_",G114),D114="LT_A",CONCATENATE(B114,"_",C114,$B$3,"_",C114,$B$3,"_A","_",G114))</f>
        <v>IMA_LT5_LT5_A_21Z5</v>
      </c>
      <c r="I114" s="6" t="s">
        <v>267</v>
      </c>
      <c r="J114" s="6" t="s">
        <v>182</v>
      </c>
      <c r="K114" s="6" t="s">
        <v>179</v>
      </c>
      <c r="L114" s="6" t="s">
        <v>188</v>
      </c>
      <c r="M114" s="6" t="s">
        <v>188</v>
      </c>
      <c r="N114" s="6"/>
    </row>
    <row r="115" spans="1:14" x14ac:dyDescent="0.25">
      <c r="A115" s="6" t="s">
        <v>191</v>
      </c>
      <c r="B115" s="6" t="str">
        <f>Informações!$C$3</f>
        <v>IMA</v>
      </c>
      <c r="C115" s="6" t="s">
        <v>29</v>
      </c>
      <c r="D115" s="6" t="s">
        <v>29</v>
      </c>
      <c r="E115" s="2" t="s">
        <v>25</v>
      </c>
      <c r="F115" s="6" t="e">
        <f>VLOOKUP(G115,[1]Discrete!$A:$B,2,FALSE)</f>
        <v>#N/A</v>
      </c>
      <c r="G115" s="6">
        <v>21</v>
      </c>
      <c r="H115" s="6" t="str" cm="1">
        <f t="array" ref="H115">_xlfn.IFS(OR(D115="TC",D115="TP",D115="LT"),CONCATENATE(B115,"_",C115,$B$3,"_",C115,$B$3,"_",G115),D115="SECC",CONCATENATE(B115,"_",C115,$B$3,"_",$B$5,"_",G115),D115="SECF",CONCATENATE(B115,"_",C115,$B$3,"_",$B$6,"_",G115),D115="SECT",CONCATENATE(B115,"_",C115,$B$3,"_",$B$7,"_",G115),D115="SECG",CONCATENATE(B115,"_",C115,$B$3,"_",$B$8,"_",G115),D115="DJ",CONCATENATE(B115,"_",C115,$B$3,"_",$B$4,"_",G115),D115="DJ_P",CONCATENATE(B115,"_",C115,$B$3,"_",$B$4,"_P","_",G115),D115="DJ_A",CONCATENATE(B115,"_",C115,$B$3,"_",$B$4,"_A","_",G115),D115="LT_P",CONCATENATE(B115,"_",C115,$B$3,"_",C115,$B$3,"_P","_",G115),D115="LT_A",CONCATENATE(B115,"_",C115,$B$3,"_",C115,$B$3,"_A","_",G115))</f>
        <v>IMA_LT5_LT5_21</v>
      </c>
      <c r="I115" s="6" t="s">
        <v>267</v>
      </c>
      <c r="J115" s="6" t="s">
        <v>182</v>
      </c>
      <c r="K115" s="6" t="s">
        <v>179</v>
      </c>
      <c r="L115" s="6" t="s">
        <v>188</v>
      </c>
      <c r="M115" s="6" t="s">
        <v>188</v>
      </c>
      <c r="N115" s="6"/>
    </row>
    <row r="116" spans="1:14" x14ac:dyDescent="0.25">
      <c r="A116" s="6" t="s">
        <v>191</v>
      </c>
      <c r="B116" s="6" t="str">
        <f>Informações!$C$3</f>
        <v>IMA</v>
      </c>
      <c r="C116" s="6" t="s">
        <v>29</v>
      </c>
      <c r="D116" s="6" t="s">
        <v>205</v>
      </c>
      <c r="E116" s="2" t="s">
        <v>25</v>
      </c>
      <c r="F116" s="6" t="str">
        <f>VLOOKUP(G116,[1]Discrete!$A:$B,2,FALSE)</f>
        <v>27 - TRIP SUBTENSAO</v>
      </c>
      <c r="G116" s="6" t="s">
        <v>69</v>
      </c>
      <c r="H116" s="6" t="str" cm="1">
        <f t="array" ref="H116">_xlfn.IFS(OR(D116="TC",D116="TP",D116="LT"),CONCATENATE(B116,"_",C116,$B$3,"_",C116,$B$3,"_",G116),D116="SECC",CONCATENATE(B116,"_",C116,$B$3,"_",$B$5,"_",G116),D116="SECF",CONCATENATE(B116,"_",C116,$B$3,"_",$B$6,"_",G116),D116="SECT",CONCATENATE(B116,"_",C116,$B$3,"_",$B$7,"_",G116),D116="SECG",CONCATENATE(B116,"_",C116,$B$3,"_",$B$8,"_",G116),D116="DJ",CONCATENATE(B116,"_",C116,$B$3,"_",$B$4,"_",G116),D116="DJ_P",CONCATENATE(B116,"_",C116,$B$3,"_",$B$4,"_P","_",G116),D116="DJ_A",CONCATENATE(B116,"_",C116,$B$3,"_",$B$4,"_A","_",G116),D116="LT_P",CONCATENATE(B116,"_",C116,$B$3,"_",C116,$B$3,"_P","_",G116),D116="LT_A",CONCATENATE(B116,"_",C116,$B$3,"_",C116,$B$3,"_A","_",G116))</f>
        <v>IMA_LT5_24-3_P_27_T</v>
      </c>
      <c r="I116" s="6" t="s">
        <v>267</v>
      </c>
      <c r="J116" s="6" t="s">
        <v>182</v>
      </c>
      <c r="K116" s="6" t="s">
        <v>179</v>
      </c>
      <c r="L116" s="6" t="s">
        <v>188</v>
      </c>
      <c r="M116" s="6" t="s">
        <v>188</v>
      </c>
      <c r="N116" s="6"/>
    </row>
    <row r="117" spans="1:14" x14ac:dyDescent="0.25">
      <c r="A117" s="6" t="s">
        <v>191</v>
      </c>
      <c r="B117" s="6" t="str">
        <f>Informações!$C$3</f>
        <v>IMA</v>
      </c>
      <c r="C117" s="6" t="s">
        <v>29</v>
      </c>
      <c r="D117" s="6" t="s">
        <v>205</v>
      </c>
      <c r="E117" s="2" t="s">
        <v>25</v>
      </c>
      <c r="F117" s="6" t="str">
        <f>VLOOKUP(G117,[1]Discrete!$A:$B,2,FALSE)</f>
        <v>59 - TRIP SOBRETENSAO</v>
      </c>
      <c r="G117" s="6" t="s">
        <v>70</v>
      </c>
      <c r="H117" s="6" t="str" cm="1">
        <f t="array" ref="H117">_xlfn.IFS(OR(D117="TC",D117="TP",D117="LT"),CONCATENATE(B117,"_",C117,$B$3,"_",C117,$B$3,"_",G117),D117="SECC",CONCATENATE(B117,"_",C117,$B$3,"_",$B$5,"_",G117),D117="SECF",CONCATENATE(B117,"_",C117,$B$3,"_",$B$6,"_",G117),D117="SECT",CONCATENATE(B117,"_",C117,$B$3,"_",$B$7,"_",G117),D117="SECG",CONCATENATE(B117,"_",C117,$B$3,"_",$B$8,"_",G117),D117="DJ",CONCATENATE(B117,"_",C117,$B$3,"_",$B$4,"_",G117),D117="DJ_P",CONCATENATE(B117,"_",C117,$B$3,"_",$B$4,"_P","_",G117),D117="DJ_A",CONCATENATE(B117,"_",C117,$B$3,"_",$B$4,"_A","_",G117),D117="LT_P",CONCATENATE(B117,"_",C117,$B$3,"_",C117,$B$3,"_P","_",G117),D117="LT_A",CONCATENATE(B117,"_",C117,$B$3,"_",C117,$B$3,"_A","_",G117))</f>
        <v>IMA_LT5_24-3_P_59_T</v>
      </c>
      <c r="I117" s="6" t="s">
        <v>267</v>
      </c>
      <c r="J117" s="6" t="s">
        <v>182</v>
      </c>
      <c r="K117" s="6" t="s">
        <v>179</v>
      </c>
      <c r="L117" s="6" t="s">
        <v>188</v>
      </c>
      <c r="M117" s="6" t="s">
        <v>188</v>
      </c>
      <c r="N117" s="6"/>
    </row>
    <row r="118" spans="1:14" x14ac:dyDescent="0.25">
      <c r="A118" s="6" t="s">
        <v>191</v>
      </c>
      <c r="B118" s="6" t="str">
        <f>Informações!$C$3</f>
        <v>IMA</v>
      </c>
      <c r="C118" s="6" t="s">
        <v>29</v>
      </c>
      <c r="D118" s="6" t="s">
        <v>204</v>
      </c>
      <c r="E118" s="2" t="s">
        <v>25</v>
      </c>
      <c r="F118" s="6" t="str">
        <f>VLOOKUP(G118,[1]Discrete!$A:$B,2,FALSE)</f>
        <v>27 - TRIP SUBTENSAO</v>
      </c>
      <c r="G118" s="6" t="s">
        <v>69</v>
      </c>
      <c r="H118" s="6" t="str" cm="1">
        <f t="array" ref="H118">_xlfn.IFS(OR(D118="TC",D118="TP",D118="LT"),CONCATENATE(B118,"_",C118,$B$3,"_",C118,$B$3,"_",G118),D118="SECC",CONCATENATE(B118,"_",C118,$B$3,"_",$B$5,"_",G118),D118="SECF",CONCATENATE(B118,"_",C118,$B$3,"_",$B$6,"_",G118),D118="SECT",CONCATENATE(B118,"_",C118,$B$3,"_",$B$7,"_",G118),D118="SECG",CONCATENATE(B118,"_",C118,$B$3,"_",$B$8,"_",G118),D118="DJ",CONCATENATE(B118,"_",C118,$B$3,"_",$B$4,"_",G118),D118="DJ_P",CONCATENATE(B118,"_",C118,$B$3,"_",$B$4,"_P","_",G118),D118="DJ_A",CONCATENATE(B118,"_",C118,$B$3,"_",$B$4,"_A","_",G118),D118="LT_P",CONCATENATE(B118,"_",C118,$B$3,"_",C118,$B$3,"_P","_",G118),D118="LT_A",CONCATENATE(B118,"_",C118,$B$3,"_",C118,$B$3,"_A","_",G118))</f>
        <v>IMA_LT5_24-3_A_27_T</v>
      </c>
      <c r="I118" s="6" t="s">
        <v>267</v>
      </c>
      <c r="J118" s="6" t="s">
        <v>182</v>
      </c>
      <c r="K118" s="6" t="s">
        <v>179</v>
      </c>
      <c r="L118" s="6" t="s">
        <v>188</v>
      </c>
      <c r="M118" s="6" t="s">
        <v>188</v>
      </c>
      <c r="N118" s="6"/>
    </row>
    <row r="119" spans="1:14" x14ac:dyDescent="0.25">
      <c r="A119" s="6" t="s">
        <v>191</v>
      </c>
      <c r="B119" s="6" t="str">
        <f>Informações!$C$3</f>
        <v>IMA</v>
      </c>
      <c r="C119" s="6" t="s">
        <v>29</v>
      </c>
      <c r="D119" s="6" t="s">
        <v>204</v>
      </c>
      <c r="E119" s="2" t="s">
        <v>25</v>
      </c>
      <c r="F119" s="6" t="str">
        <f>VLOOKUP(G119,[1]Discrete!$A:$B,2,FALSE)</f>
        <v>59 - TRIP SOBRETENSAO</v>
      </c>
      <c r="G119" s="6" t="s">
        <v>70</v>
      </c>
      <c r="H119" s="6" t="str" cm="1">
        <f t="array" ref="H119">_xlfn.IFS(OR(D119="TC",D119="TP",D119="LT"),CONCATENATE(B119,"_",C119,$B$3,"_",C119,$B$3,"_",G119),D119="SECC",CONCATENATE(B119,"_",C119,$B$3,"_",$B$5,"_",G119),D119="SECF",CONCATENATE(B119,"_",C119,$B$3,"_",$B$6,"_",G119),D119="SECT",CONCATENATE(B119,"_",C119,$B$3,"_",$B$7,"_",G119),D119="SECG",CONCATENATE(B119,"_",C119,$B$3,"_",$B$8,"_",G119),D119="DJ",CONCATENATE(B119,"_",C119,$B$3,"_",$B$4,"_",G119),D119="DJ_P",CONCATENATE(B119,"_",C119,$B$3,"_",$B$4,"_P","_",G119),D119="DJ_A",CONCATENATE(B119,"_",C119,$B$3,"_",$B$4,"_A","_",G119),D119="LT_P",CONCATENATE(B119,"_",C119,$B$3,"_",C119,$B$3,"_P","_",G119),D119="LT_A",CONCATENATE(B119,"_",C119,$B$3,"_",C119,$B$3,"_A","_",G119))</f>
        <v>IMA_LT5_24-3_A_59_T</v>
      </c>
      <c r="I119" s="6" t="s">
        <v>267</v>
      </c>
      <c r="J119" s="6" t="s">
        <v>182</v>
      </c>
      <c r="K119" s="6" t="s">
        <v>179</v>
      </c>
      <c r="L119" s="6" t="s">
        <v>188</v>
      </c>
      <c r="M119" s="6" t="s">
        <v>188</v>
      </c>
      <c r="N119" s="6"/>
    </row>
    <row r="120" spans="1:14" x14ac:dyDescent="0.25">
      <c r="A120" s="6" t="s">
        <v>191</v>
      </c>
      <c r="B120" s="6" t="str">
        <f>Informações!$C$3</f>
        <v>IMA</v>
      </c>
      <c r="C120" s="6" t="s">
        <v>29</v>
      </c>
      <c r="D120" s="6" t="s">
        <v>30</v>
      </c>
      <c r="E120" s="2" t="s">
        <v>25</v>
      </c>
      <c r="F120" s="6" t="e">
        <f>VLOOKUP(G120,[1]Discrete!$A:$B,2,FALSE)</f>
        <v>#N/A</v>
      </c>
      <c r="G120" s="6">
        <v>27</v>
      </c>
      <c r="H120" s="6" t="str" cm="1">
        <f t="array" ref="H120">_xlfn.IFS(OR(D120="TC",D120="TP",D120="LT"),CONCATENATE(B120,"_",C120,$B$3,"_",C120,$B$3,"_",G120),D120="SECC",CONCATENATE(B120,"_",C120,$B$3,"_",$B$5,"_",G120),D120="SECF",CONCATENATE(B120,"_",C120,$B$3,"_",$B$6,"_",G120),D120="SECT",CONCATENATE(B120,"_",C120,$B$3,"_",$B$7,"_",G120),D120="SECG",CONCATENATE(B120,"_",C120,$B$3,"_",$B$8,"_",G120),D120="DJ",CONCATENATE(B120,"_",C120,$B$3,"_",$B$4,"_",G120),D120="DJ_P",CONCATENATE(B120,"_",C120,$B$3,"_",$B$4,"_P","_",G120),D120="DJ_A",CONCATENATE(B120,"_",C120,$B$3,"_",$B$4,"_A","_",G120),D120="LT_P",CONCATENATE(B120,"_",C120,$B$3,"_",C120,$B$3,"_P","_",G120),D120="LT_A",CONCATENATE(B120,"_",C120,$B$3,"_",C120,$B$3,"_A","_",G120))</f>
        <v>IMA_LT5_24-3_27</v>
      </c>
      <c r="I120" s="6" t="s">
        <v>267</v>
      </c>
      <c r="J120" s="6" t="s">
        <v>182</v>
      </c>
      <c r="K120" s="6" t="s">
        <v>179</v>
      </c>
      <c r="L120" s="6" t="s">
        <v>188</v>
      </c>
      <c r="M120" s="6" t="s">
        <v>188</v>
      </c>
      <c r="N120" s="6"/>
    </row>
    <row r="121" spans="1:14" x14ac:dyDescent="0.25">
      <c r="A121" s="6" t="s">
        <v>191</v>
      </c>
      <c r="B121" s="6" t="str">
        <f>Informações!$C$3</f>
        <v>IMA</v>
      </c>
      <c r="C121" s="6" t="s">
        <v>29</v>
      </c>
      <c r="D121" s="6" t="s">
        <v>30</v>
      </c>
      <c r="E121" s="2" t="s">
        <v>25</v>
      </c>
      <c r="F121" s="6" t="e">
        <f>VLOOKUP(G121,[1]Discrete!$A:$B,2,FALSE)</f>
        <v>#N/A</v>
      </c>
      <c r="G121" s="6">
        <v>59</v>
      </c>
      <c r="H121" s="6" t="str" cm="1">
        <f t="array" ref="H121">_xlfn.IFS(OR(D121="TC",D121="TP",D121="LT"),CONCATENATE(B121,"_",C121,$B$3,"_",C121,$B$3,"_",G121),D121="SECC",CONCATENATE(B121,"_",C121,$B$3,"_",$B$5,"_",G121),D121="SECF",CONCATENATE(B121,"_",C121,$B$3,"_",$B$6,"_",G121),D121="SECT",CONCATENATE(B121,"_",C121,$B$3,"_",$B$7,"_",G121),D121="SECG",CONCATENATE(B121,"_",C121,$B$3,"_",$B$8,"_",G121),D121="DJ",CONCATENATE(B121,"_",C121,$B$3,"_",$B$4,"_",G121),D121="DJ_P",CONCATENATE(B121,"_",C121,$B$3,"_",$B$4,"_P","_",G121),D121="DJ_A",CONCATENATE(B121,"_",C121,$B$3,"_",$B$4,"_A","_",G121),D121="LT_P",CONCATENATE(B121,"_",C121,$B$3,"_",C121,$B$3,"_P","_",G121),D121="LT_A",CONCATENATE(B121,"_",C121,$B$3,"_",C121,$B$3,"_A","_",G121))</f>
        <v>IMA_LT5_24-3_59</v>
      </c>
      <c r="I121" s="6" t="s">
        <v>267</v>
      </c>
      <c r="J121" s="6" t="s">
        <v>182</v>
      </c>
      <c r="K121" s="6" t="s">
        <v>179</v>
      </c>
      <c r="L121" s="6" t="s">
        <v>188</v>
      </c>
      <c r="M121" s="6" t="s">
        <v>188</v>
      </c>
      <c r="N121" s="6"/>
    </row>
    <row r="122" spans="1:14" x14ac:dyDescent="0.25">
      <c r="A122" s="6" t="s">
        <v>191</v>
      </c>
      <c r="B122" s="6" t="str">
        <f>Informações!$C$3</f>
        <v>IMA</v>
      </c>
      <c r="C122" s="6" t="s">
        <v>29</v>
      </c>
      <c r="D122" s="6" t="s">
        <v>205</v>
      </c>
      <c r="E122" s="2" t="s">
        <v>25</v>
      </c>
      <c r="F122" s="6" t="str">
        <f>VLOOKUP(G122,[1]Discrete!$A:$B,2,FALSE)</f>
        <v>81 - TRIP SUB FREQUENCIA</v>
      </c>
      <c r="G122" s="6" t="s">
        <v>71</v>
      </c>
      <c r="H122" s="6" t="str" cm="1">
        <f t="array" ref="H122">_xlfn.IFS(OR(D122="TC",D122="TP",D122="LT"),CONCATENATE(B122,"_",C122,$B$3,"_",C122,$B$3,"_",G122),D122="SECC",CONCATENATE(B122,"_",C122,$B$3,"_",$B$5,"_",G122),D122="SECF",CONCATENATE(B122,"_",C122,$B$3,"_",$B$6,"_",G122),D122="SECT",CONCATENATE(B122,"_",C122,$B$3,"_",$B$7,"_",G122),D122="SECG",CONCATENATE(B122,"_",C122,$B$3,"_",$B$8,"_",G122),D122="DJ",CONCATENATE(B122,"_",C122,$B$3,"_",$B$4,"_",G122),D122="DJ_P",CONCATENATE(B122,"_",C122,$B$3,"_",$B$4,"_P","_",G122),D122="DJ_A",CONCATENATE(B122,"_",C122,$B$3,"_",$B$4,"_A","_",G122),D122="LT_P",CONCATENATE(B122,"_",C122,$B$3,"_",C122,$B$3,"_P","_",G122),D122="LT_A",CONCATENATE(B122,"_",C122,$B$3,"_",C122,$B$3,"_A","_",G122))</f>
        <v>IMA_LT5_24-3_P_81SU</v>
      </c>
      <c r="I122" s="6" t="s">
        <v>267</v>
      </c>
      <c r="J122" s="6" t="s">
        <v>182</v>
      </c>
      <c r="K122" s="6" t="s">
        <v>179</v>
      </c>
      <c r="L122" s="6" t="s">
        <v>188</v>
      </c>
      <c r="M122" s="6" t="s">
        <v>188</v>
      </c>
      <c r="N122" s="6"/>
    </row>
    <row r="123" spans="1:14" x14ac:dyDescent="0.25">
      <c r="A123" s="6" t="s">
        <v>191</v>
      </c>
      <c r="B123" s="6" t="str">
        <f>Informações!$C$3</f>
        <v>IMA</v>
      </c>
      <c r="C123" s="6" t="s">
        <v>29</v>
      </c>
      <c r="D123" s="6" t="s">
        <v>205</v>
      </c>
      <c r="E123" s="2" t="s">
        <v>25</v>
      </c>
      <c r="F123" s="6" t="str">
        <f>VLOOKUP(G123,[1]Discrete!$A:$B,2,FALSE)</f>
        <v>81 - TRIP SUB/SOBRE FREQUENCIA E1</v>
      </c>
      <c r="G123" s="17" t="s">
        <v>353</v>
      </c>
      <c r="H123" s="6" t="str" cm="1">
        <f t="array" ref="H123">_xlfn.IFS(OR(D123="TC",D123="TP",D123="LT"),CONCATENATE(B123,"_",C123,$B$3,"_",C123,$B$3,"_",G123),D123="SECC",CONCATENATE(B123,"_",C123,$B$3,"_",$B$5,"_",G123),D123="SECF",CONCATENATE(B123,"_",C123,$B$3,"_",$B$6,"_",G123),D123="SECT",CONCATENATE(B123,"_",C123,$B$3,"_",$B$7,"_",G123),D123="SECG",CONCATENATE(B123,"_",C123,$B$3,"_",$B$8,"_",G123),D123="DJ",CONCATENATE(B123,"_",C123,$B$3,"_",$B$4,"_",G123),D123="DJ_P",CONCATENATE(B123,"_",C123,$B$3,"_",$B$4,"_P","_",G123),D123="DJ_A",CONCATENATE(B123,"_",C123,$B$3,"_",$B$4,"_A","_",G123),D123="LT_P",CONCATENATE(B123,"_",C123,$B$3,"_",C123,$B$3,"_P","_",G123),D123="LT_A",CONCATENATE(B123,"_",C123,$B$3,"_",C123,$B$3,"_A","_",G123))</f>
        <v>IMA_LT5_24-3_P_81E1</v>
      </c>
      <c r="I123" s="6" t="s">
        <v>267</v>
      </c>
      <c r="J123" s="6" t="s">
        <v>182</v>
      </c>
      <c r="K123" s="6" t="s">
        <v>179</v>
      </c>
      <c r="L123" s="6" t="s">
        <v>188</v>
      </c>
      <c r="M123" s="6" t="s">
        <v>188</v>
      </c>
      <c r="N123" s="6"/>
    </row>
    <row r="124" spans="1:14" x14ac:dyDescent="0.25">
      <c r="A124" s="6" t="s">
        <v>191</v>
      </c>
      <c r="B124" s="6" t="str">
        <f>Informações!$C$3</f>
        <v>IMA</v>
      </c>
      <c r="C124" s="6" t="s">
        <v>29</v>
      </c>
      <c r="D124" s="6" t="s">
        <v>205</v>
      </c>
      <c r="E124" s="2" t="s">
        <v>25</v>
      </c>
      <c r="F124" s="6" t="str">
        <f>VLOOKUP(G124,[1]Discrete!$A:$B,2,FALSE)</f>
        <v>81 - TRIP SUB/SOBRE FREQUENCIA E2</v>
      </c>
      <c r="G124" s="17" t="s">
        <v>354</v>
      </c>
      <c r="H124" s="6" t="str" cm="1">
        <f t="array" ref="H124">_xlfn.IFS(OR(D124="TC",D124="TP",D124="LT"),CONCATENATE(B124,"_",C124,$B$3,"_",C124,$B$3,"_",G124),D124="SECC",CONCATENATE(B124,"_",C124,$B$3,"_",$B$5,"_",G124),D124="SECF",CONCATENATE(B124,"_",C124,$B$3,"_",$B$6,"_",G124),D124="SECT",CONCATENATE(B124,"_",C124,$B$3,"_",$B$7,"_",G124),D124="SECG",CONCATENATE(B124,"_",C124,$B$3,"_",$B$8,"_",G124),D124="DJ",CONCATENATE(B124,"_",C124,$B$3,"_",$B$4,"_",G124),D124="DJ_P",CONCATENATE(B124,"_",C124,$B$3,"_",$B$4,"_P","_",G124),D124="DJ_A",CONCATENATE(B124,"_",C124,$B$3,"_",$B$4,"_A","_",G124),D124="LT_P",CONCATENATE(B124,"_",C124,$B$3,"_",C124,$B$3,"_P","_",G124),D124="LT_A",CONCATENATE(B124,"_",C124,$B$3,"_",C124,$B$3,"_A","_",G124))</f>
        <v>IMA_LT5_24-3_P_81E2</v>
      </c>
      <c r="I124" s="6" t="s">
        <v>267</v>
      </c>
      <c r="J124" s="6" t="s">
        <v>182</v>
      </c>
      <c r="K124" s="6" t="s">
        <v>179</v>
      </c>
      <c r="L124" s="6" t="s">
        <v>188</v>
      </c>
      <c r="M124" s="6" t="s">
        <v>188</v>
      </c>
      <c r="N124" s="6"/>
    </row>
    <row r="125" spans="1:14" x14ac:dyDescent="0.25">
      <c r="A125" s="6" t="s">
        <v>191</v>
      </c>
      <c r="B125" s="6" t="str">
        <f>Informações!$C$3</f>
        <v>IMA</v>
      </c>
      <c r="C125" s="6" t="s">
        <v>29</v>
      </c>
      <c r="D125" s="6" t="s">
        <v>205</v>
      </c>
      <c r="E125" s="2" t="s">
        <v>25</v>
      </c>
      <c r="F125" s="6" t="str">
        <f>VLOOKUP(G125,[1]Discrete!$A:$B,2,FALSE)</f>
        <v>81 - TRIP SUB/SOBRE FREQUENCIA E3</v>
      </c>
      <c r="G125" s="17" t="s">
        <v>355</v>
      </c>
      <c r="H125" s="6" t="str" cm="1">
        <f t="array" ref="H125">_xlfn.IFS(OR(D125="TC",D125="TP",D125="LT"),CONCATENATE(B125,"_",C125,$B$3,"_",C125,$B$3,"_",G125),D125="SECC",CONCATENATE(B125,"_",C125,$B$3,"_",$B$5,"_",G125),D125="SECF",CONCATENATE(B125,"_",C125,$B$3,"_",$B$6,"_",G125),D125="SECT",CONCATENATE(B125,"_",C125,$B$3,"_",$B$7,"_",G125),D125="SECG",CONCATENATE(B125,"_",C125,$B$3,"_",$B$8,"_",G125),D125="DJ",CONCATENATE(B125,"_",C125,$B$3,"_",$B$4,"_",G125),D125="DJ_P",CONCATENATE(B125,"_",C125,$B$3,"_",$B$4,"_P","_",G125),D125="DJ_A",CONCATENATE(B125,"_",C125,$B$3,"_",$B$4,"_A","_",G125),D125="LT_P",CONCATENATE(B125,"_",C125,$B$3,"_",C125,$B$3,"_P","_",G125),D125="LT_A",CONCATENATE(B125,"_",C125,$B$3,"_",C125,$B$3,"_A","_",G125))</f>
        <v>IMA_LT5_24-3_P_81E3</v>
      </c>
      <c r="I125" s="6" t="s">
        <v>267</v>
      </c>
      <c r="J125" s="6" t="s">
        <v>182</v>
      </c>
      <c r="K125" s="6" t="s">
        <v>179</v>
      </c>
      <c r="L125" s="6" t="s">
        <v>188</v>
      </c>
      <c r="M125" s="6" t="s">
        <v>188</v>
      </c>
      <c r="N125" s="6"/>
    </row>
    <row r="126" spans="1:14" x14ac:dyDescent="0.25">
      <c r="A126" s="6" t="s">
        <v>191</v>
      </c>
      <c r="B126" s="6" t="str">
        <f>Informações!$C$3</f>
        <v>IMA</v>
      </c>
      <c r="C126" s="6" t="s">
        <v>29</v>
      </c>
      <c r="D126" s="6" t="s">
        <v>205</v>
      </c>
      <c r="E126" s="2" t="s">
        <v>25</v>
      </c>
      <c r="F126" s="6" t="str">
        <f>VLOOKUP(G126,[1]Discrete!$A:$B,2,FALSE)</f>
        <v>81 - TRIP SUB/SOBRE FREQUENCIA E4</v>
      </c>
      <c r="G126" s="17" t="s">
        <v>356</v>
      </c>
      <c r="H126" s="6" t="str" cm="1">
        <f t="array" ref="H126">_xlfn.IFS(OR(D126="TC",D126="TP",D126="LT"),CONCATENATE(B126,"_",C126,$B$3,"_",C126,$B$3,"_",G126),D126="SECC",CONCATENATE(B126,"_",C126,$B$3,"_",$B$5,"_",G126),D126="SECF",CONCATENATE(B126,"_",C126,$B$3,"_",$B$6,"_",G126),D126="SECT",CONCATENATE(B126,"_",C126,$B$3,"_",$B$7,"_",G126),D126="SECG",CONCATENATE(B126,"_",C126,$B$3,"_",$B$8,"_",G126),D126="DJ",CONCATENATE(B126,"_",C126,$B$3,"_",$B$4,"_",G126),D126="DJ_P",CONCATENATE(B126,"_",C126,$B$3,"_",$B$4,"_P","_",G126),D126="DJ_A",CONCATENATE(B126,"_",C126,$B$3,"_",$B$4,"_A","_",G126),D126="LT_P",CONCATENATE(B126,"_",C126,$B$3,"_",C126,$B$3,"_P","_",G126),D126="LT_A",CONCATENATE(B126,"_",C126,$B$3,"_",C126,$B$3,"_A","_",G126))</f>
        <v>IMA_LT5_24-3_P_81E4</v>
      </c>
      <c r="I126" s="6" t="s">
        <v>267</v>
      </c>
      <c r="J126" s="6" t="s">
        <v>182</v>
      </c>
      <c r="K126" s="6" t="s">
        <v>179</v>
      </c>
      <c r="L126" s="6" t="s">
        <v>188</v>
      </c>
      <c r="M126" s="6" t="s">
        <v>188</v>
      </c>
      <c r="N126" s="6"/>
    </row>
    <row r="127" spans="1:14" x14ac:dyDescent="0.25">
      <c r="A127" s="6" t="s">
        <v>191</v>
      </c>
      <c r="B127" s="6" t="str">
        <f>Informações!$C$3</f>
        <v>IMA</v>
      </c>
      <c r="C127" s="6" t="s">
        <v>29</v>
      </c>
      <c r="D127" s="6" t="s">
        <v>205</v>
      </c>
      <c r="E127" s="2" t="s">
        <v>25</v>
      </c>
      <c r="F127" s="6" t="s">
        <v>358</v>
      </c>
      <c r="G127" s="17" t="s">
        <v>357</v>
      </c>
      <c r="H127" s="6" t="str" cm="1">
        <f t="array" ref="H127">_xlfn.IFS(OR(D127="TC",D127="TP",D127="LT"),CONCATENATE(B127,"_",C127,$B$3,"_",C127,$B$3,"_",G127),D127="SECC",CONCATENATE(B127,"_",C127,$B$3,"_",$B$5,"_",G127),D127="SECF",CONCATENATE(B127,"_",C127,$B$3,"_",$B$6,"_",G127),D127="SECT",CONCATENATE(B127,"_",C127,$B$3,"_",$B$7,"_",G127),D127="SECG",CONCATENATE(B127,"_",C127,$B$3,"_",$B$8,"_",G127),D127="DJ",CONCATENATE(B127,"_",C127,$B$3,"_",$B$4,"_",G127),D127="DJ_P",CONCATENATE(B127,"_",C127,$B$3,"_",$B$4,"_P","_",G127),D127="DJ_A",CONCATENATE(B127,"_",C127,$B$3,"_",$B$4,"_A","_",G127),D127="LT_P",CONCATENATE(B127,"_",C127,$B$3,"_",C127,$B$3,"_P","_",G127),D127="LT_A",CONCATENATE(B127,"_",C127,$B$3,"_",C127,$B$3,"_A","_",G127))</f>
        <v>IMA_LT5_24-3_P_81E5</v>
      </c>
      <c r="I127" s="6" t="s">
        <v>267</v>
      </c>
      <c r="J127" s="6" t="s">
        <v>182</v>
      </c>
      <c r="K127" s="6" t="s">
        <v>179</v>
      </c>
      <c r="L127" s="6" t="s">
        <v>188</v>
      </c>
      <c r="M127" s="6" t="s">
        <v>188</v>
      </c>
      <c r="N127" s="6"/>
    </row>
    <row r="128" spans="1:14" x14ac:dyDescent="0.25">
      <c r="A128" s="6" t="s">
        <v>191</v>
      </c>
      <c r="B128" s="6" t="str">
        <f>Informações!$C$3</f>
        <v>IMA</v>
      </c>
      <c r="C128" s="6" t="s">
        <v>29</v>
      </c>
      <c r="D128" s="6" t="s">
        <v>204</v>
      </c>
      <c r="E128" s="2" t="s">
        <v>25</v>
      </c>
      <c r="F128" s="6" t="str">
        <f>VLOOKUP(G128,[1]Discrete!$A:$B,2,FALSE)</f>
        <v>81 - TRIP SUB FREQUENCIA</v>
      </c>
      <c r="G128" s="6" t="s">
        <v>71</v>
      </c>
      <c r="H128" s="6" t="str" cm="1">
        <f t="array" ref="H128">_xlfn.IFS(OR(D128="TC",D128="TP",D128="LT"),CONCATENATE(B128,"_",C128,$B$3,"_",C128,$B$3,"_",G128),D128="SECC",CONCATENATE(B128,"_",C128,$B$3,"_",$B$5,"_",G128),D128="SECF",CONCATENATE(B128,"_",C128,$B$3,"_",$B$6,"_",G128),D128="SECT",CONCATENATE(B128,"_",C128,$B$3,"_",$B$7,"_",G128),D128="SECG",CONCATENATE(B128,"_",C128,$B$3,"_",$B$8,"_",G128),D128="DJ",CONCATENATE(B128,"_",C128,$B$3,"_",$B$4,"_",G128),D128="DJ_P",CONCATENATE(B128,"_",C128,$B$3,"_",$B$4,"_P","_",G128),D128="DJ_A",CONCATENATE(B128,"_",C128,$B$3,"_",$B$4,"_A","_",G128),D128="LT_P",CONCATENATE(B128,"_",C128,$B$3,"_",C128,$B$3,"_P","_",G128),D128="LT_A",CONCATENATE(B128,"_",C128,$B$3,"_",C128,$B$3,"_A","_",G128))</f>
        <v>IMA_LT5_24-3_A_81SU</v>
      </c>
      <c r="I128" s="6" t="s">
        <v>267</v>
      </c>
      <c r="J128" s="6" t="s">
        <v>182</v>
      </c>
      <c r="K128" s="6" t="s">
        <v>179</v>
      </c>
      <c r="L128" s="6" t="s">
        <v>188</v>
      </c>
      <c r="M128" s="6" t="s">
        <v>188</v>
      </c>
      <c r="N128" s="6"/>
    </row>
    <row r="129" spans="1:14" x14ac:dyDescent="0.25">
      <c r="A129" s="6" t="s">
        <v>191</v>
      </c>
      <c r="B129" s="6" t="str">
        <f>Informações!$C$3</f>
        <v>IMA</v>
      </c>
      <c r="C129" s="6" t="s">
        <v>29</v>
      </c>
      <c r="D129" s="6" t="s">
        <v>204</v>
      </c>
      <c r="E129" s="2" t="s">
        <v>25</v>
      </c>
      <c r="F129" s="6" t="str">
        <f>VLOOKUP(G129,[1]Discrete!$A:$B,2,FALSE)</f>
        <v>81 - TRIP SUB/SOBRE FREQUENCIA E1</v>
      </c>
      <c r="G129" s="17" t="s">
        <v>353</v>
      </c>
      <c r="H129" s="6" t="str" cm="1">
        <f t="array" ref="H129">_xlfn.IFS(OR(D129="TC",D129="TP",D129="LT"),CONCATENATE(B129,"_",C129,$B$3,"_",C129,$B$3,"_",G129),D129="SECC",CONCATENATE(B129,"_",C129,$B$3,"_",$B$5,"_",G129),D129="SECF",CONCATENATE(B129,"_",C129,$B$3,"_",$B$6,"_",G129),D129="SECT",CONCATENATE(B129,"_",C129,$B$3,"_",$B$7,"_",G129),D129="SECG",CONCATENATE(B129,"_",C129,$B$3,"_",$B$8,"_",G129),D129="DJ",CONCATENATE(B129,"_",C129,$B$3,"_",$B$4,"_",G129),D129="DJ_P",CONCATENATE(B129,"_",C129,$B$3,"_",$B$4,"_P","_",G129),D129="DJ_A",CONCATENATE(B129,"_",C129,$B$3,"_",$B$4,"_A","_",G129),D129="LT_P",CONCATENATE(B129,"_",C129,$B$3,"_",C129,$B$3,"_P","_",G129),D129="LT_A",CONCATENATE(B129,"_",C129,$B$3,"_",C129,$B$3,"_A","_",G129))</f>
        <v>IMA_LT5_24-3_A_81E1</v>
      </c>
      <c r="I129" s="6" t="s">
        <v>267</v>
      </c>
      <c r="J129" s="6" t="s">
        <v>182</v>
      </c>
      <c r="K129" s="6" t="s">
        <v>179</v>
      </c>
      <c r="L129" s="6" t="s">
        <v>188</v>
      </c>
      <c r="M129" s="6" t="s">
        <v>188</v>
      </c>
      <c r="N129" s="6"/>
    </row>
    <row r="130" spans="1:14" x14ac:dyDescent="0.25">
      <c r="A130" s="6" t="s">
        <v>191</v>
      </c>
      <c r="B130" s="6" t="str">
        <f>Informações!$C$3</f>
        <v>IMA</v>
      </c>
      <c r="C130" s="6" t="s">
        <v>29</v>
      </c>
      <c r="D130" s="6" t="s">
        <v>204</v>
      </c>
      <c r="E130" s="2" t="s">
        <v>25</v>
      </c>
      <c r="F130" s="6" t="str">
        <f>VLOOKUP(G130,[1]Discrete!$A:$B,2,FALSE)</f>
        <v>81 - TRIP SUB/SOBRE FREQUENCIA E2</v>
      </c>
      <c r="G130" s="17" t="s">
        <v>354</v>
      </c>
      <c r="H130" s="6" t="str" cm="1">
        <f t="array" ref="H130">_xlfn.IFS(OR(D130="TC",D130="TP",D130="LT"),CONCATENATE(B130,"_",C130,$B$3,"_",C130,$B$3,"_",G130),D130="SECC",CONCATENATE(B130,"_",C130,$B$3,"_",$B$5,"_",G130),D130="SECF",CONCATENATE(B130,"_",C130,$B$3,"_",$B$6,"_",G130),D130="SECT",CONCATENATE(B130,"_",C130,$B$3,"_",$B$7,"_",G130),D130="SECG",CONCATENATE(B130,"_",C130,$B$3,"_",$B$8,"_",G130),D130="DJ",CONCATENATE(B130,"_",C130,$B$3,"_",$B$4,"_",G130),D130="DJ_P",CONCATENATE(B130,"_",C130,$B$3,"_",$B$4,"_P","_",G130),D130="DJ_A",CONCATENATE(B130,"_",C130,$B$3,"_",$B$4,"_A","_",G130),D130="LT_P",CONCATENATE(B130,"_",C130,$B$3,"_",C130,$B$3,"_P","_",G130),D130="LT_A",CONCATENATE(B130,"_",C130,$B$3,"_",C130,$B$3,"_A","_",G130))</f>
        <v>IMA_LT5_24-3_A_81E2</v>
      </c>
      <c r="I130" s="6" t="s">
        <v>267</v>
      </c>
      <c r="J130" s="6" t="s">
        <v>182</v>
      </c>
      <c r="K130" s="6" t="s">
        <v>179</v>
      </c>
      <c r="L130" s="6" t="s">
        <v>188</v>
      </c>
      <c r="M130" s="6" t="s">
        <v>188</v>
      </c>
      <c r="N130" s="6"/>
    </row>
    <row r="131" spans="1:14" x14ac:dyDescent="0.25">
      <c r="A131" s="6" t="s">
        <v>191</v>
      </c>
      <c r="B131" s="6" t="str">
        <f>Informações!$C$3</f>
        <v>IMA</v>
      </c>
      <c r="C131" s="6" t="s">
        <v>29</v>
      </c>
      <c r="D131" s="6" t="s">
        <v>204</v>
      </c>
      <c r="E131" s="2" t="s">
        <v>25</v>
      </c>
      <c r="F131" s="6" t="str">
        <f>VLOOKUP(G131,[1]Discrete!$A:$B,2,FALSE)</f>
        <v>81 - TRIP SUB/SOBRE FREQUENCIA E3</v>
      </c>
      <c r="G131" s="17" t="s">
        <v>355</v>
      </c>
      <c r="H131" s="6" t="str" cm="1">
        <f t="array" ref="H131">_xlfn.IFS(OR(D131="TC",D131="TP",D131="LT"),CONCATENATE(B131,"_",C131,$B$3,"_",C131,$B$3,"_",G131),D131="SECC",CONCATENATE(B131,"_",C131,$B$3,"_",$B$5,"_",G131),D131="SECF",CONCATENATE(B131,"_",C131,$B$3,"_",$B$6,"_",G131),D131="SECT",CONCATENATE(B131,"_",C131,$B$3,"_",$B$7,"_",G131),D131="SECG",CONCATENATE(B131,"_",C131,$B$3,"_",$B$8,"_",G131),D131="DJ",CONCATENATE(B131,"_",C131,$B$3,"_",$B$4,"_",G131),D131="DJ_P",CONCATENATE(B131,"_",C131,$B$3,"_",$B$4,"_P","_",G131),D131="DJ_A",CONCATENATE(B131,"_",C131,$B$3,"_",$B$4,"_A","_",G131),D131="LT_P",CONCATENATE(B131,"_",C131,$B$3,"_",C131,$B$3,"_P","_",G131),D131="LT_A",CONCATENATE(B131,"_",C131,$B$3,"_",C131,$B$3,"_A","_",G131))</f>
        <v>IMA_LT5_24-3_A_81E3</v>
      </c>
      <c r="I131" s="6" t="s">
        <v>267</v>
      </c>
      <c r="J131" s="6" t="s">
        <v>182</v>
      </c>
      <c r="K131" s="6" t="s">
        <v>179</v>
      </c>
      <c r="L131" s="6" t="s">
        <v>188</v>
      </c>
      <c r="M131" s="6" t="s">
        <v>188</v>
      </c>
      <c r="N131" s="6"/>
    </row>
    <row r="132" spans="1:14" x14ac:dyDescent="0.25">
      <c r="A132" s="6" t="s">
        <v>191</v>
      </c>
      <c r="B132" s="6" t="str">
        <f>Informações!$C$3</f>
        <v>IMA</v>
      </c>
      <c r="C132" s="6" t="s">
        <v>29</v>
      </c>
      <c r="D132" s="6" t="s">
        <v>204</v>
      </c>
      <c r="E132" s="2" t="s">
        <v>25</v>
      </c>
      <c r="F132" s="6" t="str">
        <f>VLOOKUP(G132,[1]Discrete!$A:$B,2,FALSE)</f>
        <v>81 - TRIP SUB/SOBRE FREQUENCIA E4</v>
      </c>
      <c r="G132" s="17" t="s">
        <v>356</v>
      </c>
      <c r="H132" s="6" t="str" cm="1">
        <f t="array" ref="H132">_xlfn.IFS(OR(D132="TC",D132="TP",D132="LT"),CONCATENATE(B132,"_",C132,$B$3,"_",C132,$B$3,"_",G132),D132="SECC",CONCATENATE(B132,"_",C132,$B$3,"_",$B$5,"_",G132),D132="SECF",CONCATENATE(B132,"_",C132,$B$3,"_",$B$6,"_",G132),D132="SECT",CONCATENATE(B132,"_",C132,$B$3,"_",$B$7,"_",G132),D132="SECG",CONCATENATE(B132,"_",C132,$B$3,"_",$B$8,"_",G132),D132="DJ",CONCATENATE(B132,"_",C132,$B$3,"_",$B$4,"_",G132),D132="DJ_P",CONCATENATE(B132,"_",C132,$B$3,"_",$B$4,"_P","_",G132),D132="DJ_A",CONCATENATE(B132,"_",C132,$B$3,"_",$B$4,"_A","_",G132),D132="LT_P",CONCATENATE(B132,"_",C132,$B$3,"_",C132,$B$3,"_P","_",G132),D132="LT_A",CONCATENATE(B132,"_",C132,$B$3,"_",C132,$B$3,"_A","_",G132))</f>
        <v>IMA_LT5_24-3_A_81E4</v>
      </c>
      <c r="I132" s="6" t="s">
        <v>267</v>
      </c>
      <c r="J132" s="6" t="s">
        <v>182</v>
      </c>
      <c r="K132" s="6" t="s">
        <v>179</v>
      </c>
      <c r="L132" s="6" t="s">
        <v>188</v>
      </c>
      <c r="M132" s="6" t="s">
        <v>188</v>
      </c>
      <c r="N132" s="6"/>
    </row>
    <row r="133" spans="1:14" x14ac:dyDescent="0.25">
      <c r="A133" s="6" t="s">
        <v>191</v>
      </c>
      <c r="B133" s="6" t="str">
        <f>Informações!$C$3</f>
        <v>IMA</v>
      </c>
      <c r="C133" s="6" t="s">
        <v>29</v>
      </c>
      <c r="D133" s="6" t="s">
        <v>204</v>
      </c>
      <c r="E133" s="2" t="s">
        <v>25</v>
      </c>
      <c r="F133" s="6" t="s">
        <v>358</v>
      </c>
      <c r="G133" s="17" t="s">
        <v>357</v>
      </c>
      <c r="H133" s="6" t="str" cm="1">
        <f t="array" ref="H133">_xlfn.IFS(OR(D133="TC",D133="TP",D133="LT"),CONCATENATE(B133,"_",C133,$B$3,"_",C133,$B$3,"_",G133),D133="SECC",CONCATENATE(B133,"_",C133,$B$3,"_",$B$5,"_",G133),D133="SECF",CONCATENATE(B133,"_",C133,$B$3,"_",$B$6,"_",G133),D133="SECT",CONCATENATE(B133,"_",C133,$B$3,"_",$B$7,"_",G133),D133="SECG",CONCATENATE(B133,"_",C133,$B$3,"_",$B$8,"_",G133),D133="DJ",CONCATENATE(B133,"_",C133,$B$3,"_",$B$4,"_",G133),D133="DJ_P",CONCATENATE(B133,"_",C133,$B$3,"_",$B$4,"_P","_",G133),D133="DJ_A",CONCATENATE(B133,"_",C133,$B$3,"_",$B$4,"_A","_",G133),D133="LT_P",CONCATENATE(B133,"_",C133,$B$3,"_",C133,$B$3,"_P","_",G133),D133="LT_A",CONCATENATE(B133,"_",C133,$B$3,"_",C133,$B$3,"_A","_",G133))</f>
        <v>IMA_LT5_24-3_A_81E5</v>
      </c>
      <c r="I133" s="6" t="s">
        <v>267</v>
      </c>
      <c r="J133" s="6" t="s">
        <v>182</v>
      </c>
      <c r="K133" s="6" t="s">
        <v>179</v>
      </c>
      <c r="L133" s="6" t="s">
        <v>188</v>
      </c>
      <c r="M133" s="6" t="s">
        <v>188</v>
      </c>
      <c r="N133" s="6"/>
    </row>
    <row r="134" spans="1:14" x14ac:dyDescent="0.25">
      <c r="A134" s="6" t="s">
        <v>191</v>
      </c>
      <c r="B134" s="6" t="str">
        <f>Informações!$C$3</f>
        <v>IMA</v>
      </c>
      <c r="C134" s="6" t="s">
        <v>29</v>
      </c>
      <c r="D134" s="6" t="s">
        <v>206</v>
      </c>
      <c r="E134" s="2" t="s">
        <v>25</v>
      </c>
      <c r="F134" s="6" t="str">
        <f>VLOOKUP(G134,[1]Discrete!$A:$B,2,FALSE)</f>
        <v>FALHA COMUNICACAO</v>
      </c>
      <c r="G134" s="6" t="s">
        <v>78</v>
      </c>
      <c r="H134" s="6" t="str" cm="1">
        <f t="array" ref="H134">_xlfn.IFS(OR(D134="TC",D134="TP",D134="LT"),CONCATENATE(B134,"_",C134,$B$3,"_",C134,$B$3,"_",G134),D134="SECC",CONCATENATE(B134,"_",C134,$B$3,"_",$B$5,"_",G134),D134="SECF",CONCATENATE(B134,"_",C134,$B$3,"_",$B$6,"_",G134),D134="SECT",CONCATENATE(B134,"_",C134,$B$3,"_",$B$7,"_",G134),D134="SECG",CONCATENATE(B134,"_",C134,$B$3,"_",$B$8,"_",G134),D134="DJ",CONCATENATE(B134,"_",C134,$B$3,"_",$B$4,"_",G134),D134="DJ_P",CONCATENATE(B134,"_",C134,$B$3,"_",$B$4,"_P","_",G134),D134="DJ_A",CONCATENATE(B134,"_",C134,$B$3,"_",$B$4,"_A","_",G134),D134="LT_P",CONCATENATE(B134,"_",C134,$B$3,"_",C134,$B$3,"_P","_",G134),D134="LT_A",CONCATENATE(B134,"_",C134,$B$3,"_",C134,$B$3,"_A","_",G134))</f>
        <v>IMA_LT5_LT5_P_FCOM</v>
      </c>
      <c r="I134" s="6" t="s">
        <v>267</v>
      </c>
      <c r="J134" s="6" t="s">
        <v>182</v>
      </c>
      <c r="K134" s="6" t="s">
        <v>180</v>
      </c>
      <c r="L134" s="6" t="s">
        <v>188</v>
      </c>
      <c r="M134" s="6" t="s">
        <v>188</v>
      </c>
      <c r="N134" s="6"/>
    </row>
    <row r="135" spans="1:14" x14ac:dyDescent="0.25">
      <c r="A135" s="6" t="s">
        <v>191</v>
      </c>
      <c r="B135" s="6" t="str">
        <f>Informações!$C$3</f>
        <v>IMA</v>
      </c>
      <c r="C135" s="6" t="s">
        <v>29</v>
      </c>
      <c r="D135" s="6" t="s">
        <v>30</v>
      </c>
      <c r="E135" s="2" t="s">
        <v>25</v>
      </c>
      <c r="F135" s="6" t="str">
        <f>VLOOKUP(G135,[1]Discrete!$A:$B,2,FALSE)</f>
        <v>FALTA VCC COMANDO</v>
      </c>
      <c r="G135" s="6" t="s">
        <v>79</v>
      </c>
      <c r="H135" s="6" t="str" cm="1">
        <f t="array" ref="H135">_xlfn.IFS(OR(D135="TC",D135="TP",D135="LT"),CONCATENATE(B135,"_",C135,$B$3,"_",C135,$B$3,"_",G135),D135="SECC",CONCATENATE(B135,"_",C135,$B$3,"_",$B$5,"_",G135),D135="SECF",CONCATENATE(B135,"_",C135,$B$3,"_",$B$6,"_",G135),D135="SECT",CONCATENATE(B135,"_",C135,$B$3,"_",$B$7,"_",G135),D135="SECG",CONCATENATE(B135,"_",C135,$B$3,"_",$B$8,"_",G135),D135="DJ",CONCATENATE(B135,"_",C135,$B$3,"_",$B$4,"_",G135),D135="DJ_P",CONCATENATE(B135,"_",C135,$B$3,"_",$B$4,"_P","_",G135),D135="DJ_A",CONCATENATE(B135,"_",C135,$B$3,"_",$B$4,"_A","_",G135),D135="LT_P",CONCATENATE(B135,"_",C135,$B$3,"_",C135,$B$3,"_P","_",G135),D135="LT_A",CONCATENATE(B135,"_",C135,$B$3,"_",C135,$B$3,"_A","_",G135))</f>
        <v>IMA_LT5_24-3_CCCO</v>
      </c>
      <c r="I135" s="6" t="s">
        <v>267</v>
      </c>
      <c r="J135" s="6" t="s">
        <v>182</v>
      </c>
      <c r="K135" s="6" t="s">
        <v>187</v>
      </c>
      <c r="L135" s="6" t="s">
        <v>188</v>
      </c>
      <c r="M135" s="6" t="s">
        <v>188</v>
      </c>
      <c r="N135" s="6"/>
    </row>
    <row r="136" spans="1:14" x14ac:dyDescent="0.25">
      <c r="A136" s="6" t="s">
        <v>191</v>
      </c>
      <c r="B136" s="6" t="str">
        <f>Informações!$C$3</f>
        <v>IMA</v>
      </c>
      <c r="C136" s="6" t="s">
        <v>29</v>
      </c>
      <c r="D136" s="6" t="s">
        <v>30</v>
      </c>
      <c r="E136" s="2" t="s">
        <v>25</v>
      </c>
      <c r="F136" s="6" t="str">
        <f>VLOOKUP(G136,[1]Discrete!$A:$B,2,FALSE)</f>
        <v>FALTA VCC MOTOR</v>
      </c>
      <c r="G136" s="6" t="s">
        <v>80</v>
      </c>
      <c r="H136" s="6" t="str" cm="1">
        <f t="array" ref="H136">_xlfn.IFS(OR(D136="TC",D136="TP",D136="LT"),CONCATENATE(B136,"_",C136,$B$3,"_",C136,$B$3,"_",G136),D136="SECC",CONCATENATE(B136,"_",C136,$B$3,"_",$B$5,"_",G136),D136="SECF",CONCATENATE(B136,"_",C136,$B$3,"_",$B$6,"_",G136),D136="SECT",CONCATENATE(B136,"_",C136,$B$3,"_",$B$7,"_",G136),D136="SECG",CONCATENATE(B136,"_",C136,$B$3,"_",$B$8,"_",G136),D136="DJ",CONCATENATE(B136,"_",C136,$B$3,"_",$B$4,"_",G136),D136="DJ_P",CONCATENATE(B136,"_",C136,$B$3,"_",$B$4,"_P","_",G136),D136="DJ_A",CONCATENATE(B136,"_",C136,$B$3,"_",$B$4,"_A","_",G136),D136="LT_P",CONCATENATE(B136,"_",C136,$B$3,"_",C136,$B$3,"_P","_",G136),D136="LT_A",CONCATENATE(B136,"_",C136,$B$3,"_",C136,$B$3,"_A","_",G136))</f>
        <v>IMA_LT5_24-3_CCMO</v>
      </c>
      <c r="I136" s="6" t="s">
        <v>267</v>
      </c>
      <c r="J136" s="6" t="s">
        <v>182</v>
      </c>
      <c r="K136" s="6" t="s">
        <v>187</v>
      </c>
      <c r="L136" s="6" t="s">
        <v>188</v>
      </c>
      <c r="M136" s="6" t="s">
        <v>188</v>
      </c>
      <c r="N136" s="6"/>
    </row>
    <row r="137" spans="1:14" x14ac:dyDescent="0.25">
      <c r="A137" s="6" t="s">
        <v>191</v>
      </c>
      <c r="B137" s="6" t="str">
        <f>Informações!$C$3</f>
        <v>IMA</v>
      </c>
      <c r="C137" s="6" t="s">
        <v>29</v>
      </c>
      <c r="D137" s="6" t="s">
        <v>29</v>
      </c>
      <c r="E137" s="2" t="s">
        <v>25</v>
      </c>
      <c r="F137" s="6" t="str">
        <f>VLOOKUP(G137,[1]Discrete!$A:$B,2,FALSE)</f>
        <v>FALHA FUSIVEL TP</v>
      </c>
      <c r="G137" s="6" t="s">
        <v>81</v>
      </c>
      <c r="H137" s="6" t="str" cm="1">
        <f t="array" ref="H137">_xlfn.IFS(OR(D137="TC",D137="TP",D137="LT"),CONCATENATE(B137,"_",C137,$B$3,"_",C137,$B$3,"_",G137),D137="SECC",CONCATENATE(B137,"_",C137,$B$3,"_",$B$5,"_",G137),D137="SECF",CONCATENATE(B137,"_",C137,$B$3,"_",$B$6,"_",G137),D137="SECT",CONCATENATE(B137,"_",C137,$B$3,"_",$B$7,"_",G137),D137="SECG",CONCATENATE(B137,"_",C137,$B$3,"_",$B$8,"_",G137),D137="DJ",CONCATENATE(B137,"_",C137,$B$3,"_",$B$4,"_",G137),D137="DJ_P",CONCATENATE(B137,"_",C137,$B$3,"_",$B$4,"_P","_",G137),D137="DJ_A",CONCATENATE(B137,"_",C137,$B$3,"_",$B$4,"_A","_",G137),D137="LT_P",CONCATENATE(B137,"_",C137,$B$3,"_",C137,$B$3,"_P","_",G137),D137="LT_A",CONCATENATE(B137,"_",C137,$B$3,"_",C137,$B$3,"_A","_",G137))</f>
        <v>IMA_LT5_LT5_FUTP</v>
      </c>
      <c r="I137" s="6" t="s">
        <v>267</v>
      </c>
      <c r="J137" s="6" t="s">
        <v>182</v>
      </c>
      <c r="K137" s="6" t="s">
        <v>180</v>
      </c>
      <c r="L137" s="6" t="s">
        <v>188</v>
      </c>
      <c r="M137" s="6" t="s">
        <v>188</v>
      </c>
      <c r="N137" s="6"/>
    </row>
    <row r="138" spans="1:14" x14ac:dyDescent="0.25">
      <c r="A138" s="6" t="s">
        <v>191</v>
      </c>
      <c r="B138" s="6" t="str">
        <f>Informações!$C$3</f>
        <v>IMA</v>
      </c>
      <c r="C138" s="6" t="s">
        <v>29</v>
      </c>
      <c r="D138" s="6" t="s">
        <v>29</v>
      </c>
      <c r="E138" s="2" t="s">
        <v>25</v>
      </c>
      <c r="F138" s="6" t="str">
        <f>VLOOKUP(G138,[1]Discrete!$A:$B,2,FALSE)</f>
        <v>25 - FALHA SINCRONISMO</v>
      </c>
      <c r="G138" s="6" t="s">
        <v>155</v>
      </c>
      <c r="H138" s="6" t="str" cm="1">
        <f t="array" ref="H138">_xlfn.IFS(OR(D138="TC",D138="TP",D138="LT"),CONCATENATE(B138,"_",C138,$B$3,"_",C138,$B$3,"_",G138),D138="SECC",CONCATENATE(B138,"_",C138,$B$3,"_",$B$5,"_",G138),D138="SECF",CONCATENATE(B138,"_",C138,$B$3,"_",$B$6,"_",G138),D138="SECT",CONCATENATE(B138,"_",C138,$B$3,"_",$B$7,"_",G138),D138="SECG",CONCATENATE(B138,"_",C138,$B$3,"_",$B$8,"_",G138),D138="DJ",CONCATENATE(B138,"_",C138,$B$3,"_",$B$4,"_",G138),D138="DJ_P",CONCATENATE(B138,"_",C138,$B$3,"_",$B$4,"_P","_",G138),D138="DJ_A",CONCATENATE(B138,"_",C138,$B$3,"_",$B$4,"_A","_",G138),D138="LT_P",CONCATENATE(B138,"_",C138,$B$3,"_",C138,$B$3,"_P","_",G138),D138="LT_A",CONCATENATE(B138,"_",C138,$B$3,"_",C138,$B$3,"_A","_",G138))</f>
        <v>IMA_LT5_LT5_25ER</v>
      </c>
      <c r="I138" s="6" t="s">
        <v>267</v>
      </c>
      <c r="J138" s="6" t="s">
        <v>182</v>
      </c>
      <c r="K138" s="6" t="s">
        <v>179</v>
      </c>
      <c r="L138" s="6" t="s">
        <v>188</v>
      </c>
      <c r="M138" s="6" t="s">
        <v>188</v>
      </c>
      <c r="N138" s="6"/>
    </row>
    <row r="139" spans="1:14" x14ac:dyDescent="0.25">
      <c r="A139" s="6" t="s">
        <v>191</v>
      </c>
      <c r="B139" s="6" t="str">
        <f>Informações!$C$3</f>
        <v>IMA</v>
      </c>
      <c r="C139" s="6" t="s">
        <v>29</v>
      </c>
      <c r="D139" s="6" t="s">
        <v>29</v>
      </c>
      <c r="E139" s="2" t="s">
        <v>25</v>
      </c>
      <c r="F139" s="6" t="str">
        <f>VLOOKUP(G139,[1]Discrete!$A:$B,2,FALSE)</f>
        <v>25 - TRIP DIFERENCA DE ANGULO</v>
      </c>
      <c r="G139" s="6" t="s">
        <v>156</v>
      </c>
      <c r="H139" s="6" t="str" cm="1">
        <f t="array" ref="H139">_xlfn.IFS(OR(D139="TC",D139="TP",D139="LT"),CONCATENATE(B139,"_",C139,$B$3,"_",C139,$B$3,"_",G139),D139="SECC",CONCATENATE(B139,"_",C139,$B$3,"_",$B$5,"_",G139),D139="SECF",CONCATENATE(B139,"_",C139,$B$3,"_",$B$6,"_",G139),D139="SECT",CONCATENATE(B139,"_",C139,$B$3,"_",$B$7,"_",G139),D139="SECG",CONCATENATE(B139,"_",C139,$B$3,"_",$B$8,"_",G139),D139="DJ",CONCATENATE(B139,"_",C139,$B$3,"_",$B$4,"_",G139),D139="DJ_P",CONCATENATE(B139,"_",C139,$B$3,"_",$B$4,"_P","_",G139),D139="DJ_A",CONCATENATE(B139,"_",C139,$B$3,"_",$B$4,"_A","_",G139),D139="LT_P",CONCATENATE(B139,"_",C139,$B$3,"_",C139,$B$3,"_P","_",G139),D139="LT_A",CONCATENATE(B139,"_",C139,$B$3,"_",C139,$B$3,"_A","_",G139))</f>
        <v>IMA_LT5_LT5_25AT</v>
      </c>
      <c r="I139" s="6" t="s">
        <v>267</v>
      </c>
      <c r="J139" s="6" t="s">
        <v>182</v>
      </c>
      <c r="K139" s="6" t="s">
        <v>179</v>
      </c>
      <c r="L139" s="6" t="s">
        <v>188</v>
      </c>
      <c r="M139" s="6" t="s">
        <v>188</v>
      </c>
      <c r="N139" s="6"/>
    </row>
    <row r="140" spans="1:14" x14ac:dyDescent="0.25">
      <c r="A140" s="6" t="s">
        <v>191</v>
      </c>
      <c r="B140" s="6" t="str">
        <f>Informações!$C$3</f>
        <v>IMA</v>
      </c>
      <c r="C140" s="6" t="s">
        <v>29</v>
      </c>
      <c r="D140" s="6" t="s">
        <v>29</v>
      </c>
      <c r="E140" s="2" t="s">
        <v>25</v>
      </c>
      <c r="F140" s="6" t="str">
        <f>VLOOKUP(G140,[1]Discrete!$A:$B,2,FALSE)</f>
        <v>25 - TRIP DIFERENCA FREQUENCIA</v>
      </c>
      <c r="G140" s="6" t="s">
        <v>157</v>
      </c>
      <c r="H140" s="6" t="str" cm="1">
        <f t="array" ref="H140">_xlfn.IFS(OR(D140="TC",D140="TP",D140="LT"),CONCATENATE(B140,"_",C140,$B$3,"_",C140,$B$3,"_",G140),D140="SECC",CONCATENATE(B140,"_",C140,$B$3,"_",$B$5,"_",G140),D140="SECF",CONCATENATE(B140,"_",C140,$B$3,"_",$B$6,"_",G140),D140="SECT",CONCATENATE(B140,"_",C140,$B$3,"_",$B$7,"_",G140),D140="SECG",CONCATENATE(B140,"_",C140,$B$3,"_",$B$8,"_",G140),D140="DJ",CONCATENATE(B140,"_",C140,$B$3,"_",$B$4,"_",G140),D140="DJ_P",CONCATENATE(B140,"_",C140,$B$3,"_",$B$4,"_P","_",G140),D140="DJ_A",CONCATENATE(B140,"_",C140,$B$3,"_",$B$4,"_A","_",G140),D140="LT_P",CONCATENATE(B140,"_",C140,$B$3,"_",C140,$B$3,"_P","_",G140),D140="LT_A",CONCATENATE(B140,"_",C140,$B$3,"_",C140,$B$3,"_A","_",G140))</f>
        <v>IMA_LT5_LT5_25FT</v>
      </c>
      <c r="I140" s="6" t="s">
        <v>267</v>
      </c>
      <c r="J140" s="6" t="s">
        <v>182</v>
      </c>
      <c r="K140" s="6" t="s">
        <v>179</v>
      </c>
      <c r="L140" s="6" t="s">
        <v>188</v>
      </c>
      <c r="M140" s="6" t="s">
        <v>188</v>
      </c>
      <c r="N140" s="6"/>
    </row>
    <row r="141" spans="1:14" x14ac:dyDescent="0.25">
      <c r="A141" s="6" t="s">
        <v>191</v>
      </c>
      <c r="B141" s="6" t="str">
        <f>Informações!$C$3</f>
        <v>IMA</v>
      </c>
      <c r="C141" s="6" t="s">
        <v>29</v>
      </c>
      <c r="D141" s="6" t="s">
        <v>29</v>
      </c>
      <c r="E141" s="2" t="s">
        <v>25</v>
      </c>
      <c r="F141" s="6" t="str">
        <f>VLOOKUP(G141,[1]Discrete!$A:$B,2,FALSE)</f>
        <v>25 - TRIP DIFERENCA TENSAO</v>
      </c>
      <c r="G141" s="6" t="s">
        <v>158</v>
      </c>
      <c r="H141" s="6" t="str" cm="1">
        <f t="array" ref="H141">_xlfn.IFS(OR(D141="TC",D141="TP",D141="LT"),CONCATENATE(B141,"_",C141,$B$3,"_",C141,$B$3,"_",G141),D141="SECC",CONCATENATE(B141,"_",C141,$B$3,"_",$B$5,"_",G141),D141="SECF",CONCATENATE(B141,"_",C141,$B$3,"_",$B$6,"_",G141),D141="SECT",CONCATENATE(B141,"_",C141,$B$3,"_",$B$7,"_",G141),D141="SECG",CONCATENATE(B141,"_",C141,$B$3,"_",$B$8,"_",G141),D141="DJ",CONCATENATE(B141,"_",C141,$B$3,"_",$B$4,"_",G141),D141="DJ_P",CONCATENATE(B141,"_",C141,$B$3,"_",$B$4,"_P","_",G141),D141="DJ_A",CONCATENATE(B141,"_",C141,$B$3,"_",$B$4,"_A","_",G141),D141="LT_P",CONCATENATE(B141,"_",C141,$B$3,"_",C141,$B$3,"_P","_",G141),D141="LT_A",CONCATENATE(B141,"_",C141,$B$3,"_",C141,$B$3,"_A","_",G141))</f>
        <v>IMA_LT5_LT5_25VT</v>
      </c>
      <c r="I141" s="6" t="s">
        <v>267</v>
      </c>
      <c r="J141" s="6" t="s">
        <v>182</v>
      </c>
      <c r="K141" s="6" t="s">
        <v>179</v>
      </c>
      <c r="L141" s="6" t="s">
        <v>188</v>
      </c>
      <c r="M141" s="6" t="s">
        <v>188</v>
      </c>
      <c r="N141" s="6"/>
    </row>
    <row r="142" spans="1:14" x14ac:dyDescent="0.25">
      <c r="A142" s="6" t="s">
        <v>191</v>
      </c>
      <c r="B142" s="6" t="str">
        <f>Informações!$C$3</f>
        <v>IMA</v>
      </c>
      <c r="C142" s="6" t="s">
        <v>29</v>
      </c>
      <c r="D142" s="6" t="s">
        <v>30</v>
      </c>
      <c r="E142" s="2" t="s">
        <v>25</v>
      </c>
      <c r="F142" s="6" t="str">
        <f>VLOOKUP(G142,[1]Discrete!$A:$B,2,FALSE)</f>
        <v>25 - FUNCAO SINCRONISMO</v>
      </c>
      <c r="G142" s="6" t="s">
        <v>36</v>
      </c>
      <c r="H142" s="6" t="str" cm="1">
        <f t="array" ref="H142">_xlfn.IFS(OR(D142="TC",D142="TP",D142="LT"),CONCATENATE(B142,"_",C142,$B$3,"_",C142,$B$3,"_",G142),D142="SECC",CONCATENATE(B142,"_",C142,$B$3,"_",$B$5,"_",G142),D142="SECF",CONCATENATE(B142,"_",C142,$B$3,"_",$B$6,"_",G142),D142="SECT",CONCATENATE(B142,"_",C142,$B$3,"_",$B$7,"_",G142),D142="SECG",CONCATENATE(B142,"_",C142,$B$3,"_",$B$8,"_",G142),D142="DJ",CONCATENATE(B142,"_",C142,$B$3,"_",$B$4,"_",G142),D142="DJ_P",CONCATENATE(B142,"_",C142,$B$3,"_",$B$4,"_P","_",G142),D142="DJ_A",CONCATENATE(B142,"_",C142,$B$3,"_",$B$4,"_A","_",G142),D142="LT_P",CONCATENATE(B142,"_",C142,$B$3,"_",C142,$B$3,"_P","_",G142),D142="LT_A",CONCATENATE(B142,"_",C142,$B$3,"_",C142,$B$3,"_A","_",G142))</f>
        <v>IMA_LT5_24-3_25IE</v>
      </c>
      <c r="I142" s="6" t="s">
        <v>267</v>
      </c>
      <c r="J142" s="6" t="s">
        <v>182</v>
      </c>
      <c r="K142" s="6" t="s">
        <v>179</v>
      </c>
      <c r="L142" s="6" t="s">
        <v>188</v>
      </c>
      <c r="M142" s="6" t="s">
        <v>188</v>
      </c>
      <c r="N142" s="6"/>
    </row>
    <row r="143" spans="1:14" x14ac:dyDescent="0.25">
      <c r="A143" s="6" t="s">
        <v>191</v>
      </c>
      <c r="B143" s="6" t="str">
        <f>Informações!$C$3</f>
        <v>IMA</v>
      </c>
      <c r="C143" s="6" t="s">
        <v>29</v>
      </c>
      <c r="D143" s="6" t="s">
        <v>206</v>
      </c>
      <c r="E143" s="2" t="s">
        <v>25</v>
      </c>
      <c r="F143" s="6" t="e">
        <f>VLOOKUP(G143,[1]Discrete!$A:$B,2,FALSE)</f>
        <v>#N/A</v>
      </c>
      <c r="G143" s="6" t="s">
        <v>159</v>
      </c>
      <c r="H143" s="6" t="str" cm="1">
        <f t="array" ref="H143">_xlfn.IFS(OR(D143="TC",D143="TP",D143="LT"),CONCATENATE(B143,"_",C143,$B$3,"_",C143,$B$3,"_",G143),D143="SECC",CONCATENATE(B143,"_",C143,$B$3,"_",$B$5,"_",G143),D143="SECF",CONCATENATE(B143,"_",C143,$B$3,"_",$B$6,"_",G143),D143="SECT",CONCATENATE(B143,"_",C143,$B$3,"_",$B$7,"_",G143),D143="SECG",CONCATENATE(B143,"_",C143,$B$3,"_",$B$8,"_",G143),D143="DJ",CONCATENATE(B143,"_",C143,$B$3,"_",$B$4,"_",G143),D143="DJ_P",CONCATENATE(B143,"_",C143,$B$3,"_",$B$4,"_P","_",G143),D143="DJ_A",CONCATENATE(B143,"_",C143,$B$3,"_",$B$4,"_A","_",G143),D143="LT_P",CONCATENATE(B143,"_",C143,$B$3,"_",C143,$B$3,"_P","_",G143),D143="LT_A",CONCATENATE(B143,"_",C143,$B$3,"_",C143,$B$3,"_A","_",G143))</f>
        <v>IMA_LT5_LT5_P_SOFT</v>
      </c>
      <c r="I143" s="6" t="s">
        <v>267</v>
      </c>
      <c r="J143" s="6" t="s">
        <v>182</v>
      </c>
      <c r="K143" s="6" t="s">
        <v>179</v>
      </c>
      <c r="L143" s="6" t="s">
        <v>188</v>
      </c>
      <c r="M143" s="6" t="s">
        <v>188</v>
      </c>
      <c r="N143" s="6"/>
    </row>
    <row r="144" spans="1:14" x14ac:dyDescent="0.25">
      <c r="A144" s="6" t="s">
        <v>191</v>
      </c>
      <c r="B144" s="6" t="str">
        <f>Informações!$C$3</f>
        <v>IMA</v>
      </c>
      <c r="C144" s="6" t="s">
        <v>29</v>
      </c>
      <c r="D144" s="6" t="s">
        <v>207</v>
      </c>
      <c r="E144" s="2" t="s">
        <v>25</v>
      </c>
      <c r="F144" s="6" t="e">
        <f>VLOOKUP(G144,[1]Discrete!$A:$B,2,FALSE)</f>
        <v>#N/A</v>
      </c>
      <c r="G144" s="6" t="s">
        <v>159</v>
      </c>
      <c r="H144" s="6" t="str" cm="1">
        <f t="array" ref="H144">_xlfn.IFS(OR(D144="TC",D144="TP",D144="LT"),CONCATENATE(B144,"_",C144,$B$3,"_",C144,$B$3,"_",G144),D144="SECC",CONCATENATE(B144,"_",C144,$B$3,"_",$B$5,"_",G144),D144="SECF",CONCATENATE(B144,"_",C144,$B$3,"_",$B$6,"_",G144),D144="SECT",CONCATENATE(B144,"_",C144,$B$3,"_",$B$7,"_",G144),D144="SECG",CONCATENATE(B144,"_",C144,$B$3,"_",$B$8,"_",G144),D144="DJ",CONCATENATE(B144,"_",C144,$B$3,"_",$B$4,"_",G144),D144="DJ_P",CONCATENATE(B144,"_",C144,$B$3,"_",$B$4,"_P","_",G144),D144="DJ_A",CONCATENATE(B144,"_",C144,$B$3,"_",$B$4,"_A","_",G144),D144="LT_P",CONCATENATE(B144,"_",C144,$B$3,"_",C144,$B$3,"_P","_",G144),D144="LT_A",CONCATENATE(B144,"_",C144,$B$3,"_",C144,$B$3,"_A","_",G144))</f>
        <v>IMA_LT5_LT5_A_SOFT</v>
      </c>
      <c r="I144" s="6" t="s">
        <v>267</v>
      </c>
      <c r="J144" s="6" t="s">
        <v>182</v>
      </c>
      <c r="K144" s="6" t="s">
        <v>179</v>
      </c>
      <c r="L144" s="6" t="s">
        <v>188</v>
      </c>
      <c r="M144" s="6" t="s">
        <v>188</v>
      </c>
      <c r="N144" s="6"/>
    </row>
    <row r="145" spans="1:14" x14ac:dyDescent="0.25">
      <c r="A145" s="6" t="s">
        <v>191</v>
      </c>
      <c r="B145" s="6" t="str">
        <f>Informações!$C$3</f>
        <v>IMA</v>
      </c>
      <c r="C145" s="6" t="s">
        <v>29</v>
      </c>
      <c r="D145" s="6" t="s">
        <v>206</v>
      </c>
      <c r="E145" s="2" t="s">
        <v>25</v>
      </c>
      <c r="F145" s="6" t="str">
        <f>VLOOKUP(G145,[1]Discrete!$A:$B,2,FALSE)</f>
        <v>87 - TRIP DIFERENCIAL LINHA</v>
      </c>
      <c r="G145" s="6" t="s">
        <v>160</v>
      </c>
      <c r="H145" s="6" t="str" cm="1">
        <f t="array" ref="H145">_xlfn.IFS(OR(D145="TC",D145="TP",D145="LT"),CONCATENATE(B145,"_",C145,$B$3,"_",C145,$B$3,"_",G145),D145="SECC",CONCATENATE(B145,"_",C145,$B$3,"_",$B$5,"_",G145),D145="SECF",CONCATENATE(B145,"_",C145,$B$3,"_",$B$6,"_",G145),D145="SECT",CONCATENATE(B145,"_",C145,$B$3,"_",$B$7,"_",G145),D145="SECG",CONCATENATE(B145,"_",C145,$B$3,"_",$B$8,"_",G145),D145="DJ",CONCATENATE(B145,"_",C145,$B$3,"_",$B$4,"_",G145),D145="DJ_P",CONCATENATE(B145,"_",C145,$B$3,"_",$B$4,"_P","_",G145),D145="DJ_A",CONCATENATE(B145,"_",C145,$B$3,"_",$B$4,"_A","_",G145),D145="LT_P",CONCATENATE(B145,"_",C145,$B$3,"_",C145,$B$3,"_P","_",G145),D145="LT_A",CONCATENATE(B145,"_",C145,$B$3,"_",C145,$B$3,"_A","_",G145))</f>
        <v>IMA_LT5_LT5_P_87LT</v>
      </c>
      <c r="I145" s="6" t="s">
        <v>267</v>
      </c>
      <c r="J145" s="6" t="s">
        <v>182</v>
      </c>
      <c r="K145" s="6" t="s">
        <v>179</v>
      </c>
      <c r="L145" s="6" t="s">
        <v>188</v>
      </c>
      <c r="M145" s="6" t="s">
        <v>188</v>
      </c>
      <c r="N145" s="6"/>
    </row>
    <row r="146" spans="1:14" x14ac:dyDescent="0.25">
      <c r="A146" s="6" t="s">
        <v>191</v>
      </c>
      <c r="B146" s="6" t="str">
        <f>Informações!$C$3</f>
        <v>IMA</v>
      </c>
      <c r="C146" s="6" t="s">
        <v>29</v>
      </c>
      <c r="D146" s="6" t="s">
        <v>206</v>
      </c>
      <c r="E146" s="2" t="s">
        <v>25</v>
      </c>
      <c r="F146" s="6" t="str">
        <f>VLOOKUP(G146,[1]Discrete!$A:$B,2,FALSE)</f>
        <v>87 - DIFERENCIAL BLOQUEIO</v>
      </c>
      <c r="G146" s="6" t="s">
        <v>161</v>
      </c>
      <c r="H146" s="6" t="str" cm="1">
        <f t="array" ref="H146">_xlfn.IFS(OR(D146="TC",D146="TP",D146="LT"),CONCATENATE(B146,"_",C146,$B$3,"_",C146,$B$3,"_",G146),D146="SECC",CONCATENATE(B146,"_",C146,$B$3,"_",$B$5,"_",G146),D146="SECF",CONCATENATE(B146,"_",C146,$B$3,"_",$B$6,"_",G146),D146="SECT",CONCATENATE(B146,"_",C146,$B$3,"_",$B$7,"_",G146),D146="SECG",CONCATENATE(B146,"_",C146,$B$3,"_",$B$8,"_",G146),D146="DJ",CONCATENATE(B146,"_",C146,$B$3,"_",$B$4,"_",G146),D146="DJ_P",CONCATENATE(B146,"_",C146,$B$3,"_",$B$4,"_P","_",G146),D146="DJ_A",CONCATENATE(B146,"_",C146,$B$3,"_",$B$4,"_A","_",G146),D146="LT_P",CONCATENATE(B146,"_",C146,$B$3,"_",C146,$B$3,"_P","_",G146),D146="LT_A",CONCATENATE(B146,"_",C146,$B$3,"_",C146,$B$3,"_A","_",G146))</f>
        <v>IMA_LT5_LT5_P_87BL</v>
      </c>
      <c r="I146" s="6" t="s">
        <v>267</v>
      </c>
      <c r="J146" s="6" t="s">
        <v>182</v>
      </c>
      <c r="K146" s="6" t="s">
        <v>179</v>
      </c>
      <c r="L146" s="6" t="s">
        <v>188</v>
      </c>
      <c r="M146" s="6" t="s">
        <v>188</v>
      </c>
      <c r="N146" s="6"/>
    </row>
    <row r="147" spans="1:14" x14ac:dyDescent="0.25">
      <c r="A147" s="6" t="s">
        <v>191</v>
      </c>
      <c r="B147" s="6" t="str">
        <f>Informações!$C$3</f>
        <v>IMA</v>
      </c>
      <c r="C147" s="6" t="s">
        <v>29</v>
      </c>
      <c r="D147" s="6" t="s">
        <v>207</v>
      </c>
      <c r="E147" s="2" t="s">
        <v>25</v>
      </c>
      <c r="F147" s="6" t="str">
        <f>VLOOKUP(G147,[1]Discrete!$A:$B,2,FALSE)</f>
        <v>87 - TRIP DIFERENCIAL LINHA</v>
      </c>
      <c r="G147" s="6" t="s">
        <v>160</v>
      </c>
      <c r="H147" s="6" t="str" cm="1">
        <f t="array" ref="H147">_xlfn.IFS(OR(D147="TC",D147="TP",D147="LT"),CONCATENATE(B147,"_",C147,$B$3,"_",C147,$B$3,"_",G147),D147="SECC",CONCATENATE(B147,"_",C147,$B$3,"_",$B$5,"_",G147),D147="SECF",CONCATENATE(B147,"_",C147,$B$3,"_",$B$6,"_",G147),D147="SECT",CONCATENATE(B147,"_",C147,$B$3,"_",$B$7,"_",G147),D147="SECG",CONCATENATE(B147,"_",C147,$B$3,"_",$B$8,"_",G147),D147="DJ",CONCATENATE(B147,"_",C147,$B$3,"_",$B$4,"_",G147),D147="DJ_P",CONCATENATE(B147,"_",C147,$B$3,"_",$B$4,"_P","_",G147),D147="DJ_A",CONCATENATE(B147,"_",C147,$B$3,"_",$B$4,"_A","_",G147),D147="LT_P",CONCATENATE(B147,"_",C147,$B$3,"_",C147,$B$3,"_P","_",G147),D147="LT_A",CONCATENATE(B147,"_",C147,$B$3,"_",C147,$B$3,"_A","_",G147))</f>
        <v>IMA_LT5_LT5_A_87LT</v>
      </c>
      <c r="I147" s="6" t="s">
        <v>267</v>
      </c>
      <c r="J147" s="6" t="s">
        <v>182</v>
      </c>
      <c r="K147" s="6" t="s">
        <v>179</v>
      </c>
      <c r="L147" s="6" t="s">
        <v>188</v>
      </c>
      <c r="M147" s="6" t="s">
        <v>188</v>
      </c>
      <c r="N147" s="6"/>
    </row>
    <row r="148" spans="1:14" x14ac:dyDescent="0.25">
      <c r="A148" s="6" t="s">
        <v>191</v>
      </c>
      <c r="B148" s="6" t="str">
        <f>Informações!$C$3</f>
        <v>IMA</v>
      </c>
      <c r="C148" s="6" t="s">
        <v>29</v>
      </c>
      <c r="D148" s="6" t="s">
        <v>207</v>
      </c>
      <c r="E148" s="2" t="s">
        <v>25</v>
      </c>
      <c r="F148" s="6" t="str">
        <f>VLOOKUP(G148,[1]Discrete!$A:$B,2,FALSE)</f>
        <v>87 - DIFERENCIAL BLOQUEIO</v>
      </c>
      <c r="G148" s="6" t="s">
        <v>161</v>
      </c>
      <c r="H148" s="6" t="str" cm="1">
        <f t="array" ref="H148">_xlfn.IFS(OR(D148="TC",D148="TP",D148="LT"),CONCATENATE(B148,"_",C148,$B$3,"_",C148,$B$3,"_",G148),D148="SECC",CONCATENATE(B148,"_",C148,$B$3,"_",$B$5,"_",G148),D148="SECF",CONCATENATE(B148,"_",C148,$B$3,"_",$B$6,"_",G148),D148="SECT",CONCATENATE(B148,"_",C148,$B$3,"_",$B$7,"_",G148),D148="SECG",CONCATENATE(B148,"_",C148,$B$3,"_",$B$8,"_",G148),D148="DJ",CONCATENATE(B148,"_",C148,$B$3,"_",$B$4,"_",G148),D148="DJ_P",CONCATENATE(B148,"_",C148,$B$3,"_",$B$4,"_P","_",G148),D148="DJ_A",CONCATENATE(B148,"_",C148,$B$3,"_",$B$4,"_A","_",G148),D148="LT_P",CONCATENATE(B148,"_",C148,$B$3,"_",C148,$B$3,"_P","_",G148),D148="LT_A",CONCATENATE(B148,"_",C148,$B$3,"_",C148,$B$3,"_A","_",G148))</f>
        <v>IMA_LT5_LT5_A_87BL</v>
      </c>
      <c r="I148" s="6" t="s">
        <v>267</v>
      </c>
      <c r="J148" s="6" t="s">
        <v>182</v>
      </c>
      <c r="K148" s="6" t="s">
        <v>179</v>
      </c>
      <c r="L148" s="6" t="s">
        <v>188</v>
      </c>
      <c r="M148" s="6" t="s">
        <v>188</v>
      </c>
      <c r="N148" s="6"/>
    </row>
    <row r="149" spans="1:14" x14ac:dyDescent="0.25">
      <c r="A149" s="6" t="s">
        <v>191</v>
      </c>
      <c r="B149" s="6" t="str">
        <f>Informações!$C$3</f>
        <v>IMA</v>
      </c>
      <c r="C149" s="6" t="s">
        <v>29</v>
      </c>
      <c r="D149" s="6" t="s">
        <v>29</v>
      </c>
      <c r="E149" s="2" t="s">
        <v>25</v>
      </c>
      <c r="F149" s="6" t="str">
        <f>VLOOKUP(G149,[1]Discrete!$A:$B,2,FALSE)</f>
        <v>FALHA SINCRONISMO HORA</v>
      </c>
      <c r="G149" s="6" t="s">
        <v>162</v>
      </c>
      <c r="H149" s="6" t="str" cm="1">
        <f t="array" ref="H149">_xlfn.IFS(OR(D149="TC",D149="TP",D149="LT"),CONCATENATE(B149,"_",C149,$B$3,"_",C149,$B$3,"_",G149),D149="SECC",CONCATENATE(B149,"_",C149,$B$3,"_",$B$5,"_",G149),D149="SECF",CONCATENATE(B149,"_",C149,$B$3,"_",$B$6,"_",G149),D149="SECT",CONCATENATE(B149,"_",C149,$B$3,"_",$B$7,"_",G149),D149="SECG",CONCATENATE(B149,"_",C149,$B$3,"_",$B$8,"_",G149),D149="DJ",CONCATENATE(B149,"_",C149,$B$3,"_",$B$4,"_",G149),D149="DJ_P",CONCATENATE(B149,"_",C149,$B$3,"_",$B$4,"_P","_",G149),D149="DJ_A",CONCATENATE(B149,"_",C149,$B$3,"_",$B$4,"_A","_",G149),D149="LT_P",CONCATENATE(B149,"_",C149,$B$3,"_",C149,$B$3,"_P","_",G149),D149="LT_A",CONCATENATE(B149,"_",C149,$B$3,"_",C149,$B$3,"_A","_",G149))</f>
        <v>IMA_LT5_LT5_FSIH</v>
      </c>
      <c r="I149" s="6" t="s">
        <v>267</v>
      </c>
      <c r="J149" s="6" t="s">
        <v>182</v>
      </c>
      <c r="K149" s="6" t="s">
        <v>180</v>
      </c>
      <c r="L149" s="6" t="s">
        <v>188</v>
      </c>
      <c r="M149" s="6" t="s">
        <v>188</v>
      </c>
      <c r="N149" s="6"/>
    </row>
    <row r="150" spans="1:14" x14ac:dyDescent="0.25">
      <c r="A150" s="6" t="s">
        <v>191</v>
      </c>
      <c r="B150" s="6" t="str">
        <f>Informações!$C$3</f>
        <v>IMA</v>
      </c>
      <c r="C150" s="6" t="s">
        <v>29</v>
      </c>
      <c r="D150" s="6" t="s">
        <v>29</v>
      </c>
      <c r="E150" s="2" t="s">
        <v>25</v>
      </c>
      <c r="F150" s="6" t="str">
        <f>VLOOKUP(G150,[1]Discrete!$A:$B,2,FALSE)</f>
        <v>PERDA DE POTENCIAL</v>
      </c>
      <c r="G150" s="6" t="s">
        <v>208</v>
      </c>
      <c r="H150" s="6" t="str" cm="1">
        <f t="array" ref="H150">_xlfn.IFS(OR(D150="TC",D150="TP",D150="LT"),CONCATENATE(B150,"_",C150,$B$3,"_",C150,$B$3,"_",G150),D150="SECC",CONCATENATE(B150,"_",C150,$B$3,"_",$B$5,"_",G150),D150="SECF",CONCATENATE(B150,"_",C150,$B$3,"_",$B$6,"_",G150),D150="SECT",CONCATENATE(B150,"_",C150,$B$3,"_",$B$7,"_",G150),D150="SECG",CONCATENATE(B150,"_",C150,$B$3,"_",$B$8,"_",G150),D150="DJ",CONCATENATE(B150,"_",C150,$B$3,"_",$B$4,"_",G150),D150="DJ_P",CONCATENATE(B150,"_",C150,$B$3,"_",$B$4,"_P","_",G150),D150="DJ_A",CONCATENATE(B150,"_",C150,$B$3,"_",$B$4,"_A","_",G150),D150="LT_P",CONCATENATE(B150,"_",C150,$B$3,"_",C150,$B$3,"_P","_",G150),D150="LT_A",CONCATENATE(B150,"_",C150,$B$3,"_",C150,$B$3,"_A","_",G150))</f>
        <v>IMA_LT5_LT5_PPOT</v>
      </c>
      <c r="I150" s="6" t="s">
        <v>267</v>
      </c>
      <c r="J150" s="6" t="s">
        <v>182</v>
      </c>
      <c r="K150" s="6" t="s">
        <v>179</v>
      </c>
      <c r="L150" s="6" t="s">
        <v>188</v>
      </c>
      <c r="M150" s="6" t="s">
        <v>188</v>
      </c>
      <c r="N150" s="6"/>
    </row>
    <row r="151" spans="1:14" x14ac:dyDescent="0.25">
      <c r="A151" s="6" t="s">
        <v>191</v>
      </c>
      <c r="B151" s="6" t="str">
        <f>Informações!$C$3</f>
        <v>IMA</v>
      </c>
      <c r="C151" s="6" t="s">
        <v>29</v>
      </c>
      <c r="D151" s="6" t="s">
        <v>206</v>
      </c>
      <c r="E151" s="2" t="s">
        <v>25</v>
      </c>
      <c r="F151" s="6" t="str">
        <f>VLOOKUP(G151,[1]Discrete!$A:$B,2,FALSE)</f>
        <v>50 - SOBRECORRENTE INSTANTANEA FASE E1</v>
      </c>
      <c r="G151" s="6" t="s">
        <v>94</v>
      </c>
      <c r="H151" s="6" t="str" cm="1">
        <f t="array" ref="H151">_xlfn.IFS(OR(D151="TC",D151="TP",D151="LT"),CONCATENATE(B151,"_",C151,$B$3,"_",C151,$B$3,"_",G151),D151="SECC",CONCATENATE(B151,"_",C151,$B$3,"_",$B$5,"_",G151),D151="SECF",CONCATENATE(B151,"_",C151,$B$3,"_",$B$6,"_",G151),D151="SECT",CONCATENATE(B151,"_",C151,$B$3,"_",$B$7,"_",G151),D151="SECG",CONCATENATE(B151,"_",C151,$B$3,"_",$B$8,"_",G151),D151="DJ",CONCATENATE(B151,"_",C151,$B$3,"_",$B$4,"_",G151),D151="DJ_P",CONCATENATE(B151,"_",C151,$B$3,"_",$B$4,"_P","_",G151),D151="DJ_A",CONCATENATE(B151,"_",C151,$B$3,"_",$B$4,"_A","_",G151),D151="LT_P",CONCATENATE(B151,"_",C151,$B$3,"_",C151,$B$3,"_P","_",G151),D151="LT_A",CONCATENATE(B151,"_",C151,$B$3,"_",C151,$B$3,"_A","_",G151))</f>
        <v>IMA_LT5_LT5_P_50F1</v>
      </c>
      <c r="I151" s="6" t="s">
        <v>267</v>
      </c>
      <c r="J151" s="6" t="s">
        <v>182</v>
      </c>
      <c r="K151" s="6" t="s">
        <v>179</v>
      </c>
      <c r="L151" s="6"/>
      <c r="M151" s="6"/>
      <c r="N151" s="6"/>
    </row>
    <row r="152" spans="1:14" x14ac:dyDescent="0.25">
      <c r="A152" s="6" t="s">
        <v>191</v>
      </c>
      <c r="B152" s="6" t="str">
        <f>Informações!$C$3</f>
        <v>IMA</v>
      </c>
      <c r="C152" s="6" t="s">
        <v>29</v>
      </c>
      <c r="D152" s="6" t="s">
        <v>206</v>
      </c>
      <c r="E152" s="2" t="s">
        <v>25</v>
      </c>
      <c r="F152" s="6" t="str">
        <f>VLOOKUP(G152,[1]Discrete!$A:$B,2,FALSE)</f>
        <v>50 - SOBRECORRENTE INSTANTANEA FASE E2</v>
      </c>
      <c r="G152" s="6" t="s">
        <v>95</v>
      </c>
      <c r="H152" s="6" t="str" cm="1">
        <f t="array" ref="H152">_xlfn.IFS(OR(D152="TC",D152="TP",D152="LT"),CONCATENATE(B152,"_",C152,$B$3,"_",C152,$B$3,"_",G152),D152="SECC",CONCATENATE(B152,"_",C152,$B$3,"_",$B$5,"_",G152),D152="SECF",CONCATENATE(B152,"_",C152,$B$3,"_",$B$6,"_",G152),D152="SECT",CONCATENATE(B152,"_",C152,$B$3,"_",$B$7,"_",G152),D152="SECG",CONCATENATE(B152,"_",C152,$B$3,"_",$B$8,"_",G152),D152="DJ",CONCATENATE(B152,"_",C152,$B$3,"_",$B$4,"_",G152),D152="DJ_P",CONCATENATE(B152,"_",C152,$B$3,"_",$B$4,"_P","_",G152),D152="DJ_A",CONCATENATE(B152,"_",C152,$B$3,"_",$B$4,"_A","_",G152),D152="LT_P",CONCATENATE(B152,"_",C152,$B$3,"_",C152,$B$3,"_P","_",G152),D152="LT_A",CONCATENATE(B152,"_",C152,$B$3,"_",C152,$B$3,"_A","_",G152))</f>
        <v>IMA_LT5_LT5_P_50F2</v>
      </c>
      <c r="I152" s="6" t="s">
        <v>267</v>
      </c>
      <c r="J152" s="6" t="s">
        <v>182</v>
      </c>
      <c r="K152" s="6" t="s">
        <v>179</v>
      </c>
      <c r="L152" s="6"/>
      <c r="M152" s="6"/>
      <c r="N152" s="6"/>
    </row>
    <row r="153" spans="1:14" x14ac:dyDescent="0.25">
      <c r="A153" s="6" t="s">
        <v>191</v>
      </c>
      <c r="B153" s="6" t="str">
        <f>Informações!$C$3</f>
        <v>IMA</v>
      </c>
      <c r="C153" s="6" t="s">
        <v>29</v>
      </c>
      <c r="D153" s="6" t="s">
        <v>206</v>
      </c>
      <c r="E153" s="2" t="s">
        <v>25</v>
      </c>
      <c r="F153" s="6" t="str">
        <f>VLOOKUP(G153,[1]Discrete!$A:$B,2,FALSE)</f>
        <v>50 - SOBRECORRENTE INSTANTANEA NEUTRO E1</v>
      </c>
      <c r="G153" s="6" t="s">
        <v>96</v>
      </c>
      <c r="H153" s="6" t="str" cm="1">
        <f t="array" ref="H153">_xlfn.IFS(OR(D153="TC",D153="TP",D153="LT"),CONCATENATE(B153,"_",C153,$B$3,"_",C153,$B$3,"_",G153),D153="SECC",CONCATENATE(B153,"_",C153,$B$3,"_",$B$5,"_",G153),D153="SECF",CONCATENATE(B153,"_",C153,$B$3,"_",$B$6,"_",G153),D153="SECT",CONCATENATE(B153,"_",C153,$B$3,"_",$B$7,"_",G153),D153="SECG",CONCATENATE(B153,"_",C153,$B$3,"_",$B$8,"_",G153),D153="DJ",CONCATENATE(B153,"_",C153,$B$3,"_",$B$4,"_",G153),D153="DJ_P",CONCATENATE(B153,"_",C153,$B$3,"_",$B$4,"_P","_",G153),D153="DJ_A",CONCATENATE(B153,"_",C153,$B$3,"_",$B$4,"_A","_",G153),D153="LT_P",CONCATENATE(B153,"_",C153,$B$3,"_",C153,$B$3,"_P","_",G153),D153="LT_A",CONCATENATE(B153,"_",C153,$B$3,"_",C153,$B$3,"_A","_",G153))</f>
        <v>IMA_LT5_LT5_P_50N1</v>
      </c>
      <c r="I153" s="6" t="s">
        <v>267</v>
      </c>
      <c r="J153" s="6" t="s">
        <v>182</v>
      </c>
      <c r="K153" s="6" t="s">
        <v>179</v>
      </c>
      <c r="L153" s="6"/>
      <c r="M153" s="6"/>
      <c r="N153" s="6"/>
    </row>
    <row r="154" spans="1:14" x14ac:dyDescent="0.25">
      <c r="A154" s="6" t="s">
        <v>191</v>
      </c>
      <c r="B154" s="6" t="str">
        <f>Informações!$C$3</f>
        <v>IMA</v>
      </c>
      <c r="C154" s="6" t="s">
        <v>29</v>
      </c>
      <c r="D154" s="6" t="s">
        <v>206</v>
      </c>
      <c r="E154" s="2" t="s">
        <v>25</v>
      </c>
      <c r="F154" s="6" t="str">
        <f>VLOOKUP(G154,[1]Discrete!$A:$B,2,FALSE)</f>
        <v>50 - SOBRECORRENTE INSTANTANEA NEUTRO E2</v>
      </c>
      <c r="G154" s="6" t="s">
        <v>97</v>
      </c>
      <c r="H154" s="6" t="str" cm="1">
        <f t="array" ref="H154">_xlfn.IFS(OR(D154="TC",D154="TP",D154="LT"),CONCATENATE(B154,"_",C154,$B$3,"_",C154,$B$3,"_",G154),D154="SECC",CONCATENATE(B154,"_",C154,$B$3,"_",$B$5,"_",G154),D154="SECF",CONCATENATE(B154,"_",C154,$B$3,"_",$B$6,"_",G154),D154="SECT",CONCATENATE(B154,"_",C154,$B$3,"_",$B$7,"_",G154),D154="SECG",CONCATENATE(B154,"_",C154,$B$3,"_",$B$8,"_",G154),D154="DJ",CONCATENATE(B154,"_",C154,$B$3,"_",$B$4,"_",G154),D154="DJ_P",CONCATENATE(B154,"_",C154,$B$3,"_",$B$4,"_P","_",G154),D154="DJ_A",CONCATENATE(B154,"_",C154,$B$3,"_",$B$4,"_A","_",G154),D154="LT_P",CONCATENATE(B154,"_",C154,$B$3,"_",C154,$B$3,"_P","_",G154),D154="LT_A",CONCATENATE(B154,"_",C154,$B$3,"_",C154,$B$3,"_A","_",G154))</f>
        <v>IMA_LT5_LT5_P_50N2</v>
      </c>
      <c r="I154" s="6" t="s">
        <v>267</v>
      </c>
      <c r="J154" s="6" t="s">
        <v>182</v>
      </c>
      <c r="K154" s="6" t="s">
        <v>179</v>
      </c>
      <c r="L154" s="6"/>
      <c r="M154" s="6"/>
      <c r="N154" s="6"/>
    </row>
    <row r="155" spans="1:14" x14ac:dyDescent="0.25">
      <c r="A155" s="6" t="s">
        <v>191</v>
      </c>
      <c r="B155" s="6" t="str">
        <f>Informações!$C$3</f>
        <v>IMA</v>
      </c>
      <c r="C155" s="6" t="s">
        <v>29</v>
      </c>
      <c r="D155" s="6" t="s">
        <v>206</v>
      </c>
      <c r="E155" s="2" t="s">
        <v>25</v>
      </c>
      <c r="F155" s="6" t="str">
        <f>VLOOKUP(G155,[1]Discrete!$A:$B,2,FALSE)</f>
        <v>50 - SOBRECORRENTE INSTANTANEA FASE</v>
      </c>
      <c r="G155" s="6" t="s">
        <v>416</v>
      </c>
      <c r="H155" s="6" t="str" cm="1">
        <f t="array" ref="H155">_xlfn.IFS(OR(D155="TC",D155="TP",D155="LT"),CONCATENATE(B155,"_",C155,$B$3,"_",C155,$B$3,"_",G155),D155="SECC",CONCATENATE(B155,"_",C155,$B$3,"_",$B$5,"_",G155),D155="SECF",CONCATENATE(B155,"_",C155,$B$3,"_",$B$6,"_",G155),D155="SECT",CONCATENATE(B155,"_",C155,$B$3,"_",$B$7,"_",G155),D155="SECG",CONCATENATE(B155,"_",C155,$B$3,"_",$B$8,"_",G155),D155="DJ",CONCATENATE(B155,"_",C155,$B$3,"_",$B$4,"_",G155),D155="DJ_P",CONCATENATE(B155,"_",C155,$B$3,"_",$B$4,"_P","_",G155),D155="DJ_A",CONCATENATE(B155,"_",C155,$B$3,"_",$B$4,"_A","_",G155),D155="LT_P",CONCATENATE(B155,"_",C155,$B$3,"_",C155,$B$3,"_P","_",G155),D155="LT_A",CONCATENATE(B155,"_",C155,$B$3,"_",C155,$B$3,"_A","_",G155))</f>
        <v>IMA_LT5_LT5_P_50F</v>
      </c>
      <c r="I155" s="6" t="s">
        <v>267</v>
      </c>
      <c r="J155" s="6" t="s">
        <v>182</v>
      </c>
      <c r="K155" s="6" t="s">
        <v>179</v>
      </c>
      <c r="L155" s="6"/>
      <c r="M155" s="6"/>
      <c r="N155" s="6"/>
    </row>
    <row r="156" spans="1:14" x14ac:dyDescent="0.25">
      <c r="A156" s="6" t="s">
        <v>191</v>
      </c>
      <c r="B156" s="6" t="str">
        <f>Informações!$C$3</f>
        <v>IMA</v>
      </c>
      <c r="C156" s="6" t="s">
        <v>29</v>
      </c>
      <c r="D156" s="6" t="s">
        <v>206</v>
      </c>
      <c r="E156" s="2" t="s">
        <v>25</v>
      </c>
      <c r="F156" s="6" t="str">
        <f>VLOOKUP(G156,[1]Discrete!$A:$B,2,FALSE)</f>
        <v>50 - SOBRECORRENTE INSTANTANEA NEUTRO</v>
      </c>
      <c r="G156" s="6" t="s">
        <v>417</v>
      </c>
      <c r="H156" s="6" t="str" cm="1">
        <f t="array" ref="H156">_xlfn.IFS(OR(D156="TC",D156="TP",D156="LT"),CONCATENATE(B156,"_",C156,$B$3,"_",C156,$B$3,"_",G156),D156="SECC",CONCATENATE(B156,"_",C156,$B$3,"_",$B$5,"_",G156),D156="SECF",CONCATENATE(B156,"_",C156,$B$3,"_",$B$6,"_",G156),D156="SECT",CONCATENATE(B156,"_",C156,$B$3,"_",$B$7,"_",G156),D156="SECG",CONCATENATE(B156,"_",C156,$B$3,"_",$B$8,"_",G156),D156="DJ",CONCATENATE(B156,"_",C156,$B$3,"_",$B$4,"_",G156),D156="DJ_P",CONCATENATE(B156,"_",C156,$B$3,"_",$B$4,"_P","_",G156),D156="DJ_A",CONCATENATE(B156,"_",C156,$B$3,"_",$B$4,"_A","_",G156),D156="LT_P",CONCATENATE(B156,"_",C156,$B$3,"_",C156,$B$3,"_P","_",G156),D156="LT_A",CONCATENATE(B156,"_",C156,$B$3,"_",C156,$B$3,"_A","_",G156))</f>
        <v>IMA_LT5_LT5_P_50N</v>
      </c>
      <c r="I156" s="6" t="s">
        <v>267</v>
      </c>
      <c r="J156" s="6" t="s">
        <v>182</v>
      </c>
      <c r="K156" s="6" t="s">
        <v>179</v>
      </c>
      <c r="L156" s="6"/>
      <c r="M156" s="6"/>
      <c r="N156" s="6"/>
    </row>
    <row r="157" spans="1:14" x14ac:dyDescent="0.25">
      <c r="A157" s="6" t="s">
        <v>191</v>
      </c>
      <c r="B157" s="6" t="str">
        <f>Informações!$C$3</f>
        <v>IMA</v>
      </c>
      <c r="C157" s="6" t="s">
        <v>29</v>
      </c>
      <c r="D157" s="6" t="s">
        <v>206</v>
      </c>
      <c r="E157" s="2" t="s">
        <v>25</v>
      </c>
      <c r="F157" s="6" t="str">
        <f>VLOOKUP(G157,[1]Discrete!$A:$B,2,FALSE)</f>
        <v>51 - SOBRECORRENTE TEMPORIZADA FASE E1</v>
      </c>
      <c r="G157" s="6" t="s">
        <v>418</v>
      </c>
      <c r="H157" s="6" t="str" cm="1">
        <f t="array" ref="H157">_xlfn.IFS(OR(D157="TC",D157="TP",D157="LT"),CONCATENATE(B157,"_",C157,$B$3,"_",C157,$B$3,"_",G157),D157="SECC",CONCATENATE(B157,"_",C157,$B$3,"_",$B$5,"_",G157),D157="SECF",CONCATENATE(B157,"_",C157,$B$3,"_",$B$6,"_",G157),D157="SECT",CONCATENATE(B157,"_",C157,$B$3,"_",$B$7,"_",G157),D157="SECG",CONCATENATE(B157,"_",C157,$B$3,"_",$B$8,"_",G157),D157="DJ",CONCATENATE(B157,"_",C157,$B$3,"_",$B$4,"_",G157),D157="DJ_P",CONCATENATE(B157,"_",C157,$B$3,"_",$B$4,"_P","_",G157),D157="DJ_A",CONCATENATE(B157,"_",C157,$B$3,"_",$B$4,"_A","_",G157),D157="LT_P",CONCATENATE(B157,"_",C157,$B$3,"_",C157,$B$3,"_P","_",G157),D157="LT_A",CONCATENATE(B157,"_",C157,$B$3,"_",C157,$B$3,"_A","_",G157))</f>
        <v>IMA_LT5_LT5_P_51F1</v>
      </c>
      <c r="I157" s="6" t="s">
        <v>267</v>
      </c>
      <c r="J157" s="6" t="s">
        <v>182</v>
      </c>
      <c r="K157" s="6" t="s">
        <v>179</v>
      </c>
      <c r="L157" s="6"/>
      <c r="M157" s="6"/>
      <c r="N157" s="6"/>
    </row>
    <row r="158" spans="1:14" x14ac:dyDescent="0.25">
      <c r="A158" s="6" t="s">
        <v>191</v>
      </c>
      <c r="B158" s="6" t="str">
        <f>Informações!$C$3</f>
        <v>IMA</v>
      </c>
      <c r="C158" s="6" t="s">
        <v>29</v>
      </c>
      <c r="D158" s="6" t="s">
        <v>206</v>
      </c>
      <c r="E158" s="2" t="s">
        <v>25</v>
      </c>
      <c r="F158" s="6" t="str">
        <f>VLOOKUP(G158,[1]Discrete!$A:$B,2,FALSE)</f>
        <v>51 - SOBRECORRENTE TEMPORIZADA FASE E2</v>
      </c>
      <c r="G158" s="6" t="s">
        <v>419</v>
      </c>
      <c r="H158" s="6" t="str" cm="1">
        <f t="array" ref="H158">_xlfn.IFS(OR(D158="TC",D158="TP",D158="LT"),CONCATENATE(B158,"_",C158,$B$3,"_",C158,$B$3,"_",G158),D158="SECC",CONCATENATE(B158,"_",C158,$B$3,"_",$B$5,"_",G158),D158="SECF",CONCATENATE(B158,"_",C158,$B$3,"_",$B$6,"_",G158),D158="SECT",CONCATENATE(B158,"_",C158,$B$3,"_",$B$7,"_",G158),D158="SECG",CONCATENATE(B158,"_",C158,$B$3,"_",$B$8,"_",G158),D158="DJ",CONCATENATE(B158,"_",C158,$B$3,"_",$B$4,"_",G158),D158="DJ_P",CONCATENATE(B158,"_",C158,$B$3,"_",$B$4,"_P","_",G158),D158="DJ_A",CONCATENATE(B158,"_",C158,$B$3,"_",$B$4,"_A","_",G158),D158="LT_P",CONCATENATE(B158,"_",C158,$B$3,"_",C158,$B$3,"_P","_",G158),D158="LT_A",CONCATENATE(B158,"_",C158,$B$3,"_",C158,$B$3,"_A","_",G158))</f>
        <v>IMA_LT5_LT5_P_51F2</v>
      </c>
      <c r="I158" s="6" t="s">
        <v>267</v>
      </c>
      <c r="J158" s="6" t="s">
        <v>182</v>
      </c>
      <c r="K158" s="6" t="s">
        <v>179</v>
      </c>
      <c r="L158" s="6"/>
      <c r="M158" s="6"/>
      <c r="N158" s="6"/>
    </row>
    <row r="159" spans="1:14" x14ac:dyDescent="0.25">
      <c r="A159" s="6" t="s">
        <v>191</v>
      </c>
      <c r="B159" s="6" t="str">
        <f>Informações!$C$3</f>
        <v>IMA</v>
      </c>
      <c r="C159" s="6" t="s">
        <v>29</v>
      </c>
      <c r="D159" s="6" t="s">
        <v>206</v>
      </c>
      <c r="E159" s="2" t="s">
        <v>25</v>
      </c>
      <c r="F159" s="6" t="str">
        <f>VLOOKUP(G159,[1]Discrete!$A:$B,2,FALSE)</f>
        <v>51 - SOBRECORRENTE TEMPORIZADA NEUTRO E1</v>
      </c>
      <c r="G159" s="6" t="s">
        <v>111</v>
      </c>
      <c r="H159" s="6" t="str" cm="1">
        <f t="array" ref="H159">_xlfn.IFS(OR(D159="TC",D159="TP",D159="LT"),CONCATENATE(B159,"_",C159,$B$3,"_",C159,$B$3,"_",G159),D159="SECC",CONCATENATE(B159,"_",C159,$B$3,"_",$B$5,"_",G159),D159="SECF",CONCATENATE(B159,"_",C159,$B$3,"_",$B$6,"_",G159),D159="SECT",CONCATENATE(B159,"_",C159,$B$3,"_",$B$7,"_",G159),D159="SECG",CONCATENATE(B159,"_",C159,$B$3,"_",$B$8,"_",G159),D159="DJ",CONCATENATE(B159,"_",C159,$B$3,"_",$B$4,"_",G159),D159="DJ_P",CONCATENATE(B159,"_",C159,$B$3,"_",$B$4,"_P","_",G159),D159="DJ_A",CONCATENATE(B159,"_",C159,$B$3,"_",$B$4,"_A","_",G159),D159="LT_P",CONCATENATE(B159,"_",C159,$B$3,"_",C159,$B$3,"_P","_",G159),D159="LT_A",CONCATENATE(B159,"_",C159,$B$3,"_",C159,$B$3,"_A","_",G159))</f>
        <v>IMA_LT5_LT5_P_51N1</v>
      </c>
      <c r="I159" s="6" t="s">
        <v>267</v>
      </c>
      <c r="J159" s="6" t="s">
        <v>182</v>
      </c>
      <c r="K159" s="6" t="s">
        <v>179</v>
      </c>
      <c r="L159" s="6"/>
      <c r="M159" s="6"/>
      <c r="N159" s="6"/>
    </row>
    <row r="160" spans="1:14" x14ac:dyDescent="0.25">
      <c r="A160" s="6" t="s">
        <v>191</v>
      </c>
      <c r="B160" s="6" t="str">
        <f>Informações!$C$3</f>
        <v>IMA</v>
      </c>
      <c r="C160" s="6" t="s">
        <v>29</v>
      </c>
      <c r="D160" s="6" t="s">
        <v>206</v>
      </c>
      <c r="E160" s="2" t="s">
        <v>25</v>
      </c>
      <c r="F160" s="6" t="str">
        <f>VLOOKUP(G160,[1]Discrete!$A:$B,2,FALSE)</f>
        <v>51 - SOBRECORRENTE TEMPORIZADA NEUTRO E2</v>
      </c>
      <c r="G160" s="6" t="s">
        <v>415</v>
      </c>
      <c r="H160" s="6" t="str" cm="1">
        <f t="array" ref="H160">_xlfn.IFS(OR(D160="TC",D160="TP",D160="LT"),CONCATENATE(B160,"_",C160,$B$3,"_",C160,$B$3,"_",G160),D160="SECC",CONCATENATE(B160,"_",C160,$B$3,"_",$B$5,"_",G160),D160="SECF",CONCATENATE(B160,"_",C160,$B$3,"_",$B$6,"_",G160),D160="SECT",CONCATENATE(B160,"_",C160,$B$3,"_",$B$7,"_",G160),D160="SECG",CONCATENATE(B160,"_",C160,$B$3,"_",$B$8,"_",G160),D160="DJ",CONCATENATE(B160,"_",C160,$B$3,"_",$B$4,"_",G160),D160="DJ_P",CONCATENATE(B160,"_",C160,$B$3,"_",$B$4,"_P","_",G160),D160="DJ_A",CONCATENATE(B160,"_",C160,$B$3,"_",$B$4,"_A","_",G160),D160="LT_P",CONCATENATE(B160,"_",C160,$B$3,"_",C160,$B$3,"_P","_",G160),D160="LT_A",CONCATENATE(B160,"_",C160,$B$3,"_",C160,$B$3,"_A","_",G160))</f>
        <v>IMA_LT5_LT5_P_51N2</v>
      </c>
      <c r="I160" s="6" t="s">
        <v>267</v>
      </c>
      <c r="J160" s="6" t="s">
        <v>182</v>
      </c>
      <c r="K160" s="6" t="s">
        <v>179</v>
      </c>
      <c r="L160" s="6"/>
      <c r="M160" s="6"/>
      <c r="N160" s="6"/>
    </row>
    <row r="161" spans="1:14" x14ac:dyDescent="0.25">
      <c r="A161" s="6" t="s">
        <v>191</v>
      </c>
      <c r="B161" s="6" t="str">
        <f>Informações!$C$3</f>
        <v>IMA</v>
      </c>
      <c r="C161" s="6" t="s">
        <v>29</v>
      </c>
      <c r="D161" s="6" t="s">
        <v>206</v>
      </c>
      <c r="E161" s="2" t="s">
        <v>25</v>
      </c>
      <c r="F161" s="6" t="str">
        <f>VLOOKUP(G161,[1]Discrete!$A:$B,2,FALSE)</f>
        <v>51 - SOBRECORRENTE TEMPORIZADA FASE</v>
      </c>
      <c r="G161" s="6" t="s">
        <v>98</v>
      </c>
      <c r="H161" s="6" t="str" cm="1">
        <f t="array" ref="H161">_xlfn.IFS(OR(D161="TC",D161="TP",D161="LT"),CONCATENATE(B161,"_",C161,$B$3,"_",C161,$B$3,"_",G161),D161="SECC",CONCATENATE(B161,"_",C161,$B$3,"_",$B$5,"_",G161),D161="SECF",CONCATENATE(B161,"_",C161,$B$3,"_",$B$6,"_",G161),D161="SECT",CONCATENATE(B161,"_",C161,$B$3,"_",$B$7,"_",G161),D161="SECG",CONCATENATE(B161,"_",C161,$B$3,"_",$B$8,"_",G161),D161="DJ",CONCATENATE(B161,"_",C161,$B$3,"_",$B$4,"_",G161),D161="DJ_P",CONCATENATE(B161,"_",C161,$B$3,"_",$B$4,"_P","_",G161),D161="DJ_A",CONCATENATE(B161,"_",C161,$B$3,"_",$B$4,"_A","_",G161),D161="LT_P",CONCATENATE(B161,"_",C161,$B$3,"_",C161,$B$3,"_P","_",G161),D161="LT_A",CONCATENATE(B161,"_",C161,$B$3,"_",C161,$B$3,"_A","_",G161))</f>
        <v>IMA_LT5_LT5_P_51F</v>
      </c>
      <c r="I161" s="6" t="s">
        <v>267</v>
      </c>
      <c r="J161" s="6" t="s">
        <v>182</v>
      </c>
      <c r="K161" s="6" t="s">
        <v>179</v>
      </c>
      <c r="L161" s="6"/>
      <c r="M161" s="6"/>
      <c r="N161" s="6"/>
    </row>
    <row r="162" spans="1:14" x14ac:dyDescent="0.25">
      <c r="A162" s="6" t="s">
        <v>191</v>
      </c>
      <c r="B162" s="6" t="str">
        <f>Informações!$C$3</f>
        <v>IMA</v>
      </c>
      <c r="C162" s="6" t="s">
        <v>29</v>
      </c>
      <c r="D162" s="6" t="s">
        <v>206</v>
      </c>
      <c r="E162" s="2" t="s">
        <v>25</v>
      </c>
      <c r="F162" s="6" t="str">
        <f>VLOOKUP(G162,[1]Discrete!$A:$B,2,FALSE)</f>
        <v>51 - FUNCAO SOBRECORRENTE TEMPORIZADA NEUTRO</v>
      </c>
      <c r="G162" s="6" t="s">
        <v>35</v>
      </c>
      <c r="H162" s="6" t="str" cm="1">
        <f t="array" ref="H162">_xlfn.IFS(OR(D162="TC",D162="TP",D162="LT"),CONCATENATE(B162,"_",C162,$B$3,"_",C162,$B$3,"_",G162),D162="SECC",CONCATENATE(B162,"_",C162,$B$3,"_",$B$5,"_",G162),D162="SECF",CONCATENATE(B162,"_",C162,$B$3,"_",$B$6,"_",G162),D162="SECT",CONCATENATE(B162,"_",C162,$B$3,"_",$B$7,"_",G162),D162="SECG",CONCATENATE(B162,"_",C162,$B$3,"_",$B$8,"_",G162),D162="DJ",CONCATENATE(B162,"_",C162,$B$3,"_",$B$4,"_",G162),D162="DJ_P",CONCATENATE(B162,"_",C162,$B$3,"_",$B$4,"_P","_",G162),D162="DJ_A",CONCATENATE(B162,"_",C162,$B$3,"_",$B$4,"_A","_",G162),D162="LT_P",CONCATENATE(B162,"_",C162,$B$3,"_",C162,$B$3,"_P","_",G162),D162="LT_A",CONCATENATE(B162,"_",C162,$B$3,"_",C162,$B$3,"_A","_",G162))</f>
        <v>IMA_LT5_LT5_P_51N</v>
      </c>
      <c r="I162" s="6" t="s">
        <v>267</v>
      </c>
      <c r="J162" s="6" t="s">
        <v>182</v>
      </c>
      <c r="K162" s="6" t="s">
        <v>179</v>
      </c>
      <c r="L162" s="6"/>
      <c r="M162" s="6"/>
      <c r="N162" s="6"/>
    </row>
    <row r="163" spans="1:14" x14ac:dyDescent="0.25">
      <c r="A163" s="6" t="s">
        <v>191</v>
      </c>
      <c r="B163" s="6" t="str">
        <f>Informações!$C$3</f>
        <v>IMA</v>
      </c>
      <c r="C163" s="6" t="s">
        <v>29</v>
      </c>
      <c r="D163" s="6" t="s">
        <v>207</v>
      </c>
      <c r="E163" s="2" t="s">
        <v>25</v>
      </c>
      <c r="F163" s="6" t="str">
        <f>VLOOKUP(G163,[1]Discrete!$A:$B,2,FALSE)</f>
        <v>FALHA COMUNICACAO</v>
      </c>
      <c r="G163" s="6" t="s">
        <v>78</v>
      </c>
      <c r="H163" s="6" t="str" cm="1">
        <f t="array" ref="H163">_xlfn.IFS(OR(D163="TC",D163="TP",D163="LT"),CONCATENATE(B163,"_",C163,$B$3,"_",C163,$B$3,"_",G163),D163="SECC",CONCATENATE(B163,"_",C163,$B$3,"_",$B$5,"_",G163),D163="SECF",CONCATENATE(B163,"_",C163,$B$3,"_",$B$6,"_",G163),D163="SECT",CONCATENATE(B163,"_",C163,$B$3,"_",$B$7,"_",G163),D163="SECG",CONCATENATE(B163,"_",C163,$B$3,"_",$B$8,"_",G163),D163="DJ",CONCATENATE(B163,"_",C163,$B$3,"_",$B$4,"_",G163),D163="DJ_P",CONCATENATE(B163,"_",C163,$B$3,"_",$B$4,"_P","_",G163),D163="DJ_A",CONCATENATE(B163,"_",C163,$B$3,"_",$B$4,"_A","_",G163),D163="LT_P",CONCATENATE(B163,"_",C163,$B$3,"_",C163,$B$3,"_P","_",G163),D163="LT_A",CONCATENATE(B163,"_",C163,$B$3,"_",C163,$B$3,"_A","_",G163))</f>
        <v>IMA_LT5_LT5_A_FCOM</v>
      </c>
      <c r="I163" s="6" t="s">
        <v>267</v>
      </c>
      <c r="J163" s="6" t="s">
        <v>182</v>
      </c>
      <c r="K163" s="6" t="s">
        <v>180</v>
      </c>
      <c r="L163" s="6" t="s">
        <v>188</v>
      </c>
      <c r="M163" s="6" t="s">
        <v>188</v>
      </c>
      <c r="N163" s="6"/>
    </row>
    <row r="164" spans="1:14" x14ac:dyDescent="0.25">
      <c r="A164" s="6" t="s">
        <v>191</v>
      </c>
      <c r="B164" s="6" t="str">
        <f>Informações!$C$3</f>
        <v>IMA</v>
      </c>
      <c r="C164" s="6" t="s">
        <v>29</v>
      </c>
      <c r="D164" s="6" t="s">
        <v>207</v>
      </c>
      <c r="E164" s="2" t="s">
        <v>25</v>
      </c>
      <c r="F164" s="6" t="str">
        <f>VLOOKUP(G164,[1]Discrete!$A:$B,2,FALSE)</f>
        <v>50 - SOBRECORRENTE INSTANTANEA FASE E1</v>
      </c>
      <c r="G164" s="6" t="s">
        <v>94</v>
      </c>
      <c r="H164" s="6" t="str" cm="1">
        <f t="array" ref="H164">_xlfn.IFS(OR(D164="TC",D164="TP",D164="LT"),CONCATENATE(B164,"_",C164,$B$3,"_",C164,$B$3,"_",G164),D164="SECC",CONCATENATE(B164,"_",C164,$B$3,"_",$B$5,"_",G164),D164="SECF",CONCATENATE(B164,"_",C164,$B$3,"_",$B$6,"_",G164),D164="SECT",CONCATENATE(B164,"_",C164,$B$3,"_",$B$7,"_",G164),D164="SECG",CONCATENATE(B164,"_",C164,$B$3,"_",$B$8,"_",G164),D164="DJ",CONCATENATE(B164,"_",C164,$B$3,"_",$B$4,"_",G164),D164="DJ_P",CONCATENATE(B164,"_",C164,$B$3,"_",$B$4,"_P","_",G164),D164="DJ_A",CONCATENATE(B164,"_",C164,$B$3,"_",$B$4,"_A","_",G164),D164="LT_P",CONCATENATE(B164,"_",C164,$B$3,"_",C164,$B$3,"_P","_",G164),D164="LT_A",CONCATENATE(B164,"_",C164,$B$3,"_",C164,$B$3,"_A","_",G164))</f>
        <v>IMA_LT5_LT5_A_50F1</v>
      </c>
      <c r="I164" s="6" t="s">
        <v>267</v>
      </c>
      <c r="J164" s="6" t="s">
        <v>182</v>
      </c>
      <c r="K164" s="6" t="s">
        <v>179</v>
      </c>
      <c r="L164" s="6"/>
      <c r="M164" s="6"/>
      <c r="N164" s="6"/>
    </row>
    <row r="165" spans="1:14" x14ac:dyDescent="0.25">
      <c r="A165" s="6" t="s">
        <v>191</v>
      </c>
      <c r="B165" s="6" t="str">
        <f>Informações!$C$3</f>
        <v>IMA</v>
      </c>
      <c r="C165" s="6" t="s">
        <v>29</v>
      </c>
      <c r="D165" s="6" t="s">
        <v>207</v>
      </c>
      <c r="E165" s="2" t="s">
        <v>25</v>
      </c>
      <c r="F165" s="6" t="str">
        <f>VLOOKUP(G165,[1]Discrete!$A:$B,2,FALSE)</f>
        <v>50 - SOBRECORRENTE INSTANTANEA FASE E2</v>
      </c>
      <c r="G165" s="6" t="s">
        <v>95</v>
      </c>
      <c r="H165" s="6" t="str" cm="1">
        <f t="array" ref="H165">_xlfn.IFS(OR(D165="TC",D165="TP",D165="LT"),CONCATENATE(B165,"_",C165,$B$3,"_",C165,$B$3,"_",G165),D165="SECC",CONCATENATE(B165,"_",C165,$B$3,"_",$B$5,"_",G165),D165="SECF",CONCATENATE(B165,"_",C165,$B$3,"_",$B$6,"_",G165),D165="SECT",CONCATENATE(B165,"_",C165,$B$3,"_",$B$7,"_",G165),D165="SECG",CONCATENATE(B165,"_",C165,$B$3,"_",$B$8,"_",G165),D165="DJ",CONCATENATE(B165,"_",C165,$B$3,"_",$B$4,"_",G165),D165="DJ_P",CONCATENATE(B165,"_",C165,$B$3,"_",$B$4,"_P","_",G165),D165="DJ_A",CONCATENATE(B165,"_",C165,$B$3,"_",$B$4,"_A","_",G165),D165="LT_P",CONCATENATE(B165,"_",C165,$B$3,"_",C165,$B$3,"_P","_",G165),D165="LT_A",CONCATENATE(B165,"_",C165,$B$3,"_",C165,$B$3,"_A","_",G165))</f>
        <v>IMA_LT5_LT5_A_50F2</v>
      </c>
      <c r="I165" s="6" t="s">
        <v>267</v>
      </c>
      <c r="J165" s="6" t="s">
        <v>182</v>
      </c>
      <c r="K165" s="6" t="s">
        <v>179</v>
      </c>
      <c r="L165" s="6"/>
      <c r="M165" s="6"/>
      <c r="N165" s="6"/>
    </row>
    <row r="166" spans="1:14" x14ac:dyDescent="0.25">
      <c r="A166" s="6" t="s">
        <v>191</v>
      </c>
      <c r="B166" s="6" t="str">
        <f>Informações!$C$3</f>
        <v>IMA</v>
      </c>
      <c r="C166" s="6" t="s">
        <v>29</v>
      </c>
      <c r="D166" s="6" t="s">
        <v>207</v>
      </c>
      <c r="E166" s="2" t="s">
        <v>25</v>
      </c>
      <c r="F166" s="6" t="str">
        <f>VLOOKUP(G166,[1]Discrete!$A:$B,2,FALSE)</f>
        <v>50 - SOBRECORRENTE INSTANTANEA NEUTRO E1</v>
      </c>
      <c r="G166" s="6" t="s">
        <v>96</v>
      </c>
      <c r="H166" s="6" t="str" cm="1">
        <f t="array" ref="H166">_xlfn.IFS(OR(D166="TC",D166="TP",D166="LT"),CONCATENATE(B166,"_",C166,$B$3,"_",C166,$B$3,"_",G166),D166="SECC",CONCATENATE(B166,"_",C166,$B$3,"_",$B$5,"_",G166),D166="SECF",CONCATENATE(B166,"_",C166,$B$3,"_",$B$6,"_",G166),D166="SECT",CONCATENATE(B166,"_",C166,$B$3,"_",$B$7,"_",G166),D166="SECG",CONCATENATE(B166,"_",C166,$B$3,"_",$B$8,"_",G166),D166="DJ",CONCATENATE(B166,"_",C166,$B$3,"_",$B$4,"_",G166),D166="DJ_P",CONCATENATE(B166,"_",C166,$B$3,"_",$B$4,"_P","_",G166),D166="DJ_A",CONCATENATE(B166,"_",C166,$B$3,"_",$B$4,"_A","_",G166),D166="LT_P",CONCATENATE(B166,"_",C166,$B$3,"_",C166,$B$3,"_P","_",G166),D166="LT_A",CONCATENATE(B166,"_",C166,$B$3,"_",C166,$B$3,"_A","_",G166))</f>
        <v>IMA_LT5_LT5_A_50N1</v>
      </c>
      <c r="I166" s="6" t="s">
        <v>267</v>
      </c>
      <c r="J166" s="6" t="s">
        <v>182</v>
      </c>
      <c r="K166" s="6" t="s">
        <v>179</v>
      </c>
      <c r="L166" s="6"/>
      <c r="M166" s="6"/>
      <c r="N166" s="6"/>
    </row>
    <row r="167" spans="1:14" x14ac:dyDescent="0.25">
      <c r="A167" s="6" t="s">
        <v>191</v>
      </c>
      <c r="B167" s="6" t="str">
        <f>Informações!$C$3</f>
        <v>IMA</v>
      </c>
      <c r="C167" s="6" t="s">
        <v>29</v>
      </c>
      <c r="D167" s="6" t="s">
        <v>207</v>
      </c>
      <c r="E167" s="2" t="s">
        <v>25</v>
      </c>
      <c r="F167" s="6" t="str">
        <f>VLOOKUP(G167,[1]Discrete!$A:$B,2,FALSE)</f>
        <v>50 - SOBRECORRENTE INSTANTANEA NEUTRO E2</v>
      </c>
      <c r="G167" s="6" t="s">
        <v>97</v>
      </c>
      <c r="H167" s="6" t="str" cm="1">
        <f t="array" ref="H167">_xlfn.IFS(OR(D167="TC",D167="TP",D167="LT"),CONCATENATE(B167,"_",C167,$B$3,"_",C167,$B$3,"_",G167),D167="SECC",CONCATENATE(B167,"_",C167,$B$3,"_",$B$5,"_",G167),D167="SECF",CONCATENATE(B167,"_",C167,$B$3,"_",$B$6,"_",G167),D167="SECT",CONCATENATE(B167,"_",C167,$B$3,"_",$B$7,"_",G167),D167="SECG",CONCATENATE(B167,"_",C167,$B$3,"_",$B$8,"_",G167),D167="DJ",CONCATENATE(B167,"_",C167,$B$3,"_",$B$4,"_",G167),D167="DJ_P",CONCATENATE(B167,"_",C167,$B$3,"_",$B$4,"_P","_",G167),D167="DJ_A",CONCATENATE(B167,"_",C167,$B$3,"_",$B$4,"_A","_",G167),D167="LT_P",CONCATENATE(B167,"_",C167,$B$3,"_",C167,$B$3,"_P","_",G167),D167="LT_A",CONCATENATE(B167,"_",C167,$B$3,"_",C167,$B$3,"_A","_",G167))</f>
        <v>IMA_LT5_LT5_A_50N2</v>
      </c>
      <c r="I167" s="6" t="s">
        <v>267</v>
      </c>
      <c r="J167" s="6" t="s">
        <v>182</v>
      </c>
      <c r="K167" s="6" t="s">
        <v>179</v>
      </c>
      <c r="L167" s="6"/>
      <c r="M167" s="6"/>
      <c r="N167" s="6"/>
    </row>
    <row r="168" spans="1:14" x14ac:dyDescent="0.25">
      <c r="A168" s="6" t="s">
        <v>191</v>
      </c>
      <c r="B168" s="6" t="str">
        <f>Informações!$C$3</f>
        <v>IMA</v>
      </c>
      <c r="C168" s="6" t="s">
        <v>29</v>
      </c>
      <c r="D168" s="6" t="s">
        <v>207</v>
      </c>
      <c r="E168" s="2" t="s">
        <v>25</v>
      </c>
      <c r="F168" s="6" t="str">
        <f>VLOOKUP(G168,[1]Discrete!$A:$B,2,FALSE)</f>
        <v>50 - SOBRECORRENTE INSTANTANEA FASE</v>
      </c>
      <c r="G168" s="6" t="s">
        <v>416</v>
      </c>
      <c r="H168" s="6" t="str" cm="1">
        <f t="array" ref="H168">_xlfn.IFS(OR(D168="TC",D168="TP",D168="LT"),CONCATENATE(B168,"_",C168,$B$3,"_",C168,$B$3,"_",G168),D168="SECC",CONCATENATE(B168,"_",C168,$B$3,"_",$B$5,"_",G168),D168="SECF",CONCATENATE(B168,"_",C168,$B$3,"_",$B$6,"_",G168),D168="SECT",CONCATENATE(B168,"_",C168,$B$3,"_",$B$7,"_",G168),D168="SECG",CONCATENATE(B168,"_",C168,$B$3,"_",$B$8,"_",G168),D168="DJ",CONCATENATE(B168,"_",C168,$B$3,"_",$B$4,"_",G168),D168="DJ_P",CONCATENATE(B168,"_",C168,$B$3,"_",$B$4,"_P","_",G168),D168="DJ_A",CONCATENATE(B168,"_",C168,$B$3,"_",$B$4,"_A","_",G168),D168="LT_P",CONCATENATE(B168,"_",C168,$B$3,"_",C168,$B$3,"_P","_",G168),D168="LT_A",CONCATENATE(B168,"_",C168,$B$3,"_",C168,$B$3,"_A","_",G168))</f>
        <v>IMA_LT5_LT5_A_50F</v>
      </c>
      <c r="I168" s="6" t="s">
        <v>267</v>
      </c>
      <c r="J168" s="6" t="s">
        <v>182</v>
      </c>
      <c r="K168" s="6" t="s">
        <v>179</v>
      </c>
      <c r="L168" s="6"/>
      <c r="M168" s="6"/>
      <c r="N168" s="6"/>
    </row>
    <row r="169" spans="1:14" x14ac:dyDescent="0.25">
      <c r="A169" s="6" t="s">
        <v>191</v>
      </c>
      <c r="B169" s="6" t="str">
        <f>Informações!$C$3</f>
        <v>IMA</v>
      </c>
      <c r="C169" s="6" t="s">
        <v>29</v>
      </c>
      <c r="D169" s="6" t="s">
        <v>207</v>
      </c>
      <c r="E169" s="2" t="s">
        <v>25</v>
      </c>
      <c r="F169" s="6" t="str">
        <f>VLOOKUP(G169,[1]Discrete!$A:$B,2,FALSE)</f>
        <v>50 - SOBRECORRENTE INSTANTANEA NEUTRO</v>
      </c>
      <c r="G169" s="6" t="s">
        <v>417</v>
      </c>
      <c r="H169" s="6" t="str" cm="1">
        <f t="array" ref="H169">_xlfn.IFS(OR(D169="TC",D169="TP",D169="LT"),CONCATENATE(B169,"_",C169,$B$3,"_",C169,$B$3,"_",G169),D169="SECC",CONCATENATE(B169,"_",C169,$B$3,"_",$B$5,"_",G169),D169="SECF",CONCATENATE(B169,"_",C169,$B$3,"_",$B$6,"_",G169),D169="SECT",CONCATENATE(B169,"_",C169,$B$3,"_",$B$7,"_",G169),D169="SECG",CONCATENATE(B169,"_",C169,$B$3,"_",$B$8,"_",G169),D169="DJ",CONCATENATE(B169,"_",C169,$B$3,"_",$B$4,"_",G169),D169="DJ_P",CONCATENATE(B169,"_",C169,$B$3,"_",$B$4,"_P","_",G169),D169="DJ_A",CONCATENATE(B169,"_",C169,$B$3,"_",$B$4,"_A","_",G169),D169="LT_P",CONCATENATE(B169,"_",C169,$B$3,"_",C169,$B$3,"_P","_",G169),D169="LT_A",CONCATENATE(B169,"_",C169,$B$3,"_",C169,$B$3,"_A","_",G169))</f>
        <v>IMA_LT5_LT5_A_50N</v>
      </c>
      <c r="I169" s="6" t="s">
        <v>267</v>
      </c>
      <c r="J169" s="6" t="s">
        <v>182</v>
      </c>
      <c r="K169" s="6" t="s">
        <v>179</v>
      </c>
      <c r="L169" s="6"/>
      <c r="M169" s="6"/>
      <c r="N169" s="6"/>
    </row>
    <row r="170" spans="1:14" x14ac:dyDescent="0.25">
      <c r="A170" s="6" t="s">
        <v>191</v>
      </c>
      <c r="B170" s="6" t="str">
        <f>Informações!$C$3</f>
        <v>IMA</v>
      </c>
      <c r="C170" s="6" t="s">
        <v>29</v>
      </c>
      <c r="D170" s="6" t="s">
        <v>207</v>
      </c>
      <c r="E170" s="2" t="s">
        <v>25</v>
      </c>
      <c r="F170" s="6" t="str">
        <f>VLOOKUP(G170,[1]Discrete!$A:$B,2,FALSE)</f>
        <v>51 - SOBRECORRENTE TEMPORIZADA FASE E1</v>
      </c>
      <c r="G170" s="6" t="s">
        <v>418</v>
      </c>
      <c r="H170" s="6" t="str" cm="1">
        <f t="array" ref="H170">_xlfn.IFS(OR(D170="TC",D170="TP",D170="LT"),CONCATENATE(B170,"_",C170,$B$3,"_",C170,$B$3,"_",G170),D170="SECC",CONCATENATE(B170,"_",C170,$B$3,"_",$B$5,"_",G170),D170="SECF",CONCATENATE(B170,"_",C170,$B$3,"_",$B$6,"_",G170),D170="SECT",CONCATENATE(B170,"_",C170,$B$3,"_",$B$7,"_",G170),D170="SECG",CONCATENATE(B170,"_",C170,$B$3,"_",$B$8,"_",G170),D170="DJ",CONCATENATE(B170,"_",C170,$B$3,"_",$B$4,"_",G170),D170="DJ_P",CONCATENATE(B170,"_",C170,$B$3,"_",$B$4,"_P","_",G170),D170="DJ_A",CONCATENATE(B170,"_",C170,$B$3,"_",$B$4,"_A","_",G170),D170="LT_P",CONCATENATE(B170,"_",C170,$B$3,"_",C170,$B$3,"_P","_",G170),D170="LT_A",CONCATENATE(B170,"_",C170,$B$3,"_",C170,$B$3,"_A","_",G170))</f>
        <v>IMA_LT5_LT5_A_51F1</v>
      </c>
      <c r="I170" s="6" t="s">
        <v>267</v>
      </c>
      <c r="J170" s="6" t="s">
        <v>182</v>
      </c>
      <c r="K170" s="6" t="s">
        <v>179</v>
      </c>
      <c r="L170" s="6"/>
      <c r="M170" s="6"/>
      <c r="N170" s="6"/>
    </row>
    <row r="171" spans="1:14" x14ac:dyDescent="0.25">
      <c r="A171" s="6" t="s">
        <v>191</v>
      </c>
      <c r="B171" s="6" t="str">
        <f>Informações!$C$3</f>
        <v>IMA</v>
      </c>
      <c r="C171" s="6" t="s">
        <v>29</v>
      </c>
      <c r="D171" s="6" t="s">
        <v>207</v>
      </c>
      <c r="E171" s="2" t="s">
        <v>25</v>
      </c>
      <c r="F171" s="6" t="str">
        <f>VLOOKUP(G171,[1]Discrete!$A:$B,2,FALSE)</f>
        <v>51 - SOBRECORRENTE TEMPORIZADA FASE E2</v>
      </c>
      <c r="G171" s="6" t="s">
        <v>419</v>
      </c>
      <c r="H171" s="6" t="str" cm="1">
        <f t="array" ref="H171">_xlfn.IFS(OR(D171="TC",D171="TP",D171="LT"),CONCATENATE(B171,"_",C171,$B$3,"_",C171,$B$3,"_",G171),D171="SECC",CONCATENATE(B171,"_",C171,$B$3,"_",$B$5,"_",G171),D171="SECF",CONCATENATE(B171,"_",C171,$B$3,"_",$B$6,"_",G171),D171="SECT",CONCATENATE(B171,"_",C171,$B$3,"_",$B$7,"_",G171),D171="SECG",CONCATENATE(B171,"_",C171,$B$3,"_",$B$8,"_",G171),D171="DJ",CONCATENATE(B171,"_",C171,$B$3,"_",$B$4,"_",G171),D171="DJ_P",CONCATENATE(B171,"_",C171,$B$3,"_",$B$4,"_P","_",G171),D171="DJ_A",CONCATENATE(B171,"_",C171,$B$3,"_",$B$4,"_A","_",G171),D171="LT_P",CONCATENATE(B171,"_",C171,$B$3,"_",C171,$B$3,"_P","_",G171),D171="LT_A",CONCATENATE(B171,"_",C171,$B$3,"_",C171,$B$3,"_A","_",G171))</f>
        <v>IMA_LT5_LT5_A_51F2</v>
      </c>
      <c r="I171" s="6" t="s">
        <v>267</v>
      </c>
      <c r="J171" s="6" t="s">
        <v>182</v>
      </c>
      <c r="K171" s="6" t="s">
        <v>179</v>
      </c>
      <c r="L171" s="6"/>
      <c r="M171" s="6"/>
      <c r="N171" s="6"/>
    </row>
    <row r="172" spans="1:14" x14ac:dyDescent="0.25">
      <c r="A172" s="6" t="s">
        <v>191</v>
      </c>
      <c r="B172" s="6" t="str">
        <f>Informações!$C$3</f>
        <v>IMA</v>
      </c>
      <c r="C172" s="6" t="s">
        <v>29</v>
      </c>
      <c r="D172" s="6" t="s">
        <v>207</v>
      </c>
      <c r="E172" s="2" t="s">
        <v>25</v>
      </c>
      <c r="F172" s="6" t="str">
        <f>VLOOKUP(G172,[1]Discrete!$A:$B,2,FALSE)</f>
        <v>51 - SOBRECORRENTE TEMPORIZADA NEUTRO E1</v>
      </c>
      <c r="G172" s="6" t="s">
        <v>111</v>
      </c>
      <c r="H172" s="6" t="str" cm="1">
        <f t="array" ref="H172">_xlfn.IFS(OR(D172="TC",D172="TP",D172="LT"),CONCATENATE(B172,"_",C172,$B$3,"_",C172,$B$3,"_",G172),D172="SECC",CONCATENATE(B172,"_",C172,$B$3,"_",$B$5,"_",G172),D172="SECF",CONCATENATE(B172,"_",C172,$B$3,"_",$B$6,"_",G172),D172="SECT",CONCATENATE(B172,"_",C172,$B$3,"_",$B$7,"_",G172),D172="SECG",CONCATENATE(B172,"_",C172,$B$3,"_",$B$8,"_",G172),D172="DJ",CONCATENATE(B172,"_",C172,$B$3,"_",$B$4,"_",G172),D172="DJ_P",CONCATENATE(B172,"_",C172,$B$3,"_",$B$4,"_P","_",G172),D172="DJ_A",CONCATENATE(B172,"_",C172,$B$3,"_",$B$4,"_A","_",G172),D172="LT_P",CONCATENATE(B172,"_",C172,$B$3,"_",C172,$B$3,"_P","_",G172),D172="LT_A",CONCATENATE(B172,"_",C172,$B$3,"_",C172,$B$3,"_A","_",G172))</f>
        <v>IMA_LT5_LT5_A_51N1</v>
      </c>
      <c r="I172" s="6" t="s">
        <v>267</v>
      </c>
      <c r="J172" s="6" t="s">
        <v>182</v>
      </c>
      <c r="K172" s="6" t="s">
        <v>179</v>
      </c>
      <c r="L172" s="6"/>
      <c r="M172" s="6"/>
      <c r="N172" s="6"/>
    </row>
    <row r="173" spans="1:14" x14ac:dyDescent="0.25">
      <c r="A173" s="6" t="s">
        <v>191</v>
      </c>
      <c r="B173" s="6" t="str">
        <f>Informações!$C$3</f>
        <v>IMA</v>
      </c>
      <c r="C173" s="6" t="s">
        <v>29</v>
      </c>
      <c r="D173" s="6" t="s">
        <v>207</v>
      </c>
      <c r="E173" s="2" t="s">
        <v>25</v>
      </c>
      <c r="F173" s="6" t="str">
        <f>VLOOKUP(G173,[1]Discrete!$A:$B,2,FALSE)</f>
        <v>51 - SOBRECORRENTE TEMPORIZADA NEUTRO E2</v>
      </c>
      <c r="G173" s="6" t="s">
        <v>415</v>
      </c>
      <c r="H173" s="6" t="str" cm="1">
        <f t="array" ref="H173">_xlfn.IFS(OR(D173="TC",D173="TP",D173="LT"),CONCATENATE(B173,"_",C173,$B$3,"_",C173,$B$3,"_",G173),D173="SECC",CONCATENATE(B173,"_",C173,$B$3,"_",$B$5,"_",G173),D173="SECF",CONCATENATE(B173,"_",C173,$B$3,"_",$B$6,"_",G173),D173="SECT",CONCATENATE(B173,"_",C173,$B$3,"_",$B$7,"_",G173),D173="SECG",CONCATENATE(B173,"_",C173,$B$3,"_",$B$8,"_",G173),D173="DJ",CONCATENATE(B173,"_",C173,$B$3,"_",$B$4,"_",G173),D173="DJ_P",CONCATENATE(B173,"_",C173,$B$3,"_",$B$4,"_P","_",G173),D173="DJ_A",CONCATENATE(B173,"_",C173,$B$3,"_",$B$4,"_A","_",G173),D173="LT_P",CONCATENATE(B173,"_",C173,$B$3,"_",C173,$B$3,"_P","_",G173),D173="LT_A",CONCATENATE(B173,"_",C173,$B$3,"_",C173,$B$3,"_A","_",G173))</f>
        <v>IMA_LT5_LT5_A_51N2</v>
      </c>
      <c r="I173" s="6" t="s">
        <v>267</v>
      </c>
      <c r="J173" s="6" t="s">
        <v>182</v>
      </c>
      <c r="K173" s="6" t="s">
        <v>179</v>
      </c>
      <c r="L173" s="6"/>
      <c r="M173" s="6"/>
      <c r="N173" s="6"/>
    </row>
    <row r="174" spans="1:14" x14ac:dyDescent="0.25">
      <c r="A174" s="6" t="s">
        <v>191</v>
      </c>
      <c r="B174" s="6" t="str">
        <f>Informações!$C$3</f>
        <v>IMA</v>
      </c>
      <c r="C174" s="6" t="s">
        <v>29</v>
      </c>
      <c r="D174" s="6" t="s">
        <v>207</v>
      </c>
      <c r="E174" s="2" t="s">
        <v>25</v>
      </c>
      <c r="F174" s="6" t="str">
        <f>VLOOKUP(G174,[1]Discrete!$A:$B,2,FALSE)</f>
        <v>51 - SOBRECORRENTE TEMPORIZADA FASE</v>
      </c>
      <c r="G174" s="6" t="s">
        <v>98</v>
      </c>
      <c r="H174" s="6" t="str" cm="1">
        <f t="array" ref="H174">_xlfn.IFS(OR(D174="TC",D174="TP",D174="LT"),CONCATENATE(B174,"_",C174,$B$3,"_",C174,$B$3,"_",G174),D174="SECC",CONCATENATE(B174,"_",C174,$B$3,"_",$B$5,"_",G174),D174="SECF",CONCATENATE(B174,"_",C174,$B$3,"_",$B$6,"_",G174),D174="SECT",CONCATENATE(B174,"_",C174,$B$3,"_",$B$7,"_",G174),D174="SECG",CONCATENATE(B174,"_",C174,$B$3,"_",$B$8,"_",G174),D174="DJ",CONCATENATE(B174,"_",C174,$B$3,"_",$B$4,"_",G174),D174="DJ_P",CONCATENATE(B174,"_",C174,$B$3,"_",$B$4,"_P","_",G174),D174="DJ_A",CONCATENATE(B174,"_",C174,$B$3,"_",$B$4,"_A","_",G174),D174="LT_P",CONCATENATE(B174,"_",C174,$B$3,"_",C174,$B$3,"_P","_",G174),D174="LT_A",CONCATENATE(B174,"_",C174,$B$3,"_",C174,$B$3,"_A","_",G174))</f>
        <v>IMA_LT5_LT5_A_51F</v>
      </c>
      <c r="I174" s="6" t="s">
        <v>267</v>
      </c>
      <c r="J174" s="6" t="s">
        <v>182</v>
      </c>
      <c r="K174" s="6" t="s">
        <v>179</v>
      </c>
      <c r="L174" s="6"/>
      <c r="M174" s="6"/>
      <c r="N174" s="6"/>
    </row>
    <row r="175" spans="1:14" x14ac:dyDescent="0.25">
      <c r="A175" s="6" t="s">
        <v>191</v>
      </c>
      <c r="B175" s="6" t="str">
        <f>Informações!$C$3</f>
        <v>IMA</v>
      </c>
      <c r="C175" s="6" t="s">
        <v>29</v>
      </c>
      <c r="D175" s="6" t="s">
        <v>207</v>
      </c>
      <c r="E175" s="2" t="s">
        <v>25</v>
      </c>
      <c r="F175" s="6" t="str">
        <f>VLOOKUP(G175,[1]Discrete!$A:$B,2,FALSE)</f>
        <v>51 - FUNCAO SOBRECORRENTE TEMPORIZADA NEUTRO</v>
      </c>
      <c r="G175" s="6" t="s">
        <v>35</v>
      </c>
      <c r="H175" s="6" t="str" cm="1">
        <f t="array" ref="H175">_xlfn.IFS(OR(D175="TC",D175="TP",D175="LT"),CONCATENATE(B175,"_",C175,$B$3,"_",C175,$B$3,"_",G175),D175="SECC",CONCATENATE(B175,"_",C175,$B$3,"_",$B$5,"_",G175),D175="SECF",CONCATENATE(B175,"_",C175,$B$3,"_",$B$6,"_",G175),D175="SECT",CONCATENATE(B175,"_",C175,$B$3,"_",$B$7,"_",G175),D175="SECG",CONCATENATE(B175,"_",C175,$B$3,"_",$B$8,"_",G175),D175="DJ",CONCATENATE(B175,"_",C175,$B$3,"_",$B$4,"_",G175),D175="DJ_P",CONCATENATE(B175,"_",C175,$B$3,"_",$B$4,"_P","_",G175),D175="DJ_A",CONCATENATE(B175,"_",C175,$B$3,"_",$B$4,"_A","_",G175),D175="LT_P",CONCATENATE(B175,"_",C175,$B$3,"_",C175,$B$3,"_P","_",G175),D175="LT_A",CONCATENATE(B175,"_",C175,$B$3,"_",C175,$B$3,"_A","_",G175))</f>
        <v>IMA_LT5_LT5_A_51N</v>
      </c>
      <c r="I175" s="6" t="s">
        <v>267</v>
      </c>
      <c r="J175" s="6" t="s">
        <v>182</v>
      </c>
      <c r="K175" s="6" t="s">
        <v>179</v>
      </c>
      <c r="L175" s="6"/>
      <c r="M175" s="6"/>
      <c r="N175" s="6"/>
    </row>
    <row r="176" spans="1:14" x14ac:dyDescent="0.25">
      <c r="A176" s="6" t="s">
        <v>191</v>
      </c>
      <c r="B176" s="6" t="str">
        <f>Informações!$C$3</f>
        <v>IMA</v>
      </c>
      <c r="C176" s="6" t="s">
        <v>29</v>
      </c>
      <c r="D176" s="6" t="s">
        <v>206</v>
      </c>
      <c r="E176" s="2" t="s">
        <v>25</v>
      </c>
      <c r="F176" s="6" t="str">
        <f>VLOOKUP(G176,[1]Discrete!$A:$B,2,FALSE)</f>
        <v>FALHA IRIG B - SINCRONISMO</v>
      </c>
      <c r="G176" s="6" t="s">
        <v>148</v>
      </c>
      <c r="H176" s="6" t="str" cm="1">
        <f t="array" ref="H176">_xlfn.IFS(OR(D176="TC",D176="TP",D176="LT"),CONCATENATE(B176,"_",C176,$B$3,"_",C176,$B$3,"_",G176),D176="SECC",CONCATENATE(B176,"_",C176,$B$3,"_",$B$5,"_",G176),D176="SECF",CONCATENATE(B176,"_",C176,$B$3,"_",$B$6,"_",G176),D176="SECT",CONCATENATE(B176,"_",C176,$B$3,"_",$B$7,"_",G176),D176="SECG",CONCATENATE(B176,"_",C176,$B$3,"_",$B$8,"_",G176),D176="DJ",CONCATENATE(B176,"_",C176,$B$3,"_",$B$4,"_",G176),D176="DJ_P",CONCATENATE(B176,"_",C176,$B$3,"_",$B$4,"_P","_",G176),D176="DJ_A",CONCATENATE(B176,"_",C176,$B$3,"_",$B$4,"_A","_",G176),D176="LT_P",CONCATENATE(B176,"_",C176,$B$3,"_",C176,$B$3,"_P","_",G176),D176="LT_A",CONCATENATE(B176,"_",C176,$B$3,"_",C176,$B$3,"_A","_",G176))</f>
        <v>IMA_LT5_LT5_P_FSIN</v>
      </c>
      <c r="I176" s="6" t="s">
        <v>267</v>
      </c>
      <c r="J176" s="6" t="s">
        <v>182</v>
      </c>
      <c r="K176" s="6" t="s">
        <v>180</v>
      </c>
      <c r="L176" s="6" t="s">
        <v>188</v>
      </c>
      <c r="M176" s="6" t="s">
        <v>188</v>
      </c>
      <c r="N176" s="6"/>
    </row>
    <row r="177" spans="1:14" x14ac:dyDescent="0.25">
      <c r="A177" s="6" t="s">
        <v>191</v>
      </c>
      <c r="B177" s="6" t="str">
        <f>Informações!$C$3</f>
        <v>IMA</v>
      </c>
      <c r="C177" s="6" t="s">
        <v>29</v>
      </c>
      <c r="D177" s="6" t="s">
        <v>207</v>
      </c>
      <c r="E177" s="2" t="s">
        <v>25</v>
      </c>
      <c r="F177" s="6" t="str">
        <f>VLOOKUP(G177,[1]Discrete!$A:$B,2,FALSE)</f>
        <v>FALHA IRIG B - SINCRONISMO</v>
      </c>
      <c r="G177" s="6" t="s">
        <v>148</v>
      </c>
      <c r="H177" s="6" t="str" cm="1">
        <f t="array" ref="H177">_xlfn.IFS(OR(D177="TC",D177="TP",D177="LT"),CONCATENATE(B177,"_",C177,$B$3,"_",C177,$B$3,"_",G177),D177="SECC",CONCATENATE(B177,"_",C177,$B$3,"_",$B$5,"_",G177),D177="SECF",CONCATENATE(B177,"_",C177,$B$3,"_",$B$6,"_",G177),D177="SECT",CONCATENATE(B177,"_",C177,$B$3,"_",$B$7,"_",G177),D177="SECG",CONCATENATE(B177,"_",C177,$B$3,"_",$B$8,"_",G177),D177="DJ",CONCATENATE(B177,"_",C177,$B$3,"_",$B$4,"_",G177),D177="DJ_P",CONCATENATE(B177,"_",C177,$B$3,"_",$B$4,"_P","_",G177),D177="DJ_A",CONCATENATE(B177,"_",C177,$B$3,"_",$B$4,"_A","_",G177),D177="LT_P",CONCATENATE(B177,"_",C177,$B$3,"_",C177,$B$3,"_P","_",G177),D177="LT_A",CONCATENATE(B177,"_",C177,$B$3,"_",C177,$B$3,"_A","_",G177))</f>
        <v>IMA_LT5_LT5_A_FSIN</v>
      </c>
      <c r="I177" s="6" t="s">
        <v>267</v>
      </c>
      <c r="J177" s="6" t="s">
        <v>182</v>
      </c>
      <c r="K177" s="6" t="s">
        <v>180</v>
      </c>
      <c r="L177" s="6" t="s">
        <v>188</v>
      </c>
      <c r="M177" s="6" t="s">
        <v>188</v>
      </c>
      <c r="N177" s="6"/>
    </row>
    <row r="179" spans="1:14" x14ac:dyDescent="0.25">
      <c r="A179" s="108" t="s">
        <v>215</v>
      </c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</row>
    <row r="180" spans="1:14" ht="30" x14ac:dyDescent="0.25">
      <c r="A180" s="3" t="s">
        <v>189</v>
      </c>
      <c r="B180" s="3" t="s">
        <v>1</v>
      </c>
      <c r="C180" s="3" t="s">
        <v>83</v>
      </c>
      <c r="D180" s="3" t="s">
        <v>26</v>
      </c>
      <c r="E180" s="3" t="s">
        <v>7</v>
      </c>
      <c r="F180" s="3" t="s">
        <v>84</v>
      </c>
      <c r="G180" s="3" t="s">
        <v>85</v>
      </c>
      <c r="H180" s="3" t="s">
        <v>86</v>
      </c>
      <c r="I180" s="3" t="s">
        <v>254</v>
      </c>
      <c r="J180" s="3" t="s">
        <v>177</v>
      </c>
      <c r="K180" s="3" t="s">
        <v>178</v>
      </c>
      <c r="L180" s="3" t="s">
        <v>260</v>
      </c>
      <c r="M180" s="3" t="s">
        <v>266</v>
      </c>
      <c r="N180" s="3" t="s">
        <v>192</v>
      </c>
    </row>
    <row r="181" spans="1:14" x14ac:dyDescent="0.25">
      <c r="A181" s="6" t="s">
        <v>191</v>
      </c>
      <c r="B181" s="6" t="str">
        <f>Informações!$C$3</f>
        <v>IMA</v>
      </c>
      <c r="C181" s="6" t="s">
        <v>29</v>
      </c>
      <c r="D181" s="6" t="s">
        <v>29</v>
      </c>
      <c r="E181" s="6" t="s">
        <v>25</v>
      </c>
      <c r="F181" s="6" t="s">
        <v>237</v>
      </c>
      <c r="G181" s="6" t="s">
        <v>202</v>
      </c>
      <c r="H181" s="6" t="str" cm="1">
        <f t="array" ref="H181">_xlfn.IFS(OR(D181="TC",D181="TP",D181="LT"),CONCATENATE(B181,"_",C181,$B$3,"_",C181,$B$3,"_",G181),D181="SECC",CONCATENATE(B181,"_",C181,$B$3,"_",$B$5,"_",G181),D181="SECF",CONCATENATE(B181,"_",C181,$B$3,"_",$B$6,"_",G181),D181="SECT",CONCATENATE(B181,"_",C181,$B$3,"_",$B$7,"_",G181),D181="SECG",CONCATENATE(B181,"_",C181,$B$3,"_",$B$8,"_",G181),D181="DJ",CONCATENATE(B181,"_",C181,$B$3,"_",$B$4,"_",G181),D181="DJ_P",CONCATENATE(B181,"_",C181,$B$3,"_",$B$4,"_P","_",G181),D181="DJ_A",CONCATENATE(B181,"_",C181,$B$3,"_",$B$4,"_A","_",G181),D181="LT_P",CONCATENATE(B181,"_",C181,$B$3,"_",C181,$B$3,"_P","_",G181),D181="LT_A",CONCATENATE(B181,"_",C181,$B$3,"_",C181,$B$3,"_A","_",G181))</f>
        <v>IMA_LT5_LT5_ETH</v>
      </c>
      <c r="I181" s="6" t="s">
        <v>267</v>
      </c>
      <c r="J181" s="6" t="s">
        <v>182</v>
      </c>
      <c r="K181" s="6" t="s">
        <v>180</v>
      </c>
      <c r="L181" s="6" t="s">
        <v>188</v>
      </c>
      <c r="M181" s="6" t="s">
        <v>188</v>
      </c>
      <c r="N181" s="6"/>
    </row>
    <row r="182" spans="1:14" x14ac:dyDescent="0.25">
      <c r="A182" s="6" t="s">
        <v>191</v>
      </c>
      <c r="B182" s="6" t="str">
        <f>Informações!$C$3</f>
        <v>IMA</v>
      </c>
      <c r="C182" s="6" t="s">
        <v>29</v>
      </c>
      <c r="D182" s="6" t="s">
        <v>206</v>
      </c>
      <c r="E182" s="6" t="s">
        <v>25</v>
      </c>
      <c r="F182" s="6" t="s">
        <v>238</v>
      </c>
      <c r="G182" s="6" t="s">
        <v>239</v>
      </c>
      <c r="H182" s="6" t="str" cm="1">
        <f t="array" ref="H182">_xlfn.IFS(OR(D182="TC",D182="TP",D182="LT"),CONCATENATE(B182,"_",C182,$B$3,"_",C182,$B$3,"_",G182),D182="SECC",CONCATENATE(B182,"_",C182,$B$3,"_",$B$5,"_",G182),D182="SECF",CONCATENATE(B182,"_",C182,$B$3,"_",$B$6,"_",G182),D182="SECT",CONCATENATE(B182,"_",C182,$B$3,"_",$B$7,"_",G182),D182="SECG",CONCATENATE(B182,"_",C182,$B$3,"_",$B$8,"_",G182),D182="DJ",CONCATENATE(B182,"_",C182,$B$3,"_",$B$4,"_",G182),D182="DJ_P",CONCATENATE(B182,"_",C182,$B$3,"_",$B$4,"_P","_",G182),D182="DJ_A",CONCATENATE(B182,"_",C182,$B$3,"_",$B$4,"_A","_",G182),D182="LT_P",CONCATENATE(B182,"_",C182,$B$3,"_",C182,$B$3,"_P","_",G182),D182="LT_A",CONCATENATE(B182,"_",C182,$B$3,"_",C182,$B$3,"_A","_",G182))</f>
        <v>IMA_LT5_LT5_P_FGOO</v>
      </c>
      <c r="I182" s="6" t="s">
        <v>267</v>
      </c>
      <c r="J182" s="6" t="s">
        <v>182</v>
      </c>
      <c r="K182" s="6" t="s">
        <v>180</v>
      </c>
      <c r="L182" s="6" t="s">
        <v>188</v>
      </c>
      <c r="M182" s="6" t="s">
        <v>188</v>
      </c>
      <c r="N182" s="6"/>
    </row>
    <row r="183" spans="1:14" x14ac:dyDescent="0.25">
      <c r="A183" s="6" t="s">
        <v>191</v>
      </c>
      <c r="B183" s="6" t="str">
        <f>Informações!$C$3</f>
        <v>IMA</v>
      </c>
      <c r="C183" s="6" t="s">
        <v>29</v>
      </c>
      <c r="D183" s="6" t="s">
        <v>207</v>
      </c>
      <c r="E183" s="6" t="s">
        <v>25</v>
      </c>
      <c r="F183" s="6" t="s">
        <v>238</v>
      </c>
      <c r="G183" s="6" t="s">
        <v>239</v>
      </c>
      <c r="H183" s="6" t="str" cm="1">
        <f t="array" ref="H183">_xlfn.IFS(OR(D183="TC",D183="TP",D183="LT"),CONCATENATE(B183,"_",C183,$B$3,"_",C183,$B$3,"_",G183),D183="SECC",CONCATENATE(B183,"_",C183,$B$3,"_",$B$5,"_",G183),D183="SECF",CONCATENATE(B183,"_",C183,$B$3,"_",$B$6,"_",G183),D183="SECT",CONCATENATE(B183,"_",C183,$B$3,"_",$B$7,"_",G183),D183="SECG",CONCATENATE(B183,"_",C183,$B$3,"_",$B$8,"_",G183),D183="DJ",CONCATENATE(B183,"_",C183,$B$3,"_",$B$4,"_",G183),D183="DJ_P",CONCATENATE(B183,"_",C183,$B$3,"_",$B$4,"_P","_",G183),D183="DJ_A",CONCATENATE(B183,"_",C183,$B$3,"_",$B$4,"_A","_",G183),D183="LT_P",CONCATENATE(B183,"_",C183,$B$3,"_",C183,$B$3,"_P","_",G183),D183="LT_A",CONCATENATE(B183,"_",C183,$B$3,"_",C183,$B$3,"_A","_",G183))</f>
        <v>IMA_LT5_LT5_A_FGOO</v>
      </c>
      <c r="I183" s="6" t="s">
        <v>267</v>
      </c>
      <c r="J183" s="6" t="s">
        <v>182</v>
      </c>
      <c r="K183" s="6" t="s">
        <v>180</v>
      </c>
      <c r="L183" s="6" t="s">
        <v>188</v>
      </c>
      <c r="M183" s="6" t="s">
        <v>188</v>
      </c>
      <c r="N183" s="6"/>
    </row>
    <row r="185" spans="1:14" x14ac:dyDescent="0.25">
      <c r="A185" s="116" t="s">
        <v>214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8"/>
    </row>
    <row r="186" spans="1:14" ht="30" x14ac:dyDescent="0.25">
      <c r="A186" s="3" t="s">
        <v>189</v>
      </c>
      <c r="B186" s="3" t="s">
        <v>1</v>
      </c>
      <c r="C186" s="3" t="s">
        <v>83</v>
      </c>
      <c r="D186" s="3" t="s">
        <v>26</v>
      </c>
      <c r="E186" s="3" t="s">
        <v>7</v>
      </c>
      <c r="F186" s="3" t="s">
        <v>84</v>
      </c>
      <c r="G186" s="3" t="s">
        <v>85</v>
      </c>
      <c r="H186" s="3" t="s">
        <v>86</v>
      </c>
      <c r="I186" s="3" t="s">
        <v>254</v>
      </c>
      <c r="J186" s="3" t="s">
        <v>177</v>
      </c>
      <c r="K186" s="3" t="s">
        <v>178</v>
      </c>
      <c r="L186" s="3" t="s">
        <v>260</v>
      </c>
      <c r="M186" s="3" t="s">
        <v>266</v>
      </c>
      <c r="N186" s="3" t="s">
        <v>192</v>
      </c>
    </row>
    <row r="187" spans="1:14" x14ac:dyDescent="0.25">
      <c r="A187" s="6" t="s">
        <v>191</v>
      </c>
      <c r="B187" s="6" t="str">
        <f>Informações!$C$3</f>
        <v>IMA</v>
      </c>
      <c r="C187" s="6" t="s">
        <v>29</v>
      </c>
      <c r="D187" s="6" t="s">
        <v>30</v>
      </c>
      <c r="E187" s="2" t="s">
        <v>24</v>
      </c>
      <c r="F187" s="6" t="s">
        <v>217</v>
      </c>
      <c r="G187" s="6" t="s">
        <v>196</v>
      </c>
      <c r="H187" s="6" t="str" cm="1">
        <f t="array" ref="H187">_xlfn.IFS(OR(D187="TC",D187="TP",D187="LT"),CONCATENATE(B187,"_",C187,$B$3,"_",C187,$B$3,"_",G187),D187="SECC",CONCATENATE(B187,"_",C187,$B$3,"_",$B$5,"_",G187),D187="SECF",CONCATENATE(B187,"_",C187,$B$3,"_",$B$6,"_",G187),D187="SECT",CONCATENATE(B187,"_",C187,$B$3,"_",$B$7,"_",G187),D187="SECG",CONCATENATE(B187,"_",C187,$B$3,"_",$B$8,"_",G187),D187="DJ",CONCATENATE(B187,"_",C187,$B$3,"_",$B$4,"_",G187),D187="DJ_P",CONCATENATE(B187,"_",C187,$B$3,"_",$B$4,"_P","_",G187),D187="DJ_A",CONCATENATE(B187,"_",C187,$B$3,"_",$B$4,"_A","_",G187),D187="LT_P",CONCATENATE(B187,"_",C187,$B$3,"_",C187,$B$3,"_P","_",G187),D187="LT_A",CONCATENATE(B187,"_",C187,$B$3,"_",C187,$B$3,"_A","_",G187))</f>
        <v>IMA_LT5_24-3_TAL</v>
      </c>
      <c r="I187" s="6" t="s">
        <v>188</v>
      </c>
      <c r="J187" s="6" t="s">
        <v>188</v>
      </c>
      <c r="K187" s="6" t="s">
        <v>188</v>
      </c>
      <c r="L187" s="6" t="s">
        <v>188</v>
      </c>
      <c r="M187" s="6" t="s">
        <v>280</v>
      </c>
      <c r="N187" s="6"/>
    </row>
    <row r="188" spans="1:14" x14ac:dyDescent="0.25">
      <c r="A188" s="6" t="s">
        <v>191</v>
      </c>
      <c r="B188" s="6" t="str">
        <f>Informações!$C$3</f>
        <v>IMA</v>
      </c>
      <c r="C188" s="6" t="s">
        <v>29</v>
      </c>
      <c r="D188" s="6" t="s">
        <v>30</v>
      </c>
      <c r="E188" s="2" t="s">
        <v>24</v>
      </c>
      <c r="F188" s="6" t="s">
        <v>216</v>
      </c>
      <c r="G188" s="6" t="s">
        <v>197</v>
      </c>
      <c r="H188" s="6" t="str" cm="1">
        <f t="array" ref="H188">_xlfn.IFS(OR(D188="TC",D188="TP",D188="LT"),CONCATENATE(B188,"_",C188,$B$3,"_",C188,$B$3,"_",G188),D188="SECC",CONCATENATE(B188,"_",C188,$B$3,"_",$B$5,"_",G188),D188="SECF",CONCATENATE(B188,"_",C188,$B$3,"_",$B$6,"_",G188),D188="SECT",CONCATENATE(B188,"_",C188,$B$3,"_",$B$7,"_",G188),D188="SECG",CONCATENATE(B188,"_",C188,$B$3,"_",$B$8,"_",G188),D188="DJ",CONCATENATE(B188,"_",C188,$B$3,"_",$B$4,"_",G188),D188="DJ_P",CONCATENATE(B188,"_",C188,$B$3,"_",$B$4,"_P","_",G188),D188="DJ_A",CONCATENATE(B188,"_",C188,$B$3,"_",$B$4,"_A","_",G188),D188="LT_P",CONCATENATE(B188,"_",C188,$B$3,"_",C188,$B$3,"_P","_",G188),D188="LT_A",CONCATENATE(B188,"_",C188,$B$3,"_",C188,$B$3,"_A","_",G188))</f>
        <v>IMA_LT5_24-3_TPPM</v>
      </c>
      <c r="I188" s="6" t="s">
        <v>188</v>
      </c>
      <c r="J188" s="6" t="s">
        <v>188</v>
      </c>
      <c r="K188" s="6" t="s">
        <v>188</v>
      </c>
      <c r="L188" s="6" t="s">
        <v>188</v>
      </c>
      <c r="M188" s="6" t="s">
        <v>280</v>
      </c>
      <c r="N188" s="6"/>
    </row>
    <row r="189" spans="1:14" x14ac:dyDescent="0.25">
      <c r="A189" s="6" t="s">
        <v>191</v>
      </c>
      <c r="B189" s="6" t="str">
        <f>Informações!$C$3</f>
        <v>IMA</v>
      </c>
      <c r="C189" s="6" t="s">
        <v>29</v>
      </c>
      <c r="D189" s="6" t="s">
        <v>30</v>
      </c>
      <c r="E189" s="2" t="s">
        <v>24</v>
      </c>
      <c r="F189" s="6" t="s">
        <v>227</v>
      </c>
      <c r="G189" s="6" t="s">
        <v>201</v>
      </c>
      <c r="H189" s="6" t="str" cm="1">
        <f t="array" ref="H189">_xlfn.IFS(OR(D189="TC",D189="TP",D189="LT"),CONCATENATE(B189,"_",C189,$B$3,"_",C189,$B$3,"_",G189),D189="SECC",CONCATENATE(B189,"_",C189,$B$3,"_",$B$5,"_",G189),D189="SECF",CONCATENATE(B189,"_",C189,$B$3,"_",$B$6,"_",G189),D189="SECT",CONCATENATE(B189,"_",C189,$B$3,"_",$B$7,"_",G189),D189="SECG",CONCATENATE(B189,"_",C189,$B$3,"_",$B$8,"_",G189),D189="DJ",CONCATENATE(B189,"_",C189,$B$3,"_",$B$4,"_",G189),D189="DJ_P",CONCATENATE(B189,"_",C189,$B$3,"_",$B$4,"_P","_",G189),D189="DJ_A",CONCATENATE(B189,"_",C189,$B$3,"_",$B$4,"_A","_",G189),D189="LT_P",CONCATENATE(B189,"_",C189,$B$3,"_",C189,$B$3,"_P","_",G189),D189="LT_A",CONCATENATE(B189,"_",C189,$B$3,"_",C189,$B$3,"_A","_",G189))</f>
        <v>IMA_LT5_24-3_81A</v>
      </c>
      <c r="I189" s="6" t="s">
        <v>188</v>
      </c>
      <c r="J189" s="6" t="s">
        <v>188</v>
      </c>
      <c r="K189" s="6" t="s">
        <v>188</v>
      </c>
      <c r="L189" s="6" t="s">
        <v>188</v>
      </c>
      <c r="M189" s="6" t="s">
        <v>280</v>
      </c>
      <c r="N189" s="6"/>
    </row>
    <row r="190" spans="1:14" x14ac:dyDescent="0.25">
      <c r="A190" s="6" t="s">
        <v>191</v>
      </c>
      <c r="B190" s="6" t="str">
        <f>Informações!$C$3</f>
        <v>IMA</v>
      </c>
      <c r="C190" s="6" t="s">
        <v>29</v>
      </c>
      <c r="D190" s="6" t="s">
        <v>30</v>
      </c>
      <c r="E190" s="2" t="s">
        <v>25</v>
      </c>
      <c r="F190" s="6" t="s">
        <v>217</v>
      </c>
      <c r="G190" s="6" t="s">
        <v>196</v>
      </c>
      <c r="H190" s="6" t="str" cm="1">
        <f t="array" ref="H190">_xlfn.IFS(OR(D190="TC",D190="TP",D190="LT"),CONCATENATE(B190,"_",C190,$B$3,"_",C190,$B$3,"_",G190),D190="SECC",CONCATENATE(B190,"_",C190,$B$3,"_",$B$5,"_",G190),D190="SECF",CONCATENATE(B190,"_",C190,$B$3,"_",$B$6,"_",G190),D190="SECT",CONCATENATE(B190,"_",C190,$B$3,"_",$B$7,"_",G190),D190="SECG",CONCATENATE(B190,"_",C190,$B$3,"_",$B$8,"_",G190),D190="DJ",CONCATENATE(B190,"_",C190,$B$3,"_",$B$4,"_",G190),D190="DJ_P",CONCATENATE(B190,"_",C190,$B$3,"_",$B$4,"_P","_",G190),D190="DJ_A",CONCATENATE(B190,"_",C190,$B$3,"_",$B$4,"_A","_",G190),D190="LT_P",CONCATENATE(B190,"_",C190,$B$3,"_",C190,$B$3,"_P","_",G190),D190="LT_A",CONCATENATE(B190,"_",C190,$B$3,"_",C190,$B$3,"_A","_",G190))</f>
        <v>IMA_LT5_24-3_TAL</v>
      </c>
      <c r="I190" s="6" t="s">
        <v>267</v>
      </c>
      <c r="J190" s="6" t="s">
        <v>183</v>
      </c>
      <c r="K190" s="6" t="s">
        <v>184</v>
      </c>
      <c r="L190" s="6" t="s">
        <v>188</v>
      </c>
      <c r="M190" s="6" t="s">
        <v>188</v>
      </c>
      <c r="N190" s="6"/>
    </row>
    <row r="191" spans="1:14" x14ac:dyDescent="0.25">
      <c r="A191" s="6" t="s">
        <v>191</v>
      </c>
      <c r="B191" s="6" t="str">
        <f>Informações!$C$3</f>
        <v>IMA</v>
      </c>
      <c r="C191" s="6" t="s">
        <v>29</v>
      </c>
      <c r="D191" s="6" t="s">
        <v>30</v>
      </c>
      <c r="E191" s="2" t="s">
        <v>25</v>
      </c>
      <c r="F191" s="6" t="s">
        <v>218</v>
      </c>
      <c r="G191" s="6" t="s">
        <v>234</v>
      </c>
      <c r="H191" s="6" t="str" cm="1">
        <f t="array" ref="H191">_xlfn.IFS(OR(D191="TC",D191="TP",D191="LT"),CONCATENATE(B191,"_",C191,$B$3,"_",C191,$B$3,"_",G191),D191="SECC",CONCATENATE(B191,"_",C191,$B$3,"_",$B$5,"_",G191),D191="SECF",CONCATENATE(B191,"_",C191,$B$3,"_",$B$6,"_",G191),D191="SECT",CONCATENATE(B191,"_",C191,$B$3,"_",$B$7,"_",G191),D191="SECG",CONCATENATE(B191,"_",C191,$B$3,"_",$B$8,"_",G191),D191="DJ",CONCATENATE(B191,"_",C191,$B$3,"_",$B$4,"_",G191),D191="DJ_P",CONCATENATE(B191,"_",C191,$B$3,"_",$B$4,"_P","_",G191),D191="DJ_A",CONCATENATE(B191,"_",C191,$B$3,"_",$B$4,"_A","_",G191),D191="LT_P",CONCATENATE(B191,"_",C191,$B$3,"_",C191,$B$3,"_P","_",G191),D191="LT_A",CONCATENATE(B191,"_",C191,$B$3,"_",C191,$B$3,"_A","_",G191))</f>
        <v>IMA_LT5_24-3_TALS</v>
      </c>
      <c r="I191" s="6" t="s">
        <v>267</v>
      </c>
      <c r="J191" s="6" t="s">
        <v>182</v>
      </c>
      <c r="K191" s="6" t="s">
        <v>179</v>
      </c>
      <c r="L191" s="6" t="s">
        <v>188</v>
      </c>
      <c r="M191" s="6" t="s">
        <v>188</v>
      </c>
      <c r="N191" s="6"/>
    </row>
    <row r="192" spans="1:14" x14ac:dyDescent="0.25">
      <c r="A192" s="6" t="s">
        <v>191</v>
      </c>
      <c r="B192" s="6" t="str">
        <f>Informações!$C$3</f>
        <v>IMA</v>
      </c>
      <c r="C192" s="6" t="s">
        <v>29</v>
      </c>
      <c r="D192" s="6" t="s">
        <v>30</v>
      </c>
      <c r="E192" s="2" t="s">
        <v>25</v>
      </c>
      <c r="F192" s="6" t="s">
        <v>219</v>
      </c>
      <c r="G192" s="6" t="s">
        <v>231</v>
      </c>
      <c r="H192" s="6" t="str" cm="1">
        <f t="array" ref="H192">_xlfn.IFS(OR(D192="TC",D192="TP",D192="LT"),CONCATENATE(B192,"_",C192,$B$3,"_",C192,$B$3,"_",G192),D192="SECC",CONCATENATE(B192,"_",C192,$B$3,"_",$B$5,"_",G192),D192="SECF",CONCATENATE(B192,"_",C192,$B$3,"_",$B$6,"_",G192),D192="SECT",CONCATENATE(B192,"_",C192,$B$3,"_",$B$7,"_",G192),D192="SECG",CONCATENATE(B192,"_",C192,$B$3,"_",$B$8,"_",G192),D192="DJ",CONCATENATE(B192,"_",C192,$B$3,"_",$B$4,"_",G192),D192="DJ_P",CONCATENATE(B192,"_",C192,$B$3,"_",$B$4,"_P","_",G192),D192="DJ_A",CONCATENATE(B192,"_",C192,$B$3,"_",$B$4,"_A","_",G192),D192="LT_P",CONCATENATE(B192,"_",C192,$B$3,"_",C192,$B$3,"_P","_",G192),D192="LT_A",CONCATENATE(B192,"_",C192,$B$3,"_",C192,$B$3,"_A","_",G192))</f>
        <v>IMA_LT5_24-3_TALF</v>
      </c>
      <c r="I192" s="6" t="s">
        <v>267</v>
      </c>
      <c r="J192" s="6" t="s">
        <v>182</v>
      </c>
      <c r="K192" s="6" t="s">
        <v>180</v>
      </c>
      <c r="L192" s="6" t="s">
        <v>188</v>
      </c>
      <c r="M192" s="6" t="s">
        <v>188</v>
      </c>
      <c r="N192" s="6"/>
    </row>
    <row r="193" spans="1:14" x14ac:dyDescent="0.25">
      <c r="A193" s="6" t="s">
        <v>191</v>
      </c>
      <c r="B193" s="6" t="str">
        <f>Informações!$C$3</f>
        <v>IMA</v>
      </c>
      <c r="C193" s="6" t="s">
        <v>29</v>
      </c>
      <c r="D193" s="6" t="s">
        <v>30</v>
      </c>
      <c r="E193" s="2" t="s">
        <v>25</v>
      </c>
      <c r="F193" s="6" t="s">
        <v>233</v>
      </c>
      <c r="G193" s="6" t="s">
        <v>232</v>
      </c>
      <c r="H193" s="6" t="str" cm="1">
        <f t="array" ref="H193">_xlfn.IFS(OR(D193="TC",D193="TP",D193="LT"),CONCATENATE(B193,"_",C193,$B$3,"_",C193,$B$3,"_",G193),D193="SECC",CONCATENATE(B193,"_",C193,$B$3,"_",$B$5,"_",G193),D193="SECF",CONCATENATE(B193,"_",C193,$B$3,"_",$B$6,"_",G193),D193="SECT",CONCATENATE(B193,"_",C193,$B$3,"_",$B$7,"_",G193),D193="SECG",CONCATENATE(B193,"_",C193,$B$3,"_",$B$8,"_",G193),D193="DJ",CONCATENATE(B193,"_",C193,$B$3,"_",$B$4,"_",G193),D193="DJ_P",CONCATENATE(B193,"_",C193,$B$3,"_",$B$4,"_P","_",G193),D193="DJ_A",CONCATENATE(B193,"_",C193,$B$3,"_",$B$4,"_A","_",G193),D193="LT_P",CONCATENATE(B193,"_",C193,$B$3,"_",C193,$B$3,"_P","_",G193),D193="LT_A",CONCATENATE(B193,"_",C193,$B$3,"_",C193,$B$3,"_A","_",G193))</f>
        <v>IMA_LT5_24-3_TALB</v>
      </c>
      <c r="I193" s="6" t="s">
        <v>267</v>
      </c>
      <c r="J193" s="6" t="s">
        <v>182</v>
      </c>
      <c r="K193" s="6" t="s">
        <v>179</v>
      </c>
      <c r="L193" s="6" t="s">
        <v>188</v>
      </c>
      <c r="M193" s="6" t="s">
        <v>188</v>
      </c>
      <c r="N193" s="6"/>
    </row>
    <row r="194" spans="1:14" x14ac:dyDescent="0.25">
      <c r="A194" s="6" t="s">
        <v>191</v>
      </c>
      <c r="B194" s="6" t="str">
        <f>Informações!$C$3</f>
        <v>IMA</v>
      </c>
      <c r="C194" s="6" t="s">
        <v>29</v>
      </c>
      <c r="D194" s="6" t="s">
        <v>30</v>
      </c>
      <c r="E194" s="2" t="s">
        <v>25</v>
      </c>
      <c r="F194" s="6" t="s">
        <v>216</v>
      </c>
      <c r="G194" s="6" t="s">
        <v>197</v>
      </c>
      <c r="H194" s="6" t="str" cm="1">
        <f t="array" ref="H194">_xlfn.IFS(OR(D194="TC",D194="TP",D194="LT"),CONCATENATE(B194,"_",C194,$B$3,"_",C194,$B$3,"_",G194),D194="SECC",CONCATENATE(B194,"_",C194,$B$3,"_",$B$5,"_",G194),D194="SECF",CONCATENATE(B194,"_",C194,$B$3,"_",$B$6,"_",G194),D194="SECT",CONCATENATE(B194,"_",C194,$B$3,"_",$B$7,"_",G194),D194="SECG",CONCATENATE(B194,"_",C194,$B$3,"_",$B$8,"_",G194),D194="DJ",CONCATENATE(B194,"_",C194,$B$3,"_",$B$4,"_",G194),D194="DJ_P",CONCATENATE(B194,"_",C194,$B$3,"_",$B$4,"_P","_",G194),D194="DJ_A",CONCATENATE(B194,"_",C194,$B$3,"_",$B$4,"_A","_",G194),D194="LT_P",CONCATENATE(B194,"_",C194,$B$3,"_",C194,$B$3,"_P","_",G194),D194="LT_A",CONCATENATE(B194,"_",C194,$B$3,"_",C194,$B$3,"_A","_",G194))</f>
        <v>IMA_LT5_24-3_TPPM</v>
      </c>
      <c r="I194" s="6" t="s">
        <v>267</v>
      </c>
      <c r="J194" s="6" t="s">
        <v>183</v>
      </c>
      <c r="K194" s="6" t="s">
        <v>184</v>
      </c>
      <c r="L194" s="6" t="s">
        <v>188</v>
      </c>
      <c r="M194" s="6" t="s">
        <v>188</v>
      </c>
      <c r="N194" s="6"/>
    </row>
    <row r="195" spans="1:14" x14ac:dyDescent="0.25">
      <c r="A195" s="6" t="s">
        <v>191</v>
      </c>
      <c r="B195" s="6" t="str">
        <f>Informações!$C$3</f>
        <v>IMA</v>
      </c>
      <c r="C195" s="6" t="s">
        <v>29</v>
      </c>
      <c r="D195" s="6" t="s">
        <v>30</v>
      </c>
      <c r="E195" s="2" t="s">
        <v>25</v>
      </c>
      <c r="F195" s="6" t="s">
        <v>224</v>
      </c>
      <c r="G195" s="6" t="s">
        <v>235</v>
      </c>
      <c r="H195" s="6" t="str" cm="1">
        <f t="array" ref="H195">_xlfn.IFS(OR(D195="TC",D195="TP",D195="LT"),CONCATENATE(B195,"_",C195,$B$3,"_",C195,$B$3,"_",G195),D195="SECC",CONCATENATE(B195,"_",C195,$B$3,"_",$B$5,"_",G195),D195="SECF",CONCATENATE(B195,"_",C195,$B$3,"_",$B$6,"_",G195),D195="SECT",CONCATENATE(B195,"_",C195,$B$3,"_",$B$7,"_",G195),D195="SECG",CONCATENATE(B195,"_",C195,$B$3,"_",$B$8,"_",G195),D195="DJ",CONCATENATE(B195,"_",C195,$B$3,"_",$B$4,"_",G195),D195="DJ_P",CONCATENATE(B195,"_",C195,$B$3,"_",$B$4,"_P","_",G195),D195="DJ_A",CONCATENATE(B195,"_",C195,$B$3,"_",$B$4,"_A","_",G195),D195="LT_P",CONCATENATE(B195,"_",C195,$B$3,"_",C195,$B$3,"_P","_",G195),D195="LT_A",CONCATENATE(B195,"_",C195,$B$3,"_",C195,$B$3,"_A","_",G195))</f>
        <v>IMA_LT5_24-3_TPPS</v>
      </c>
      <c r="I195" s="6" t="s">
        <v>267</v>
      </c>
      <c r="J195" s="6" t="s">
        <v>182</v>
      </c>
      <c r="K195" s="6" t="s">
        <v>179</v>
      </c>
      <c r="L195" s="6" t="s">
        <v>188</v>
      </c>
      <c r="M195" s="6" t="s">
        <v>188</v>
      </c>
      <c r="N195" s="6"/>
    </row>
    <row r="196" spans="1:14" x14ac:dyDescent="0.25">
      <c r="A196" s="6" t="s">
        <v>191</v>
      </c>
      <c r="B196" s="6" t="str">
        <f>Informações!$C$3</f>
        <v>IMA</v>
      </c>
      <c r="C196" s="6" t="s">
        <v>29</v>
      </c>
      <c r="D196" s="6" t="s">
        <v>30</v>
      </c>
      <c r="E196" s="2" t="s">
        <v>25</v>
      </c>
      <c r="F196" s="6" t="s">
        <v>225</v>
      </c>
      <c r="G196" s="6" t="s">
        <v>198</v>
      </c>
      <c r="H196" s="6" t="str" cm="1">
        <f t="array" ref="H196">_xlfn.IFS(OR(D196="TC",D196="TP",D196="LT"),CONCATENATE(B196,"_",C196,$B$3,"_",C196,$B$3,"_",G196),D196="SECC",CONCATENATE(B196,"_",C196,$B$3,"_",$B$5,"_",G196),D196="SECF",CONCATENATE(B196,"_",C196,$B$3,"_",$B$6,"_",G196),D196="SECT",CONCATENATE(B196,"_",C196,$B$3,"_",$B$7,"_",G196),D196="SECG",CONCATENATE(B196,"_",C196,$B$3,"_",$B$8,"_",G196),D196="DJ",CONCATENATE(B196,"_",C196,$B$3,"_",$B$4,"_",G196),D196="DJ_P",CONCATENATE(B196,"_",C196,$B$3,"_",$B$4,"_P","_",G196),D196="DJ_A",CONCATENATE(B196,"_",C196,$B$3,"_",$B$4,"_A","_",G196),D196="LT_P",CONCATENATE(B196,"_",C196,$B$3,"_",C196,$B$3,"_P","_",G196),D196="LT_A",CONCATENATE(B196,"_",C196,$B$3,"_",C196,$B$3,"_A","_",G196))</f>
        <v>IMA_LT5_24-3_TPPF</v>
      </c>
      <c r="I196" s="6" t="s">
        <v>267</v>
      </c>
      <c r="J196" s="6" t="s">
        <v>182</v>
      </c>
      <c r="K196" s="6" t="s">
        <v>180</v>
      </c>
      <c r="L196" s="6" t="s">
        <v>188</v>
      </c>
      <c r="M196" s="6" t="s">
        <v>188</v>
      </c>
      <c r="N196" s="6"/>
    </row>
    <row r="197" spans="1:14" x14ac:dyDescent="0.25">
      <c r="A197" s="6" t="s">
        <v>191</v>
      </c>
      <c r="B197" s="6" t="str">
        <f>Informações!$C$3</f>
        <v>IMA</v>
      </c>
      <c r="C197" s="6" t="s">
        <v>29</v>
      </c>
      <c r="D197" s="6" t="s">
        <v>30</v>
      </c>
      <c r="E197" s="2" t="s">
        <v>25</v>
      </c>
      <c r="F197" s="6" t="s">
        <v>226</v>
      </c>
      <c r="G197" s="6" t="s">
        <v>199</v>
      </c>
      <c r="H197" s="6" t="str" cm="1">
        <f t="array" ref="H197">_xlfn.IFS(OR(D197="TC",D197="TP",D197="LT"),CONCATENATE(B197,"_",C197,$B$3,"_",C197,$B$3,"_",G197),D197="SECC",CONCATENATE(B197,"_",C197,$B$3,"_",$B$5,"_",G197),D197="SECF",CONCATENATE(B197,"_",C197,$B$3,"_",$B$6,"_",G197),D197="SECT",CONCATENATE(B197,"_",C197,$B$3,"_",$B$7,"_",G197),D197="SECG",CONCATENATE(B197,"_",C197,$B$3,"_",$B$8,"_",G197),D197="DJ",CONCATENATE(B197,"_",C197,$B$3,"_",$B$4,"_",G197),D197="DJ_P",CONCATENATE(B197,"_",C197,$B$3,"_",$B$4,"_P","_",G197),D197="DJ_A",CONCATENATE(B197,"_",C197,$B$3,"_",$B$4,"_A","_",G197),D197="LT_P",CONCATENATE(B197,"_",C197,$B$3,"_",C197,$B$3,"_P","_",G197),D197="LT_A",CONCATENATE(B197,"_",C197,$B$3,"_",C197,$B$3,"_A","_",G197))</f>
        <v>IMA_LT5_24-3_81P</v>
      </c>
      <c r="I197" s="6" t="s">
        <v>267</v>
      </c>
      <c r="J197" s="6" t="s">
        <v>182</v>
      </c>
      <c r="K197" s="6" t="s">
        <v>179</v>
      </c>
      <c r="L197" s="6" t="s">
        <v>188</v>
      </c>
      <c r="M197" s="6" t="s">
        <v>188</v>
      </c>
      <c r="N197" s="6"/>
    </row>
    <row r="198" spans="1:14" x14ac:dyDescent="0.25">
      <c r="A198" s="6" t="s">
        <v>191</v>
      </c>
      <c r="B198" s="6" t="str">
        <f>Informações!$C$3</f>
        <v>IMA</v>
      </c>
      <c r="C198" s="6" t="s">
        <v>29</v>
      </c>
      <c r="D198" s="6" t="s">
        <v>30</v>
      </c>
      <c r="E198" s="2" t="s">
        <v>25</v>
      </c>
      <c r="F198" s="6" t="s">
        <v>230</v>
      </c>
      <c r="G198" s="6" t="s">
        <v>200</v>
      </c>
      <c r="H198" s="6" t="str" cm="1">
        <f t="array" ref="H198">_xlfn.IFS(OR(D198="TC",D198="TP",D198="LT"),CONCATENATE(B198,"_",C198,$B$3,"_",C198,$B$3,"_",G198),D198="SECC",CONCATENATE(B198,"_",C198,$B$3,"_",$B$5,"_",G198),D198="SECF",CONCATENATE(B198,"_",C198,$B$3,"_",$B$6,"_",G198),D198="SECT",CONCATENATE(B198,"_",C198,$B$3,"_",$B$7,"_",G198),D198="SECG",CONCATENATE(B198,"_",C198,$B$3,"_",$B$8,"_",G198),D198="DJ",CONCATENATE(B198,"_",C198,$B$3,"_",$B$4,"_",G198),D198="DJ_P",CONCATENATE(B198,"_",C198,$B$3,"_",$B$4,"_P","_",G198),D198="DJ_A",CONCATENATE(B198,"_",C198,$B$3,"_",$B$4,"_A","_",G198),D198="LT_P",CONCATENATE(B198,"_",C198,$B$3,"_",C198,$B$3,"_P","_",G198),D198="LT_A",CONCATENATE(B198,"_",C198,$B$3,"_",C198,$B$3,"_A","_",G198))</f>
        <v>IMA_LT5_24-3_81F</v>
      </c>
      <c r="I198" s="6" t="s">
        <v>267</v>
      </c>
      <c r="J198" s="6" t="s">
        <v>182</v>
      </c>
      <c r="K198" s="6" t="s">
        <v>180</v>
      </c>
      <c r="L198" s="6" t="s">
        <v>188</v>
      </c>
      <c r="M198" s="6" t="s">
        <v>188</v>
      </c>
      <c r="N198" s="6"/>
    </row>
    <row r="199" spans="1:14" x14ac:dyDescent="0.25">
      <c r="A199" s="6" t="s">
        <v>191</v>
      </c>
      <c r="B199" s="6" t="str">
        <f>Informações!$C$3</f>
        <v>IMA</v>
      </c>
      <c r="C199" s="6" t="s">
        <v>29</v>
      </c>
      <c r="D199" s="6" t="s">
        <v>30</v>
      </c>
      <c r="E199" s="2" t="s">
        <v>25</v>
      </c>
      <c r="F199" s="6" t="s">
        <v>227</v>
      </c>
      <c r="G199" s="6" t="s">
        <v>201</v>
      </c>
      <c r="H199" s="6" t="str" cm="1">
        <f t="array" ref="H199">_xlfn.IFS(OR(D199="TC",D199="TP",D199="LT"),CONCATENATE(B199,"_",C199,$B$3,"_",C199,$B$3,"_",G199),D199="SECC",CONCATENATE(B199,"_",C199,$B$3,"_",$B$5,"_",G199),D199="SECF",CONCATENATE(B199,"_",C199,$B$3,"_",$B$6,"_",G199),D199="SECT",CONCATENATE(B199,"_",C199,$B$3,"_",$B$7,"_",G199),D199="SECG",CONCATENATE(B199,"_",C199,$B$3,"_",$B$8,"_",G199),D199="DJ",CONCATENATE(B199,"_",C199,$B$3,"_",$B$4,"_",G199),D199="DJ_P",CONCATENATE(B199,"_",C199,$B$3,"_",$B$4,"_P","_",G199),D199="DJ_A",CONCATENATE(B199,"_",C199,$B$3,"_",$B$4,"_A","_",G199),D199="LT_P",CONCATENATE(B199,"_",C199,$B$3,"_",C199,$B$3,"_P","_",G199),D199="LT_A",CONCATENATE(B199,"_",C199,$B$3,"_",C199,$B$3,"_A","_",G199))</f>
        <v>IMA_LT5_24-3_81A</v>
      </c>
      <c r="I199" s="6" t="s">
        <v>267</v>
      </c>
      <c r="J199" s="6" t="s">
        <v>182</v>
      </c>
      <c r="K199" s="6" t="s">
        <v>179</v>
      </c>
      <c r="L199" s="6" t="s">
        <v>188</v>
      </c>
      <c r="M199" s="6" t="s">
        <v>188</v>
      </c>
      <c r="N199" s="6"/>
    </row>
    <row r="200" spans="1:14" x14ac:dyDescent="0.25">
      <c r="A200" s="6" t="s">
        <v>191</v>
      </c>
      <c r="B200" s="6" t="str">
        <f>Informações!$C$3</f>
        <v>IMA</v>
      </c>
      <c r="C200" s="6" t="s">
        <v>29</v>
      </c>
      <c r="D200" s="6" t="s">
        <v>30</v>
      </c>
      <c r="E200" s="2" t="s">
        <v>25</v>
      </c>
      <c r="F200" s="6" t="s">
        <v>229</v>
      </c>
      <c r="G200" s="6" t="s">
        <v>228</v>
      </c>
      <c r="H200" s="6" t="str" cm="1">
        <f t="array" ref="H200">_xlfn.IFS(OR(D200="TC",D200="TP",D200="LT"),CONCATENATE(B200,"_",C200,$B$3,"_",C200,$B$3,"_",G200),D200="SECC",CONCATENATE(B200,"_",C200,$B$3,"_",$B$5,"_",G200),D200="SECF",CONCATENATE(B200,"_",C200,$B$3,"_",$B$6,"_",G200),D200="SECT",CONCATENATE(B200,"_",C200,$B$3,"_",$B$7,"_",G200),D200="SECG",CONCATENATE(B200,"_",C200,$B$3,"_",$B$8,"_",G200),D200="DJ",CONCATENATE(B200,"_",C200,$B$3,"_",$B$4,"_",G200),D200="DJ_P",CONCATENATE(B200,"_",C200,$B$3,"_",$B$4,"_P","_",G200),D200="DJ_A",CONCATENATE(B200,"_",C200,$B$3,"_",$B$4,"_A","_",G200),D200="LT_P",CONCATENATE(B200,"_",C200,$B$3,"_",C200,$B$3,"_P","_",G200),D200="LT_A",CONCATENATE(B200,"_",C200,$B$3,"_",C200,$B$3,"_A","_",G200))</f>
        <v>IMA_LT5_24-3_81C</v>
      </c>
      <c r="I200" s="6" t="s">
        <v>267</v>
      </c>
      <c r="J200" s="6" t="s">
        <v>182</v>
      </c>
      <c r="K200" s="6" t="s">
        <v>179</v>
      </c>
      <c r="L200" s="6" t="s">
        <v>188</v>
      </c>
      <c r="M200" s="6" t="s">
        <v>188</v>
      </c>
      <c r="N200" s="6"/>
    </row>
  </sheetData>
  <mergeCells count="8">
    <mergeCell ref="A179:N179"/>
    <mergeCell ref="A185:N185"/>
    <mergeCell ref="A1:N1"/>
    <mergeCell ref="B2:N2"/>
    <mergeCell ref="B3:N3"/>
    <mergeCell ref="B4:N4"/>
    <mergeCell ref="B5:N5"/>
    <mergeCell ref="B6:N6"/>
  </mergeCells>
  <conditionalFormatting sqref="E7:E178">
    <cfRule type="cellIs" dxfId="146" priority="1" operator="equal">
      <formula>"D"</formula>
    </cfRule>
    <cfRule type="cellIs" dxfId="145" priority="2" operator="equal">
      <formula>"C"</formula>
    </cfRule>
    <cfRule type="cellIs" dxfId="144" priority="3" operator="equal">
      <formula>"A"</formula>
    </cfRule>
  </conditionalFormatting>
  <conditionalFormatting sqref="E180">
    <cfRule type="cellIs" dxfId="143" priority="4" operator="equal">
      <formula>"D"</formula>
    </cfRule>
    <cfRule type="cellIs" dxfId="142" priority="5" operator="equal">
      <formula>"C"</formula>
    </cfRule>
    <cfRule type="cellIs" dxfId="141" priority="6" operator="equal">
      <formula>"A"</formula>
    </cfRule>
  </conditionalFormatting>
  <conditionalFormatting sqref="E184 E186:E1048576">
    <cfRule type="cellIs" dxfId="140" priority="7" operator="equal">
      <formula>"D"</formula>
    </cfRule>
    <cfRule type="cellIs" dxfId="139" priority="8" operator="equal">
      <formula>"C"</formula>
    </cfRule>
    <cfRule type="cellIs" dxfId="138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1B0067-A70E-47EE-90FE-1EBD23CB0336}">
          <x14:formula1>
            <xm:f>Lista!$E$2:$E$4</xm:f>
          </x14:formula1>
          <xm:sqref>I181:I183 J187:K189 I187:I200 I9:I177</xm:sqref>
        </x14:dataValidation>
        <x14:dataValidation type="list" allowBlank="1" showInputMessage="1" showErrorMessage="1" xr:uid="{093E4302-6722-4F39-B486-246903D262D2}">
          <x14:formula1>
            <xm:f>Lista!$D$2:$D$4</xm:f>
          </x14:formula1>
          <xm:sqref>M181:M183 M187:M200 M9:M177</xm:sqref>
        </x14:dataValidation>
        <x14:dataValidation type="list" allowBlank="1" showInputMessage="1" showErrorMessage="1" xr:uid="{52A5249F-7D0F-4E65-8841-0C96AFB259E7}">
          <x14:formula1>
            <xm:f>Lista!$A$2:$A$19</xm:f>
          </x14:formula1>
          <xm:sqref>J190:K200 J181:K183 J9:K177</xm:sqref>
        </x14:dataValidation>
        <x14:dataValidation type="list" allowBlank="1" showInputMessage="1" showErrorMessage="1" xr:uid="{8C63F3E2-2A19-4F2D-B7D8-8CE61C21C2AF}">
          <x14:formula1>
            <xm:f>Lista!$B$2:$B$3</xm:f>
          </x14:formula1>
          <xm:sqref>A9:A177 A181:A183 A187:A200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FC9F-E12B-43F7-ADA1-C8A3DBBB5CB0}">
  <sheetPr>
    <tabColor theme="6"/>
  </sheetPr>
  <dimension ref="A1:N230"/>
  <sheetViews>
    <sheetView topLeftCell="C117" zoomScale="130" zoomScaleNormal="130" workbookViewId="0">
      <selection activeCell="H123" sqref="H12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25.85546875" style="1" bestFit="1" customWidth="1"/>
    <col min="9" max="9" width="8" style="1" customWidth="1"/>
    <col min="10" max="13" width="10.85546875" style="1" hidden="1" customWidth="1"/>
    <col min="14" max="14" width="10.85546875" style="1" customWidth="1"/>
    <col min="15" max="16384" width="9.140625" style="1"/>
  </cols>
  <sheetData>
    <row r="1" spans="1:14" x14ac:dyDescent="0.25">
      <c r="A1" s="110" t="s">
        <v>108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169</v>
      </c>
      <c r="B4" s="109" t="s">
        <v>314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170</v>
      </c>
      <c r="B5" s="109" t="s">
        <v>318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171</v>
      </c>
      <c r="B6" s="109" t="s">
        <v>317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172</v>
      </c>
      <c r="B7" s="109" t="s">
        <v>319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25">
      <c r="A8" s="2" t="s">
        <v>173</v>
      </c>
      <c r="B8" s="109" t="s">
        <v>316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x14ac:dyDescent="0.25">
      <c r="A9" s="2" t="s">
        <v>174</v>
      </c>
      <c r="B9" s="109" t="s">
        <v>321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x14ac:dyDescent="0.25">
      <c r="A10" s="2" t="s">
        <v>175</v>
      </c>
      <c r="B10" s="109" t="s">
        <v>322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x14ac:dyDescent="0.25">
      <c r="A11" s="2" t="s">
        <v>176</v>
      </c>
      <c r="B11" s="109" t="s">
        <v>320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s="4" customFormat="1" x14ac:dyDescent="0.25">
      <c r="B12" s="5"/>
      <c r="C12" s="5"/>
      <c r="D12" s="5"/>
      <c r="E12" s="5"/>
      <c r="F12" s="5"/>
      <c r="G12" s="5"/>
      <c r="H12" s="5"/>
    </row>
    <row r="13" spans="1:14" ht="60" x14ac:dyDescent="0.25">
      <c r="A13" s="3" t="s">
        <v>189</v>
      </c>
      <c r="B13" s="3" t="s">
        <v>1</v>
      </c>
      <c r="C13" s="3" t="s">
        <v>83</v>
      </c>
      <c r="D13" s="3" t="s">
        <v>26</v>
      </c>
      <c r="E13" s="3" t="s">
        <v>7</v>
      </c>
      <c r="F13" s="3" t="s">
        <v>84</v>
      </c>
      <c r="G13" s="3" t="s">
        <v>85</v>
      </c>
      <c r="H13" s="3" t="s">
        <v>86</v>
      </c>
      <c r="I13" s="3" t="s">
        <v>254</v>
      </c>
      <c r="J13" s="3" t="s">
        <v>177</v>
      </c>
      <c r="K13" s="3" t="s">
        <v>178</v>
      </c>
      <c r="L13" s="3" t="s">
        <v>260</v>
      </c>
      <c r="M13" s="3" t="s">
        <v>266</v>
      </c>
      <c r="N13" s="3" t="s">
        <v>192</v>
      </c>
    </row>
    <row r="14" spans="1:14" x14ac:dyDescent="0.25">
      <c r="A14" s="6" t="s">
        <v>190</v>
      </c>
      <c r="B14" s="6" t="str">
        <f>Informações!$C$3</f>
        <v>IMA</v>
      </c>
      <c r="C14" s="6" t="s">
        <v>100</v>
      </c>
      <c r="D14" s="6" t="s">
        <v>27</v>
      </c>
      <c r="E14" s="2" t="s">
        <v>8</v>
      </c>
      <c r="F14" s="6" t="str">
        <f>VLOOKUP(G14,[1]Analog!$A:$B,2,FALSE)</f>
        <v>CORRENTE FASE A</v>
      </c>
      <c r="G14" s="6" t="s">
        <v>9</v>
      </c>
      <c r="H14" s="6" t="str" cm="1">
        <f t="array" ref="H14">_xlfn.IFS(OR(D14="TC",D14="TP",AND(D14="TR",C14="AT"),AND(D14="TR",C14="BT")),CONCATENATE(B14,"_","TR",$B$3,C14,"_","TR",$B$3,C14,"_",G14),AND(D14="SECC",C14="BT"),CONCATENATE(B14,"_","TR",$B$3,C14,"_",$B$9,"_",G14),AND(D14="SECF",C14="AT"),CONCATENATE(B14,"_","TR",$B$3,C14,"_",$B$6,"_",G14),AND(D14="SECT",C14="AT"),CONCATENATE(B14,"_","TR",$B$3,C14,"_",$B$7,"_",G14),AND(D14="DJ",C14="AT"),CONCATENATE(B14,"_","TR",$B$3,C14,"_",$B$4,"_",G14),AND(D14="DJ",C14="BT"),CONCATENATE(B14,"_","TR",$B$3,C14,"_",$B$8,"_",G14),AND(C14="TR",D14="TR"),CONCATENATE(B14,"_","TR",$B$3,"_","TR",$B$3,"_",G14),AND(D14="SECT",C14="BT"),CONCATENATE(B14,"_","TR",$B$3,C14,"_",$B$11,"_",G14),AND(D14="SECF",C14="BT"),CONCATENATE(B14,"_","TR",$B$3,C14,"_",$B$10,"_",G14),AND(D14="SECC",C14="AT"),CONCATENATE(B14,"_","TR",$B$3,C14,"_",$B$5,"_",G14),AND(C14="AT",D14="TR_A"),CONCATENATE(B14,"_","TR",$B$3,C14,"_","TR",$B$3,C14,"_A","_",G14),AND(C14="AT",D14="TR_P"),CONCATENATE(B14,"_","TR",$B$3,C14,"_","TR",$B$3,C14,"_P","_",G14),AND(C14="BT",D14="TR_A"),CONCATENATE(B14,"_","TR",$B$3,C14,"_","TR",$B$3,C14,"_A","_",G14),AND(C14="BT",D14="TR_P"),CONCATENATE(B14,"_","TR",$B$3,C14,"_","TR",$B$3,C14,"_P","_",G14),AND(C14="TR",D14="TR_P"),CONCATENATE(B14,"_","TR",$B$3,"_","TR",$B$3,"_P","_",G14),AND(C14="TR",D14="TR_A"),CONCATENATE(B14,"_","TR",$B$3,"_","TR",$B$3,"_A","_",G14))</f>
        <v>IMA_TR6AT_TR6AT_IA</v>
      </c>
      <c r="I14" s="6" t="s">
        <v>188</v>
      </c>
      <c r="J14" s="6" t="s">
        <v>188</v>
      </c>
      <c r="K14" s="6" t="s">
        <v>188</v>
      </c>
      <c r="L14" s="8">
        <v>1</v>
      </c>
      <c r="M14" s="6" t="s">
        <v>188</v>
      </c>
      <c r="N14" s="6">
        <f>'LT 4'!N23+1</f>
        <v>26</v>
      </c>
    </row>
    <row r="15" spans="1:14" x14ac:dyDescent="0.25">
      <c r="A15" s="6" t="s">
        <v>190</v>
      </c>
      <c r="B15" s="6" t="str">
        <f>Informações!$C$3</f>
        <v>IMA</v>
      </c>
      <c r="C15" s="6" t="s">
        <v>100</v>
      </c>
      <c r="D15" s="6" t="s">
        <v>27</v>
      </c>
      <c r="E15" s="2" t="s">
        <v>8</v>
      </c>
      <c r="F15" s="6" t="str">
        <f>VLOOKUP(G15,[1]Analog!$A:$B,2,FALSE)</f>
        <v>CORRENTE FASE B</v>
      </c>
      <c r="G15" s="6" t="s">
        <v>10</v>
      </c>
      <c r="H15" s="6" t="str" cm="1">
        <f t="array" ref="H15">_xlfn.IFS(OR(D15="TC",D15="TP",AND(D15="TR",C15="AT"),AND(D15="TR",C15="BT")),CONCATENATE(B15,"_","TR",$B$3,C15,"_","TR",$B$3,C15,"_",G15),AND(D15="SECC",C15="BT"),CONCATENATE(B15,"_","TR",$B$3,C15,"_",$B$9,"_",G15),AND(D15="SECF",C15="AT"),CONCATENATE(B15,"_","TR",$B$3,C15,"_",$B$6,"_",G15),AND(D15="SECT",C15="AT"),CONCATENATE(B15,"_","TR",$B$3,C15,"_",$B$7,"_",G15),AND(D15="DJ",C15="AT"),CONCATENATE(B15,"_","TR",$B$3,C15,"_",$B$4,"_",G15),AND(D15="DJ",C15="BT"),CONCATENATE(B15,"_","TR",$B$3,C15,"_",$B$8,"_",G15),AND(C15="TR",D15="TR"),CONCATENATE(B15,"_","TR",$B$3,"_","TR",$B$3,"_",G15),AND(D15="SECT",C15="BT"),CONCATENATE(B15,"_","TR",$B$3,C15,"_",$B$11,"_",G15),AND(D15="SECF",C15="BT"),CONCATENATE(B15,"_","TR",$B$3,C15,"_",$B$10,"_",G15),AND(D15="SECC",C15="AT"),CONCATENATE(B15,"_","TR",$B$3,C15,"_",$B$5,"_",G15),AND(C15="AT",D15="TR_A"),CONCATENATE(B15,"_","TR",$B$3,C15,"_","TR",$B$3,C15,"_A","_",G15),AND(C15="AT",D15="TR_P"),CONCATENATE(B15,"_","TR",$B$3,C15,"_","TR",$B$3,C15,"_P","_",G15),AND(C15="BT",D15="TR_A"),CONCATENATE(B15,"_","TR",$B$3,C15,"_","TR",$B$3,C15,"_A","_",G15),AND(C15="BT",D15="TR_P"),CONCATENATE(B15,"_","TR",$B$3,C15,"_","TR",$B$3,C15,"_P","_",G15),AND(C15="TR",D15="TR_P"),CONCATENATE(B15,"_","TR",$B$3,"_","TR",$B$3,"_P","_",G15),AND(C15="TR",D15="TR_A"),CONCATENATE(B15,"_","TR",$B$3,"_","TR",$B$3,"_A","_",G15))</f>
        <v>IMA_TR6AT_TR6AT_IB</v>
      </c>
      <c r="I15" s="6" t="s">
        <v>188</v>
      </c>
      <c r="J15" s="6" t="s">
        <v>188</v>
      </c>
      <c r="K15" s="6" t="s">
        <v>188</v>
      </c>
      <c r="L15" s="8">
        <v>1</v>
      </c>
      <c r="M15" s="6" t="s">
        <v>188</v>
      </c>
      <c r="N15" s="6">
        <f>N14+1</f>
        <v>27</v>
      </c>
    </row>
    <row r="16" spans="1:14" x14ac:dyDescent="0.25">
      <c r="A16" s="6" t="s">
        <v>190</v>
      </c>
      <c r="B16" s="6" t="str">
        <f>Informações!$C$3</f>
        <v>IMA</v>
      </c>
      <c r="C16" s="6" t="s">
        <v>100</v>
      </c>
      <c r="D16" s="6" t="s">
        <v>27</v>
      </c>
      <c r="E16" s="2" t="s">
        <v>8</v>
      </c>
      <c r="F16" s="6" t="str">
        <f>VLOOKUP(G16,[1]Analog!$A:$B,2,FALSE)</f>
        <v>CORRENTE FASE C</v>
      </c>
      <c r="G16" s="6" t="s">
        <v>11</v>
      </c>
      <c r="H16" s="6" t="str" cm="1">
        <f t="array" ref="H16">_xlfn.IFS(OR(D16="TC",D16="TP",AND(D16="TR",C16="AT"),AND(D16="TR",C16="BT")),CONCATENATE(B16,"_","TR",$B$3,C16,"_","TR",$B$3,C16,"_",G16),AND(D16="SECC",C16="BT"),CONCATENATE(B16,"_","TR",$B$3,C16,"_",$B$9,"_",G16),AND(D16="SECF",C16="AT"),CONCATENATE(B16,"_","TR",$B$3,C16,"_",$B$6,"_",G16),AND(D16="SECT",C16="AT"),CONCATENATE(B16,"_","TR",$B$3,C16,"_",$B$7,"_",G16),AND(D16="DJ",C16="AT"),CONCATENATE(B16,"_","TR",$B$3,C16,"_",$B$4,"_",G16),AND(D16="DJ",C16="BT"),CONCATENATE(B16,"_","TR",$B$3,C16,"_",$B$8,"_",G16),AND(C16="TR",D16="TR"),CONCATENATE(B16,"_","TR",$B$3,"_","TR",$B$3,"_",G16),AND(D16="SECT",C16="BT"),CONCATENATE(B16,"_","TR",$B$3,C16,"_",$B$11,"_",G16),AND(D16="SECF",C16="BT"),CONCATENATE(B16,"_","TR",$B$3,C16,"_",$B$10,"_",G16),AND(D16="SECC",C16="AT"),CONCATENATE(B16,"_","TR",$B$3,C16,"_",$B$5,"_",G16),AND(C16="AT",D16="TR_A"),CONCATENATE(B16,"_","TR",$B$3,C16,"_","TR",$B$3,C16,"_A","_",G16),AND(C16="AT",D16="TR_P"),CONCATENATE(B16,"_","TR",$B$3,C16,"_","TR",$B$3,C16,"_P","_",G16),AND(C16="BT",D16="TR_A"),CONCATENATE(B16,"_","TR",$B$3,C16,"_","TR",$B$3,C16,"_A","_",G16),AND(C16="BT",D16="TR_P"),CONCATENATE(B16,"_","TR",$B$3,C16,"_","TR",$B$3,C16,"_P","_",G16),AND(C16="TR",D16="TR_P"),CONCATENATE(B16,"_","TR",$B$3,"_","TR",$B$3,"_P","_",G16),AND(C16="TR",D16="TR_A"),CONCATENATE(B16,"_","TR",$B$3,"_","TR",$B$3,"_A","_",G16))</f>
        <v>IMA_TR6AT_TR6AT_IC</v>
      </c>
      <c r="I16" s="6" t="s">
        <v>188</v>
      </c>
      <c r="J16" s="6" t="s">
        <v>188</v>
      </c>
      <c r="K16" s="6" t="s">
        <v>188</v>
      </c>
      <c r="L16" s="8">
        <v>1</v>
      </c>
      <c r="M16" s="6" t="s">
        <v>188</v>
      </c>
      <c r="N16" s="6">
        <f t="shared" ref="N16:N34" si="0">N15+1</f>
        <v>28</v>
      </c>
    </row>
    <row r="17" spans="1:14" x14ac:dyDescent="0.25">
      <c r="A17" s="6" t="s">
        <v>190</v>
      </c>
      <c r="B17" s="6" t="str">
        <f>Informações!$C$3</f>
        <v>IMA</v>
      </c>
      <c r="C17" s="6" t="s">
        <v>100</v>
      </c>
      <c r="D17" s="6" t="s">
        <v>27</v>
      </c>
      <c r="E17" s="2" t="s">
        <v>8</v>
      </c>
      <c r="F17" s="6" t="str">
        <f>VLOOKUP(G17,[1]Analog!$A:$B,2,FALSE)</f>
        <v>CORRENTE NEUTRO</v>
      </c>
      <c r="G17" s="6" t="s">
        <v>91</v>
      </c>
      <c r="H17" s="6" t="str" cm="1">
        <f t="array" ref="H17">_xlfn.IFS(OR(D17="TC",D17="TP",AND(D17="TR",C17="AT"),AND(D17="TR",C17="BT")),CONCATENATE(B17,"_","TR",$B$3,C17,"_","TR",$B$3,C17,"_",G17),AND(D17="SECC",C17="BT"),CONCATENATE(B17,"_","TR",$B$3,C17,"_",$B$9,"_",G17),AND(D17="SECF",C17="AT"),CONCATENATE(B17,"_","TR",$B$3,C17,"_",$B$6,"_",G17),AND(D17="SECT",C17="AT"),CONCATENATE(B17,"_","TR",$B$3,C17,"_",$B$7,"_",G17),AND(D17="DJ",C17="AT"),CONCATENATE(B17,"_","TR",$B$3,C17,"_",$B$4,"_",G17),AND(D17="DJ",C17="BT"),CONCATENATE(B17,"_","TR",$B$3,C17,"_",$B$8,"_",G17),AND(C17="TR",D17="TR"),CONCATENATE(B17,"_","TR",$B$3,"_","TR",$B$3,"_",G17),AND(D17="SECT",C17="BT"),CONCATENATE(B17,"_","TR",$B$3,C17,"_",$B$11,"_",G17),AND(D17="SECF",C17="BT"),CONCATENATE(B17,"_","TR",$B$3,C17,"_",$B$10,"_",G17),AND(D17="SECC",C17="AT"),CONCATENATE(B17,"_","TR",$B$3,C17,"_",$B$5,"_",G17),AND(C17="AT",D17="TR_A"),CONCATENATE(B17,"_","TR",$B$3,C17,"_","TR",$B$3,C17,"_A","_",G17),AND(C17="AT",D17="TR_P"),CONCATENATE(B17,"_","TR",$B$3,C17,"_","TR",$B$3,C17,"_P","_",G17),AND(C17="BT",D17="TR_A"),CONCATENATE(B17,"_","TR",$B$3,C17,"_","TR",$B$3,C17,"_A","_",G17),AND(C17="BT",D17="TR_P"),CONCATENATE(B17,"_","TR",$B$3,C17,"_","TR",$B$3,C17,"_P","_",G17),AND(C17="TR",D17="TR_P"),CONCATENATE(B17,"_","TR",$B$3,"_","TR",$B$3,"_P","_",G17),AND(C17="TR",D17="TR_A"),CONCATENATE(B17,"_","TR",$B$3,"_","TR",$B$3,"_A","_",G17))</f>
        <v>IMA_TR6AT_TR6AT_IN</v>
      </c>
      <c r="I17" s="6" t="s">
        <v>188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29</v>
      </c>
    </row>
    <row r="18" spans="1:14" x14ac:dyDescent="0.25">
      <c r="A18" s="6" t="s">
        <v>190</v>
      </c>
      <c r="B18" s="6" t="str">
        <f>Informações!$C$3</f>
        <v>IMA</v>
      </c>
      <c r="C18" s="6" t="s">
        <v>100</v>
      </c>
      <c r="D18" s="6" t="s">
        <v>28</v>
      </c>
      <c r="E18" s="2" t="s">
        <v>8</v>
      </c>
      <c r="F18" s="6" t="str">
        <f>VLOOKUP(G18,[1]Analog!$A:$B,2,FALSE)</f>
        <v>TENSAO</v>
      </c>
      <c r="G18" s="6" t="s">
        <v>90</v>
      </c>
      <c r="H18" s="6" t="str" cm="1">
        <f t="array" ref="H18">_xlfn.IFS(OR(D18="TC",D18="TP",AND(D18="TR",C18="AT"),AND(D18="TR",C18="BT")),CONCATENATE(B18,"_","TR",$B$3,C18,"_","TR",$B$3,C18,"_",G18),AND(D18="SECC",C18="BT"),CONCATENATE(B18,"_","TR",$B$3,C18,"_",$B$9,"_",G18),AND(D18="SECF",C18="AT"),CONCATENATE(B18,"_","TR",$B$3,C18,"_",$B$6,"_",G18),AND(D18="SECT",C18="AT"),CONCATENATE(B18,"_","TR",$B$3,C18,"_",$B$7,"_",G18),AND(D18="DJ",C18="AT"),CONCATENATE(B18,"_","TR",$B$3,C18,"_",$B$4,"_",G18),AND(D18="DJ",C18="BT"),CONCATENATE(B18,"_","TR",$B$3,C18,"_",$B$8,"_",G18),AND(C18="TR",D18="TR"),CONCATENATE(B18,"_","TR",$B$3,"_","TR",$B$3,"_",G18),AND(D18="SECT",C18="BT"),CONCATENATE(B18,"_","TR",$B$3,C18,"_",$B$11,"_",G18),AND(D18="SECF",C18="BT"),CONCATENATE(B18,"_","TR",$B$3,C18,"_",$B$10,"_",G18),AND(D18="SECC",C18="AT"),CONCATENATE(B18,"_","TR",$B$3,C18,"_",$B$5,"_",G18),AND(C18="AT",D18="TR_A"),CONCATENATE(B18,"_","TR",$B$3,C18,"_","TR",$B$3,C18,"_A","_",G18),AND(C18="AT",D18="TR_P"),CONCATENATE(B18,"_","TR",$B$3,C18,"_","TR",$B$3,C18,"_P","_",G18),AND(C18="BT",D18="TR_A"),CONCATENATE(B18,"_","TR",$B$3,C18,"_","TR",$B$3,C18,"_A","_",G18),AND(C18="BT",D18="TR_P"),CONCATENATE(B18,"_","TR",$B$3,C18,"_","TR",$B$3,C18,"_P","_",G18),AND(C18="TR",D18="TR_P"),CONCATENATE(B18,"_","TR",$B$3,"_","TR",$B$3,"_P","_",G18),AND(C18="TR",D18="TR_A"),CONCATENATE(B18,"_","TR",$B$3,"_","TR",$B$3,"_A","_",G18))</f>
        <v>IMA_TR6AT_TR6AT_V</v>
      </c>
      <c r="I18" s="6" t="s">
        <v>188</v>
      </c>
      <c r="J18" s="6" t="s">
        <v>188</v>
      </c>
      <c r="K18" s="6" t="s">
        <v>188</v>
      </c>
      <c r="L18" s="8">
        <v>0.01</v>
      </c>
      <c r="M18" s="6" t="s">
        <v>188</v>
      </c>
      <c r="N18" s="6">
        <f t="shared" si="0"/>
        <v>30</v>
      </c>
    </row>
    <row r="19" spans="1:14" x14ac:dyDescent="0.25">
      <c r="A19" s="6" t="s">
        <v>190</v>
      </c>
      <c r="B19" s="6" t="str">
        <f>Informações!$C$3</f>
        <v>IMA</v>
      </c>
      <c r="C19" s="6" t="s">
        <v>100</v>
      </c>
      <c r="D19" s="6" t="s">
        <v>27</v>
      </c>
      <c r="E19" s="2" t="s">
        <v>8</v>
      </c>
      <c r="F19" s="6" t="str">
        <f>VLOOKUP(G19,[1]Analog!$A:$B,2,FALSE)</f>
        <v>POTENCIA ATIVA</v>
      </c>
      <c r="G19" s="6" t="s">
        <v>18</v>
      </c>
      <c r="H19" s="6" t="str" cm="1">
        <f t="array" ref="H19">_xlfn.IFS(OR(D19="TC",D19="TP",AND(D19="TR",C19="AT"),AND(D19="TR",C19="BT")),CONCATENATE(B19,"_","TR",$B$3,C19,"_","TR",$B$3,C19,"_",G19),AND(D19="SECC",C19="BT"),CONCATENATE(B19,"_","TR",$B$3,C19,"_",$B$9,"_",G19),AND(D19="SECF",C19="AT"),CONCATENATE(B19,"_","TR",$B$3,C19,"_",$B$6,"_",G19),AND(D19="SECT",C19="AT"),CONCATENATE(B19,"_","TR",$B$3,C19,"_",$B$7,"_",G19),AND(D19="DJ",C19="AT"),CONCATENATE(B19,"_","TR",$B$3,C19,"_",$B$4,"_",G19),AND(D19="DJ",C19="BT"),CONCATENATE(B19,"_","TR",$B$3,C19,"_",$B$8,"_",G19),AND(C19="TR",D19="TR"),CONCATENATE(B19,"_","TR",$B$3,"_","TR",$B$3,"_",G19),AND(D19="SECT",C19="BT"),CONCATENATE(B19,"_","TR",$B$3,C19,"_",$B$11,"_",G19),AND(D19="SECF",C19="BT"),CONCATENATE(B19,"_","TR",$B$3,C19,"_",$B$10,"_",G19),AND(D19="SECC",C19="AT"),CONCATENATE(B19,"_","TR",$B$3,C19,"_",$B$5,"_",G19),AND(C19="AT",D19="TR_A"),CONCATENATE(B19,"_","TR",$B$3,C19,"_","TR",$B$3,C19,"_A","_",G19),AND(C19="AT",D19="TR_P"),CONCATENATE(B19,"_","TR",$B$3,C19,"_","TR",$B$3,C19,"_P","_",G19),AND(C19="BT",D19="TR_A"),CONCATENATE(B19,"_","TR",$B$3,C19,"_","TR",$B$3,C19,"_A","_",G19),AND(C19="BT",D19="TR_P"),CONCATENATE(B19,"_","TR",$B$3,C19,"_","TR",$B$3,C19,"_P","_",G19),AND(C19="TR",D19="TR_P"),CONCATENATE(B19,"_","TR",$B$3,"_","TR",$B$3,"_P","_",G19),AND(C19="TR",D19="TR_A"),CONCATENATE(B19,"_","TR",$B$3,"_","TR",$B$3,"_A","_",G19))</f>
        <v>IMA_TR6AT_TR6AT_P</v>
      </c>
      <c r="I19" s="6" t="s">
        <v>188</v>
      </c>
      <c r="J19" s="6" t="s">
        <v>188</v>
      </c>
      <c r="K19" s="6" t="s">
        <v>188</v>
      </c>
      <c r="L19" s="8">
        <v>0.01</v>
      </c>
      <c r="M19" s="6" t="s">
        <v>188</v>
      </c>
      <c r="N19" s="6">
        <f t="shared" si="0"/>
        <v>31</v>
      </c>
    </row>
    <row r="20" spans="1:14" x14ac:dyDescent="0.25">
      <c r="A20" s="6" t="s">
        <v>190</v>
      </c>
      <c r="B20" s="6" t="str">
        <f>Informações!$C$3</f>
        <v>IMA</v>
      </c>
      <c r="C20" s="6" t="s">
        <v>100</v>
      </c>
      <c r="D20" s="6" t="s">
        <v>27</v>
      </c>
      <c r="E20" s="2" t="s">
        <v>8</v>
      </c>
      <c r="F20" s="6" t="str">
        <f>VLOOKUP(G20,[1]Analog!$A:$B,2,FALSE)</f>
        <v>POTENCIA REATIVA</v>
      </c>
      <c r="G20" s="6" t="s">
        <v>19</v>
      </c>
      <c r="H20" s="6" t="str" cm="1">
        <f t="array" ref="H20">_xlfn.IFS(OR(D20="TC",D20="TP",AND(D20="TR",C20="AT"),AND(D20="TR",C20="BT")),CONCATENATE(B20,"_","TR",$B$3,C20,"_","TR",$B$3,C20,"_",G20),AND(D20="SECC",C20="BT"),CONCATENATE(B20,"_","TR",$B$3,C20,"_",$B$9,"_",G20),AND(D20="SECF",C20="AT"),CONCATENATE(B20,"_","TR",$B$3,C20,"_",$B$6,"_",G20),AND(D20="SECT",C20="AT"),CONCATENATE(B20,"_","TR",$B$3,C20,"_",$B$7,"_",G20),AND(D20="DJ",C20="AT"),CONCATENATE(B20,"_","TR",$B$3,C20,"_",$B$4,"_",G20),AND(D20="DJ",C20="BT"),CONCATENATE(B20,"_","TR",$B$3,C20,"_",$B$8,"_",G20),AND(C20="TR",D20="TR"),CONCATENATE(B20,"_","TR",$B$3,"_","TR",$B$3,"_",G20),AND(D20="SECT",C20="BT"),CONCATENATE(B20,"_","TR",$B$3,C20,"_",$B$11,"_",G20),AND(D20="SECF",C20="BT"),CONCATENATE(B20,"_","TR",$B$3,C20,"_",$B$10,"_",G20),AND(D20="SECC",C20="AT"),CONCATENATE(B20,"_","TR",$B$3,C20,"_",$B$5,"_",G20),AND(C20="AT",D20="TR_A"),CONCATENATE(B20,"_","TR",$B$3,C20,"_","TR",$B$3,C20,"_A","_",G20),AND(C20="AT",D20="TR_P"),CONCATENATE(B20,"_","TR",$B$3,C20,"_","TR",$B$3,C20,"_P","_",G20),AND(C20="BT",D20="TR_A"),CONCATENATE(B20,"_","TR",$B$3,C20,"_","TR",$B$3,C20,"_A","_",G20),AND(C20="BT",D20="TR_P"),CONCATENATE(B20,"_","TR",$B$3,C20,"_","TR",$B$3,C20,"_P","_",G20),AND(C20="TR",D20="TR_P"),CONCATENATE(B20,"_","TR",$B$3,"_","TR",$B$3,"_P","_",G20),AND(C20="TR",D20="TR_A"),CONCATENATE(B20,"_","TR",$B$3,"_","TR",$B$3,"_A","_",G20))</f>
        <v>IMA_TR6AT_TR6AT_Q</v>
      </c>
      <c r="I20" s="6" t="s">
        <v>188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32</v>
      </c>
    </row>
    <row r="21" spans="1:14" x14ac:dyDescent="0.25">
      <c r="A21" s="6" t="s">
        <v>190</v>
      </c>
      <c r="B21" s="6" t="str">
        <f>Informações!$C$3</f>
        <v>IMA</v>
      </c>
      <c r="C21" s="6" t="s">
        <v>101</v>
      </c>
      <c r="D21" s="6" t="s">
        <v>27</v>
      </c>
      <c r="E21" s="2" t="s">
        <v>8</v>
      </c>
      <c r="F21" s="6" t="str">
        <f>VLOOKUP(G21,[1]Analog!$A:$B,2,FALSE)</f>
        <v>CORRENTE FASE A</v>
      </c>
      <c r="G21" s="6" t="s">
        <v>9</v>
      </c>
      <c r="H21" s="6" t="str" cm="1">
        <f t="array" ref="H21">_xlfn.IFS(OR(D21="TC",D21="TP",AND(D21="TR",C21="AT"),AND(D21="TR",C21="BT")),CONCATENATE(B21,"_","TR",$B$3,C21,"_","TR",$B$3,C21,"_",G21),AND(D21="SECC",C21="BT"),CONCATENATE(B21,"_","TR",$B$3,C21,"_",$B$9,"_",G21),AND(D21="SECF",C21="AT"),CONCATENATE(B21,"_","TR",$B$3,C21,"_",$B$6,"_",G21),AND(D21="SECT",C21="AT"),CONCATENATE(B21,"_","TR",$B$3,C21,"_",$B$7,"_",G21),AND(D21="DJ",C21="AT"),CONCATENATE(B21,"_","TR",$B$3,C21,"_",$B$4,"_",G21),AND(D21="DJ",C21="BT"),CONCATENATE(B21,"_","TR",$B$3,C21,"_",$B$8,"_",G21),AND(C21="TR",D21="TR"),CONCATENATE(B21,"_","TR",$B$3,"_","TR",$B$3,"_",G21),AND(D21="SECT",C21="BT"),CONCATENATE(B21,"_","TR",$B$3,C21,"_",$B$11,"_",G21),AND(D21="SECF",C21="BT"),CONCATENATE(B21,"_","TR",$B$3,C21,"_",$B$10,"_",G21),AND(D21="SECC",C21="AT"),CONCATENATE(B21,"_","TR",$B$3,C21,"_",$B$5,"_",G21),AND(C21="AT",D21="TR_A"),CONCATENATE(B21,"_","TR",$B$3,C21,"_","TR",$B$3,C21,"_A","_",G21),AND(C21="AT",D21="TR_P"),CONCATENATE(B21,"_","TR",$B$3,C21,"_","TR",$B$3,C21,"_P","_",G21),AND(C21="BT",D21="TR_A"),CONCATENATE(B21,"_","TR",$B$3,C21,"_","TR",$B$3,C21,"_A","_",G21),AND(C21="BT",D21="TR_P"),CONCATENATE(B21,"_","TR",$B$3,C21,"_","TR",$B$3,C21,"_P","_",G21),AND(C21="TR",D21="TR_P"),CONCATENATE(B21,"_","TR",$B$3,"_","TR",$B$3,"_P","_",G21),AND(C21="TR",D21="TR_A"),CONCATENATE(B21,"_","TR",$B$3,"_","TR",$B$3,"_A","_",G21))</f>
        <v>IMA_TR6BT_TR6BT_IA</v>
      </c>
      <c r="I21" s="6" t="s">
        <v>188</v>
      </c>
      <c r="J21" s="6" t="s">
        <v>188</v>
      </c>
      <c r="K21" s="6" t="s">
        <v>188</v>
      </c>
      <c r="L21" s="8">
        <v>0.01</v>
      </c>
      <c r="M21" s="6" t="s">
        <v>188</v>
      </c>
      <c r="N21" s="6">
        <f t="shared" si="0"/>
        <v>33</v>
      </c>
    </row>
    <row r="22" spans="1:14" x14ac:dyDescent="0.25">
      <c r="A22" s="6" t="s">
        <v>190</v>
      </c>
      <c r="B22" s="6" t="str">
        <f>Informações!$C$3</f>
        <v>IMA</v>
      </c>
      <c r="C22" s="6" t="s">
        <v>101</v>
      </c>
      <c r="D22" s="6" t="s">
        <v>27</v>
      </c>
      <c r="E22" s="2" t="s">
        <v>8</v>
      </c>
      <c r="F22" s="6" t="str">
        <f>VLOOKUP(G22,[1]Analog!$A:$B,2,FALSE)</f>
        <v>CORRENTE FASE B</v>
      </c>
      <c r="G22" s="6" t="s">
        <v>10</v>
      </c>
      <c r="H22" s="6" t="str" cm="1">
        <f t="array" ref="H22">_xlfn.IFS(OR(D22="TC",D22="TP",AND(D22="TR",C22="AT"),AND(D22="TR",C22="BT")),CONCATENATE(B22,"_","TR",$B$3,C22,"_","TR",$B$3,C22,"_",G22),AND(D22="SECC",C22="BT"),CONCATENATE(B22,"_","TR",$B$3,C22,"_",$B$9,"_",G22),AND(D22="SECF",C22="AT"),CONCATENATE(B22,"_","TR",$B$3,C22,"_",$B$6,"_",G22),AND(D22="SECT",C22="AT"),CONCATENATE(B22,"_","TR",$B$3,C22,"_",$B$7,"_",G22),AND(D22="DJ",C22="AT"),CONCATENATE(B22,"_","TR",$B$3,C22,"_",$B$4,"_",G22),AND(D22="DJ",C22="BT"),CONCATENATE(B22,"_","TR",$B$3,C22,"_",$B$8,"_",G22),AND(C22="TR",D22="TR"),CONCATENATE(B22,"_","TR",$B$3,"_","TR",$B$3,"_",G22),AND(D22="SECT",C22="BT"),CONCATENATE(B22,"_","TR",$B$3,C22,"_",$B$11,"_",G22),AND(D22="SECF",C22="BT"),CONCATENATE(B22,"_","TR",$B$3,C22,"_",$B$10,"_",G22),AND(D22="SECC",C22="AT"),CONCATENATE(B22,"_","TR",$B$3,C22,"_",$B$5,"_",G22),AND(C22="AT",D22="TR_A"),CONCATENATE(B22,"_","TR",$B$3,C22,"_","TR",$B$3,C22,"_A","_",G22),AND(C22="AT",D22="TR_P"),CONCATENATE(B22,"_","TR",$B$3,C22,"_","TR",$B$3,C22,"_P","_",G22),AND(C22="BT",D22="TR_A"),CONCATENATE(B22,"_","TR",$B$3,C22,"_","TR",$B$3,C22,"_A","_",G22),AND(C22="BT",D22="TR_P"),CONCATENATE(B22,"_","TR",$B$3,C22,"_","TR",$B$3,C22,"_P","_",G22),AND(C22="TR",D22="TR_P"),CONCATENATE(B22,"_","TR",$B$3,"_","TR",$B$3,"_P","_",G22),AND(C22="TR",D22="TR_A"),CONCATENATE(B22,"_","TR",$B$3,"_","TR",$B$3,"_A","_",G22))</f>
        <v>IMA_TR6BT_TR6BT_IB</v>
      </c>
      <c r="I22" s="6" t="s">
        <v>188</v>
      </c>
      <c r="J22" s="6" t="s">
        <v>188</v>
      </c>
      <c r="K22" s="6" t="s">
        <v>188</v>
      </c>
      <c r="L22" s="8">
        <v>0.01</v>
      </c>
      <c r="M22" s="6" t="s">
        <v>188</v>
      </c>
      <c r="N22" s="6">
        <f t="shared" si="0"/>
        <v>34</v>
      </c>
    </row>
    <row r="23" spans="1:14" x14ac:dyDescent="0.25">
      <c r="A23" s="6" t="s">
        <v>190</v>
      </c>
      <c r="B23" s="6" t="str">
        <f>Informações!$C$3</f>
        <v>IMA</v>
      </c>
      <c r="C23" s="6" t="s">
        <v>101</v>
      </c>
      <c r="D23" s="6" t="s">
        <v>27</v>
      </c>
      <c r="E23" s="2" t="s">
        <v>8</v>
      </c>
      <c r="F23" s="6" t="str">
        <f>VLOOKUP(G23,[1]Analog!$A:$B,2,FALSE)</f>
        <v>CORRENTE FASE C</v>
      </c>
      <c r="G23" s="6" t="s">
        <v>11</v>
      </c>
      <c r="H23" s="6" t="str" cm="1">
        <f t="array" ref="H23">_xlfn.IFS(OR(D23="TC",D23="TP",AND(D23="TR",C23="AT"),AND(D23="TR",C23="BT")),CONCATENATE(B23,"_","TR",$B$3,C23,"_","TR",$B$3,C23,"_",G23),AND(D23="SECC",C23="BT"),CONCATENATE(B23,"_","TR",$B$3,C23,"_",$B$9,"_",G23),AND(D23="SECF",C23="AT"),CONCATENATE(B23,"_","TR",$B$3,C23,"_",$B$6,"_",G23),AND(D23="SECT",C23="AT"),CONCATENATE(B23,"_","TR",$B$3,C23,"_",$B$7,"_",G23),AND(D23="DJ",C23="AT"),CONCATENATE(B23,"_","TR",$B$3,C23,"_",$B$4,"_",G23),AND(D23="DJ",C23="BT"),CONCATENATE(B23,"_","TR",$B$3,C23,"_",$B$8,"_",G23),AND(C23="TR",D23="TR"),CONCATENATE(B23,"_","TR",$B$3,"_","TR",$B$3,"_",G23),AND(D23="SECT",C23="BT"),CONCATENATE(B23,"_","TR",$B$3,C23,"_",$B$11,"_",G23),AND(D23="SECF",C23="BT"),CONCATENATE(B23,"_","TR",$B$3,C23,"_",$B$10,"_",G23),AND(D23="SECC",C23="AT"),CONCATENATE(B23,"_","TR",$B$3,C23,"_",$B$5,"_",G23),AND(C23="AT",D23="TR_A"),CONCATENATE(B23,"_","TR",$B$3,C23,"_","TR",$B$3,C23,"_A","_",G23),AND(C23="AT",D23="TR_P"),CONCATENATE(B23,"_","TR",$B$3,C23,"_","TR",$B$3,C23,"_P","_",G23),AND(C23="BT",D23="TR_A"),CONCATENATE(B23,"_","TR",$B$3,C23,"_","TR",$B$3,C23,"_A","_",G23),AND(C23="BT",D23="TR_P"),CONCATENATE(B23,"_","TR",$B$3,C23,"_","TR",$B$3,C23,"_P","_",G23),AND(C23="TR",D23="TR_P"),CONCATENATE(B23,"_","TR",$B$3,"_","TR",$B$3,"_P","_",G23),AND(C23="TR",D23="TR_A"),CONCATENATE(B23,"_","TR",$B$3,"_","TR",$B$3,"_A","_",G23))</f>
        <v>IMA_TR6BT_TR6BT_IC</v>
      </c>
      <c r="I23" s="6" t="s">
        <v>188</v>
      </c>
      <c r="J23" s="6" t="s">
        <v>188</v>
      </c>
      <c r="K23" s="6" t="s">
        <v>188</v>
      </c>
      <c r="L23" s="8">
        <v>10</v>
      </c>
      <c r="M23" s="6" t="s">
        <v>188</v>
      </c>
      <c r="N23" s="6">
        <f t="shared" si="0"/>
        <v>35</v>
      </c>
    </row>
    <row r="24" spans="1:14" x14ac:dyDescent="0.25">
      <c r="A24" s="6" t="s">
        <v>190</v>
      </c>
      <c r="B24" s="6" t="str">
        <f>Informações!$C$3</f>
        <v>IMA</v>
      </c>
      <c r="C24" s="6" t="s">
        <v>101</v>
      </c>
      <c r="D24" s="6" t="s">
        <v>27</v>
      </c>
      <c r="E24" s="2" t="s">
        <v>8</v>
      </c>
      <c r="F24" s="6" t="str">
        <f>VLOOKUP(G24,[1]Analog!$A:$B,2,FALSE)</f>
        <v>CORRENTE NEUTRO</v>
      </c>
      <c r="G24" s="6" t="s">
        <v>91</v>
      </c>
      <c r="H24" s="6" t="str" cm="1">
        <f t="array" ref="H24">_xlfn.IFS(OR(D24="TC",D24="TP",AND(D24="TR",C24="AT"),AND(D24="TR",C24="BT")),CONCATENATE(B24,"_","TR",$B$3,C24,"_","TR",$B$3,C24,"_",G24),AND(D24="SECC",C24="BT"),CONCATENATE(B24,"_","TR",$B$3,C24,"_",$B$9,"_",G24),AND(D24="SECF",C24="AT"),CONCATENATE(B24,"_","TR",$B$3,C24,"_",$B$6,"_",G24),AND(D24="SECT",C24="AT"),CONCATENATE(B24,"_","TR",$B$3,C24,"_",$B$7,"_",G24),AND(D24="DJ",C24="AT"),CONCATENATE(B24,"_","TR",$B$3,C24,"_",$B$4,"_",G24),AND(D24="DJ",C24="BT"),CONCATENATE(B24,"_","TR",$B$3,C24,"_",$B$8,"_",G24),AND(C24="TR",D24="TR"),CONCATENATE(B24,"_","TR",$B$3,"_","TR",$B$3,"_",G24),AND(D24="SECT",C24="BT"),CONCATENATE(B24,"_","TR",$B$3,C24,"_",$B$11,"_",G24),AND(D24="SECF",C24="BT"),CONCATENATE(B24,"_","TR",$B$3,C24,"_",$B$10,"_",G24),AND(D24="SECC",C24="AT"),CONCATENATE(B24,"_","TR",$B$3,C24,"_",$B$5,"_",G24),AND(C24="AT",D24="TR_A"),CONCATENATE(B24,"_","TR",$B$3,C24,"_","TR",$B$3,C24,"_A","_",G24),AND(C24="AT",D24="TR_P"),CONCATENATE(B24,"_","TR",$B$3,C24,"_","TR",$B$3,C24,"_P","_",G24),AND(C24="BT",D24="TR_A"),CONCATENATE(B24,"_","TR",$B$3,C24,"_","TR",$B$3,C24,"_A","_",G24),AND(C24="BT",D24="TR_P"),CONCATENATE(B24,"_","TR",$B$3,C24,"_","TR",$B$3,C24,"_P","_",G24),AND(C24="TR",D24="TR_P"),CONCATENATE(B24,"_","TR",$B$3,"_","TR",$B$3,"_P","_",G24),AND(C24="TR",D24="TR_A"),CONCATENATE(B24,"_","TR",$B$3,"_","TR",$B$3,"_A","_",G24))</f>
        <v>IMA_TR6BT_TR6BT_IN</v>
      </c>
      <c r="I24" s="6" t="s">
        <v>188</v>
      </c>
      <c r="J24" s="6" t="s">
        <v>188</v>
      </c>
      <c r="K24" s="6" t="s">
        <v>188</v>
      </c>
      <c r="L24" s="8">
        <v>10</v>
      </c>
      <c r="M24" s="6" t="s">
        <v>188</v>
      </c>
      <c r="N24" s="6">
        <f t="shared" si="0"/>
        <v>36</v>
      </c>
    </row>
    <row r="25" spans="1:14" x14ac:dyDescent="0.25">
      <c r="A25" s="6" t="s">
        <v>190</v>
      </c>
      <c r="B25" s="6" t="str">
        <f>Informações!$C$3</f>
        <v>IMA</v>
      </c>
      <c r="C25" s="6" t="s">
        <v>101</v>
      </c>
      <c r="D25" s="6" t="s">
        <v>27</v>
      </c>
      <c r="E25" s="2" t="s">
        <v>8</v>
      </c>
      <c r="F25" s="6" t="str">
        <f>VLOOKUP(G25,[1]Analog!$A:$B,2,FALSE)</f>
        <v>TENSAO</v>
      </c>
      <c r="G25" s="6" t="s">
        <v>90</v>
      </c>
      <c r="H25" s="6" t="str" cm="1">
        <f t="array" ref="H25">_xlfn.IFS(OR(D25="TC",D25="TP",AND(D25="TR",C25="AT"),AND(D25="TR",C25="BT")),CONCATENATE(B25,"_","TR",$B$3,C25,"_","TR",$B$3,C25,"_",G25),AND(D25="SECC",C25="BT"),CONCATENATE(B25,"_","TR",$B$3,C25,"_",$B$9,"_",G25),AND(D25="SECF",C25="AT"),CONCATENATE(B25,"_","TR",$B$3,C25,"_",$B$6,"_",G25),AND(D25="SECT",C25="AT"),CONCATENATE(B25,"_","TR",$B$3,C25,"_",$B$7,"_",G25),AND(D25="DJ",C25="AT"),CONCATENATE(B25,"_","TR",$B$3,C25,"_",$B$4,"_",G25),AND(D25="DJ",C25="BT"),CONCATENATE(B25,"_","TR",$B$3,C25,"_",$B$8,"_",G25),AND(C25="TR",D25="TR"),CONCATENATE(B25,"_","TR",$B$3,"_","TR",$B$3,"_",G25),AND(D25="SECT",C25="BT"),CONCATENATE(B25,"_","TR",$B$3,C25,"_",$B$11,"_",G25),AND(D25="SECF",C25="BT"),CONCATENATE(B25,"_","TR",$B$3,C25,"_",$B$10,"_",G25),AND(D25="SECC",C25="AT"),CONCATENATE(B25,"_","TR",$B$3,C25,"_",$B$5,"_",G25),AND(C25="AT",D25="TR_A"),CONCATENATE(B25,"_","TR",$B$3,C25,"_","TR",$B$3,C25,"_A","_",G25),AND(C25="AT",D25="TR_P"),CONCATENATE(B25,"_","TR",$B$3,C25,"_","TR",$B$3,C25,"_P","_",G25),AND(C25="BT",D25="TR_A"),CONCATENATE(B25,"_","TR",$B$3,C25,"_","TR",$B$3,C25,"_A","_",G25),AND(C25="BT",D25="TR_P"),CONCATENATE(B25,"_","TR",$B$3,C25,"_","TR",$B$3,C25,"_P","_",G25),AND(C25="TR",D25="TR_P"),CONCATENATE(B25,"_","TR",$B$3,"_","TR",$B$3,"_P","_",G25),AND(C25="TR",D25="TR_A"),CONCATENATE(B25,"_","TR",$B$3,"_","TR",$B$3,"_A","_",G25))</f>
        <v>IMA_TR6BT_TR6BT_V</v>
      </c>
      <c r="I25" s="6" t="s">
        <v>188</v>
      </c>
      <c r="J25" s="6" t="s">
        <v>188</v>
      </c>
      <c r="K25" s="6" t="s">
        <v>188</v>
      </c>
      <c r="L25" s="8">
        <v>0.01</v>
      </c>
      <c r="M25" s="6" t="s">
        <v>188</v>
      </c>
      <c r="N25" s="6">
        <f t="shared" si="0"/>
        <v>37</v>
      </c>
    </row>
    <row r="26" spans="1:14" x14ac:dyDescent="0.25">
      <c r="A26" s="6" t="s">
        <v>190</v>
      </c>
      <c r="B26" s="6" t="str">
        <f>Informações!$C$3</f>
        <v>IMA</v>
      </c>
      <c r="C26" s="6" t="s">
        <v>101</v>
      </c>
      <c r="D26" s="6" t="s">
        <v>27</v>
      </c>
      <c r="E26" s="2" t="s">
        <v>8</v>
      </c>
      <c r="F26" s="6" t="str">
        <f>VLOOKUP(G26,[1]Analog!$A:$B,2,FALSE)</f>
        <v>POTENCIA ATIVA</v>
      </c>
      <c r="G26" s="6" t="s">
        <v>18</v>
      </c>
      <c r="H26" s="6" t="str" cm="1">
        <f t="array" ref="H26">_xlfn.IFS(OR(D26="TC",D26="TP",AND(D26="TR",C26="AT"),AND(D26="TR",C26="BT")),CONCATENATE(B26,"_","TR",$B$3,C26,"_","TR",$B$3,C26,"_",G26),AND(D26="SECC",C26="BT"),CONCATENATE(B26,"_","TR",$B$3,C26,"_",$B$9,"_",G26),AND(D26="SECF",C26="AT"),CONCATENATE(B26,"_","TR",$B$3,C26,"_",$B$6,"_",G26),AND(D26="SECT",C26="AT"),CONCATENATE(B26,"_","TR",$B$3,C26,"_",$B$7,"_",G26),AND(D26="DJ",C26="AT"),CONCATENATE(B26,"_","TR",$B$3,C26,"_",$B$4,"_",G26),AND(D26="DJ",C26="BT"),CONCATENATE(B26,"_","TR",$B$3,C26,"_",$B$8,"_",G26),AND(C26="TR",D26="TR"),CONCATENATE(B26,"_","TR",$B$3,"_","TR",$B$3,"_",G26),AND(D26="SECT",C26="BT"),CONCATENATE(B26,"_","TR",$B$3,C26,"_",$B$11,"_",G26),AND(D26="SECF",C26="BT"),CONCATENATE(B26,"_","TR",$B$3,C26,"_",$B$10,"_",G26),AND(D26="SECC",C26="AT"),CONCATENATE(B26,"_","TR",$B$3,C26,"_",$B$5,"_",G26),AND(C26="AT",D26="TR_A"),CONCATENATE(B26,"_","TR",$B$3,C26,"_","TR",$B$3,C26,"_A","_",G26),AND(C26="AT",D26="TR_P"),CONCATENATE(B26,"_","TR",$B$3,C26,"_","TR",$B$3,C26,"_P","_",G26),AND(C26="BT",D26="TR_A"),CONCATENATE(B26,"_","TR",$B$3,C26,"_","TR",$B$3,C26,"_A","_",G26),AND(C26="BT",D26="TR_P"),CONCATENATE(B26,"_","TR",$B$3,C26,"_","TR",$B$3,C26,"_P","_",G26),AND(C26="TR",D26="TR_P"),CONCATENATE(B26,"_","TR",$B$3,"_","TR",$B$3,"_P","_",G26),AND(C26="TR",D26="TR_A"),CONCATENATE(B26,"_","TR",$B$3,"_","TR",$B$3,"_A","_",G26))</f>
        <v>IMA_TR6BT_TR6BT_P</v>
      </c>
      <c r="I26" s="6" t="s">
        <v>188</v>
      </c>
      <c r="J26" s="6" t="s">
        <v>188</v>
      </c>
      <c r="K26" s="6" t="s">
        <v>188</v>
      </c>
      <c r="L26" s="8">
        <v>1</v>
      </c>
      <c r="M26" s="6" t="s">
        <v>188</v>
      </c>
      <c r="N26" s="6">
        <f t="shared" si="0"/>
        <v>38</v>
      </c>
    </row>
    <row r="27" spans="1:14" x14ac:dyDescent="0.25">
      <c r="A27" s="6" t="s">
        <v>190</v>
      </c>
      <c r="B27" s="6" t="str">
        <f>Informações!$C$3</f>
        <v>IMA</v>
      </c>
      <c r="C27" s="6" t="s">
        <v>101</v>
      </c>
      <c r="D27" s="6" t="s">
        <v>27</v>
      </c>
      <c r="E27" s="2" t="s">
        <v>8</v>
      </c>
      <c r="F27" s="6" t="str">
        <f>VLOOKUP(G27,[1]Analog!$A:$B,2,FALSE)</f>
        <v>POTENCIA REATIVA</v>
      </c>
      <c r="G27" s="6" t="s">
        <v>19</v>
      </c>
      <c r="H27" s="6" t="str" cm="1">
        <f t="array" ref="H27">_xlfn.IFS(OR(D27="TC",D27="TP",AND(D27="TR",C27="AT"),AND(D27="TR",C27="BT")),CONCATENATE(B27,"_","TR",$B$3,C27,"_","TR",$B$3,C27,"_",G27),AND(D27="SECC",C27="BT"),CONCATENATE(B27,"_","TR",$B$3,C27,"_",$B$9,"_",G27),AND(D27="SECF",C27="AT"),CONCATENATE(B27,"_","TR",$B$3,C27,"_",$B$6,"_",G27),AND(D27="SECT",C27="AT"),CONCATENATE(B27,"_","TR",$B$3,C27,"_",$B$7,"_",G27),AND(D27="DJ",C27="AT"),CONCATENATE(B27,"_","TR",$B$3,C27,"_",$B$4,"_",G27),AND(D27="DJ",C27="BT"),CONCATENATE(B27,"_","TR",$B$3,C27,"_",$B$8,"_",G27),AND(C27="TR",D27="TR"),CONCATENATE(B27,"_","TR",$B$3,"_","TR",$B$3,"_",G27),AND(D27="SECT",C27="BT"),CONCATENATE(B27,"_","TR",$B$3,C27,"_",$B$11,"_",G27),AND(D27="SECF",C27="BT"),CONCATENATE(B27,"_","TR",$B$3,C27,"_",$B$10,"_",G27),AND(D27="SECC",C27="AT"),CONCATENATE(B27,"_","TR",$B$3,C27,"_",$B$5,"_",G27),AND(C27="AT",D27="TR_A"),CONCATENATE(B27,"_","TR",$B$3,C27,"_","TR",$B$3,C27,"_A","_",G27),AND(C27="AT",D27="TR_P"),CONCATENATE(B27,"_","TR",$B$3,C27,"_","TR",$B$3,C27,"_P","_",G27),AND(C27="BT",D27="TR_A"),CONCATENATE(B27,"_","TR",$B$3,C27,"_","TR",$B$3,C27,"_A","_",G27),AND(C27="BT",D27="TR_P"),CONCATENATE(B27,"_","TR",$B$3,C27,"_","TR",$B$3,C27,"_P","_",G27),AND(C27="TR",D27="TR_P"),CONCATENATE(B27,"_","TR",$B$3,"_","TR",$B$3,"_P","_",G27),AND(C27="TR",D27="TR_A"),CONCATENATE(B27,"_","TR",$B$3,"_","TR",$B$3,"_A","_",G27))</f>
        <v>IMA_TR6BT_TR6BT_Q</v>
      </c>
      <c r="I27" s="6" t="s">
        <v>188</v>
      </c>
      <c r="J27" s="6" t="s">
        <v>188</v>
      </c>
      <c r="K27" s="6" t="s">
        <v>188</v>
      </c>
      <c r="L27" s="8">
        <v>1</v>
      </c>
      <c r="M27" s="6" t="s">
        <v>188</v>
      </c>
      <c r="N27" s="6">
        <f t="shared" si="0"/>
        <v>39</v>
      </c>
    </row>
    <row r="28" spans="1:14" x14ac:dyDescent="0.25">
      <c r="A28" s="6" t="s">
        <v>190</v>
      </c>
      <c r="B28" s="6" t="str">
        <f>Informações!$C$3</f>
        <v>IMA</v>
      </c>
      <c r="C28" s="6" t="s">
        <v>102</v>
      </c>
      <c r="D28" s="6" t="s">
        <v>102</v>
      </c>
      <c r="E28" s="2" t="s">
        <v>8</v>
      </c>
      <c r="F28" s="6" t="str">
        <f>VLOOKUP(G28,[1]Analog!$A:$B,2,FALSE)</f>
        <v>TEMPERATURA OLEO</v>
      </c>
      <c r="G28" s="6" t="s">
        <v>106</v>
      </c>
      <c r="H28" s="6" t="str" cm="1">
        <f t="array" ref="H28">_xlfn.IFS(OR(D28="TC",D28="TP",AND(D28="TR",C28="AT"),AND(D28="TR",C28="BT")),CONCATENATE(B28,"_","TR",$B$3,C28,"_","TR",$B$3,C28,"_",G28),AND(D28="SECC",C28="BT"),CONCATENATE(B28,"_","TR",$B$3,C28,"_",$B$9,"_",G28),AND(D28="SECF",C28="AT"),CONCATENATE(B28,"_","TR",$B$3,C28,"_",$B$6,"_",G28),AND(D28="SECT",C28="AT"),CONCATENATE(B28,"_","TR",$B$3,C28,"_",$B$7,"_",G28),AND(D28="DJ",C28="AT"),CONCATENATE(B28,"_","TR",$B$3,C28,"_",$B$4,"_",G28),AND(D28="DJ",C28="BT"),CONCATENATE(B28,"_","TR",$B$3,C28,"_",$B$8,"_",G28),AND(C28="TR",D28="TR"),CONCATENATE(B28,"_","TR",$B$3,"_","TR",$B$3,"_",G28),AND(D28="SECT",C28="BT"),CONCATENATE(B28,"_","TR",$B$3,C28,"_",$B$11,"_",G28),AND(D28="SECF",C28="BT"),CONCATENATE(B28,"_","TR",$B$3,C28,"_",$B$10,"_",G28),AND(D28="SECC",C28="AT"),CONCATENATE(B28,"_","TR",$B$3,C28,"_",$B$5,"_",G28),AND(C28="AT",D28="TR_A"),CONCATENATE(B28,"_","TR",$B$3,C28,"_","TR",$B$3,C28,"_A","_",G28),AND(C28="AT",D28="TR_P"),CONCATENATE(B28,"_","TR",$B$3,C28,"_","TR",$B$3,C28,"_P","_",G28),AND(C28="BT",D28="TR_A"),CONCATENATE(B28,"_","TR",$B$3,C28,"_","TR",$B$3,C28,"_A","_",G28),AND(C28="BT",D28="TR_P"),CONCATENATE(B28,"_","TR",$B$3,C28,"_","TR",$B$3,C28,"_P","_",G28),AND(C28="TR",D28="TR_P"),CONCATENATE(B28,"_","TR",$B$3,"_","TR",$B$3,"_P","_",G28),AND(C28="TR",D28="TR_A"),CONCATENATE(B28,"_","TR",$B$3,"_","TR",$B$3,"_A","_",G28))</f>
        <v>IMA_TR6_TR6_TOLE</v>
      </c>
      <c r="I28" s="6" t="s">
        <v>188</v>
      </c>
      <c r="J28" s="6" t="s">
        <v>188</v>
      </c>
      <c r="K28" s="6" t="s">
        <v>188</v>
      </c>
      <c r="L28" s="8">
        <v>1</v>
      </c>
      <c r="M28" s="6" t="s">
        <v>188</v>
      </c>
      <c r="N28" s="6">
        <f t="shared" si="0"/>
        <v>40</v>
      </c>
    </row>
    <row r="29" spans="1:14" x14ac:dyDescent="0.25">
      <c r="A29" s="6" t="s">
        <v>190</v>
      </c>
      <c r="B29" s="6" t="str">
        <f>Informações!$C$3</f>
        <v>IMA</v>
      </c>
      <c r="C29" s="6" t="s">
        <v>100</v>
      </c>
      <c r="D29" s="6" t="s">
        <v>102</v>
      </c>
      <c r="E29" s="2" t="s">
        <v>8</v>
      </c>
      <c r="F29" s="6" t="str">
        <f>VLOOKUP(G29,[1]Analog!$A:$B,2,FALSE)</f>
        <v>TEMPERATURA ENROLAMENTO</v>
      </c>
      <c r="G29" s="6" t="s">
        <v>107</v>
      </c>
      <c r="H29" s="6" t="str" cm="1">
        <f t="array" ref="H29">_xlfn.IFS(OR(D29="TC",D29="TP",AND(D29="TR",C29="AT"),AND(D29="TR",C29="BT")),CONCATENATE(B29,"_","TR",$B$3,C29,"_","TR",$B$3,C29,"_",G29),AND(D29="SECC",C29="BT"),CONCATENATE(B29,"_","TR",$B$3,C29,"_",$B$9,"_",G29),AND(D29="SECF",C29="AT"),CONCATENATE(B29,"_","TR",$B$3,C29,"_",$B$6,"_",G29),AND(D29="SECT",C29="AT"),CONCATENATE(B29,"_","TR",$B$3,C29,"_",$B$7,"_",G29),AND(D29="DJ",C29="AT"),CONCATENATE(B29,"_","TR",$B$3,C29,"_",$B$4,"_",G29),AND(D29="DJ",C29="BT"),CONCATENATE(B29,"_","TR",$B$3,C29,"_",$B$8,"_",G29),AND(C29="TR",D29="TR"),CONCATENATE(B29,"_","TR",$B$3,"_","TR",$B$3,"_",G29),AND(D29="SECT",C29="BT"),CONCATENATE(B29,"_","TR",$B$3,C29,"_",$B$11,"_",G29),AND(D29="SECF",C29="BT"),CONCATENATE(B29,"_","TR",$B$3,C29,"_",$B$10,"_",G29),AND(D29="SECC",C29="AT"),CONCATENATE(B29,"_","TR",$B$3,C29,"_",$B$5,"_",G29),AND(C29="AT",D29="TR_A"),CONCATENATE(B29,"_","TR",$B$3,C29,"_","TR",$B$3,C29,"_A","_",G29),AND(C29="AT",D29="TR_P"),CONCATENATE(B29,"_","TR",$B$3,C29,"_","TR",$B$3,C29,"_P","_",G29),AND(C29="BT",D29="TR_A"),CONCATENATE(B29,"_","TR",$B$3,C29,"_","TR",$B$3,C29,"_A","_",G29),AND(C29="BT",D29="TR_P"),CONCATENATE(B29,"_","TR",$B$3,C29,"_","TR",$B$3,C29,"_P","_",G29),AND(C29="TR",D29="TR_P"),CONCATENATE(B29,"_","TR",$B$3,"_","TR",$B$3,"_P","_",G29),AND(C29="TR",D29="TR_A"),CONCATENATE(B29,"_","TR",$B$3,"_","TR",$B$3,"_A","_",G29))</f>
        <v>IMA_TR6AT_TR6AT_TENR</v>
      </c>
      <c r="I29" s="6" t="s">
        <v>188</v>
      </c>
      <c r="J29" s="6" t="s">
        <v>188</v>
      </c>
      <c r="K29" s="6" t="s">
        <v>188</v>
      </c>
      <c r="L29" s="8">
        <v>1</v>
      </c>
      <c r="M29" s="6" t="s">
        <v>188</v>
      </c>
      <c r="N29" s="6">
        <f t="shared" si="0"/>
        <v>41</v>
      </c>
    </row>
    <row r="30" spans="1:14" x14ac:dyDescent="0.25">
      <c r="A30" s="6" t="s">
        <v>190</v>
      </c>
      <c r="B30" s="6" t="str">
        <f>Informações!$C$3</f>
        <v>IMA</v>
      </c>
      <c r="C30" s="6" t="s">
        <v>101</v>
      </c>
      <c r="D30" s="6" t="s">
        <v>102</v>
      </c>
      <c r="E30" s="2" t="s">
        <v>8</v>
      </c>
      <c r="F30" s="6" t="str">
        <f>VLOOKUP(G30,[1]Analog!$A:$B,2,FALSE)</f>
        <v>TEMPERATURA ENROLAMENTO</v>
      </c>
      <c r="G30" s="6" t="s">
        <v>107</v>
      </c>
      <c r="H30" s="6" t="str" cm="1">
        <f t="array" ref="H30">_xlfn.IFS(OR(D30="TC",D30="TP",AND(D30="TR",C30="AT"),AND(D30="TR",C30="BT")),CONCATENATE(B30,"_","TR",$B$3,C30,"_","TR",$B$3,C30,"_",G30),AND(D30="SECC",C30="BT"),CONCATENATE(B30,"_","TR",$B$3,C30,"_",$B$9,"_",G30),AND(D30="SECF",C30="AT"),CONCATENATE(B30,"_","TR",$B$3,C30,"_",$B$6,"_",G30),AND(D30="SECT",C30="AT"),CONCATENATE(B30,"_","TR",$B$3,C30,"_",$B$7,"_",G30),AND(D30="DJ",C30="AT"),CONCATENATE(B30,"_","TR",$B$3,C30,"_",$B$4,"_",G30),AND(D30="DJ",C30="BT"),CONCATENATE(B30,"_","TR",$B$3,C30,"_",$B$8,"_",G30),AND(C30="TR",D30="TR"),CONCATENATE(B30,"_","TR",$B$3,"_","TR",$B$3,"_",G30),AND(D30="SECT",C30="BT"),CONCATENATE(B30,"_","TR",$B$3,C30,"_",$B$11,"_",G30),AND(D30="SECF",C30="BT"),CONCATENATE(B30,"_","TR",$B$3,C30,"_",$B$10,"_",G30),AND(D30="SECC",C30="AT"),CONCATENATE(B30,"_","TR",$B$3,C30,"_",$B$5,"_",G30),AND(C30="AT",D30="TR_A"),CONCATENATE(B30,"_","TR",$B$3,C30,"_","TR",$B$3,C30,"_A","_",G30),AND(C30="AT",D30="TR_P"),CONCATENATE(B30,"_","TR",$B$3,C30,"_","TR",$B$3,C30,"_P","_",G30),AND(C30="BT",D30="TR_A"),CONCATENATE(B30,"_","TR",$B$3,C30,"_","TR",$B$3,C30,"_A","_",G30),AND(C30="BT",D30="TR_P"),CONCATENATE(B30,"_","TR",$B$3,C30,"_","TR",$B$3,C30,"_P","_",G30),AND(C30="TR",D30="TR_P"),CONCATENATE(B30,"_","TR",$B$3,"_","TR",$B$3,"_P","_",G30),AND(C30="TR",D30="TR_A"),CONCATENATE(B30,"_","TR",$B$3,"_","TR",$B$3,"_A","_",G30))</f>
        <v>IMA_TR6BT_TR6BT_TENR</v>
      </c>
      <c r="I30" s="6" t="s">
        <v>188</v>
      </c>
      <c r="J30" s="6" t="s">
        <v>188</v>
      </c>
      <c r="K30" s="6" t="s">
        <v>188</v>
      </c>
      <c r="L30" s="8">
        <v>1</v>
      </c>
      <c r="M30" s="6" t="s">
        <v>188</v>
      </c>
      <c r="N30" s="6">
        <f t="shared" si="0"/>
        <v>42</v>
      </c>
    </row>
    <row r="31" spans="1:14" x14ac:dyDescent="0.25">
      <c r="A31" s="6" t="s">
        <v>190</v>
      </c>
      <c r="B31" s="6" t="str">
        <f>Informações!$C$3</f>
        <v>IMA</v>
      </c>
      <c r="C31" s="6" t="s">
        <v>101</v>
      </c>
      <c r="D31" s="6" t="s">
        <v>102</v>
      </c>
      <c r="E31" s="2" t="s">
        <v>8</v>
      </c>
      <c r="F31" s="6" t="str">
        <f>VLOOKUP(G31,[1]Analog!$A:$B,2,FALSE)</f>
        <v>CORRENTE CURTO CIRCUITO FASE A</v>
      </c>
      <c r="G31" s="6" t="s">
        <v>21</v>
      </c>
      <c r="H31" s="6" t="str" cm="1">
        <f t="array" ref="H31">_xlfn.IFS(OR(D31="TC",D31="TP",AND(D31="TR",C31="AT"),AND(D31="TR",C31="BT")),CONCATENATE(B31,"_","TR",$B$3,C31,"_","TR",$B$3,C31,"_",G31),AND(D31="SECC",C31="BT"),CONCATENATE(B31,"_","TR",$B$3,C31,"_",$B$9,"_",G31),AND(D31="SECF",C31="AT"),CONCATENATE(B31,"_","TR",$B$3,C31,"_",$B$6,"_",G31),AND(D31="SECT",C31="AT"),CONCATENATE(B31,"_","TR",$B$3,C31,"_",$B$7,"_",G31),AND(D31="DJ",C31="AT"),CONCATENATE(B31,"_","TR",$B$3,C31,"_",$B$4,"_",G31),AND(D31="DJ",C31="BT"),CONCATENATE(B31,"_","TR",$B$3,C31,"_",$B$8,"_",G31),AND(C31="TR",D31="TR"),CONCATENATE(B31,"_","TR",$B$3,"_","TR",$B$3,"_",G31),AND(D31="SECT",C31="BT"),CONCATENATE(B31,"_","TR",$B$3,C31,"_",$B$11,"_",G31),AND(D31="SECF",C31="BT"),CONCATENATE(B31,"_","TR",$B$3,C31,"_",$B$10,"_",G31),AND(D31="SECC",C31="AT"),CONCATENATE(B31,"_","TR",$B$3,C31,"_",$B$5,"_",G31),AND(C31="AT",D31="TR_A"),CONCATENATE(B31,"_","TR",$B$3,C31,"_","TR",$B$3,C31,"_A","_",G31),AND(C31="AT",D31="TR_P"),CONCATENATE(B31,"_","TR",$B$3,C31,"_","TR",$B$3,C31,"_P","_",G31),AND(C31="BT",D31="TR_A"),CONCATENATE(B31,"_","TR",$B$3,C31,"_","TR",$B$3,C31,"_A","_",G31),AND(C31="BT",D31="TR_P"),CONCATENATE(B31,"_","TR",$B$3,C31,"_","TR",$B$3,C31,"_P","_",G31),AND(C31="TR",D31="TR_P"),CONCATENATE(B31,"_","TR",$B$3,"_","TR",$B$3,"_P","_",G31),AND(C31="TR",D31="TR_A"),CONCATENATE(B31,"_","TR",$B$3,"_","TR",$B$3,"_A","_",G31))</f>
        <v>IMA_TR6BT_TR6BT_IACC</v>
      </c>
      <c r="I31" s="6" t="s">
        <v>188</v>
      </c>
      <c r="J31" s="6" t="s">
        <v>188</v>
      </c>
      <c r="K31" s="6" t="s">
        <v>188</v>
      </c>
      <c r="L31" s="8">
        <v>1</v>
      </c>
      <c r="M31" s="6" t="s">
        <v>188</v>
      </c>
      <c r="N31" s="6">
        <f t="shared" si="0"/>
        <v>43</v>
      </c>
    </row>
    <row r="32" spans="1:14" x14ac:dyDescent="0.25">
      <c r="A32" s="6" t="s">
        <v>190</v>
      </c>
      <c r="B32" s="6" t="str">
        <f>Informações!$C$3</f>
        <v>IMA</v>
      </c>
      <c r="C32" s="6" t="s">
        <v>101</v>
      </c>
      <c r="D32" s="6" t="s">
        <v>102</v>
      </c>
      <c r="E32" s="2" t="s">
        <v>8</v>
      </c>
      <c r="F32" s="6" t="str">
        <f>VLOOKUP(G32,[1]Analog!$A:$B,2,FALSE)</f>
        <v>CORRENTE CURTO CIRCUITO FASE B</v>
      </c>
      <c r="G32" s="6" t="s">
        <v>22</v>
      </c>
      <c r="H32" s="6" t="str" cm="1">
        <f t="array" ref="H32">_xlfn.IFS(OR(D32="TC",D32="TP",AND(D32="TR",C32="AT"),AND(D32="TR",C32="BT")),CONCATENATE(B32,"_","TR",$B$3,C32,"_","TR",$B$3,C32,"_",G32),AND(D32="SECC",C32="BT"),CONCATENATE(B32,"_","TR",$B$3,C32,"_",$B$9,"_",G32),AND(D32="SECF",C32="AT"),CONCATENATE(B32,"_","TR",$B$3,C32,"_",$B$6,"_",G32),AND(D32="SECT",C32="AT"),CONCATENATE(B32,"_","TR",$B$3,C32,"_",$B$7,"_",G32),AND(D32="DJ",C32="AT"),CONCATENATE(B32,"_","TR",$B$3,C32,"_",$B$4,"_",G32),AND(D32="DJ",C32="BT"),CONCATENATE(B32,"_","TR",$B$3,C32,"_",$B$8,"_",G32),AND(C32="TR",D32="TR"),CONCATENATE(B32,"_","TR",$B$3,"_","TR",$B$3,"_",G32),AND(D32="SECT",C32="BT"),CONCATENATE(B32,"_","TR",$B$3,C32,"_",$B$11,"_",G32),AND(D32="SECF",C32="BT"),CONCATENATE(B32,"_","TR",$B$3,C32,"_",$B$10,"_",G32),AND(D32="SECC",C32="AT"),CONCATENATE(B32,"_","TR",$B$3,C32,"_",$B$5,"_",G32),AND(C32="AT",D32="TR_A"),CONCATENATE(B32,"_","TR",$B$3,C32,"_","TR",$B$3,C32,"_A","_",G32),AND(C32="AT",D32="TR_P"),CONCATENATE(B32,"_","TR",$B$3,C32,"_","TR",$B$3,C32,"_P","_",G32),AND(C32="BT",D32="TR_A"),CONCATENATE(B32,"_","TR",$B$3,C32,"_","TR",$B$3,C32,"_A","_",G32),AND(C32="BT",D32="TR_P"),CONCATENATE(B32,"_","TR",$B$3,C32,"_","TR",$B$3,C32,"_P","_",G32),AND(C32="TR",D32="TR_P"),CONCATENATE(B32,"_","TR",$B$3,"_","TR",$B$3,"_P","_",G32),AND(C32="TR",D32="TR_A"),CONCATENATE(B32,"_","TR",$B$3,"_","TR",$B$3,"_A","_",G32))</f>
        <v>IMA_TR6BT_TR6BT_IBCC</v>
      </c>
      <c r="I32" s="6" t="s">
        <v>188</v>
      </c>
      <c r="J32" s="6" t="s">
        <v>188</v>
      </c>
      <c r="K32" s="6" t="s">
        <v>188</v>
      </c>
      <c r="L32" s="8">
        <v>1</v>
      </c>
      <c r="M32" s="6" t="s">
        <v>188</v>
      </c>
      <c r="N32" s="6">
        <f t="shared" si="0"/>
        <v>44</v>
      </c>
    </row>
    <row r="33" spans="1:14" x14ac:dyDescent="0.25">
      <c r="A33" s="6" t="s">
        <v>190</v>
      </c>
      <c r="B33" s="6" t="str">
        <f>Informações!$C$3</f>
        <v>IMA</v>
      </c>
      <c r="C33" s="6" t="s">
        <v>101</v>
      </c>
      <c r="D33" s="6" t="s">
        <v>102</v>
      </c>
      <c r="E33" s="2" t="s">
        <v>8</v>
      </c>
      <c r="F33" s="6" t="str">
        <f>VLOOKUP(G33,[1]Analog!$A:$B,2,FALSE)</f>
        <v>CORRENTE CURTO CIRCUITO FASE C</v>
      </c>
      <c r="G33" s="6" t="s">
        <v>23</v>
      </c>
      <c r="H33" s="6" t="str" cm="1">
        <f t="array" ref="H33">_xlfn.IFS(OR(D33="TC",D33="TP",AND(D33="TR",C33="AT"),AND(D33="TR",C33="BT")),CONCATENATE(B33,"_","TR",$B$3,C33,"_","TR",$B$3,C33,"_",G33),AND(D33="SECC",C33="BT"),CONCATENATE(B33,"_","TR",$B$3,C33,"_",$B$9,"_",G33),AND(D33="SECF",C33="AT"),CONCATENATE(B33,"_","TR",$B$3,C33,"_",$B$6,"_",G33),AND(D33="SECT",C33="AT"),CONCATENATE(B33,"_","TR",$B$3,C33,"_",$B$7,"_",G33),AND(D33="DJ",C33="AT"),CONCATENATE(B33,"_","TR",$B$3,C33,"_",$B$4,"_",G33),AND(D33="DJ",C33="BT"),CONCATENATE(B33,"_","TR",$B$3,C33,"_",$B$8,"_",G33),AND(C33="TR",D33="TR"),CONCATENATE(B33,"_","TR",$B$3,"_","TR",$B$3,"_",G33),AND(D33="SECT",C33="BT"),CONCATENATE(B33,"_","TR",$B$3,C33,"_",$B$11,"_",G33),AND(D33="SECF",C33="BT"),CONCATENATE(B33,"_","TR",$B$3,C33,"_",$B$10,"_",G33),AND(D33="SECC",C33="AT"),CONCATENATE(B33,"_","TR",$B$3,C33,"_",$B$5,"_",G33),AND(C33="AT",D33="TR_A"),CONCATENATE(B33,"_","TR",$B$3,C33,"_","TR",$B$3,C33,"_A","_",G33),AND(C33="AT",D33="TR_P"),CONCATENATE(B33,"_","TR",$B$3,C33,"_","TR",$B$3,C33,"_P","_",G33),AND(C33="BT",D33="TR_A"),CONCATENATE(B33,"_","TR",$B$3,C33,"_","TR",$B$3,C33,"_A","_",G33),AND(C33="BT",D33="TR_P"),CONCATENATE(B33,"_","TR",$B$3,C33,"_","TR",$B$3,C33,"_P","_",G33),AND(C33="TR",D33="TR_P"),CONCATENATE(B33,"_","TR",$B$3,"_","TR",$B$3,"_P","_",G33),AND(C33="TR",D33="TR_A"),CONCATENATE(B33,"_","TR",$B$3,"_","TR",$B$3,"_A","_",G33))</f>
        <v>IMA_TR6BT_TR6BT_ICCC</v>
      </c>
      <c r="I33" s="6" t="s">
        <v>188</v>
      </c>
      <c r="J33" s="6" t="s">
        <v>188</v>
      </c>
      <c r="K33" s="6" t="s">
        <v>188</v>
      </c>
      <c r="L33" s="8">
        <v>1</v>
      </c>
      <c r="M33" s="6" t="s">
        <v>188</v>
      </c>
      <c r="N33" s="6">
        <f t="shared" si="0"/>
        <v>45</v>
      </c>
    </row>
    <row r="34" spans="1:14" x14ac:dyDescent="0.25">
      <c r="A34" s="6" t="s">
        <v>190</v>
      </c>
      <c r="B34" s="6" t="str">
        <f>Informações!$C$3</f>
        <v>IMA</v>
      </c>
      <c r="C34" s="6" t="s">
        <v>101</v>
      </c>
      <c r="D34" s="6" t="s">
        <v>102</v>
      </c>
      <c r="E34" s="2" t="s">
        <v>8</v>
      </c>
      <c r="F34" s="6" t="str">
        <f>VLOOKUP(G34,[1]Analog!$A:$B,2,FALSE)</f>
        <v>CORRENTE CURTO CIRCUITO NEUTRO</v>
      </c>
      <c r="G34" s="6" t="s">
        <v>92</v>
      </c>
      <c r="H34" s="6" t="str" cm="1">
        <f t="array" ref="H34">_xlfn.IFS(OR(D34="TC",D34="TP",AND(D34="TR",C34="AT"),AND(D34="TR",C34="BT")),CONCATENATE(B34,"_","TR",$B$3,C34,"_","TR",$B$3,C34,"_",G34),AND(D34="SECC",C34="BT"),CONCATENATE(B34,"_","TR",$B$3,C34,"_",$B$9,"_",G34),AND(D34="SECF",C34="AT"),CONCATENATE(B34,"_","TR",$B$3,C34,"_",$B$6,"_",G34),AND(D34="SECT",C34="AT"),CONCATENATE(B34,"_","TR",$B$3,C34,"_",$B$7,"_",G34),AND(D34="DJ",C34="AT"),CONCATENATE(B34,"_","TR",$B$3,C34,"_",$B$4,"_",G34),AND(D34="DJ",C34="BT"),CONCATENATE(B34,"_","TR",$B$3,C34,"_",$B$8,"_",G34),AND(C34="TR",D34="TR"),CONCATENATE(B34,"_","TR",$B$3,"_","TR",$B$3,"_",G34),AND(D34="SECT",C34="BT"),CONCATENATE(B34,"_","TR",$B$3,C34,"_",$B$11,"_",G34),AND(D34="SECF",C34="BT"),CONCATENATE(B34,"_","TR",$B$3,C34,"_",$B$10,"_",G34),AND(D34="SECC",C34="AT"),CONCATENATE(B34,"_","TR",$B$3,C34,"_",$B$5,"_",G34),AND(C34="AT",D34="TR_A"),CONCATENATE(B34,"_","TR",$B$3,C34,"_","TR",$B$3,C34,"_A","_",G34),AND(C34="AT",D34="TR_P"),CONCATENATE(B34,"_","TR",$B$3,C34,"_","TR",$B$3,C34,"_P","_",G34),AND(C34="BT",D34="TR_A"),CONCATENATE(B34,"_","TR",$B$3,C34,"_","TR",$B$3,C34,"_A","_",G34),AND(C34="BT",D34="TR_P"),CONCATENATE(B34,"_","TR",$B$3,C34,"_","TR",$B$3,C34,"_P","_",G34),AND(C34="TR",D34="TR_P"),CONCATENATE(B34,"_","TR",$B$3,"_","TR",$B$3,"_P","_",G34),AND(C34="TR",D34="TR_A"),CONCATENATE(B34,"_","TR",$B$3,"_","TR",$B$3,"_A","_",G34))</f>
        <v>IMA_TR6BT_TR6BT_INCC</v>
      </c>
      <c r="I34" s="6" t="s">
        <v>188</v>
      </c>
      <c r="J34" s="6" t="s">
        <v>188</v>
      </c>
      <c r="K34" s="6" t="s">
        <v>188</v>
      </c>
      <c r="L34" s="8">
        <v>1</v>
      </c>
      <c r="M34" s="6" t="s">
        <v>188</v>
      </c>
      <c r="N34" s="6">
        <f t="shared" si="0"/>
        <v>46</v>
      </c>
    </row>
    <row r="35" spans="1:14" x14ac:dyDescent="0.25">
      <c r="A35" s="95" t="s">
        <v>190</v>
      </c>
      <c r="B35" s="95" t="str">
        <f>Informações!$C$3</f>
        <v>IMA</v>
      </c>
      <c r="C35" s="95" t="s">
        <v>100</v>
      </c>
      <c r="D35" s="95" t="s">
        <v>102</v>
      </c>
      <c r="E35" s="2" t="s">
        <v>8</v>
      </c>
      <c r="F35" s="95" t="str">
        <f>VLOOKUP(G35,[1]Analog!$A:$B,2,FALSE)</f>
        <v>CORRENTE CURTO CIRCUITO FASE A</v>
      </c>
      <c r="G35" s="6" t="s">
        <v>21</v>
      </c>
      <c r="H35" s="6" t="str" cm="1">
        <f t="array" ref="H35">_xlfn.IFS(OR(D35="TC",D35="TP",AND(D35="TR",C35="AT"),AND(D35="TR",C35="BT")),CONCATENATE(B35,"_","TR",$B$3,C35,"_","TR",$B$3,C35,"_",G35),AND(D35="SECC",C35="BT"),CONCATENATE(B35,"_","TR",$B$3,C35,"_",$B$9,"_",G35),AND(D35="SECF",C35="AT"),CONCATENATE(B35,"_","TR",$B$3,C35,"_",$B$6,"_",G35),AND(D35="SECT",C35="AT"),CONCATENATE(B35,"_","TR",$B$3,C35,"_",$B$7,"_",G35),AND(D35="DJ",C35="AT"),CONCATENATE(B35,"_","TR",$B$3,C35,"_",$B$4,"_",G35),AND(D35="DJ",C35="BT"),CONCATENATE(B35,"_","TR",$B$3,C35,"_",$B$8,"_",G35),AND(C35="TR",D35="TR"),CONCATENATE(B35,"_","TR",$B$3,"_","TR",$B$3,"_",G35),AND(D35="SECT",C35="BT"),CONCATENATE(B35,"_","TR",$B$3,C35,"_",$B$11,"_",G35),AND(D35="SECF",C35="BT"),CONCATENATE(B35,"_","TR",$B$3,C35,"_",$B$10,"_",G35),AND(D35="SECC",C35="AT"),CONCATENATE(B35,"_","TR",$B$3,C35,"_",$B$5,"_",G35),AND(C35="AT",D35="TR_A"),CONCATENATE(B35,"_","TR",$B$3,C35,"_","TR",$B$3,C35,"_A","_",G35),AND(C35="AT",D35="TR_P"),CONCATENATE(B35,"_","TR",$B$3,C35,"_","TR",$B$3,C35,"_P","_",G35),AND(C35="BT",D35="TR_A"),CONCATENATE(B35,"_","TR",$B$3,C35,"_","TR",$B$3,C35,"_A","_",G35),AND(C35="BT",D35="TR_P"),CONCATENATE(B35,"_","TR",$B$3,C35,"_","TR",$B$3,C35,"_P","_",G35),AND(C35="TR",D35="TR_P"),CONCATENATE(B35,"_","TR",$B$3,"_","TR",$B$3,"_P","_",G35),AND(C35="TR",D35="TR_A"),CONCATENATE(B35,"_","TR",$B$3,"_","TR",$B$3,"_A","_",G35))</f>
        <v>IMA_TR6AT_TR6AT_IACC</v>
      </c>
      <c r="I35" s="6" t="s">
        <v>188</v>
      </c>
      <c r="J35" s="6" t="s">
        <v>188</v>
      </c>
      <c r="K35" s="6" t="s">
        <v>188</v>
      </c>
      <c r="L35" s="8">
        <v>1</v>
      </c>
      <c r="M35" s="6" t="s">
        <v>188</v>
      </c>
      <c r="N35" s="95">
        <f>'LT 4'!N24+1</f>
        <v>200</v>
      </c>
    </row>
    <row r="36" spans="1:14" x14ac:dyDescent="0.25">
      <c r="A36" s="95" t="s">
        <v>190</v>
      </c>
      <c r="B36" s="95" t="str">
        <f>Informações!$C$3</f>
        <v>IMA</v>
      </c>
      <c r="C36" s="95" t="s">
        <v>100</v>
      </c>
      <c r="D36" s="95" t="s">
        <v>102</v>
      </c>
      <c r="E36" s="2" t="s">
        <v>8</v>
      </c>
      <c r="F36" s="95" t="str">
        <f>VLOOKUP(G36,[1]Analog!$A:$B,2,FALSE)</f>
        <v>CORRENTE CURTO CIRCUITO FASE B</v>
      </c>
      <c r="G36" s="6" t="s">
        <v>22</v>
      </c>
      <c r="H36" s="6" t="str" cm="1">
        <f t="array" ref="H36">_xlfn.IFS(OR(D36="TC",D36="TP",AND(D36="TR",C36="AT"),AND(D36="TR",C36="BT")),CONCATENATE(B36,"_","TR",$B$3,C36,"_","TR",$B$3,C36,"_",G36),AND(D36="SECC",C36="BT"),CONCATENATE(B36,"_","TR",$B$3,C36,"_",$B$9,"_",G36),AND(D36="SECF",C36="AT"),CONCATENATE(B36,"_","TR",$B$3,C36,"_",$B$6,"_",G36),AND(D36="SECT",C36="AT"),CONCATENATE(B36,"_","TR",$B$3,C36,"_",$B$7,"_",G36),AND(D36="DJ",C36="AT"),CONCATENATE(B36,"_","TR",$B$3,C36,"_",$B$4,"_",G36),AND(D36="DJ",C36="BT"),CONCATENATE(B36,"_","TR",$B$3,C36,"_",$B$8,"_",G36),AND(C36="TR",D36="TR"),CONCATENATE(B36,"_","TR",$B$3,"_","TR",$B$3,"_",G36),AND(D36="SECT",C36="BT"),CONCATENATE(B36,"_","TR",$B$3,C36,"_",$B$11,"_",G36),AND(D36="SECF",C36="BT"),CONCATENATE(B36,"_","TR",$B$3,C36,"_",$B$10,"_",G36),AND(D36="SECC",C36="AT"),CONCATENATE(B36,"_","TR",$B$3,C36,"_",$B$5,"_",G36),AND(C36="AT",D36="TR_A"),CONCATENATE(B36,"_","TR",$B$3,C36,"_","TR",$B$3,C36,"_A","_",G36),AND(C36="AT",D36="TR_P"),CONCATENATE(B36,"_","TR",$B$3,C36,"_","TR",$B$3,C36,"_P","_",G36),AND(C36="BT",D36="TR_A"),CONCATENATE(B36,"_","TR",$B$3,C36,"_","TR",$B$3,C36,"_A","_",G36),AND(C36="BT",D36="TR_P"),CONCATENATE(B36,"_","TR",$B$3,C36,"_","TR",$B$3,C36,"_P","_",G36),AND(C36="TR",D36="TR_P"),CONCATENATE(B36,"_","TR",$B$3,"_","TR",$B$3,"_P","_",G36),AND(C36="TR",D36="TR_A"),CONCATENATE(B36,"_","TR",$B$3,"_","TR",$B$3,"_A","_",G36))</f>
        <v>IMA_TR6AT_TR6AT_IBCC</v>
      </c>
      <c r="I36" s="6" t="s">
        <v>188</v>
      </c>
      <c r="J36" s="6" t="s">
        <v>188</v>
      </c>
      <c r="K36" s="6" t="s">
        <v>188</v>
      </c>
      <c r="L36" s="8">
        <v>1</v>
      </c>
      <c r="M36" s="6" t="s">
        <v>188</v>
      </c>
      <c r="N36" s="95">
        <f>N35+1</f>
        <v>201</v>
      </c>
    </row>
    <row r="37" spans="1:14" x14ac:dyDescent="0.25">
      <c r="A37" s="95" t="s">
        <v>190</v>
      </c>
      <c r="B37" s="95" t="str">
        <f>Informações!$C$3</f>
        <v>IMA</v>
      </c>
      <c r="C37" s="95" t="s">
        <v>100</v>
      </c>
      <c r="D37" s="95" t="s">
        <v>102</v>
      </c>
      <c r="E37" s="2" t="s">
        <v>8</v>
      </c>
      <c r="F37" s="95" t="str">
        <f>VLOOKUP(G37,[1]Analog!$A:$B,2,FALSE)</f>
        <v>CORRENTE CURTO CIRCUITO FASE C</v>
      </c>
      <c r="G37" s="6" t="s">
        <v>23</v>
      </c>
      <c r="H37" s="6" t="str" cm="1">
        <f t="array" ref="H37">_xlfn.IFS(OR(D37="TC",D37="TP",AND(D37="TR",C37="AT"),AND(D37="TR",C37="BT")),CONCATENATE(B37,"_","TR",$B$3,C37,"_","TR",$B$3,C37,"_",G37),AND(D37="SECC",C37="BT"),CONCATENATE(B37,"_","TR",$B$3,C37,"_",$B$9,"_",G37),AND(D37="SECF",C37="AT"),CONCATENATE(B37,"_","TR",$B$3,C37,"_",$B$6,"_",G37),AND(D37="SECT",C37="AT"),CONCATENATE(B37,"_","TR",$B$3,C37,"_",$B$7,"_",G37),AND(D37="DJ",C37="AT"),CONCATENATE(B37,"_","TR",$B$3,C37,"_",$B$4,"_",G37),AND(D37="DJ",C37="BT"),CONCATENATE(B37,"_","TR",$B$3,C37,"_",$B$8,"_",G37),AND(C37="TR",D37="TR"),CONCATENATE(B37,"_","TR",$B$3,"_","TR",$B$3,"_",G37),AND(D37="SECT",C37="BT"),CONCATENATE(B37,"_","TR",$B$3,C37,"_",$B$11,"_",G37),AND(D37="SECF",C37="BT"),CONCATENATE(B37,"_","TR",$B$3,C37,"_",$B$10,"_",G37),AND(D37="SECC",C37="AT"),CONCATENATE(B37,"_","TR",$B$3,C37,"_",$B$5,"_",G37),AND(C37="AT",D37="TR_A"),CONCATENATE(B37,"_","TR",$B$3,C37,"_","TR",$B$3,C37,"_A","_",G37),AND(C37="AT",D37="TR_P"),CONCATENATE(B37,"_","TR",$B$3,C37,"_","TR",$B$3,C37,"_P","_",G37),AND(C37="BT",D37="TR_A"),CONCATENATE(B37,"_","TR",$B$3,C37,"_","TR",$B$3,C37,"_A","_",G37),AND(C37="BT",D37="TR_P"),CONCATENATE(B37,"_","TR",$B$3,C37,"_","TR",$B$3,C37,"_P","_",G37),AND(C37="TR",D37="TR_P"),CONCATENATE(B37,"_","TR",$B$3,"_","TR",$B$3,"_P","_",G37),AND(C37="TR",D37="TR_A"),CONCATENATE(B37,"_","TR",$B$3,"_","TR",$B$3,"_A","_",G37))</f>
        <v>IMA_TR6AT_TR6AT_ICCC</v>
      </c>
      <c r="I37" s="6" t="s">
        <v>188</v>
      </c>
      <c r="J37" s="6" t="s">
        <v>188</v>
      </c>
      <c r="K37" s="6" t="s">
        <v>188</v>
      </c>
      <c r="L37" s="8">
        <v>1</v>
      </c>
      <c r="M37" s="6" t="s">
        <v>188</v>
      </c>
      <c r="N37" s="95">
        <f t="shared" ref="N37:N38" si="1">N36+1</f>
        <v>202</v>
      </c>
    </row>
    <row r="38" spans="1:14" x14ac:dyDescent="0.25">
      <c r="A38" s="95" t="s">
        <v>190</v>
      </c>
      <c r="B38" s="95" t="str">
        <f>Informações!$C$3</f>
        <v>IMA</v>
      </c>
      <c r="C38" s="95" t="s">
        <v>100</v>
      </c>
      <c r="D38" s="95" t="s">
        <v>102</v>
      </c>
      <c r="E38" s="2" t="s">
        <v>8</v>
      </c>
      <c r="F38" s="95" t="str">
        <f>VLOOKUP(G38,[1]Analog!$A:$B,2,FALSE)</f>
        <v>CORRENTE CURTO CIRCUITO NEUTRO</v>
      </c>
      <c r="G38" s="6" t="s">
        <v>92</v>
      </c>
      <c r="H38" s="6" t="str" cm="1">
        <f t="array" ref="H38">_xlfn.IFS(OR(D38="TC",D38="TP",AND(D38="TR",C38="AT"),AND(D38="TR",C38="BT")),CONCATENATE(B38,"_","TR",$B$3,C38,"_","TR",$B$3,C38,"_",G38),AND(D38="SECC",C38="BT"),CONCATENATE(B38,"_","TR",$B$3,C38,"_",$B$9,"_",G38),AND(D38="SECF",C38="AT"),CONCATENATE(B38,"_","TR",$B$3,C38,"_",$B$6,"_",G38),AND(D38="SECT",C38="AT"),CONCATENATE(B38,"_","TR",$B$3,C38,"_",$B$7,"_",G38),AND(D38="DJ",C38="AT"),CONCATENATE(B38,"_","TR",$B$3,C38,"_",$B$4,"_",G38),AND(D38="DJ",C38="BT"),CONCATENATE(B38,"_","TR",$B$3,C38,"_",$B$8,"_",G38),AND(C38="TR",D38="TR"),CONCATENATE(B38,"_","TR",$B$3,"_","TR",$B$3,"_",G38),AND(D38="SECT",C38="BT"),CONCATENATE(B38,"_","TR",$B$3,C38,"_",$B$11,"_",G38),AND(D38="SECF",C38="BT"),CONCATENATE(B38,"_","TR",$B$3,C38,"_",$B$10,"_",G38),AND(D38="SECC",C38="AT"),CONCATENATE(B38,"_","TR",$B$3,C38,"_",$B$5,"_",G38),AND(C38="AT",D38="TR_A"),CONCATENATE(B38,"_","TR",$B$3,C38,"_","TR",$B$3,C38,"_A","_",G38),AND(C38="AT",D38="TR_P"),CONCATENATE(B38,"_","TR",$B$3,C38,"_","TR",$B$3,C38,"_P","_",G38),AND(C38="BT",D38="TR_A"),CONCATENATE(B38,"_","TR",$B$3,C38,"_","TR",$B$3,C38,"_A","_",G38),AND(C38="BT",D38="TR_P"),CONCATENATE(B38,"_","TR",$B$3,C38,"_","TR",$B$3,C38,"_P","_",G38),AND(C38="TR",D38="TR_P"),CONCATENATE(B38,"_","TR",$B$3,"_","TR",$B$3,"_P","_",G38),AND(C38="TR",D38="TR_A"),CONCATENATE(B38,"_","TR",$B$3,"_","TR",$B$3,"_A","_",G38))</f>
        <v>IMA_TR6AT_TR6AT_INCC</v>
      </c>
      <c r="I38" s="6" t="s">
        <v>188</v>
      </c>
      <c r="J38" s="6" t="s">
        <v>188</v>
      </c>
      <c r="K38" s="6" t="s">
        <v>188</v>
      </c>
      <c r="L38" s="8">
        <v>1</v>
      </c>
      <c r="M38" s="6" t="s">
        <v>188</v>
      </c>
      <c r="N38" s="95">
        <f t="shared" si="1"/>
        <v>203</v>
      </c>
    </row>
    <row r="39" spans="1:14" s="9" customFormat="1" x14ac:dyDescent="0.25">
      <c r="A39" s="6" t="s">
        <v>190</v>
      </c>
      <c r="B39" s="6" t="str">
        <f>Informações!$C$3</f>
        <v>IMA</v>
      </c>
      <c r="C39" s="6" t="s">
        <v>102</v>
      </c>
      <c r="D39" s="6" t="s">
        <v>102</v>
      </c>
      <c r="E39" s="2" t="s">
        <v>154</v>
      </c>
      <c r="F39" s="6" t="s">
        <v>109</v>
      </c>
      <c r="G39" s="6" t="s">
        <v>109</v>
      </c>
      <c r="H39" s="6" t="str" cm="1">
        <f t="array" ref="H39">_xlfn.IFS(OR(D39="TC",D39="TP",AND(D39="TR",C39="AT"),AND(D39="TR",C39="BT")),CONCATENATE(B39,"_","TR",$B$3,C39,"_","TR",$B$3,C39,"_",G39),AND(D39="SECC",C39="BT"),CONCATENATE(B39,"_","TR",$B$3,C39,"_",$B$9,"_",G39),AND(D39="SECF",C39="AT"),CONCATENATE(B39,"_","TR",$B$3,C39,"_",$B$6,"_",G39),AND(D39="SECT",C39="AT"),CONCATENATE(B39,"_","TR",$B$3,C39,"_",$B$7,"_",G39),AND(D39="DJ",C39="AT"),CONCATENATE(B39,"_","TR",$B$3,C39,"_",$B$4,"_",G39),AND(D39="DJ",C39="BT"),CONCATENATE(B39,"_","TR",$B$3,C39,"_",$B$8,"_",G39),AND(C39="TR",D39="TR"),CONCATENATE(B39,"_","TR",$B$3,"_","TR",$B$3,"_",G39),AND(D39="SECT",C39="BT"),CONCATENATE(B39,"_","TR",$B$3,C39,"_",$B$11,"_",G39),AND(D39="SECF",C39="BT"),CONCATENATE(B39,"_","TR",$B$3,C39,"_",$B$10,"_",G39),AND(D39="SECC",C39="AT"),CONCATENATE(B39,"_","TR",$B$3,C39,"_",$B$5,"_",G39),AND(C39="AT",D39="TR_A"),CONCATENATE(B39,"_","TR",$B$3,C39,"_","TR",$B$3,C39,"_A","_",G39),AND(C39="AT",D39="TR_P"),CONCATENATE(B39,"_","TR",$B$3,C39,"_","TR",$B$3,C39,"_P","_",G39),AND(C39="BT",D39="TR_A"),CONCATENATE(B39,"_","TR",$B$3,C39,"_","TR",$B$3,C39,"_A","_",G39),AND(C39="BT",D39="TR_P"),CONCATENATE(B39,"_","TR",$B$3,C39,"_","TR",$B$3,C39,"_P","_",G39),AND(C39="TR",D39="TR_P"),CONCATENATE(B39,"_","TR",$B$3,"_","TR",$B$3,"_P","_",G39),AND(C39="TR",D39="TR_A"),CONCATENATE(B39,"_","TR",$B$3,"_","TR",$B$3,"_A","_",G39))</f>
        <v>IMA_TR6_TR6_TAP</v>
      </c>
      <c r="I39" s="6" t="s">
        <v>188</v>
      </c>
      <c r="J39" s="6" t="s">
        <v>188</v>
      </c>
      <c r="K39" s="6" t="s">
        <v>188</v>
      </c>
      <c r="L39" s="8">
        <v>1</v>
      </c>
      <c r="M39" s="6" t="s">
        <v>188</v>
      </c>
      <c r="N39" s="6">
        <f>N34+1</f>
        <v>47</v>
      </c>
    </row>
    <row r="40" spans="1:14" x14ac:dyDescent="0.25">
      <c r="A40" s="6" t="s">
        <v>190</v>
      </c>
      <c r="B40" s="6" t="str">
        <f>Informações!$C$3</f>
        <v>IMA</v>
      </c>
      <c r="C40" s="6" t="s">
        <v>100</v>
      </c>
      <c r="D40" s="6" t="s">
        <v>31</v>
      </c>
      <c r="E40" s="2" t="s">
        <v>24</v>
      </c>
      <c r="F40" s="6" t="str">
        <f>VLOOKUP(G40,[1]Discrete!$A:$B,2,FALSE)</f>
        <v>SECCIONADORA CARGA</v>
      </c>
      <c r="G40" s="6" t="s">
        <v>31</v>
      </c>
      <c r="H40" s="6" t="str" cm="1">
        <f t="array" ref="H40">_xlfn.IFS(OR(D40="TC",D40="TP",AND(D40="TR",C40="AT"),AND(D40="TR",C40="BT")),CONCATENATE(B40,"_","TR",$B$3,C40,"_","TR",$B$3,C40,"_",G40),AND(D40="SECC",C40="BT"),CONCATENATE(B40,"_","TR",$B$3,C40,"_",$B$9,"_",G40),AND(D40="SECF",C40="AT"),CONCATENATE(B40,"_","TR",$B$3,C40,"_",$B$6,"_",G40),AND(D40="SECT",C40="AT"),CONCATENATE(B40,"_","TR",$B$3,C40,"_",$B$7,"_",G40),AND(D40="DJ",C40="AT"),CONCATENATE(B40,"_","TR",$B$3,C40,"_",$B$4,"_",G40),AND(D40="DJ",C40="BT"),CONCATENATE(B40,"_","TR",$B$3,C40,"_",$B$8,"_",G40),AND(C40="TR",D40="TR"),CONCATENATE(B40,"_","TR",$B$3,"_","TR",$B$3,"_",G40),AND(D40="SECT",C40="BT"),CONCATENATE(B40,"_","TR",$B$3,C40,"_",$B$11,"_",G40),AND(D40="SECF",C40="BT"),CONCATENATE(B40,"_","TR",$B$3,C40,"_",$B$10,"_",G40),AND(D40="SECC",C40="AT"),CONCATENATE(B40,"_","TR",$B$3,C40,"_",$B$5,"_",G40),AND(C40="AT",D40="TR_A"),CONCATENATE(B40,"_","TR",$B$3,C40,"_","TR",$B$3,C40,"_A","_",G40),AND(C40="AT",D40="TR_P"),CONCATENATE(B40,"_","TR",$B$3,C40,"_","TR",$B$3,C40,"_P","_",G40),AND(C40="BT",D40="TR_A"),CONCATENATE(B40,"_","TR",$B$3,C40,"_","TR",$B$3,C40,"_A","_",G40),AND(C40="BT",D40="TR_P"),CONCATENATE(B40,"_","TR",$B$3,C40,"_","TR",$B$3,C40,"_P","_",G40),AND(C40="TR",D40="TR_P"),CONCATENATE(B40,"_","TR",$B$3,"_","TR",$B$3,"_P","_",G40),AND(C40="TR",D40="TR_A"),CONCATENATE(B40,"_","TR",$B$3,"_","TR",$B$3,"_A","_",G40))</f>
        <v>IMA_TR6AT_89-28_SECC</v>
      </c>
      <c r="I40" s="6" t="s">
        <v>188</v>
      </c>
      <c r="J40" s="6" t="s">
        <v>188</v>
      </c>
      <c r="K40" s="6" t="s">
        <v>188</v>
      </c>
      <c r="L40" s="6" t="s">
        <v>188</v>
      </c>
      <c r="M40" s="6"/>
      <c r="N40" s="6" t="str">
        <f>VALUE(LEFT('LT 4'!N31, FIND(";",'LT 4'!N31)-1)) + 1 &amp; ";" &amp; VALUE(LEFT('LT 4'!N31, FIND(";",'LT 4'!N31)-1)) + 1</f>
        <v>14;14</v>
      </c>
    </row>
    <row r="41" spans="1:14" x14ac:dyDescent="0.25">
      <c r="A41" s="6" t="s">
        <v>190</v>
      </c>
      <c r="B41" s="6" t="str">
        <f>Informações!$C$3</f>
        <v>IMA</v>
      </c>
      <c r="C41" s="6" t="s">
        <v>100</v>
      </c>
      <c r="D41" s="6" t="s">
        <v>32</v>
      </c>
      <c r="E41" s="2" t="s">
        <v>24</v>
      </c>
      <c r="F41" s="6" t="str">
        <f>VLOOKUP(G41,[1]Discrete!$A:$B,2,FALSE)</f>
        <v>SECCIONADORA FONTE</v>
      </c>
      <c r="G41" s="6" t="s">
        <v>32</v>
      </c>
      <c r="H41" s="6" t="str" cm="1">
        <f t="array" ref="H41">_xlfn.IFS(OR(D41="TC",D41="TP",AND(D41="TR",C41="AT"),AND(D41="TR",C41="BT")),CONCATENATE(B41,"_","TR",$B$3,C41,"_","TR",$B$3,C41,"_",G41),AND(D41="SECC",C41="BT"),CONCATENATE(B41,"_","TR",$B$3,C41,"_",$B$9,"_",G41),AND(D41="SECF",C41="AT"),CONCATENATE(B41,"_","TR",$B$3,C41,"_",$B$6,"_",G41),AND(D41="SECT",C41="AT"),CONCATENATE(B41,"_","TR",$B$3,C41,"_",$B$7,"_",G41),AND(D41="DJ",C41="AT"),CONCATENATE(B41,"_","TR",$B$3,C41,"_",$B$4,"_",G41),AND(D41="DJ",C41="BT"),CONCATENATE(B41,"_","TR",$B$3,C41,"_",$B$8,"_",G41),AND(C41="TR",D41="TR"),CONCATENATE(B41,"_","TR",$B$3,"_","TR",$B$3,"_",G41),AND(D41="SECT",C41="BT"),CONCATENATE(B41,"_","TR",$B$3,C41,"_",$B$11,"_",G41),AND(D41="SECF",C41="BT"),CONCATENATE(B41,"_","TR",$B$3,C41,"_",$B$10,"_",G41),AND(D41="SECC",C41="AT"),CONCATENATE(B41,"_","TR",$B$3,C41,"_",$B$5,"_",G41),AND(C41="AT",D41="TR_A"),CONCATENATE(B41,"_","TR",$B$3,C41,"_","TR",$B$3,C41,"_A","_",G41),AND(C41="AT",D41="TR_P"),CONCATENATE(B41,"_","TR",$B$3,C41,"_","TR",$B$3,C41,"_P","_",G41),AND(C41="BT",D41="TR_A"),CONCATENATE(B41,"_","TR",$B$3,C41,"_","TR",$B$3,C41,"_A","_",G41),AND(C41="BT",D41="TR_P"),CONCATENATE(B41,"_","TR",$B$3,C41,"_","TR",$B$3,C41,"_P","_",G41),AND(C41="TR",D41="TR_P"),CONCATENATE(B41,"_","TR",$B$3,"_","TR",$B$3,"_P","_",G41),AND(C41="TR",D41="TR_A"),CONCATENATE(B41,"_","TR",$B$3,"_","TR",$B$3,"_A","_",G41))</f>
        <v>IMA_TR6AT_89-26_SECF</v>
      </c>
      <c r="I41" s="6" t="s">
        <v>188</v>
      </c>
      <c r="J41" s="6" t="s">
        <v>188</v>
      </c>
      <c r="K41" s="6" t="s">
        <v>188</v>
      </c>
      <c r="L41" s="6" t="s">
        <v>188</v>
      </c>
      <c r="M41" s="6"/>
      <c r="N41" s="6" t="str">
        <f t="shared" ref="N41:N56" si="2">VALUE(LEFT(N40, FIND(";",N40)-1)) + 1 &amp; ";" &amp; VALUE(LEFT(N40, FIND(";",N40)-1)) + 1</f>
        <v>15;15</v>
      </c>
    </row>
    <row r="42" spans="1:14" x14ac:dyDescent="0.25">
      <c r="A42" s="6" t="s">
        <v>190</v>
      </c>
      <c r="B42" s="6" t="str">
        <f>Informações!$C$3</f>
        <v>IMA</v>
      </c>
      <c r="C42" s="6" t="s">
        <v>100</v>
      </c>
      <c r="D42" s="6" t="s">
        <v>33</v>
      </c>
      <c r="E42" s="2" t="s">
        <v>24</v>
      </c>
      <c r="F42" s="6" t="str">
        <f>VLOOKUP(G42,[1]Discrete!$A:$B,2,FALSE)</f>
        <v>SECCIONADORA TRANSFERENCIA</v>
      </c>
      <c r="G42" s="6" t="s">
        <v>33</v>
      </c>
      <c r="H42" s="6" t="str" cm="1">
        <f t="array" ref="H42">_xlfn.IFS(OR(D42="TC",D42="TP",AND(D42="TR",C42="AT"),AND(D42="TR",C42="BT")),CONCATENATE(B42,"_","TR",$B$3,C42,"_","TR",$B$3,C42,"_",G42),AND(D42="SECC",C42="BT"),CONCATENATE(B42,"_","TR",$B$3,C42,"_",$B$9,"_",G42),AND(D42="SECF",C42="AT"),CONCATENATE(B42,"_","TR",$B$3,C42,"_",$B$6,"_",G42),AND(D42="SECT",C42="AT"),CONCATENATE(B42,"_","TR",$B$3,C42,"_",$B$7,"_",G42),AND(D42="DJ",C42="AT"),CONCATENATE(B42,"_","TR",$B$3,C42,"_",$B$4,"_",G42),AND(D42="DJ",C42="BT"),CONCATENATE(B42,"_","TR",$B$3,C42,"_",$B$8,"_",G42),AND(C42="TR",D42="TR"),CONCATENATE(B42,"_","TR",$B$3,"_","TR",$B$3,"_",G42),AND(D42="SECT",C42="BT"),CONCATENATE(B42,"_","TR",$B$3,C42,"_",$B$11,"_",G42),AND(D42="SECF",C42="BT"),CONCATENATE(B42,"_","TR",$B$3,C42,"_",$B$10,"_",G42),AND(D42="SECC",C42="AT"),CONCATENATE(B42,"_","TR",$B$3,C42,"_",$B$5,"_",G42),AND(C42="AT",D42="TR_A"),CONCATENATE(B42,"_","TR",$B$3,C42,"_","TR",$B$3,C42,"_A","_",G42),AND(C42="AT",D42="TR_P"),CONCATENATE(B42,"_","TR",$B$3,C42,"_","TR",$B$3,C42,"_P","_",G42),AND(C42="BT",D42="TR_A"),CONCATENATE(B42,"_","TR",$B$3,C42,"_","TR",$B$3,C42,"_A","_",G42),AND(C42="BT",D42="TR_P"),CONCATENATE(B42,"_","TR",$B$3,C42,"_","TR",$B$3,C42,"_P","_",G42),AND(C42="TR",D42="TR_P"),CONCATENATE(B42,"_","TR",$B$3,"_","TR",$B$3,"_P","_",G42),AND(C42="TR",D42="TR_A"),CONCATENATE(B42,"_","TR",$B$3,"_","TR",$B$3,"_A","_",G42))</f>
        <v>IMA_TR6AT_89-30_SECT</v>
      </c>
      <c r="I42" s="6" t="s">
        <v>188</v>
      </c>
      <c r="J42" s="6" t="s">
        <v>188</v>
      </c>
      <c r="K42" s="6" t="s">
        <v>188</v>
      </c>
      <c r="L42" s="6" t="s">
        <v>188</v>
      </c>
      <c r="M42" s="6"/>
      <c r="N42" s="6" t="str">
        <f t="shared" si="2"/>
        <v>16;16</v>
      </c>
    </row>
    <row r="43" spans="1:14" x14ac:dyDescent="0.25">
      <c r="A43" s="6" t="s">
        <v>190</v>
      </c>
      <c r="B43" s="6" t="str">
        <f>Informações!$C$3</f>
        <v>IMA</v>
      </c>
      <c r="C43" s="6" t="s">
        <v>100</v>
      </c>
      <c r="D43" s="6" t="s">
        <v>30</v>
      </c>
      <c r="E43" s="2" t="s">
        <v>24</v>
      </c>
      <c r="F43" s="6" t="str">
        <f>VLOOKUP(G43,[1]Discrete!$A:$B,2,FALSE)</f>
        <v>DISJUNTOR NF</v>
      </c>
      <c r="G43" s="6" t="s">
        <v>34</v>
      </c>
      <c r="H43" s="6" t="str" cm="1">
        <f t="array" ref="H43">_xlfn.IFS(OR(D43="TC",D43="TP",AND(D43="TR",C43="AT"),AND(D43="TR",C43="BT")),CONCATENATE(B43,"_","TR",$B$3,C43,"_","TR",$B$3,C43,"_",G43),AND(D43="SECC",C43="BT"),CONCATENATE(B43,"_","TR",$B$3,C43,"_",$B$9,"_",G43),AND(D43="SECF",C43="AT"),CONCATENATE(B43,"_","TR",$B$3,C43,"_",$B$6,"_",G43),AND(D43="SECT",C43="AT"),CONCATENATE(B43,"_","TR",$B$3,C43,"_",$B$7,"_",G43),AND(D43="DJ",C43="AT"),CONCATENATE(B43,"_","TR",$B$3,C43,"_",$B$4,"_",G43),AND(D43="DJ",C43="BT"),CONCATENATE(B43,"_","TR",$B$3,C43,"_",$B$8,"_",G43),AND(C43="TR",D43="TR"),CONCATENATE(B43,"_","TR",$B$3,"_","TR",$B$3,"_",G43),AND(D43="SECT",C43="BT"),CONCATENATE(B43,"_","TR",$B$3,C43,"_",$B$11,"_",G43),AND(D43="SECF",C43="BT"),CONCATENATE(B43,"_","TR",$B$3,C43,"_",$B$10,"_",G43),AND(D43="SECC",C43="AT"),CONCATENATE(B43,"_","TR",$B$3,C43,"_",$B$5,"_",G43),AND(C43="AT",D43="TR_A"),CONCATENATE(B43,"_","TR",$B$3,C43,"_","TR",$B$3,C43,"_A","_",G43),AND(C43="AT",D43="TR_P"),CONCATENATE(B43,"_","TR",$B$3,C43,"_","TR",$B$3,C43,"_P","_",G43),AND(C43="BT",D43="TR_A"),CONCATENATE(B43,"_","TR",$B$3,C43,"_","TR",$B$3,C43,"_A","_",G43),AND(C43="BT",D43="TR_P"),CONCATENATE(B43,"_","TR",$B$3,C43,"_","TR",$B$3,C43,"_P","_",G43),AND(C43="TR",D43="TR_P"),CONCATENATE(B43,"_","TR",$B$3,"_","TR",$B$3,"_P","_",G43),AND(C43="TR",D43="TR_A"),CONCATENATE(B43,"_","TR",$B$3,"_","TR",$B$3,"_A","_",G43))</f>
        <v>IMA_TR6AT_52-6_DJF1</v>
      </c>
      <c r="I43" s="6" t="s">
        <v>188</v>
      </c>
      <c r="J43" s="6" t="s">
        <v>188</v>
      </c>
      <c r="K43" s="6" t="s">
        <v>188</v>
      </c>
      <c r="L43" s="6" t="s">
        <v>188</v>
      </c>
      <c r="M43" s="6"/>
      <c r="N43" s="6" t="str">
        <f t="shared" si="2"/>
        <v>17;17</v>
      </c>
    </row>
    <row r="44" spans="1:14" x14ac:dyDescent="0.25">
      <c r="A44" s="6" t="s">
        <v>190</v>
      </c>
      <c r="B44" s="6" t="str">
        <f>Informações!$C$3</f>
        <v>IMA</v>
      </c>
      <c r="C44" s="6" t="s">
        <v>101</v>
      </c>
      <c r="D44" s="6" t="s">
        <v>30</v>
      </c>
      <c r="E44" s="2" t="s">
        <v>24</v>
      </c>
      <c r="F44" s="6" t="str">
        <f>VLOOKUP(G44,[1]Discrete!$A:$B,2,FALSE)</f>
        <v>DISJUNTOR NF</v>
      </c>
      <c r="G44" s="6" t="s">
        <v>34</v>
      </c>
      <c r="H44" s="6" t="str" cm="1">
        <f t="array" ref="H44">_xlfn.IFS(OR(D44="TC",D44="TP",AND(D44="TR",C44="AT"),AND(D44="TR",C44="BT")),CONCATENATE(B44,"_","TR",$B$3,C44,"_","TR",$B$3,C44,"_",G44),AND(D44="SECC",C44="BT"),CONCATENATE(B44,"_","TR",$B$3,C44,"_",$B$9,"_",G44),AND(D44="SECF",C44="AT"),CONCATENATE(B44,"_","TR",$B$3,C44,"_",$B$6,"_",G44),AND(D44="SECT",C44="AT"),CONCATENATE(B44,"_","TR",$B$3,C44,"_",$B$7,"_",G44),AND(D44="DJ",C44="AT"),CONCATENATE(B44,"_","TR",$B$3,C44,"_",$B$4,"_",G44),AND(D44="DJ",C44="BT"),CONCATENATE(B44,"_","TR",$B$3,C44,"_",$B$8,"_",G44),AND(C44="TR",D44="TR"),CONCATENATE(B44,"_","TR",$B$3,"_","TR",$B$3,"_",G44),AND(D44="SECT",C44="BT"),CONCATENATE(B44,"_","TR",$B$3,C44,"_",$B$11,"_",G44),AND(D44="SECF",C44="BT"),CONCATENATE(B44,"_","TR",$B$3,C44,"_",$B$10,"_",G44),AND(D44="SECC",C44="AT"),CONCATENATE(B44,"_","TR",$B$3,C44,"_",$B$5,"_",G44),AND(C44="AT",D44="TR_A"),CONCATENATE(B44,"_","TR",$B$3,C44,"_","TR",$B$3,C44,"_A","_",G44),AND(C44="AT",D44="TR_P"),CONCATENATE(B44,"_","TR",$B$3,C44,"_","TR",$B$3,C44,"_P","_",G44),AND(C44="BT",D44="TR_A"),CONCATENATE(B44,"_","TR",$B$3,C44,"_","TR",$B$3,C44,"_A","_",G44),AND(C44="BT",D44="TR_P"),CONCATENATE(B44,"_","TR",$B$3,C44,"_","TR",$B$3,C44,"_P","_",G44),AND(C44="TR",D44="TR_P"),CONCATENATE(B44,"_","TR",$B$3,"_","TR",$B$3,"_P","_",G44),AND(C44="TR",D44="TR_A"),CONCATENATE(B44,"_","TR",$B$3,"_","TR",$B$3,"_A","_",G44))</f>
        <v>IMA_TR6BT_52-19_DJF1</v>
      </c>
      <c r="I44" s="6" t="s">
        <v>188</v>
      </c>
      <c r="J44" s="6" t="s">
        <v>188</v>
      </c>
      <c r="K44" s="6" t="s">
        <v>188</v>
      </c>
      <c r="L44" s="6" t="s">
        <v>188</v>
      </c>
      <c r="M44" s="6"/>
      <c r="N44" s="6" t="str">
        <f t="shared" si="2"/>
        <v>18;18</v>
      </c>
    </row>
    <row r="45" spans="1:14" x14ac:dyDescent="0.25">
      <c r="A45" s="6" t="s">
        <v>190</v>
      </c>
      <c r="B45" s="6" t="str">
        <f>Informações!$C$3</f>
        <v>IMA</v>
      </c>
      <c r="C45" s="6" t="s">
        <v>102</v>
      </c>
      <c r="D45" s="6" t="s">
        <v>102</v>
      </c>
      <c r="E45" s="2" t="s">
        <v>24</v>
      </c>
      <c r="F45" s="6" t="str">
        <f>VLOOKUP(G45,[1]Discrete!$A:$B,2,FALSE)</f>
        <v>90 - FUNCAO REGULADOR</v>
      </c>
      <c r="G45" s="6" t="s">
        <v>103</v>
      </c>
      <c r="H45" s="6" t="str" cm="1">
        <f t="array" ref="H45">_xlfn.IFS(OR(D45="TC",D45="TP",AND(D45="TR",C45="AT"),AND(D45="TR",C45="BT")),CONCATENATE(B45,"_","TR",$B$3,C45,"_","TR",$B$3,C45,"_",G45),AND(D45="SECC",C45="BT"),CONCATENATE(B45,"_","TR",$B$3,C45,"_",$B$9,"_",G45),AND(D45="SECF",C45="AT"),CONCATENATE(B45,"_","TR",$B$3,C45,"_",$B$6,"_",G45),AND(D45="SECT",C45="AT"),CONCATENATE(B45,"_","TR",$B$3,C45,"_",$B$7,"_",G45),AND(D45="DJ",C45="AT"),CONCATENATE(B45,"_","TR",$B$3,C45,"_",$B$4,"_",G45),AND(D45="DJ",C45="BT"),CONCATENATE(B45,"_","TR",$B$3,C45,"_",$B$8,"_",G45),AND(C45="TR",D45="TR"),CONCATENATE(B45,"_","TR",$B$3,"_","TR",$B$3,"_",G45),AND(D45="SECT",C45="BT"),CONCATENATE(B45,"_","TR",$B$3,C45,"_",$B$11,"_",G45),AND(D45="SECF",C45="BT"),CONCATENATE(B45,"_","TR",$B$3,C45,"_",$B$10,"_",G45),AND(D45="SECC",C45="AT"),CONCATENATE(B45,"_","TR",$B$3,C45,"_",$B$5,"_",G45),AND(C45="AT",D45="TR_A"),CONCATENATE(B45,"_","TR",$B$3,C45,"_","TR",$B$3,C45,"_A","_",G45),AND(C45="AT",D45="TR_P"),CONCATENATE(B45,"_","TR",$B$3,C45,"_","TR",$B$3,C45,"_P","_",G45),AND(C45="BT",D45="TR_A"),CONCATENATE(B45,"_","TR",$B$3,C45,"_","TR",$B$3,C45,"_A","_",G45),AND(C45="BT",D45="TR_P"),CONCATENATE(B45,"_","TR",$B$3,C45,"_","TR",$B$3,C45,"_P","_",G45),AND(C45="TR",D45="TR_P"),CONCATENATE(B45,"_","TR",$B$3,"_","TR",$B$3,"_P","_",G45),AND(C45="TR",D45="TR_A"),CONCATENATE(B45,"_","TR",$B$3,"_","TR",$B$3,"_A","_",G45))</f>
        <v>IMA_TR6_TR6_R90</v>
      </c>
      <c r="I45" s="6" t="s">
        <v>188</v>
      </c>
      <c r="J45" s="6" t="s">
        <v>188</v>
      </c>
      <c r="K45" s="6" t="s">
        <v>188</v>
      </c>
      <c r="L45" s="6" t="s">
        <v>188</v>
      </c>
      <c r="M45" s="6"/>
      <c r="N45" s="6" t="str">
        <f t="shared" si="2"/>
        <v>19;19</v>
      </c>
    </row>
    <row r="46" spans="1:14" x14ac:dyDescent="0.25">
      <c r="A46" s="93" t="s">
        <v>191</v>
      </c>
      <c r="B46" s="6" t="str">
        <f>Informações!$C$3</f>
        <v>IMA</v>
      </c>
      <c r="C46" s="6" t="s">
        <v>102</v>
      </c>
      <c r="D46" s="6" t="s">
        <v>102</v>
      </c>
      <c r="E46" s="2" t="s">
        <v>24</v>
      </c>
      <c r="F46" s="93" t="str">
        <f>VLOOKUP(G46,[1]Discrete!$A:$B,2,FALSE)</f>
        <v>COMUTADOR</v>
      </c>
      <c r="G46" s="6" t="s">
        <v>104</v>
      </c>
      <c r="H46" s="6" t="str" cm="1">
        <f t="array" ref="H46">_xlfn.IFS(OR(D46="TC",D46="TP",AND(D46="TR",C46="AT"),AND(D46="TR",C46="BT")),CONCATENATE(B46,"_","TR",$B$3,C46,"_","TR",$B$3,C46,"_",G46),AND(D46="SECC",C46="BT"),CONCATENATE(B46,"_","TR",$B$3,C46,"_",$B$9,"_",G46),AND(D46="SECF",C46="AT"),CONCATENATE(B46,"_","TR",$B$3,C46,"_",$B$6,"_",G46),AND(D46="SECT",C46="AT"),CONCATENATE(B46,"_","TR",$B$3,C46,"_",$B$7,"_",G46),AND(D46="DJ",C46="AT"),CONCATENATE(B46,"_","TR",$B$3,C46,"_",$B$4,"_",G46),AND(D46="DJ",C46="BT"),CONCATENATE(B46,"_","TR",$B$3,C46,"_",$B$8,"_",G46),AND(C46="TR",D46="TR"),CONCATENATE(B46,"_","TR",$B$3,"_","TR",$B$3,"_",G46),AND(D46="SECT",C46="BT"),CONCATENATE(B46,"_","TR",$B$3,C46,"_",$B$11,"_",G46),AND(D46="SECF",C46="BT"),CONCATENATE(B46,"_","TR",$B$3,C46,"_",$B$10,"_",G46),AND(D46="SECC",C46="AT"),CONCATENATE(B46,"_","TR",$B$3,C46,"_",$B$5,"_",G46),AND(C46="AT",D46="TR_A"),CONCATENATE(B46,"_","TR",$B$3,C46,"_","TR",$B$3,C46,"_A","_",G46),AND(C46="AT",D46="TR_P"),CONCATENATE(B46,"_","TR",$B$3,C46,"_","TR",$B$3,C46,"_P","_",G46),AND(C46="BT",D46="TR_A"),CONCATENATE(B46,"_","TR",$B$3,C46,"_","TR",$B$3,C46,"_A","_",G46),AND(C46="BT",D46="TR_P"),CONCATENATE(B46,"_","TR",$B$3,C46,"_","TR",$B$3,C46,"_P","_",G46),AND(C46="TR",D46="TR_P"),CONCATENATE(B46,"_","TR",$B$3,"_","TR",$B$3,"_P","_",G46),AND(C46="TR",D46="TR_A"),CONCATENATE(B46,"_","TR",$B$3,"_","TR",$B$3,"_A","_",G46))</f>
        <v>IMA_TR6_TR6_CDC</v>
      </c>
      <c r="I46" s="6" t="s">
        <v>188</v>
      </c>
      <c r="J46" s="6" t="s">
        <v>188</v>
      </c>
      <c r="K46" s="6" t="s">
        <v>188</v>
      </c>
      <c r="L46" s="6" t="s">
        <v>188</v>
      </c>
      <c r="M46" s="6"/>
      <c r="N46" s="93" t="str">
        <f t="shared" si="2"/>
        <v>20;20</v>
      </c>
    </row>
    <row r="47" spans="1:14" x14ac:dyDescent="0.25">
      <c r="A47" s="93" t="s">
        <v>191</v>
      </c>
      <c r="B47" s="6" t="str">
        <f>Informações!$C$3</f>
        <v>IMA</v>
      </c>
      <c r="C47" s="6" t="s">
        <v>102</v>
      </c>
      <c r="D47" s="6" t="s">
        <v>102</v>
      </c>
      <c r="E47" s="2" t="s">
        <v>24</v>
      </c>
      <c r="F47" s="93" t="e">
        <f>VLOOKUP(G47,[1]Discrete!$A:$B,2,FALSE)</f>
        <v>#N/A</v>
      </c>
      <c r="G47" s="6">
        <v>86</v>
      </c>
      <c r="H47" s="6" t="str" cm="1">
        <f t="array" ref="H47">_xlfn.IFS(OR(D47="TC",D47="TP",AND(D47="TR",C47="AT"),AND(D47="TR",C47="BT")),CONCATENATE(B47,"_","TR",$B$3,C47,"_","TR",$B$3,C47,"_",G47),AND(D47="SECC",C47="BT"),CONCATENATE(B47,"_","TR",$B$3,C47,"_",$B$9,"_",G47),AND(D47="SECF",C47="AT"),CONCATENATE(B47,"_","TR",$B$3,C47,"_",$B$6,"_",G47),AND(D47="SECT",C47="AT"),CONCATENATE(B47,"_","TR",$B$3,C47,"_",$B$7,"_",G47),AND(D47="DJ",C47="AT"),CONCATENATE(B47,"_","TR",$B$3,C47,"_",$B$4,"_",G47),AND(D47="DJ",C47="BT"),CONCATENATE(B47,"_","TR",$B$3,C47,"_",$B$8,"_",G47),AND(C47="TR",D47="TR"),CONCATENATE(B47,"_","TR",$B$3,"_","TR",$B$3,"_",G47),AND(D47="SECT",C47="BT"),CONCATENATE(B47,"_","TR",$B$3,C47,"_",$B$11,"_",G47),AND(D47="SECF",C47="BT"),CONCATENATE(B47,"_","TR",$B$3,C47,"_",$B$10,"_",G47),AND(D47="SECC",C47="AT"),CONCATENATE(B47,"_","TR",$B$3,C47,"_",$B$5,"_",G47),AND(C47="AT",D47="TR_A"),CONCATENATE(B47,"_","TR",$B$3,C47,"_","TR",$B$3,C47,"_A","_",G47),AND(C47="AT",D47="TR_P"),CONCATENATE(B47,"_","TR",$B$3,C47,"_","TR",$B$3,C47,"_P","_",G47),AND(C47="BT",D47="TR_A"),CONCATENATE(B47,"_","TR",$B$3,C47,"_","TR",$B$3,C47,"_A","_",G47),AND(C47="BT",D47="TR_P"),CONCATENATE(B47,"_","TR",$B$3,C47,"_","TR",$B$3,C47,"_P","_",G47),AND(C47="TR",D47="TR_P"),CONCATENATE(B47,"_","TR",$B$3,"_","TR",$B$3,"_P","_",G47),AND(C47="TR",D47="TR_A"),CONCATENATE(B47,"_","TR",$B$3,"_","TR",$B$3,"_A","_",G47))</f>
        <v>IMA_TR6_TR6_86</v>
      </c>
      <c r="I47" s="6" t="s">
        <v>188</v>
      </c>
      <c r="J47" s="6" t="s">
        <v>188</v>
      </c>
      <c r="K47" s="6" t="s">
        <v>188</v>
      </c>
      <c r="L47" s="6" t="s">
        <v>188</v>
      </c>
      <c r="M47" s="6"/>
      <c r="N47" s="93" t="str">
        <f t="shared" si="2"/>
        <v>21;21</v>
      </c>
    </row>
    <row r="48" spans="1:14" x14ac:dyDescent="0.25">
      <c r="A48" s="6" t="s">
        <v>190</v>
      </c>
      <c r="B48" s="6" t="str">
        <f>Informações!$C$3</f>
        <v>IMA</v>
      </c>
      <c r="C48" s="6" t="s">
        <v>101</v>
      </c>
      <c r="D48" s="6" t="s">
        <v>30</v>
      </c>
      <c r="E48" s="2" t="s">
        <v>24</v>
      </c>
      <c r="F48" s="6" t="str">
        <f>VLOOKUP(G48,[1]Discrete!$A:$B,2,FALSE)</f>
        <v>51 - FUNCAO SOBRECORRENTE TEMPORIZADA NEUTRO</v>
      </c>
      <c r="G48" s="6" t="s">
        <v>35</v>
      </c>
      <c r="H48" s="6" t="str" cm="1">
        <f t="array" ref="H48">_xlfn.IFS(OR(D48="TC",D48="TP",AND(D48="TR",C48="AT"),AND(D48="TR",C48="BT")),CONCATENATE(B48,"_","TR",$B$3,C48,"_","TR",$B$3,C48,"_",G48),AND(D48="SECC",C48="BT"),CONCATENATE(B48,"_","TR",$B$3,C48,"_",$B$9,"_",G48),AND(D48="SECF",C48="AT"),CONCATENATE(B48,"_","TR",$B$3,C48,"_",$B$6,"_",G48),AND(D48="SECT",C48="AT"),CONCATENATE(B48,"_","TR",$B$3,C48,"_",$B$7,"_",G48),AND(D48="DJ",C48="AT"),CONCATENATE(B48,"_","TR",$B$3,C48,"_",$B$4,"_",G48),AND(D48="DJ",C48="BT"),CONCATENATE(B48,"_","TR",$B$3,C48,"_",$B$8,"_",G48),AND(C48="TR",D48="TR"),CONCATENATE(B48,"_","TR",$B$3,"_","TR",$B$3,"_",G48),AND(D48="SECT",C48="BT"),CONCATENATE(B48,"_","TR",$B$3,C48,"_",$B$11,"_",G48),AND(D48="SECF",C48="BT"),CONCATENATE(B48,"_","TR",$B$3,C48,"_",$B$10,"_",G48),AND(D48="SECC",C48="AT"),CONCATENATE(B48,"_","TR",$B$3,C48,"_",$B$5,"_",G48),AND(C48="AT",D48="TR_A"),CONCATENATE(B48,"_","TR",$B$3,C48,"_","TR",$B$3,C48,"_A","_",G48),AND(C48="AT",D48="TR_P"),CONCATENATE(B48,"_","TR",$B$3,C48,"_","TR",$B$3,C48,"_P","_",G48),AND(C48="BT",D48="TR_A"),CONCATENATE(B48,"_","TR",$B$3,C48,"_","TR",$B$3,C48,"_A","_",G48),AND(C48="BT",D48="TR_P"),CONCATENATE(B48,"_","TR",$B$3,C48,"_","TR",$B$3,C48,"_P","_",G48),AND(C48="TR",D48="TR_P"),CONCATENATE(B48,"_","TR",$B$3,"_","TR",$B$3,"_P","_",G48),AND(C48="TR",D48="TR_A"),CONCATENATE(B48,"_","TR",$B$3,"_","TR",$B$3,"_A","_",G48))</f>
        <v>IMA_TR6BT_52-19_51N</v>
      </c>
      <c r="I48" s="6" t="s">
        <v>188</v>
      </c>
      <c r="J48" s="6" t="s">
        <v>188</v>
      </c>
      <c r="K48" s="6" t="s">
        <v>188</v>
      </c>
      <c r="L48" s="6" t="s">
        <v>188</v>
      </c>
      <c r="M48" s="6"/>
      <c r="N48" s="6" t="str">
        <f t="shared" si="2"/>
        <v>22;22</v>
      </c>
    </row>
    <row r="49" spans="1:14" x14ac:dyDescent="0.25">
      <c r="A49" s="93" t="s">
        <v>191</v>
      </c>
      <c r="B49" s="6" t="str">
        <f>Informações!$C$3</f>
        <v>IMA</v>
      </c>
      <c r="C49" s="6" t="s">
        <v>101</v>
      </c>
      <c r="D49" s="6" t="s">
        <v>30</v>
      </c>
      <c r="E49" s="2" t="s">
        <v>24</v>
      </c>
      <c r="F49" s="93" t="str">
        <f>VLOOKUP(G49,[1]Discrete!$A:$B,2,FALSE)</f>
        <v>GRUPO DE AJUSTE FUNCAO 81</v>
      </c>
      <c r="G49" s="6" t="s">
        <v>77</v>
      </c>
      <c r="H49" s="6" t="str" cm="1">
        <f t="array" ref="H49">_xlfn.IFS(OR(D49="TC",D49="TP",AND(D49="TR",C49="AT"),AND(D49="TR",C49="BT")),CONCATENATE(B49,"_","TR",$B$3,C49,"_","TR",$B$3,C49,"_",G49),AND(D49="SECC",C49="BT"),CONCATENATE(B49,"_","TR",$B$3,C49,"_",$B$9,"_",G49),AND(D49="SECF",C49="AT"),CONCATENATE(B49,"_","TR",$B$3,C49,"_",$B$6,"_",G49),AND(D49="SECT",C49="AT"),CONCATENATE(B49,"_","TR",$B$3,C49,"_",$B$7,"_",G49),AND(D49="DJ",C49="AT"),CONCATENATE(B49,"_","TR",$B$3,C49,"_",$B$4,"_",G49),AND(D49="DJ",C49="BT"),CONCATENATE(B49,"_","TR",$B$3,C49,"_",$B$8,"_",G49),AND(C49="TR",D49="TR"),CONCATENATE(B49,"_","TR",$B$3,"_","TR",$B$3,"_",G49),AND(D49="SECT",C49="BT"),CONCATENATE(B49,"_","TR",$B$3,C49,"_",$B$11,"_",G49),AND(D49="SECF",C49="BT"),CONCATENATE(B49,"_","TR",$B$3,C49,"_",$B$10,"_",G49),AND(D49="SECC",C49="AT"),CONCATENATE(B49,"_","TR",$B$3,C49,"_",$B$5,"_",G49),AND(C49="AT",D49="TR_A"),CONCATENATE(B49,"_","TR",$B$3,C49,"_","TR",$B$3,C49,"_A","_",G49),AND(C49="AT",D49="TR_P"),CONCATENATE(B49,"_","TR",$B$3,C49,"_","TR",$B$3,C49,"_P","_",G49),AND(C49="BT",D49="TR_A"),CONCATENATE(B49,"_","TR",$B$3,C49,"_","TR",$B$3,C49,"_A","_",G49),AND(C49="BT",D49="TR_P"),CONCATENATE(B49,"_","TR",$B$3,C49,"_","TR",$B$3,C49,"_P","_",G49),AND(C49="TR",D49="TR_P"),CONCATENATE(B49,"_","TR",$B$3,"_","TR",$B$3,"_P","_",G49),AND(C49="TR",D49="TR_A"),CONCATENATE(B49,"_","TR",$B$3,"_","TR",$B$3,"_A","_",G49))</f>
        <v>IMA_TR6BT_52-19_81AJST</v>
      </c>
      <c r="I49" s="6" t="s">
        <v>188</v>
      </c>
      <c r="J49" s="6" t="s">
        <v>188</v>
      </c>
      <c r="K49" s="6" t="s">
        <v>188</v>
      </c>
      <c r="L49" s="6" t="s">
        <v>188</v>
      </c>
      <c r="M49" s="6"/>
      <c r="N49" s="93" t="str">
        <f t="shared" si="2"/>
        <v>23;23</v>
      </c>
    </row>
    <row r="50" spans="1:14" x14ac:dyDescent="0.25">
      <c r="A50" s="6" t="s">
        <v>190</v>
      </c>
      <c r="B50" s="6" t="str">
        <f>Informações!$C$3</f>
        <v>IMA</v>
      </c>
      <c r="C50" s="94" t="s">
        <v>100</v>
      </c>
      <c r="D50" s="6" t="s">
        <v>30</v>
      </c>
      <c r="E50" s="2" t="s">
        <v>24</v>
      </c>
      <c r="F50" s="6" t="e">
        <f>VLOOKUP(G50,[1]Discrete!$A:$B,2,FALSE)</f>
        <v>#N/A</v>
      </c>
      <c r="G50" s="6">
        <v>81</v>
      </c>
      <c r="H50" s="6" t="str" cm="1">
        <f t="array" ref="H50">_xlfn.IFS(OR(D50="TC",D50="TP",AND(D50="TR",C50="AT"),AND(D50="TR",C50="BT")),CONCATENATE(B50,"_","TR",$B$3,C50,"_","TR",$B$3,C50,"_",G50),AND(D50="SECC",C50="BT"),CONCATENATE(B50,"_","TR",$B$3,C50,"_",$B$9,"_",G50),AND(D50="SECF",C50="AT"),CONCATENATE(B50,"_","TR",$B$3,C50,"_",$B$6,"_",G50),AND(D50="SECT",C50="AT"),CONCATENATE(B50,"_","TR",$B$3,C50,"_",$B$7,"_",G50),AND(D50="DJ",C50="AT"),CONCATENATE(B50,"_","TR",$B$3,C50,"_",$B$4,"_",G50),AND(D50="DJ",C50="BT"),CONCATENATE(B50,"_","TR",$B$3,C50,"_",$B$8,"_",G50),AND(C50="TR",D50="TR"),CONCATENATE(B50,"_","TR",$B$3,"_","TR",$B$3,"_",G50),AND(D50="SECT",C50="BT"),CONCATENATE(B50,"_","TR",$B$3,C50,"_",$B$11,"_",G50),AND(D50="SECF",C50="BT"),CONCATENATE(B50,"_","TR",$B$3,C50,"_",$B$10,"_",G50),AND(D50="SECC",C50="AT"),CONCATENATE(B50,"_","TR",$B$3,C50,"_",$B$5,"_",G50),AND(C50="AT",D50="TR_A"),CONCATENATE(B50,"_","TR",$B$3,C50,"_","TR",$B$3,C50,"_A","_",G50),AND(C50="AT",D50="TR_P"),CONCATENATE(B50,"_","TR",$B$3,C50,"_","TR",$B$3,C50,"_P","_",G50),AND(C50="BT",D50="TR_A"),CONCATENATE(B50,"_","TR",$B$3,C50,"_","TR",$B$3,C50,"_A","_",G50),AND(C50="BT",D50="TR_P"),CONCATENATE(B50,"_","TR",$B$3,C50,"_","TR",$B$3,C50,"_P","_",G50),AND(C50="TR",D50="TR_P"),CONCATENATE(B50,"_","TR",$B$3,"_","TR",$B$3,"_P","_",G50),AND(C50="TR",D50="TR_A"),CONCATENATE(B50,"_","TR",$B$3,"_","TR",$B$3,"_A","_",G50))</f>
        <v>IMA_TR6AT_52-6_81</v>
      </c>
      <c r="I50" s="6" t="s">
        <v>188</v>
      </c>
      <c r="J50" s="6" t="s">
        <v>188</v>
      </c>
      <c r="K50" s="6" t="s">
        <v>188</v>
      </c>
      <c r="L50" s="6" t="s">
        <v>188</v>
      </c>
      <c r="M50" s="6"/>
      <c r="N50" s="6" t="str">
        <f t="shared" si="2"/>
        <v>24;24</v>
      </c>
    </row>
    <row r="51" spans="1:14" x14ac:dyDescent="0.25">
      <c r="A51" s="6" t="s">
        <v>190</v>
      </c>
      <c r="B51" s="6" t="str">
        <f>Informações!$C$3</f>
        <v>IMA</v>
      </c>
      <c r="C51" s="94" t="s">
        <v>100</v>
      </c>
      <c r="D51" s="6" t="s">
        <v>30</v>
      </c>
      <c r="E51" s="2" t="s">
        <v>24</v>
      </c>
      <c r="F51" s="6" t="str">
        <f>VLOOKUP(G51,[1]Discrete!$A:$B,2,FALSE)</f>
        <v>AJUSTE PARA 81 E1</v>
      </c>
      <c r="G51" s="6" t="s">
        <v>72</v>
      </c>
      <c r="H51" s="6" t="str" cm="1">
        <f t="array" ref="H51">_xlfn.IFS(OR(D51="TC",D51="TP",AND(D51="TR",C51="AT"),AND(D51="TR",C51="BT")),CONCATENATE(B51,"_","TR",$B$3,C51,"_","TR",$B$3,C51,"_",G51),AND(D51="SECC",C51="BT"),CONCATENATE(B51,"_","TR",$B$3,C51,"_",$B$9,"_",G51),AND(D51="SECF",C51="AT"),CONCATENATE(B51,"_","TR",$B$3,C51,"_",$B$6,"_",G51),AND(D51="SECT",C51="AT"),CONCATENATE(B51,"_","TR",$B$3,C51,"_",$B$7,"_",G51),AND(D51="DJ",C51="AT"),CONCATENATE(B51,"_","TR",$B$3,C51,"_",$B$4,"_",G51),AND(D51="DJ",C51="BT"),CONCATENATE(B51,"_","TR",$B$3,C51,"_",$B$8,"_",G51),AND(C51="TR",D51="TR"),CONCATENATE(B51,"_","TR",$B$3,"_","TR",$B$3,"_",G51),AND(D51="SECT",C51="BT"),CONCATENATE(B51,"_","TR",$B$3,C51,"_",$B$11,"_",G51),AND(D51="SECF",C51="BT"),CONCATENATE(B51,"_","TR",$B$3,C51,"_",$B$10,"_",G51),AND(D51="SECC",C51="AT"),CONCATENATE(B51,"_","TR",$B$3,C51,"_",$B$5,"_",G51),AND(C51="AT",D51="TR_A"),CONCATENATE(B51,"_","TR",$B$3,C51,"_","TR",$B$3,C51,"_A","_",G51),AND(C51="AT",D51="TR_P"),CONCATENATE(B51,"_","TR",$B$3,C51,"_","TR",$B$3,C51,"_P","_",G51),AND(C51="BT",D51="TR_A"),CONCATENATE(B51,"_","TR",$B$3,C51,"_","TR",$B$3,C51,"_A","_",G51),AND(C51="BT",D51="TR_P"),CONCATENATE(B51,"_","TR",$B$3,C51,"_","TR",$B$3,C51,"_P","_",G51),AND(C51="TR",D51="TR_P"),CONCATENATE(B51,"_","TR",$B$3,"_","TR",$B$3,"_P","_",G51),AND(C51="TR",D51="TR_A"),CONCATENATE(B51,"_","TR",$B$3,"_","TR",$B$3,"_A","_",G51))</f>
        <v>IMA_TR6AT_52-6_81U1</v>
      </c>
      <c r="I51" s="6" t="s">
        <v>188</v>
      </c>
      <c r="J51" s="6" t="s">
        <v>188</v>
      </c>
      <c r="K51" s="6" t="s">
        <v>188</v>
      </c>
      <c r="L51" s="6" t="s">
        <v>188</v>
      </c>
      <c r="M51" s="6" t="s">
        <v>188</v>
      </c>
      <c r="N51" s="6" t="str">
        <f t="shared" si="2"/>
        <v>25;25</v>
      </c>
    </row>
    <row r="52" spans="1:14" x14ac:dyDescent="0.25">
      <c r="A52" s="6" t="s">
        <v>190</v>
      </c>
      <c r="B52" s="6" t="str">
        <f>Informações!$C$3</f>
        <v>IMA</v>
      </c>
      <c r="C52" s="94" t="s">
        <v>100</v>
      </c>
      <c r="D52" s="6" t="s">
        <v>30</v>
      </c>
      <c r="E52" s="2" t="s">
        <v>24</v>
      </c>
      <c r="F52" s="6" t="str">
        <f>VLOOKUP(G52,[1]Discrete!$A:$B,2,FALSE)</f>
        <v>AJUSTE PARA 81 E2</v>
      </c>
      <c r="G52" s="6" t="s">
        <v>73</v>
      </c>
      <c r="H52" s="6" t="str" cm="1">
        <f t="array" ref="H52">_xlfn.IFS(OR(D52="TC",D52="TP",AND(D52="TR",C52="AT"),AND(D52="TR",C52="BT")),CONCATENATE(B52,"_","TR",$B$3,C52,"_","TR",$B$3,C52,"_",G52),AND(D52="SECC",C52="BT"),CONCATENATE(B52,"_","TR",$B$3,C52,"_",$B$9,"_",G52),AND(D52="SECF",C52="AT"),CONCATENATE(B52,"_","TR",$B$3,C52,"_",$B$6,"_",G52),AND(D52="SECT",C52="AT"),CONCATENATE(B52,"_","TR",$B$3,C52,"_",$B$7,"_",G52),AND(D52="DJ",C52="AT"),CONCATENATE(B52,"_","TR",$B$3,C52,"_",$B$4,"_",G52),AND(D52="DJ",C52="BT"),CONCATENATE(B52,"_","TR",$B$3,C52,"_",$B$8,"_",G52),AND(C52="TR",D52="TR"),CONCATENATE(B52,"_","TR",$B$3,"_","TR",$B$3,"_",G52),AND(D52="SECT",C52="BT"),CONCATENATE(B52,"_","TR",$B$3,C52,"_",$B$11,"_",G52),AND(D52="SECF",C52="BT"),CONCATENATE(B52,"_","TR",$B$3,C52,"_",$B$10,"_",G52),AND(D52="SECC",C52="AT"),CONCATENATE(B52,"_","TR",$B$3,C52,"_",$B$5,"_",G52),AND(C52="AT",D52="TR_A"),CONCATENATE(B52,"_","TR",$B$3,C52,"_","TR",$B$3,C52,"_A","_",G52),AND(C52="AT",D52="TR_P"),CONCATENATE(B52,"_","TR",$B$3,C52,"_","TR",$B$3,C52,"_P","_",G52),AND(C52="BT",D52="TR_A"),CONCATENATE(B52,"_","TR",$B$3,C52,"_","TR",$B$3,C52,"_A","_",G52),AND(C52="BT",D52="TR_P"),CONCATENATE(B52,"_","TR",$B$3,C52,"_","TR",$B$3,C52,"_P","_",G52),AND(C52="TR",D52="TR_P"),CONCATENATE(B52,"_","TR",$B$3,"_","TR",$B$3,"_P","_",G52),AND(C52="TR",D52="TR_A"),CONCATENATE(B52,"_","TR",$B$3,"_","TR",$B$3,"_A","_",G52))</f>
        <v>IMA_TR6AT_52-6_81U2</v>
      </c>
      <c r="I52" s="6" t="s">
        <v>188</v>
      </c>
      <c r="J52" s="6" t="s">
        <v>188</v>
      </c>
      <c r="K52" s="6" t="s">
        <v>188</v>
      </c>
      <c r="L52" s="6" t="s">
        <v>188</v>
      </c>
      <c r="M52" s="6" t="s">
        <v>188</v>
      </c>
      <c r="N52" s="6" t="str">
        <f t="shared" si="2"/>
        <v>26;26</v>
      </c>
    </row>
    <row r="53" spans="1:14" x14ac:dyDescent="0.25">
      <c r="A53" s="6" t="s">
        <v>190</v>
      </c>
      <c r="B53" s="6" t="str">
        <f>Informações!$C$3</f>
        <v>IMA</v>
      </c>
      <c r="C53" s="94" t="s">
        <v>100</v>
      </c>
      <c r="D53" s="6" t="s">
        <v>30</v>
      </c>
      <c r="E53" s="2" t="s">
        <v>24</v>
      </c>
      <c r="F53" s="6" t="str">
        <f>VLOOKUP(G53,[1]Discrete!$A:$B,2,FALSE)</f>
        <v>AJUSTE PARA 81 E3</v>
      </c>
      <c r="G53" s="6" t="s">
        <v>74</v>
      </c>
      <c r="H53" s="6" t="str" cm="1">
        <f t="array" ref="H53">_xlfn.IFS(OR(D53="TC",D53="TP",AND(D53="TR",C53="AT"),AND(D53="TR",C53="BT")),CONCATENATE(B53,"_","TR",$B$3,C53,"_","TR",$B$3,C53,"_",G53),AND(D53="SECC",C53="BT"),CONCATENATE(B53,"_","TR",$B$3,C53,"_",$B$9,"_",G53),AND(D53="SECF",C53="AT"),CONCATENATE(B53,"_","TR",$B$3,C53,"_",$B$6,"_",G53),AND(D53="SECT",C53="AT"),CONCATENATE(B53,"_","TR",$B$3,C53,"_",$B$7,"_",G53),AND(D53="DJ",C53="AT"),CONCATENATE(B53,"_","TR",$B$3,C53,"_",$B$4,"_",G53),AND(D53="DJ",C53="BT"),CONCATENATE(B53,"_","TR",$B$3,C53,"_",$B$8,"_",G53),AND(C53="TR",D53="TR"),CONCATENATE(B53,"_","TR",$B$3,"_","TR",$B$3,"_",G53),AND(D53="SECT",C53="BT"),CONCATENATE(B53,"_","TR",$B$3,C53,"_",$B$11,"_",G53),AND(D53="SECF",C53="BT"),CONCATENATE(B53,"_","TR",$B$3,C53,"_",$B$10,"_",G53),AND(D53="SECC",C53="AT"),CONCATENATE(B53,"_","TR",$B$3,C53,"_",$B$5,"_",G53),AND(C53="AT",D53="TR_A"),CONCATENATE(B53,"_","TR",$B$3,C53,"_","TR",$B$3,C53,"_A","_",G53),AND(C53="AT",D53="TR_P"),CONCATENATE(B53,"_","TR",$B$3,C53,"_","TR",$B$3,C53,"_P","_",G53),AND(C53="BT",D53="TR_A"),CONCATENATE(B53,"_","TR",$B$3,C53,"_","TR",$B$3,C53,"_A","_",G53),AND(C53="BT",D53="TR_P"),CONCATENATE(B53,"_","TR",$B$3,C53,"_","TR",$B$3,C53,"_P","_",G53),AND(C53="TR",D53="TR_P"),CONCATENATE(B53,"_","TR",$B$3,"_","TR",$B$3,"_P","_",G53),AND(C53="TR",D53="TR_A"),CONCATENATE(B53,"_","TR",$B$3,"_","TR",$B$3,"_A","_",G53))</f>
        <v>IMA_TR6AT_52-6_81U3</v>
      </c>
      <c r="I53" s="6" t="s">
        <v>188</v>
      </c>
      <c r="J53" s="6" t="s">
        <v>188</v>
      </c>
      <c r="K53" s="6" t="s">
        <v>188</v>
      </c>
      <c r="L53" s="6" t="s">
        <v>188</v>
      </c>
      <c r="M53" s="6" t="s">
        <v>188</v>
      </c>
      <c r="N53" s="6" t="str">
        <f t="shared" si="2"/>
        <v>27;27</v>
      </c>
    </row>
    <row r="54" spans="1:14" x14ac:dyDescent="0.25">
      <c r="A54" s="6" t="s">
        <v>190</v>
      </c>
      <c r="B54" s="6" t="str">
        <f>Informações!$C$3</f>
        <v>IMA</v>
      </c>
      <c r="C54" s="94" t="s">
        <v>100</v>
      </c>
      <c r="D54" s="6" t="s">
        <v>30</v>
      </c>
      <c r="E54" s="2" t="s">
        <v>24</v>
      </c>
      <c r="F54" s="6" t="str">
        <f>VLOOKUP(G54,[1]Discrete!$A:$B,2,FALSE)</f>
        <v>AJUSTE PARA 81 E4</v>
      </c>
      <c r="G54" s="6" t="s">
        <v>75</v>
      </c>
      <c r="H54" s="6" t="str" cm="1">
        <f t="array" ref="H54">_xlfn.IFS(OR(D54="TC",D54="TP",AND(D54="TR",C54="AT"),AND(D54="TR",C54="BT")),CONCATENATE(B54,"_","TR",$B$3,C54,"_","TR",$B$3,C54,"_",G54),AND(D54="SECC",C54="BT"),CONCATENATE(B54,"_","TR",$B$3,C54,"_",$B$9,"_",G54),AND(D54="SECF",C54="AT"),CONCATENATE(B54,"_","TR",$B$3,C54,"_",$B$6,"_",G54),AND(D54="SECT",C54="AT"),CONCATENATE(B54,"_","TR",$B$3,C54,"_",$B$7,"_",G54),AND(D54="DJ",C54="AT"),CONCATENATE(B54,"_","TR",$B$3,C54,"_",$B$4,"_",G54),AND(D54="DJ",C54="BT"),CONCATENATE(B54,"_","TR",$B$3,C54,"_",$B$8,"_",G54),AND(C54="TR",D54="TR"),CONCATENATE(B54,"_","TR",$B$3,"_","TR",$B$3,"_",G54),AND(D54="SECT",C54="BT"),CONCATENATE(B54,"_","TR",$B$3,C54,"_",$B$11,"_",G54),AND(D54="SECF",C54="BT"),CONCATENATE(B54,"_","TR",$B$3,C54,"_",$B$10,"_",G54),AND(D54="SECC",C54="AT"),CONCATENATE(B54,"_","TR",$B$3,C54,"_",$B$5,"_",G54),AND(C54="AT",D54="TR_A"),CONCATENATE(B54,"_","TR",$B$3,C54,"_","TR",$B$3,C54,"_A","_",G54),AND(C54="AT",D54="TR_P"),CONCATENATE(B54,"_","TR",$B$3,C54,"_","TR",$B$3,C54,"_P","_",G54),AND(C54="BT",D54="TR_A"),CONCATENATE(B54,"_","TR",$B$3,C54,"_","TR",$B$3,C54,"_A","_",G54),AND(C54="BT",D54="TR_P"),CONCATENATE(B54,"_","TR",$B$3,C54,"_","TR",$B$3,C54,"_P","_",G54),AND(C54="TR",D54="TR_P"),CONCATENATE(B54,"_","TR",$B$3,"_","TR",$B$3,"_P","_",G54),AND(C54="TR",D54="TR_A"),CONCATENATE(B54,"_","TR",$B$3,"_","TR",$B$3,"_A","_",G54))</f>
        <v>IMA_TR6AT_52-6_81U4</v>
      </c>
      <c r="I54" s="6" t="s">
        <v>188</v>
      </c>
      <c r="J54" s="6" t="s">
        <v>188</v>
      </c>
      <c r="K54" s="6" t="s">
        <v>188</v>
      </c>
      <c r="L54" s="6" t="s">
        <v>188</v>
      </c>
      <c r="M54" s="6" t="s">
        <v>188</v>
      </c>
      <c r="N54" s="6" t="str">
        <f t="shared" si="2"/>
        <v>28;28</v>
      </c>
    </row>
    <row r="55" spans="1:14" x14ac:dyDescent="0.25">
      <c r="A55" s="6" t="s">
        <v>190</v>
      </c>
      <c r="B55" s="6" t="str">
        <f>Informações!$C$3</f>
        <v>IMA</v>
      </c>
      <c r="C55" s="94" t="s">
        <v>100</v>
      </c>
      <c r="D55" s="6" t="s">
        <v>30</v>
      </c>
      <c r="E55" s="2" t="s">
        <v>24</v>
      </c>
      <c r="F55" s="6" t="s">
        <v>296</v>
      </c>
      <c r="G55" s="6" t="s">
        <v>76</v>
      </c>
      <c r="H55" s="6" t="str" cm="1">
        <f t="array" ref="H55">_xlfn.IFS(OR(D55="TC",D55="TP",AND(D55="TR",C55="AT"),AND(D55="TR",C55="BT")),CONCATENATE(B55,"_","TR",$B$3,C55,"_","TR",$B$3,C55,"_",G55),AND(D55="SECC",C55="BT"),CONCATENATE(B55,"_","TR",$B$3,C55,"_",$B$9,"_",G55),AND(D55="SECF",C55="AT"),CONCATENATE(B55,"_","TR",$B$3,C55,"_",$B$6,"_",G55),AND(D55="SECT",C55="AT"),CONCATENATE(B55,"_","TR",$B$3,C55,"_",$B$7,"_",G55),AND(D55="DJ",C55="AT"),CONCATENATE(B55,"_","TR",$B$3,C55,"_",$B$4,"_",G55),AND(D55="DJ",C55="BT"),CONCATENATE(B55,"_","TR",$B$3,C55,"_",$B$8,"_",G55),AND(C55="TR",D55="TR"),CONCATENATE(B55,"_","TR",$B$3,"_","TR",$B$3,"_",G55),AND(D55="SECT",C55="BT"),CONCATENATE(B55,"_","TR",$B$3,C55,"_",$B$11,"_",G55),AND(D55="SECF",C55="BT"),CONCATENATE(B55,"_","TR",$B$3,C55,"_",$B$10,"_",G55),AND(D55="SECC",C55="AT"),CONCATENATE(B55,"_","TR",$B$3,C55,"_",$B$5,"_",G55),AND(C55="AT",D55="TR_A"),CONCATENATE(B55,"_","TR",$B$3,C55,"_","TR",$B$3,C55,"_A","_",G55),AND(C55="AT",D55="TR_P"),CONCATENATE(B55,"_","TR",$B$3,C55,"_","TR",$B$3,C55,"_P","_",G55),AND(C55="BT",D55="TR_A"),CONCATENATE(B55,"_","TR",$B$3,C55,"_","TR",$B$3,C55,"_A","_",G55),AND(C55="BT",D55="TR_P"),CONCATENATE(B55,"_","TR",$B$3,C55,"_","TR",$B$3,C55,"_P","_",G55),AND(C55="TR",D55="TR_P"),CONCATENATE(B55,"_","TR",$B$3,"_","TR",$B$3,"_P","_",G55),AND(C55="TR",D55="TR_A"),CONCATENATE(B55,"_","TR",$B$3,"_","TR",$B$3,"_A","_",G55))</f>
        <v>IMA_TR6AT_52-6_81U5</v>
      </c>
      <c r="I55" s="6" t="s">
        <v>188</v>
      </c>
      <c r="J55" s="6" t="s">
        <v>188</v>
      </c>
      <c r="K55" s="6" t="s">
        <v>188</v>
      </c>
      <c r="L55" s="6" t="s">
        <v>188</v>
      </c>
      <c r="M55" s="6" t="s">
        <v>188</v>
      </c>
      <c r="N55" s="6" t="str">
        <f t="shared" si="2"/>
        <v>29;29</v>
      </c>
    </row>
    <row r="56" spans="1:14" x14ac:dyDescent="0.25">
      <c r="A56" s="6" t="s">
        <v>190</v>
      </c>
      <c r="B56" s="6" t="str">
        <f>Informações!$C$3</f>
        <v>IMA</v>
      </c>
      <c r="C56" s="6" t="s">
        <v>102</v>
      </c>
      <c r="D56" s="6" t="s">
        <v>102</v>
      </c>
      <c r="E56" s="2" t="s">
        <v>24</v>
      </c>
      <c r="F56" s="6" t="s">
        <v>426</v>
      </c>
      <c r="G56" s="6" t="s">
        <v>425</v>
      </c>
      <c r="H56" s="6" t="str" cm="1">
        <f t="array" ref="H56">_xlfn.IFS(OR(D56="TC",D56="TP",AND(D56="TR",C56="AT"),AND(D56="TR",C56="BT")),CONCATENATE(B56,"_","TR",$B$3,C56,"_","TR",$B$3,C56,"_",G56),AND(D56="SECC",C56="BT"),CONCATENATE(B56,"_","TR",$B$3,C56,"_",$B$9,"_",G56),AND(D56="SECF",C56="AT"),CONCATENATE(B56,"_","TR",$B$3,C56,"_",$B$6,"_",G56),AND(D56="SECT",C56="AT"),CONCATENATE(B56,"_","TR",$B$3,C56,"_",$B$7,"_",G56),AND(D56="DJ",C56="AT"),CONCATENATE(B56,"_","TR",$B$3,C56,"_",$B$4,"_",G56),AND(D56="DJ",C56="BT"),CONCATENATE(B56,"_","TR",$B$3,C56,"_",$B$8,"_",G56),AND(C56="TR",D56="TR"),CONCATENATE(B56,"_","TR",$B$3,"_","TR",$B$3,"_",G56),AND(D56="SECT",C56="BT"),CONCATENATE(B56,"_","TR",$B$3,C56,"_",$B$11,"_",G56),AND(D56="SECF",C56="BT"),CONCATENATE(B56,"_","TR",$B$3,C56,"_",$B$10,"_",G56),AND(D56="SECC",C56="AT"),CONCATENATE(B56,"_","TR",$B$3,C56,"_",$B$5,"_",G56),AND(C56="AT",D56="TR_A"),CONCATENATE(B56,"_","TR",$B$3,C56,"_","TR",$B$3,C56,"_A","_",G56),AND(C56="AT",D56="TR_P"),CONCATENATE(B56,"_","TR",$B$3,C56,"_","TR",$B$3,C56,"_P","_",G56),AND(C56="BT",D56="TR_A"),CONCATENATE(B56,"_","TR",$B$3,C56,"_","TR",$B$3,C56,"_A","_",G56),AND(C56="BT",D56="TR_P"),CONCATENATE(B56,"_","TR",$B$3,C56,"_","TR",$B$3,C56,"_P","_",G56),AND(C56="TR",D56="TR_P"),CONCATENATE(B56,"_","TR",$B$3,"_","TR",$B$3,"_P","_",G56),AND(C56="TR",D56="TR_A"),CONCATENATE(B56,"_","TR",$B$3,"_","TR",$B$3,"_A","_",G56))</f>
        <v>IMA_TR6_TR6_COMTAP</v>
      </c>
      <c r="I56" s="6" t="s">
        <v>188</v>
      </c>
      <c r="J56" s="6" t="s">
        <v>188</v>
      </c>
      <c r="K56" s="6" t="s">
        <v>188</v>
      </c>
      <c r="L56" s="6" t="s">
        <v>188</v>
      </c>
      <c r="M56" s="6" t="s">
        <v>188</v>
      </c>
      <c r="N56" s="6" t="str">
        <f t="shared" si="2"/>
        <v>30;30</v>
      </c>
    </row>
    <row r="57" spans="1:14" x14ac:dyDescent="0.25">
      <c r="A57" s="6" t="s">
        <v>190</v>
      </c>
      <c r="B57" s="6" t="str">
        <f>Informações!$C$3</f>
        <v>IMA</v>
      </c>
      <c r="C57" s="6" t="s">
        <v>100</v>
      </c>
      <c r="D57" s="6" t="s">
        <v>31</v>
      </c>
      <c r="E57" s="2" t="s">
        <v>25</v>
      </c>
      <c r="F57" s="104" t="str">
        <f>VLOOKUP(G57,[1]Discrete!$A:$B,2,FALSE)</f>
        <v>SECCIONADORA CARGA</v>
      </c>
      <c r="G57" s="6" t="s">
        <v>31</v>
      </c>
      <c r="H57" s="6" t="str" cm="1">
        <f t="array" ref="H57">_xlfn.IFS(OR(D57="TC",D57="TP",AND(D57="TR",C57="AT"),AND(D57="TR",C57="BT")),CONCATENATE(B57,"_","TR",$B$3,C57,"_","TR",$B$3,C57,"_",G57),AND(D57="SECC",C57="BT"),CONCATENATE(B57,"_","TR",$B$3,C57,"_",$B$9,"_",G57),AND(D57="SECF",C57="AT"),CONCATENATE(B57,"_","TR",$B$3,C57,"_",$B$6,"_",G57),AND(D57="SECT",C57="AT"),CONCATENATE(B57,"_","TR",$B$3,C57,"_",$B$7,"_",G57),AND(D57="DJ",C57="AT"),CONCATENATE(B57,"_","TR",$B$3,C57,"_",$B$4,"_",G57),AND(D57="DJ",C57="BT"),CONCATENATE(B57,"_","TR",$B$3,C57,"_",$B$8,"_",G57),AND(C57="TR",D57="TR"),CONCATENATE(B57,"_","TR",$B$3,"_","TR",$B$3,"_",G57),AND(D57="SECT",C57="BT"),CONCATENATE(B57,"_","TR",$B$3,C57,"_",$B$11,"_",G57),AND(D57="SECF",C57="BT"),CONCATENATE(B57,"_","TR",$B$3,C57,"_",$B$10,"_",G57),AND(D57="SECC",C57="AT"),CONCATENATE(B57,"_","TR",$B$3,C57,"_",$B$5,"_",G57),AND(C57="AT",D57="TR_A"),CONCATENATE(B57,"_","TR",$B$3,C57,"_","TR",$B$3,C57,"_A","_",G57),AND(C57="AT",D57="TR_P"),CONCATENATE(B57,"_","TR",$B$3,C57,"_","TR",$B$3,C57,"_P","_",G57),AND(C57="BT",D57="TR_A"),CONCATENATE(B57,"_","TR",$B$3,C57,"_","TR",$B$3,C57,"_A","_",G57),AND(C57="BT",D57="TR_P"),CONCATENATE(B57,"_","TR",$B$3,C57,"_","TR",$B$3,C57,"_P","_",G57),AND(C57="TR",D57="TR_P"),CONCATENATE(B57,"_","TR",$B$3,"_","TR",$B$3,"_P","_",G57),AND(C57="TR",D57="TR_A"),CONCATENATE(B57,"_","TR",$B$3,"_","TR",$B$3,"_A","_",G57))</f>
        <v>IMA_TR6AT_89-28_SECC</v>
      </c>
      <c r="I57" s="6"/>
      <c r="J57" s="104" t="s">
        <v>281</v>
      </c>
      <c r="K57" s="104" t="s">
        <v>285</v>
      </c>
      <c r="L57" s="6" t="s">
        <v>188</v>
      </c>
      <c r="M57" s="6" t="s">
        <v>188</v>
      </c>
      <c r="N57" s="104" t="str">
        <f>VALUE(LEFT('LT 4'!N48, FIND(";",'LT 4'!N48)-1)) + 2 &amp; ";" &amp; VALUE(LEFT('LT 4'!N48, FIND(";",'LT 4'!N48)-1)) + 3</f>
        <v>1120;1121</v>
      </c>
    </row>
    <row r="58" spans="1:14" x14ac:dyDescent="0.25">
      <c r="A58" s="6" t="s">
        <v>190</v>
      </c>
      <c r="B58" s="6" t="str">
        <f>Informações!$C$3</f>
        <v>IMA</v>
      </c>
      <c r="C58" s="6" t="s">
        <v>100</v>
      </c>
      <c r="D58" s="6" t="s">
        <v>31</v>
      </c>
      <c r="E58" s="2" t="s">
        <v>25</v>
      </c>
      <c r="F58" s="6" t="str">
        <f>VLOOKUP(G58,[1]Discrete!$A:$B,2,FALSE)</f>
        <v>43 - CHAVE LOCAL REMOTO</v>
      </c>
      <c r="G58" s="6" t="s">
        <v>39</v>
      </c>
      <c r="H58" s="6" t="str" cm="1">
        <f t="array" ref="H58">_xlfn.IFS(OR(D58="TC",D58="TP",AND(D58="TR",C58="AT"),AND(D58="TR",C58="BT")),CONCATENATE(B58,"_","TR",$B$3,C58,"_","TR",$B$3,C58,"_",G58),AND(D58="SECC",C58="BT"),CONCATENATE(B58,"_","TR",$B$3,C58,"_",$B$9,"_",G58),AND(D58="SECF",C58="AT"),CONCATENATE(B58,"_","TR",$B$3,C58,"_",$B$6,"_",G58),AND(D58="SECT",C58="AT"),CONCATENATE(B58,"_","TR",$B$3,C58,"_",$B$7,"_",G58),AND(D58="DJ",C58="AT"),CONCATENATE(B58,"_","TR",$B$3,C58,"_",$B$4,"_",G58),AND(D58="DJ",C58="BT"),CONCATENATE(B58,"_","TR",$B$3,C58,"_",$B$8,"_",G58),AND(C58="TR",D58="TR"),CONCATENATE(B58,"_","TR",$B$3,"_","TR",$B$3,"_",G58),AND(D58="SECT",C58="BT"),CONCATENATE(B58,"_","TR",$B$3,C58,"_",$B$11,"_",G58),AND(D58="SECF",C58="BT"),CONCATENATE(B58,"_","TR",$B$3,C58,"_",$B$10,"_",G58),AND(D58="SECC",C58="AT"),CONCATENATE(B58,"_","TR",$B$3,C58,"_",$B$5,"_",G58),AND(C58="AT",D58="TR_A"),CONCATENATE(B58,"_","TR",$B$3,C58,"_","TR",$B$3,C58,"_A","_",G58),AND(C58="AT",D58="TR_P"),CONCATENATE(B58,"_","TR",$B$3,C58,"_","TR",$B$3,C58,"_P","_",G58),AND(C58="BT",D58="TR_A"),CONCATENATE(B58,"_","TR",$B$3,C58,"_","TR",$B$3,C58,"_A","_",G58),AND(C58="BT",D58="TR_P"),CONCATENATE(B58,"_","TR",$B$3,C58,"_","TR",$B$3,C58,"_P","_",G58),AND(C58="TR",D58="TR_P"),CONCATENATE(B58,"_","TR",$B$3,"_","TR",$B$3,"_P","_",G58),AND(C58="TR",D58="TR_A"),CONCATENATE(B58,"_","TR",$B$3,"_","TR",$B$3,"_A","_",G58))</f>
        <v>IMA_TR6AT_89-28_43LR</v>
      </c>
      <c r="I58" s="6"/>
      <c r="J58" s="6" t="s">
        <v>186</v>
      </c>
      <c r="K58" s="6" t="s">
        <v>185</v>
      </c>
      <c r="L58" s="6" t="s">
        <v>188</v>
      </c>
      <c r="M58" s="6" t="s">
        <v>188</v>
      </c>
      <c r="N58" s="6">
        <v>151</v>
      </c>
    </row>
    <row r="59" spans="1:14" x14ac:dyDescent="0.25">
      <c r="A59" s="6" t="s">
        <v>190</v>
      </c>
      <c r="B59" s="6" t="str">
        <f>Informações!$C$3</f>
        <v>IMA</v>
      </c>
      <c r="C59" s="6" t="s">
        <v>100</v>
      </c>
      <c r="D59" s="6" t="s">
        <v>31</v>
      </c>
      <c r="E59" s="2" t="s">
        <v>25</v>
      </c>
      <c r="F59" s="6" t="str">
        <f>VLOOKUP(G59,[1]Discrete!$A:$B,2,FALSE)</f>
        <v>FALTA VCC</v>
      </c>
      <c r="G59" s="6" t="s">
        <v>42</v>
      </c>
      <c r="H59" s="6" t="str" cm="1">
        <f t="array" ref="H59">_xlfn.IFS(OR(D59="TC",D59="TP",AND(D59="TR",C59="AT"),AND(D59="TR",C59="BT")),CONCATENATE(B59,"_","TR",$B$3,C59,"_","TR",$B$3,C59,"_",G59),AND(D59="SECC",C59="BT"),CONCATENATE(B59,"_","TR",$B$3,C59,"_",$B$9,"_",G59),AND(D59="SECF",C59="AT"),CONCATENATE(B59,"_","TR",$B$3,C59,"_",$B$6,"_",G59),AND(D59="SECT",C59="AT"),CONCATENATE(B59,"_","TR",$B$3,C59,"_",$B$7,"_",G59),AND(D59="DJ",C59="AT"),CONCATENATE(B59,"_","TR",$B$3,C59,"_",$B$4,"_",G59),AND(D59="DJ",C59="BT"),CONCATENATE(B59,"_","TR",$B$3,C59,"_",$B$8,"_",G59),AND(C59="TR",D59="TR"),CONCATENATE(B59,"_","TR",$B$3,"_","TR",$B$3,"_",G59),AND(D59="SECT",C59="BT"),CONCATENATE(B59,"_","TR",$B$3,C59,"_",$B$11,"_",G59),AND(D59="SECF",C59="BT"),CONCATENATE(B59,"_","TR",$B$3,C59,"_",$B$10,"_",G59),AND(D59="SECC",C59="AT"),CONCATENATE(B59,"_","TR",$B$3,C59,"_",$B$5,"_",G59),AND(C59="AT",D59="TR_A"),CONCATENATE(B59,"_","TR",$B$3,C59,"_","TR",$B$3,C59,"_A","_",G59),AND(C59="AT",D59="TR_P"),CONCATENATE(B59,"_","TR",$B$3,C59,"_","TR",$B$3,C59,"_P","_",G59),AND(C59="BT",D59="TR_A"),CONCATENATE(B59,"_","TR",$B$3,C59,"_","TR",$B$3,C59,"_A","_",G59),AND(C59="BT",D59="TR_P"),CONCATENATE(B59,"_","TR",$B$3,C59,"_","TR",$B$3,C59,"_P","_",G59),AND(C59="TR",D59="TR_P"),CONCATENATE(B59,"_","TR",$B$3,"_","TR",$B$3,"_P","_",G59),AND(C59="TR",D59="TR_A"),CONCATENATE(B59,"_","TR",$B$3,"_","TR",$B$3,"_A","_",G59))</f>
        <v>IMA_TR6AT_89-28_CCFL</v>
      </c>
      <c r="I59" s="6"/>
      <c r="J59" s="6" t="s">
        <v>182</v>
      </c>
      <c r="K59" s="6" t="s">
        <v>180</v>
      </c>
      <c r="L59" s="6" t="s">
        <v>188</v>
      </c>
      <c r="M59" s="6" t="s">
        <v>188</v>
      </c>
      <c r="N59" s="6">
        <f t="shared" ref="N59:N122" si="3">N58+1</f>
        <v>152</v>
      </c>
    </row>
    <row r="60" spans="1:14" x14ac:dyDescent="0.25">
      <c r="A60" s="6" t="s">
        <v>190</v>
      </c>
      <c r="B60" s="6" t="str">
        <f>Informações!$C$3</f>
        <v>IMA</v>
      </c>
      <c r="C60" s="6" t="s">
        <v>100</v>
      </c>
      <c r="D60" s="6" t="s">
        <v>31</v>
      </c>
      <c r="E60" s="2" t="s">
        <v>25</v>
      </c>
      <c r="F60" s="6" t="str">
        <f>VLOOKUP(G60,[1]Discrete!$A:$B,2,FALSE)</f>
        <v>OPERACAO INDEVIDA SECCIONADORA</v>
      </c>
      <c r="G60" s="6" t="s">
        <v>295</v>
      </c>
      <c r="H60" s="6" t="str" cm="1">
        <f t="array" ref="H60">_xlfn.IFS(OR(D60="TC",D60="TP",AND(D60="TR",C60="AT"),AND(D60="TR",C60="BT")),CONCATENATE(B60,"_","TR",$B$3,C60,"_","TR",$B$3,C60,"_",G60),AND(D60="SECC",C60="BT"),CONCATENATE(B60,"_","TR",$B$3,C60,"_",$B$9,"_",G60),AND(D60="SECF",C60="AT"),CONCATENATE(B60,"_","TR",$B$3,C60,"_",$B$6,"_",G60),AND(D60="SECT",C60="AT"),CONCATENATE(B60,"_","TR",$B$3,C60,"_",$B$7,"_",G60),AND(D60="DJ",C60="AT"),CONCATENATE(B60,"_","TR",$B$3,C60,"_",$B$4,"_",G60),AND(D60="DJ",C60="BT"),CONCATENATE(B60,"_","TR",$B$3,C60,"_",$B$8,"_",G60),AND(C60="TR",D60="TR"),CONCATENATE(B60,"_","TR",$B$3,"_","TR",$B$3,"_",G60),AND(D60="SECT",C60="BT"),CONCATENATE(B60,"_","TR",$B$3,C60,"_",$B$11,"_",G60),AND(D60="SECF",C60="BT"),CONCATENATE(B60,"_","TR",$B$3,C60,"_",$B$10,"_",G60),AND(D60="SECC",C60="AT"),CONCATENATE(B60,"_","TR",$B$3,C60,"_",$B$5,"_",G60),AND(C60="AT",D60="TR_A"),CONCATENATE(B60,"_","TR",$B$3,C60,"_","TR",$B$3,C60,"_A","_",G60),AND(C60="AT",D60="TR_P"),CONCATENATE(B60,"_","TR",$B$3,C60,"_","TR",$B$3,C60,"_P","_",G60),AND(C60="BT",D60="TR_A"),CONCATENATE(B60,"_","TR",$B$3,C60,"_","TR",$B$3,C60,"_A","_",G60),AND(C60="BT",D60="TR_P"),CONCATENATE(B60,"_","TR",$B$3,C60,"_","TR",$B$3,C60,"_P","_",G60),AND(C60="TR",D60="TR_P"),CONCATENATE(B60,"_","TR",$B$3,"_","TR",$B$3,"_P","_",G60),AND(C60="TR",D60="TR_A"),CONCATENATE(B60,"_","TR",$B$3,"_","TR",$B$3,"_A","_",G60))</f>
        <v>IMA_TR6AT_89-28_OI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153</v>
      </c>
    </row>
    <row r="61" spans="1:14" x14ac:dyDescent="0.25">
      <c r="A61" s="6" t="s">
        <v>190</v>
      </c>
      <c r="B61" s="6" t="str">
        <f>Informações!$C$3</f>
        <v>IMA</v>
      </c>
      <c r="C61" s="6" t="s">
        <v>100</v>
      </c>
      <c r="D61" s="6" t="s">
        <v>31</v>
      </c>
      <c r="E61" s="2" t="s">
        <v>25</v>
      </c>
      <c r="F61" s="6" t="str">
        <f>VLOOKUP(G61,[1]Discrete!$A:$B,2,FALSE)</f>
        <v>LIBERA MANOBRA</v>
      </c>
      <c r="G61" s="6" t="s">
        <v>112</v>
      </c>
      <c r="H61" s="6" t="str" cm="1">
        <f t="array" ref="H61">_xlfn.IFS(OR(D61="TC",D61="TP",AND(D61="TR",C61="AT"),AND(D61="TR",C61="BT")),CONCATENATE(B61,"_","TR",$B$3,C61,"_","TR",$B$3,C61,"_",G61),AND(D61="SECC",C61="BT"),CONCATENATE(B61,"_","TR",$B$3,C61,"_",$B$9,"_",G61),AND(D61="SECF",C61="AT"),CONCATENATE(B61,"_","TR",$B$3,C61,"_",$B$6,"_",G61),AND(D61="SECT",C61="AT"),CONCATENATE(B61,"_","TR",$B$3,C61,"_",$B$7,"_",G61),AND(D61="DJ",C61="AT"),CONCATENATE(B61,"_","TR",$B$3,C61,"_",$B$4,"_",G61),AND(D61="DJ",C61="BT"),CONCATENATE(B61,"_","TR",$B$3,C61,"_",$B$8,"_",G61),AND(C61="TR",D61="TR"),CONCATENATE(B61,"_","TR",$B$3,"_","TR",$B$3,"_",G61),AND(D61="SECT",C61="BT"),CONCATENATE(B61,"_","TR",$B$3,C61,"_",$B$11,"_",G61),AND(D61="SECF",C61="BT"),CONCATENATE(B61,"_","TR",$B$3,C61,"_",$B$10,"_",G61),AND(D61="SECC",C61="AT"),CONCATENATE(B61,"_","TR",$B$3,C61,"_",$B$5,"_",G61),AND(C61="AT",D61="TR_A"),CONCATENATE(B61,"_","TR",$B$3,C61,"_","TR",$B$3,C61,"_A","_",G61),AND(C61="AT",D61="TR_P"),CONCATENATE(B61,"_","TR",$B$3,C61,"_","TR",$B$3,C61,"_P","_",G61),AND(C61="BT",D61="TR_A"),CONCATENATE(B61,"_","TR",$B$3,C61,"_","TR",$B$3,C61,"_A","_",G61),AND(C61="BT",D61="TR_P"),CONCATENATE(B61,"_","TR",$B$3,C61,"_","TR",$B$3,C61,"_P","_",G61),AND(C61="TR",D61="TR_P"),CONCATENATE(B61,"_","TR",$B$3,"_","TR",$B$3,"_P","_",G61),AND(C61="TR",D61="TR_A"),CONCATENATE(B61,"_","TR",$B$3,"_","TR",$B$3,"_A","_",G61))</f>
        <v>IMA_TR6AT_89-28_LIBM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3"/>
        <v>154</v>
      </c>
    </row>
    <row r="62" spans="1:14" x14ac:dyDescent="0.25">
      <c r="A62" s="6" t="s">
        <v>190</v>
      </c>
      <c r="B62" s="6" t="str">
        <f>Informações!$C$3</f>
        <v>IMA</v>
      </c>
      <c r="C62" s="6" t="s">
        <v>100</v>
      </c>
      <c r="D62" s="6" t="s">
        <v>32</v>
      </c>
      <c r="E62" s="2" t="s">
        <v>25</v>
      </c>
      <c r="F62" s="104" t="str">
        <f>VLOOKUP(G62,[1]Discrete!$A:$B,2,FALSE)</f>
        <v>SECCIONADORA FONTE</v>
      </c>
      <c r="G62" s="6" t="s">
        <v>32</v>
      </c>
      <c r="H62" s="6" t="str" cm="1">
        <f t="array" ref="H62">_xlfn.IFS(OR(D62="TC",D62="TP",AND(D62="TR",C62="AT"),AND(D62="TR",C62="BT")),CONCATENATE(B62,"_","TR",$B$3,C62,"_","TR",$B$3,C62,"_",G62),AND(D62="SECC",C62="BT"),CONCATENATE(B62,"_","TR",$B$3,C62,"_",$B$9,"_",G62),AND(D62="SECF",C62="AT"),CONCATENATE(B62,"_","TR",$B$3,C62,"_",$B$6,"_",G62),AND(D62="SECT",C62="AT"),CONCATENATE(B62,"_","TR",$B$3,C62,"_",$B$7,"_",G62),AND(D62="DJ",C62="AT"),CONCATENATE(B62,"_","TR",$B$3,C62,"_",$B$4,"_",G62),AND(D62="DJ",C62="BT"),CONCATENATE(B62,"_","TR",$B$3,C62,"_",$B$8,"_",G62),AND(C62="TR",D62="TR"),CONCATENATE(B62,"_","TR",$B$3,"_","TR",$B$3,"_",G62),AND(D62="SECT",C62="BT"),CONCATENATE(B62,"_","TR",$B$3,C62,"_",$B$11,"_",G62),AND(D62="SECF",C62="BT"),CONCATENATE(B62,"_","TR",$B$3,C62,"_",$B$10,"_",G62),AND(D62="SECC",C62="AT"),CONCATENATE(B62,"_","TR",$B$3,C62,"_",$B$5,"_",G62),AND(C62="AT",D62="TR_A"),CONCATENATE(B62,"_","TR",$B$3,C62,"_","TR",$B$3,C62,"_A","_",G62),AND(C62="AT",D62="TR_P"),CONCATENATE(B62,"_","TR",$B$3,C62,"_","TR",$B$3,C62,"_P","_",G62),AND(C62="BT",D62="TR_A"),CONCATENATE(B62,"_","TR",$B$3,C62,"_","TR",$B$3,C62,"_A","_",G62),AND(C62="BT",D62="TR_P"),CONCATENATE(B62,"_","TR",$B$3,C62,"_","TR",$B$3,C62,"_P","_",G62),AND(C62="TR",D62="TR_P"),CONCATENATE(B62,"_","TR",$B$3,"_","TR",$B$3,"_P","_",G62),AND(C62="TR",D62="TR_A"),CONCATENATE(B62,"_","TR",$B$3,"_","TR",$B$3,"_A","_",G62))</f>
        <v>IMA_TR6AT_89-26_SECF</v>
      </c>
      <c r="I62" s="6"/>
      <c r="J62" s="104" t="s">
        <v>281</v>
      </c>
      <c r="K62" s="104" t="s">
        <v>285</v>
      </c>
      <c r="L62" s="6" t="s">
        <v>188</v>
      </c>
      <c r="M62" s="6" t="s">
        <v>188</v>
      </c>
      <c r="N62" s="104" t="str">
        <f>VALUE(LEFT(N57, FIND(";",N57)-1)) + 2 &amp; ";" &amp; VALUE(LEFT(N57, FIND(";",N57)-1)) + 3</f>
        <v>1122;1123</v>
      </c>
    </row>
    <row r="63" spans="1:14" x14ac:dyDescent="0.25">
      <c r="A63" s="6" t="s">
        <v>190</v>
      </c>
      <c r="B63" s="6" t="str">
        <f>Informações!$C$3</f>
        <v>IMA</v>
      </c>
      <c r="C63" s="6" t="s">
        <v>100</v>
      </c>
      <c r="D63" s="6" t="s">
        <v>32</v>
      </c>
      <c r="E63" s="2" t="s">
        <v>25</v>
      </c>
      <c r="F63" s="6" t="str">
        <f>VLOOKUP(G63,[1]Discrete!$A:$B,2,FALSE)</f>
        <v>43 - CHAVE LOCAL REMOTO</v>
      </c>
      <c r="G63" s="6" t="s">
        <v>39</v>
      </c>
      <c r="H63" s="6" t="str" cm="1">
        <f t="array" ref="H63">_xlfn.IFS(OR(D63="TC",D63="TP",AND(D63="TR",C63="AT"),AND(D63="TR",C63="BT")),CONCATENATE(B63,"_","TR",$B$3,C63,"_","TR",$B$3,C63,"_",G63),AND(D63="SECC",C63="BT"),CONCATENATE(B63,"_","TR",$B$3,C63,"_",$B$9,"_",G63),AND(D63="SECF",C63="AT"),CONCATENATE(B63,"_","TR",$B$3,C63,"_",$B$6,"_",G63),AND(D63="SECT",C63="AT"),CONCATENATE(B63,"_","TR",$B$3,C63,"_",$B$7,"_",G63),AND(D63="DJ",C63="AT"),CONCATENATE(B63,"_","TR",$B$3,C63,"_",$B$4,"_",G63),AND(D63="DJ",C63="BT"),CONCATENATE(B63,"_","TR",$B$3,C63,"_",$B$8,"_",G63),AND(C63="TR",D63="TR"),CONCATENATE(B63,"_","TR",$B$3,"_","TR",$B$3,"_",G63),AND(D63="SECT",C63="BT"),CONCATENATE(B63,"_","TR",$B$3,C63,"_",$B$11,"_",G63),AND(D63="SECF",C63="BT"),CONCATENATE(B63,"_","TR",$B$3,C63,"_",$B$10,"_",G63),AND(D63="SECC",C63="AT"),CONCATENATE(B63,"_","TR",$B$3,C63,"_",$B$5,"_",G63),AND(C63="AT",D63="TR_A"),CONCATENATE(B63,"_","TR",$B$3,C63,"_","TR",$B$3,C63,"_A","_",G63),AND(C63="AT",D63="TR_P"),CONCATENATE(B63,"_","TR",$B$3,C63,"_","TR",$B$3,C63,"_P","_",G63),AND(C63="BT",D63="TR_A"),CONCATENATE(B63,"_","TR",$B$3,C63,"_","TR",$B$3,C63,"_A","_",G63),AND(C63="BT",D63="TR_P"),CONCATENATE(B63,"_","TR",$B$3,C63,"_","TR",$B$3,C63,"_P","_",G63),AND(C63="TR",D63="TR_P"),CONCATENATE(B63,"_","TR",$B$3,"_","TR",$B$3,"_P","_",G63),AND(C63="TR",D63="TR_A"),CONCATENATE(B63,"_","TR",$B$3,"_","TR",$B$3,"_A","_",G63))</f>
        <v>IMA_TR6AT_89-26_43LR</v>
      </c>
      <c r="I63" s="6"/>
      <c r="J63" s="6" t="s">
        <v>186</v>
      </c>
      <c r="K63" s="6" t="s">
        <v>185</v>
      </c>
      <c r="L63" s="6" t="s">
        <v>188</v>
      </c>
      <c r="M63" s="6" t="s">
        <v>188</v>
      </c>
      <c r="N63" s="6">
        <v>156</v>
      </c>
    </row>
    <row r="64" spans="1:14" x14ac:dyDescent="0.25">
      <c r="A64" s="6" t="s">
        <v>190</v>
      </c>
      <c r="B64" s="6" t="str">
        <f>Informações!$C$3</f>
        <v>IMA</v>
      </c>
      <c r="C64" s="6" t="s">
        <v>100</v>
      </c>
      <c r="D64" s="6" t="s">
        <v>32</v>
      </c>
      <c r="E64" s="2" t="s">
        <v>25</v>
      </c>
      <c r="F64" s="6" t="str">
        <f>VLOOKUP(G64,[1]Discrete!$A:$B,2,FALSE)</f>
        <v>FALTA VCC</v>
      </c>
      <c r="G64" s="6" t="s">
        <v>42</v>
      </c>
      <c r="H64" s="6" t="str" cm="1">
        <f t="array" ref="H64">_xlfn.IFS(OR(D64="TC",D64="TP",AND(D64="TR",C64="AT"),AND(D64="TR",C64="BT")),CONCATENATE(B64,"_","TR",$B$3,C64,"_","TR",$B$3,C64,"_",G64),AND(D64="SECC",C64="BT"),CONCATENATE(B64,"_","TR",$B$3,C64,"_",$B$9,"_",G64),AND(D64="SECF",C64="AT"),CONCATENATE(B64,"_","TR",$B$3,C64,"_",$B$6,"_",G64),AND(D64="SECT",C64="AT"),CONCATENATE(B64,"_","TR",$B$3,C64,"_",$B$7,"_",G64),AND(D64="DJ",C64="AT"),CONCATENATE(B64,"_","TR",$B$3,C64,"_",$B$4,"_",G64),AND(D64="DJ",C64="BT"),CONCATENATE(B64,"_","TR",$B$3,C64,"_",$B$8,"_",G64),AND(C64="TR",D64="TR"),CONCATENATE(B64,"_","TR",$B$3,"_","TR",$B$3,"_",G64),AND(D64="SECT",C64="BT"),CONCATENATE(B64,"_","TR",$B$3,C64,"_",$B$11,"_",G64),AND(D64="SECF",C64="BT"),CONCATENATE(B64,"_","TR",$B$3,C64,"_",$B$10,"_",G64),AND(D64="SECC",C64="AT"),CONCATENATE(B64,"_","TR",$B$3,C64,"_",$B$5,"_",G64),AND(C64="AT",D64="TR_A"),CONCATENATE(B64,"_","TR",$B$3,C64,"_","TR",$B$3,C64,"_A","_",G64),AND(C64="AT",D64="TR_P"),CONCATENATE(B64,"_","TR",$B$3,C64,"_","TR",$B$3,C64,"_P","_",G64),AND(C64="BT",D64="TR_A"),CONCATENATE(B64,"_","TR",$B$3,C64,"_","TR",$B$3,C64,"_A","_",G64),AND(C64="BT",D64="TR_P"),CONCATENATE(B64,"_","TR",$B$3,C64,"_","TR",$B$3,C64,"_P","_",G64),AND(C64="TR",D64="TR_P"),CONCATENATE(B64,"_","TR",$B$3,"_","TR",$B$3,"_P","_",G64),AND(C64="TR",D64="TR_A"),CONCATENATE(B64,"_","TR",$B$3,"_","TR",$B$3,"_A","_",G64))</f>
        <v>IMA_TR6AT_89-26_CCFL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3"/>
        <v>157</v>
      </c>
    </row>
    <row r="65" spans="1:14" x14ac:dyDescent="0.25">
      <c r="A65" s="6" t="s">
        <v>190</v>
      </c>
      <c r="B65" s="6" t="str">
        <f>Informações!$C$3</f>
        <v>IMA</v>
      </c>
      <c r="C65" s="6" t="s">
        <v>100</v>
      </c>
      <c r="D65" s="6" t="s">
        <v>32</v>
      </c>
      <c r="E65" s="2" t="s">
        <v>25</v>
      </c>
      <c r="F65" s="6" t="str">
        <f>VLOOKUP(G65,[1]Discrete!$A:$B,2,FALSE)</f>
        <v>OPERACAO INDEVIDA SECCIONADORA</v>
      </c>
      <c r="G65" s="6" t="s">
        <v>295</v>
      </c>
      <c r="H65" s="6" t="str" cm="1">
        <f t="array" ref="H65">_xlfn.IFS(OR(D65="TC",D65="TP",AND(D65="TR",C65="AT"),AND(D65="TR",C65="BT")),CONCATENATE(B65,"_","TR",$B$3,C65,"_","TR",$B$3,C65,"_",G65),AND(D65="SECC",C65="BT"),CONCATENATE(B65,"_","TR",$B$3,C65,"_",$B$9,"_",G65),AND(D65="SECF",C65="AT"),CONCATENATE(B65,"_","TR",$B$3,C65,"_",$B$6,"_",G65),AND(D65="SECT",C65="AT"),CONCATENATE(B65,"_","TR",$B$3,C65,"_",$B$7,"_",G65),AND(D65="DJ",C65="AT"),CONCATENATE(B65,"_","TR",$B$3,C65,"_",$B$4,"_",G65),AND(D65="DJ",C65="BT"),CONCATENATE(B65,"_","TR",$B$3,C65,"_",$B$8,"_",G65),AND(C65="TR",D65="TR"),CONCATENATE(B65,"_","TR",$B$3,"_","TR",$B$3,"_",G65),AND(D65="SECT",C65="BT"),CONCATENATE(B65,"_","TR",$B$3,C65,"_",$B$11,"_",G65),AND(D65="SECF",C65="BT"),CONCATENATE(B65,"_","TR",$B$3,C65,"_",$B$10,"_",G65),AND(D65="SECC",C65="AT"),CONCATENATE(B65,"_","TR",$B$3,C65,"_",$B$5,"_",G65),AND(C65="AT",D65="TR_A"),CONCATENATE(B65,"_","TR",$B$3,C65,"_","TR",$B$3,C65,"_A","_",G65),AND(C65="AT",D65="TR_P"),CONCATENATE(B65,"_","TR",$B$3,C65,"_","TR",$B$3,C65,"_P","_",G65),AND(C65="BT",D65="TR_A"),CONCATENATE(B65,"_","TR",$B$3,C65,"_","TR",$B$3,C65,"_A","_",G65),AND(C65="BT",D65="TR_P"),CONCATENATE(B65,"_","TR",$B$3,C65,"_","TR",$B$3,C65,"_P","_",G65),AND(C65="TR",D65="TR_P"),CONCATENATE(B65,"_","TR",$B$3,"_","TR",$B$3,"_P","_",G65),AND(C65="TR",D65="TR_A"),CONCATENATE(B65,"_","TR",$B$3,"_","TR",$B$3,"_A","_",G65))</f>
        <v>IMA_TR6AT_89-26_OI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3"/>
        <v>158</v>
      </c>
    </row>
    <row r="66" spans="1:14" x14ac:dyDescent="0.25">
      <c r="A66" s="6" t="s">
        <v>190</v>
      </c>
      <c r="B66" s="6" t="str">
        <f>Informações!$C$3</f>
        <v>IMA</v>
      </c>
      <c r="C66" s="6" t="s">
        <v>100</v>
      </c>
      <c r="D66" s="6" t="s">
        <v>32</v>
      </c>
      <c r="E66" s="2" t="s">
        <v>25</v>
      </c>
      <c r="F66" s="6" t="str">
        <f>VLOOKUP(G66,[1]Discrete!$A:$B,2,FALSE)</f>
        <v>LIBERA MANOBRA</v>
      </c>
      <c r="G66" s="6" t="s">
        <v>112</v>
      </c>
      <c r="H66" s="6" t="str" cm="1">
        <f t="array" ref="H66">_xlfn.IFS(OR(D66="TC",D66="TP",AND(D66="TR",C66="AT"),AND(D66="TR",C66="BT")),CONCATENATE(B66,"_","TR",$B$3,C66,"_","TR",$B$3,C66,"_",G66),AND(D66="SECC",C66="BT"),CONCATENATE(B66,"_","TR",$B$3,C66,"_",$B$9,"_",G66),AND(D66="SECF",C66="AT"),CONCATENATE(B66,"_","TR",$B$3,C66,"_",$B$6,"_",G66),AND(D66="SECT",C66="AT"),CONCATENATE(B66,"_","TR",$B$3,C66,"_",$B$7,"_",G66),AND(D66="DJ",C66="AT"),CONCATENATE(B66,"_","TR",$B$3,C66,"_",$B$4,"_",G66),AND(D66="DJ",C66="BT"),CONCATENATE(B66,"_","TR",$B$3,C66,"_",$B$8,"_",G66),AND(C66="TR",D66="TR"),CONCATENATE(B66,"_","TR",$B$3,"_","TR",$B$3,"_",G66),AND(D66="SECT",C66="BT"),CONCATENATE(B66,"_","TR",$B$3,C66,"_",$B$11,"_",G66),AND(D66="SECF",C66="BT"),CONCATENATE(B66,"_","TR",$B$3,C66,"_",$B$10,"_",G66),AND(D66="SECC",C66="AT"),CONCATENATE(B66,"_","TR",$B$3,C66,"_",$B$5,"_",G66),AND(C66="AT",D66="TR_A"),CONCATENATE(B66,"_","TR",$B$3,C66,"_","TR",$B$3,C66,"_A","_",G66),AND(C66="AT",D66="TR_P"),CONCATENATE(B66,"_","TR",$B$3,C66,"_","TR",$B$3,C66,"_P","_",G66),AND(C66="BT",D66="TR_A"),CONCATENATE(B66,"_","TR",$B$3,C66,"_","TR",$B$3,C66,"_A","_",G66),AND(C66="BT",D66="TR_P"),CONCATENATE(B66,"_","TR",$B$3,C66,"_","TR",$B$3,C66,"_P","_",G66),AND(C66="TR",D66="TR_P"),CONCATENATE(B66,"_","TR",$B$3,"_","TR",$B$3,"_P","_",G66),AND(C66="TR",D66="TR_A"),CONCATENATE(B66,"_","TR",$B$3,"_","TR",$B$3,"_A","_",G66))</f>
        <v>IMA_TR6AT_89-26_LIBM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3"/>
        <v>159</v>
      </c>
    </row>
    <row r="67" spans="1:14" x14ac:dyDescent="0.25">
      <c r="A67" s="6" t="s">
        <v>190</v>
      </c>
      <c r="B67" s="6" t="str">
        <f>Informações!$C$3</f>
        <v>IMA</v>
      </c>
      <c r="C67" s="6" t="s">
        <v>100</v>
      </c>
      <c r="D67" s="6" t="s">
        <v>33</v>
      </c>
      <c r="E67" s="2" t="s">
        <v>25</v>
      </c>
      <c r="F67" s="104" t="str">
        <f>VLOOKUP(G67,[1]Discrete!$A:$B,2,FALSE)</f>
        <v>SECCIONADORA TRANSFERENCIA</v>
      </c>
      <c r="G67" s="6" t="s">
        <v>33</v>
      </c>
      <c r="H67" s="6" t="str" cm="1">
        <f t="array" ref="H67">_xlfn.IFS(OR(D67="TC",D67="TP",AND(D67="TR",C67="AT"),AND(D67="TR",C67="BT")),CONCATENATE(B67,"_","TR",$B$3,C67,"_","TR",$B$3,C67,"_",G67),AND(D67="SECC",C67="BT"),CONCATENATE(B67,"_","TR",$B$3,C67,"_",$B$9,"_",G67),AND(D67="SECF",C67="AT"),CONCATENATE(B67,"_","TR",$B$3,C67,"_",$B$6,"_",G67),AND(D67="SECT",C67="AT"),CONCATENATE(B67,"_","TR",$B$3,C67,"_",$B$7,"_",G67),AND(D67="DJ",C67="AT"),CONCATENATE(B67,"_","TR",$B$3,C67,"_",$B$4,"_",G67),AND(D67="DJ",C67="BT"),CONCATENATE(B67,"_","TR",$B$3,C67,"_",$B$8,"_",G67),AND(C67="TR",D67="TR"),CONCATENATE(B67,"_","TR",$B$3,"_","TR",$B$3,"_",G67),AND(D67="SECT",C67="BT"),CONCATENATE(B67,"_","TR",$B$3,C67,"_",$B$11,"_",G67),AND(D67="SECF",C67="BT"),CONCATENATE(B67,"_","TR",$B$3,C67,"_",$B$10,"_",G67),AND(D67="SECC",C67="AT"),CONCATENATE(B67,"_","TR",$B$3,C67,"_",$B$5,"_",G67),AND(C67="AT",D67="TR_A"),CONCATENATE(B67,"_","TR",$B$3,C67,"_","TR",$B$3,C67,"_A","_",G67),AND(C67="AT",D67="TR_P"),CONCATENATE(B67,"_","TR",$B$3,C67,"_","TR",$B$3,C67,"_P","_",G67),AND(C67="BT",D67="TR_A"),CONCATENATE(B67,"_","TR",$B$3,C67,"_","TR",$B$3,C67,"_A","_",G67),AND(C67="BT",D67="TR_P"),CONCATENATE(B67,"_","TR",$B$3,C67,"_","TR",$B$3,C67,"_P","_",G67),AND(C67="TR",D67="TR_P"),CONCATENATE(B67,"_","TR",$B$3,"_","TR",$B$3,"_P","_",G67),AND(C67="TR",D67="TR_A"),CONCATENATE(B67,"_","TR",$B$3,"_","TR",$B$3,"_A","_",G67))</f>
        <v>IMA_TR6AT_89-30_SECT</v>
      </c>
      <c r="I67" s="6"/>
      <c r="J67" s="104" t="s">
        <v>281</v>
      </c>
      <c r="K67" s="104" t="s">
        <v>285</v>
      </c>
      <c r="L67" s="6" t="s">
        <v>188</v>
      </c>
      <c r="M67" s="6" t="s">
        <v>188</v>
      </c>
      <c r="N67" s="104" t="str">
        <f>VALUE(LEFT(N62, FIND(";",N62)-1)) + 2 &amp; ";" &amp; VALUE(LEFT(N62, FIND(";",N62)-1)) + 3</f>
        <v>1124;1125</v>
      </c>
    </row>
    <row r="68" spans="1:14" x14ac:dyDescent="0.25">
      <c r="A68" s="6" t="s">
        <v>190</v>
      </c>
      <c r="B68" s="6" t="str">
        <f>Informações!$C$3</f>
        <v>IMA</v>
      </c>
      <c r="C68" s="6" t="s">
        <v>100</v>
      </c>
      <c r="D68" s="6" t="s">
        <v>33</v>
      </c>
      <c r="E68" s="2" t="s">
        <v>25</v>
      </c>
      <c r="F68" s="6" t="str">
        <f>VLOOKUP(G68,[1]Discrete!$A:$B,2,FALSE)</f>
        <v>43 - CHAVE LOCAL REMOTO</v>
      </c>
      <c r="G68" s="6" t="s">
        <v>39</v>
      </c>
      <c r="H68" s="6" t="str" cm="1">
        <f t="array" ref="H68">_xlfn.IFS(OR(D68="TC",D68="TP",AND(D68="TR",C68="AT"),AND(D68="TR",C68="BT")),CONCATENATE(B68,"_","TR",$B$3,C68,"_","TR",$B$3,C68,"_",G68),AND(D68="SECC",C68="BT"),CONCATENATE(B68,"_","TR",$B$3,C68,"_",$B$9,"_",G68),AND(D68="SECF",C68="AT"),CONCATENATE(B68,"_","TR",$B$3,C68,"_",$B$6,"_",G68),AND(D68="SECT",C68="AT"),CONCATENATE(B68,"_","TR",$B$3,C68,"_",$B$7,"_",G68),AND(D68="DJ",C68="AT"),CONCATENATE(B68,"_","TR",$B$3,C68,"_",$B$4,"_",G68),AND(D68="DJ",C68="BT"),CONCATENATE(B68,"_","TR",$B$3,C68,"_",$B$8,"_",G68),AND(C68="TR",D68="TR"),CONCATENATE(B68,"_","TR",$B$3,"_","TR",$B$3,"_",G68),AND(D68="SECT",C68="BT"),CONCATENATE(B68,"_","TR",$B$3,C68,"_",$B$11,"_",G68),AND(D68="SECF",C68="BT"),CONCATENATE(B68,"_","TR",$B$3,C68,"_",$B$10,"_",G68),AND(D68="SECC",C68="AT"),CONCATENATE(B68,"_","TR",$B$3,C68,"_",$B$5,"_",G68),AND(C68="AT",D68="TR_A"),CONCATENATE(B68,"_","TR",$B$3,C68,"_","TR",$B$3,C68,"_A","_",G68),AND(C68="AT",D68="TR_P"),CONCATENATE(B68,"_","TR",$B$3,C68,"_","TR",$B$3,C68,"_P","_",G68),AND(C68="BT",D68="TR_A"),CONCATENATE(B68,"_","TR",$B$3,C68,"_","TR",$B$3,C68,"_A","_",G68),AND(C68="BT",D68="TR_P"),CONCATENATE(B68,"_","TR",$B$3,C68,"_","TR",$B$3,C68,"_P","_",G68),AND(C68="TR",D68="TR_P"),CONCATENATE(B68,"_","TR",$B$3,"_","TR",$B$3,"_P","_",G68),AND(C68="TR",D68="TR_A"),CONCATENATE(B68,"_","TR",$B$3,"_","TR",$B$3,"_A","_",G68))</f>
        <v>IMA_TR6AT_89-30_43LR</v>
      </c>
      <c r="I68" s="6"/>
      <c r="J68" s="6" t="s">
        <v>186</v>
      </c>
      <c r="K68" s="6" t="s">
        <v>185</v>
      </c>
      <c r="L68" s="6" t="s">
        <v>188</v>
      </c>
      <c r="M68" s="6" t="s">
        <v>188</v>
      </c>
      <c r="N68" s="6">
        <v>161</v>
      </c>
    </row>
    <row r="69" spans="1:14" x14ac:dyDescent="0.25">
      <c r="A69" s="6" t="s">
        <v>190</v>
      </c>
      <c r="B69" s="6" t="str">
        <f>Informações!$C$3</f>
        <v>IMA</v>
      </c>
      <c r="C69" s="6" t="s">
        <v>100</v>
      </c>
      <c r="D69" s="6" t="s">
        <v>33</v>
      </c>
      <c r="E69" s="2" t="s">
        <v>25</v>
      </c>
      <c r="F69" s="6" t="str">
        <f>VLOOKUP(G69,[1]Discrete!$A:$B,2,FALSE)</f>
        <v>FALTA VCC</v>
      </c>
      <c r="G69" s="6" t="s">
        <v>42</v>
      </c>
      <c r="H69" s="6" t="str" cm="1">
        <f t="array" ref="H69">_xlfn.IFS(OR(D69="TC",D69="TP",AND(D69="TR",C69="AT"),AND(D69="TR",C69="BT")),CONCATENATE(B69,"_","TR",$B$3,C69,"_","TR",$B$3,C69,"_",G69),AND(D69="SECC",C69="BT"),CONCATENATE(B69,"_","TR",$B$3,C69,"_",$B$9,"_",G69),AND(D69="SECF",C69="AT"),CONCATENATE(B69,"_","TR",$B$3,C69,"_",$B$6,"_",G69),AND(D69="SECT",C69="AT"),CONCATENATE(B69,"_","TR",$B$3,C69,"_",$B$7,"_",G69),AND(D69="DJ",C69="AT"),CONCATENATE(B69,"_","TR",$B$3,C69,"_",$B$4,"_",G69),AND(D69="DJ",C69="BT"),CONCATENATE(B69,"_","TR",$B$3,C69,"_",$B$8,"_",G69),AND(C69="TR",D69="TR"),CONCATENATE(B69,"_","TR",$B$3,"_","TR",$B$3,"_",G69),AND(D69="SECT",C69="BT"),CONCATENATE(B69,"_","TR",$B$3,C69,"_",$B$11,"_",G69),AND(D69="SECF",C69="BT"),CONCATENATE(B69,"_","TR",$B$3,C69,"_",$B$10,"_",G69),AND(D69="SECC",C69="AT"),CONCATENATE(B69,"_","TR",$B$3,C69,"_",$B$5,"_",G69),AND(C69="AT",D69="TR_A"),CONCATENATE(B69,"_","TR",$B$3,C69,"_","TR",$B$3,C69,"_A","_",G69),AND(C69="AT",D69="TR_P"),CONCATENATE(B69,"_","TR",$B$3,C69,"_","TR",$B$3,C69,"_P","_",G69),AND(C69="BT",D69="TR_A"),CONCATENATE(B69,"_","TR",$B$3,C69,"_","TR",$B$3,C69,"_A","_",G69),AND(C69="BT",D69="TR_P"),CONCATENATE(B69,"_","TR",$B$3,C69,"_","TR",$B$3,C69,"_P","_",G69),AND(C69="TR",D69="TR_P"),CONCATENATE(B69,"_","TR",$B$3,"_","TR",$B$3,"_P","_",G69),AND(C69="TR",D69="TR_A"),CONCATENATE(B69,"_","TR",$B$3,"_","TR",$B$3,"_A","_",G69))</f>
        <v>IMA_TR6AT_89-30_CCFL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3"/>
        <v>162</v>
      </c>
    </row>
    <row r="70" spans="1:14" x14ac:dyDescent="0.25">
      <c r="A70" s="6" t="s">
        <v>190</v>
      </c>
      <c r="B70" s="6" t="str">
        <f>Informações!$C$3</f>
        <v>IMA</v>
      </c>
      <c r="C70" s="6" t="s">
        <v>100</v>
      </c>
      <c r="D70" s="6" t="s">
        <v>33</v>
      </c>
      <c r="E70" s="2" t="s">
        <v>25</v>
      </c>
      <c r="F70" s="6" t="str">
        <f>VLOOKUP(G70,[1]Discrete!$A:$B,2,FALSE)</f>
        <v>LIBERA MANOBRA</v>
      </c>
      <c r="G70" s="6" t="s">
        <v>112</v>
      </c>
      <c r="H70" s="6" t="str" cm="1">
        <f t="array" ref="H70">_xlfn.IFS(OR(D70="TC",D70="TP",AND(D70="TR",C70="AT"),AND(D70="TR",C70="BT")),CONCATENATE(B70,"_","TR",$B$3,C70,"_","TR",$B$3,C70,"_",G70),AND(D70="SECC",C70="BT"),CONCATENATE(B70,"_","TR",$B$3,C70,"_",$B$9,"_",G70),AND(D70="SECF",C70="AT"),CONCATENATE(B70,"_","TR",$B$3,C70,"_",$B$6,"_",G70),AND(D70="SECT",C70="AT"),CONCATENATE(B70,"_","TR",$B$3,C70,"_",$B$7,"_",G70),AND(D70="DJ",C70="AT"),CONCATENATE(B70,"_","TR",$B$3,C70,"_",$B$4,"_",G70),AND(D70="DJ",C70="BT"),CONCATENATE(B70,"_","TR",$B$3,C70,"_",$B$8,"_",G70),AND(C70="TR",D70="TR"),CONCATENATE(B70,"_","TR",$B$3,"_","TR",$B$3,"_",G70),AND(D70="SECT",C70="BT"),CONCATENATE(B70,"_","TR",$B$3,C70,"_",$B$11,"_",G70),AND(D70="SECF",C70="BT"),CONCATENATE(B70,"_","TR",$B$3,C70,"_",$B$10,"_",G70),AND(D70="SECC",C70="AT"),CONCATENATE(B70,"_","TR",$B$3,C70,"_",$B$5,"_",G70),AND(C70="AT",D70="TR_A"),CONCATENATE(B70,"_","TR",$B$3,C70,"_","TR",$B$3,C70,"_A","_",G70),AND(C70="AT",D70="TR_P"),CONCATENATE(B70,"_","TR",$B$3,C70,"_","TR",$B$3,C70,"_P","_",G70),AND(C70="BT",D70="TR_A"),CONCATENATE(B70,"_","TR",$B$3,C70,"_","TR",$B$3,C70,"_A","_",G70),AND(C70="BT",D70="TR_P"),CONCATENATE(B70,"_","TR",$B$3,C70,"_","TR",$B$3,C70,"_P","_",G70),AND(C70="TR",D70="TR_P"),CONCATENATE(B70,"_","TR",$B$3,"_","TR",$B$3,"_P","_",G70),AND(C70="TR",D70="TR_A"),CONCATENATE(B70,"_","TR",$B$3,"_","TR",$B$3,"_A","_",G70))</f>
        <v>IMA_TR6AT_89-30_LIBM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163</v>
      </c>
    </row>
    <row r="71" spans="1:14" x14ac:dyDescent="0.25">
      <c r="A71" s="6" t="s">
        <v>190</v>
      </c>
      <c r="B71" s="6" t="str">
        <f>Informações!$C$3</f>
        <v>IMA</v>
      </c>
      <c r="C71" s="6" t="s">
        <v>100</v>
      </c>
      <c r="D71" s="6" t="s">
        <v>30</v>
      </c>
      <c r="E71" s="2" t="s">
        <v>25</v>
      </c>
      <c r="F71" s="104" t="str">
        <f>VLOOKUP(G71,[1]Discrete!$A:$B,2,FALSE)</f>
        <v>DISJUNTOR NF</v>
      </c>
      <c r="G71" s="6" t="s">
        <v>34</v>
      </c>
      <c r="H71" s="6" t="str" cm="1">
        <f t="array" ref="H71">_xlfn.IFS(OR(D71="TC",D71="TP",AND(D71="TR",C71="AT"),AND(D71="TR",C71="BT")),CONCATENATE(B71,"_","TR",$B$3,C71,"_","TR",$B$3,C71,"_",G71),AND(D71="SECC",C71="BT"),CONCATENATE(B71,"_","TR",$B$3,C71,"_",$B$9,"_",G71),AND(D71="SECF",C71="AT"),CONCATENATE(B71,"_","TR",$B$3,C71,"_",$B$6,"_",G71),AND(D71="SECT",C71="AT"),CONCATENATE(B71,"_","TR",$B$3,C71,"_",$B$7,"_",G71),AND(D71="DJ",C71="AT"),CONCATENATE(B71,"_","TR",$B$3,C71,"_",$B$4,"_",G71),AND(D71="DJ",C71="BT"),CONCATENATE(B71,"_","TR",$B$3,C71,"_",$B$8,"_",G71),AND(C71="TR",D71="TR"),CONCATENATE(B71,"_","TR",$B$3,"_","TR",$B$3,"_",G71),AND(D71="SECT",C71="BT"),CONCATENATE(B71,"_","TR",$B$3,C71,"_",$B$11,"_",G71),AND(D71="SECF",C71="BT"),CONCATENATE(B71,"_","TR",$B$3,C71,"_",$B$10,"_",G71),AND(D71="SECC",C71="AT"),CONCATENATE(B71,"_","TR",$B$3,C71,"_",$B$5,"_",G71),AND(C71="AT",D71="TR_A"),CONCATENATE(B71,"_","TR",$B$3,C71,"_","TR",$B$3,C71,"_A","_",G71),AND(C71="AT",D71="TR_P"),CONCATENATE(B71,"_","TR",$B$3,C71,"_","TR",$B$3,C71,"_P","_",G71),AND(C71="BT",D71="TR_A"),CONCATENATE(B71,"_","TR",$B$3,C71,"_","TR",$B$3,C71,"_A","_",G71),AND(C71="BT",D71="TR_P"),CONCATENATE(B71,"_","TR",$B$3,C71,"_","TR",$B$3,C71,"_P","_",G71),AND(C71="TR",D71="TR_P"),CONCATENATE(B71,"_","TR",$B$3,"_","TR",$B$3,"_P","_",G71),AND(C71="TR",D71="TR_A"),CONCATENATE(B71,"_","TR",$B$3,"_","TR",$B$3,"_A","_",G71))</f>
        <v>IMA_TR6AT_52-6_DJF1</v>
      </c>
      <c r="I71" s="6"/>
      <c r="J71" s="104" t="s">
        <v>284</v>
      </c>
      <c r="K71" s="104" t="s">
        <v>286</v>
      </c>
      <c r="L71" s="6" t="s">
        <v>188</v>
      </c>
      <c r="M71" s="6" t="s">
        <v>188</v>
      </c>
      <c r="N71" s="104" t="str">
        <f>VALUE(LEFT(N67, FIND(";",N67)-1)) + 2 &amp; ";" &amp; VALUE(LEFT(N67, FIND(";",N67)-1)) + 3</f>
        <v>1126;1127</v>
      </c>
    </row>
    <row r="72" spans="1:14" x14ac:dyDescent="0.25">
      <c r="A72" s="6" t="s">
        <v>190</v>
      </c>
      <c r="B72" s="6" t="str">
        <f>Informações!$C$3</f>
        <v>IMA</v>
      </c>
      <c r="C72" s="6" t="s">
        <v>101</v>
      </c>
      <c r="D72" s="6" t="s">
        <v>33</v>
      </c>
      <c r="E72" s="2" t="s">
        <v>25</v>
      </c>
      <c r="F72" s="104" t="str">
        <f>VLOOKUP(G72,[1]Discrete!$A:$B,2,FALSE)</f>
        <v>SECCIONADORA TRANSFERENCIA</v>
      </c>
      <c r="G72" s="6" t="s">
        <v>33</v>
      </c>
      <c r="H72" s="6" t="str" cm="1">
        <f t="array" ref="H72">_xlfn.IFS(OR(D72="TC",D72="TP",AND(D72="TR",C72="AT"),AND(D72="TR",C72="BT")),CONCATENATE(B72,"_","TR",$B$3,C72,"_","TR",$B$3,C72,"_",G72),AND(D72="SECC",C72="BT"),CONCATENATE(B72,"_","TR",$B$3,C72,"_",$B$9,"_",G72),AND(D72="SECF",C72="AT"),CONCATENATE(B72,"_","TR",$B$3,C72,"_",$B$6,"_",G72),AND(D72="SECT",C72="AT"),CONCATENATE(B72,"_","TR",$B$3,C72,"_",$B$7,"_",G72),AND(D72="DJ",C72="AT"),CONCATENATE(B72,"_","TR",$B$3,C72,"_",$B$4,"_",G72),AND(D72="DJ",C72="BT"),CONCATENATE(B72,"_","TR",$B$3,C72,"_",$B$8,"_",G72),AND(C72="TR",D72="TR"),CONCATENATE(B72,"_","TR",$B$3,"_","TR",$B$3,"_",G72),AND(D72="SECT",C72="BT"),CONCATENATE(B72,"_","TR",$B$3,C72,"_",$B$11,"_",G72),AND(D72="SECF",C72="BT"),CONCATENATE(B72,"_","TR",$B$3,C72,"_",$B$10,"_",G72),AND(D72="SECC",C72="AT"),CONCATENATE(B72,"_","TR",$B$3,C72,"_",$B$5,"_",G72),AND(C72="AT",D72="TR_A"),CONCATENATE(B72,"_","TR",$B$3,C72,"_","TR",$B$3,C72,"_A","_",G72),AND(C72="AT",D72="TR_P"),CONCATENATE(B72,"_","TR",$B$3,C72,"_","TR",$B$3,C72,"_P","_",G72),AND(C72="BT",D72="TR_A"),CONCATENATE(B72,"_","TR",$B$3,C72,"_","TR",$B$3,C72,"_A","_",G72),AND(C72="BT",D72="TR_P"),CONCATENATE(B72,"_","TR",$B$3,C72,"_","TR",$B$3,C72,"_P","_",G72),AND(C72="TR",D72="TR_P"),CONCATENATE(B72,"_","TR",$B$3,"_","TR",$B$3,"_P","_",G72),AND(C72="TR",D72="TR_A"),CONCATENATE(B72,"_","TR",$B$3,"_","TR",$B$3,"_A","_",G72))</f>
        <v>IMA_TR6BT_89-38_SECT</v>
      </c>
      <c r="I72" s="6"/>
      <c r="J72" s="104" t="s">
        <v>281</v>
      </c>
      <c r="K72" s="104" t="s">
        <v>285</v>
      </c>
      <c r="L72" s="6" t="s">
        <v>188</v>
      </c>
      <c r="M72" s="6" t="s">
        <v>188</v>
      </c>
      <c r="N72" s="104" t="str">
        <f>VALUE(LEFT(N71, FIND(";",N71)-1)) + 2 &amp; ";" &amp; VALUE(LEFT(N71, FIND(";",N71)-1)) + 3</f>
        <v>1128;1129</v>
      </c>
    </row>
    <row r="73" spans="1:14" x14ac:dyDescent="0.25">
      <c r="A73" s="6" t="s">
        <v>190</v>
      </c>
      <c r="B73" s="6" t="str">
        <f>Informações!$C$3</f>
        <v>IMA</v>
      </c>
      <c r="C73" s="6" t="s">
        <v>101</v>
      </c>
      <c r="D73" s="6" t="s">
        <v>30</v>
      </c>
      <c r="E73" s="2" t="s">
        <v>25</v>
      </c>
      <c r="F73" s="104" t="str">
        <f>VLOOKUP(G73,[1]Discrete!$A:$B,2,FALSE)</f>
        <v>DISJUNTOR NF</v>
      </c>
      <c r="G73" s="6" t="s">
        <v>34</v>
      </c>
      <c r="H73" s="6" t="str" cm="1">
        <f t="array" ref="H73">_xlfn.IFS(OR(D73="TC",D73="TP",AND(D73="TR",C73="AT"),AND(D73="TR",C73="BT")),CONCATENATE(B73,"_","TR",$B$3,C73,"_","TR",$B$3,C73,"_",G73),AND(D73="SECC",C73="BT"),CONCATENATE(B73,"_","TR",$B$3,C73,"_",$B$9,"_",G73),AND(D73="SECF",C73="AT"),CONCATENATE(B73,"_","TR",$B$3,C73,"_",$B$6,"_",G73),AND(D73="SECT",C73="AT"),CONCATENATE(B73,"_","TR",$B$3,C73,"_",$B$7,"_",G73),AND(D73="DJ",C73="AT"),CONCATENATE(B73,"_","TR",$B$3,C73,"_",$B$4,"_",G73),AND(D73="DJ",C73="BT"),CONCATENATE(B73,"_","TR",$B$3,C73,"_",$B$8,"_",G73),AND(C73="TR",D73="TR"),CONCATENATE(B73,"_","TR",$B$3,"_","TR",$B$3,"_",G73),AND(D73="SECT",C73="BT"),CONCATENATE(B73,"_","TR",$B$3,C73,"_",$B$11,"_",G73),AND(D73="SECF",C73="BT"),CONCATENATE(B73,"_","TR",$B$3,C73,"_",$B$10,"_",G73),AND(D73="SECC",C73="AT"),CONCATENATE(B73,"_","TR",$B$3,C73,"_",$B$5,"_",G73),AND(C73="AT",D73="TR_A"),CONCATENATE(B73,"_","TR",$B$3,C73,"_","TR",$B$3,C73,"_A","_",G73),AND(C73="AT",D73="TR_P"),CONCATENATE(B73,"_","TR",$B$3,C73,"_","TR",$B$3,C73,"_P","_",G73),AND(C73="BT",D73="TR_A"),CONCATENATE(B73,"_","TR",$B$3,C73,"_","TR",$B$3,C73,"_A","_",G73),AND(C73="BT",D73="TR_P"),CONCATENATE(B73,"_","TR",$B$3,C73,"_","TR",$B$3,C73,"_P","_",G73),AND(C73="TR",D73="TR_P"),CONCATENATE(B73,"_","TR",$B$3,"_","TR",$B$3,"_P","_",G73),AND(C73="TR",D73="TR_A"),CONCATENATE(B73,"_","TR",$B$3,"_","TR",$B$3,"_A","_",G73))</f>
        <v>IMA_TR6BT_52-19_DJF1</v>
      </c>
      <c r="I73" s="6"/>
      <c r="J73" s="104" t="s">
        <v>284</v>
      </c>
      <c r="K73" s="104" t="s">
        <v>286</v>
      </c>
      <c r="L73" s="6" t="s">
        <v>188</v>
      </c>
      <c r="M73" s="6" t="s">
        <v>188</v>
      </c>
      <c r="N73" s="104" t="str">
        <f>VALUE(LEFT(N72, FIND(";",N72)-1)) + 2 &amp; ";" &amp; VALUE(LEFT(N72, FIND(";",N72)-1)) + 3</f>
        <v>1130;1131</v>
      </c>
    </row>
    <row r="74" spans="1:14" x14ac:dyDescent="0.25">
      <c r="A74" s="6" t="s">
        <v>190</v>
      </c>
      <c r="B74" s="6" t="str">
        <f>Informações!$C$3</f>
        <v>IMA</v>
      </c>
      <c r="C74" s="6" t="s">
        <v>101</v>
      </c>
      <c r="D74" s="6" t="s">
        <v>30</v>
      </c>
      <c r="E74" s="2" t="s">
        <v>25</v>
      </c>
      <c r="F74" s="6" t="str">
        <f>VLOOKUP(G74,[1]Discrete!$A:$B,2,FALSE)</f>
        <v>51 - FUNCAO SOBRECORRENTE TEMPORIZADA NEUTRO</v>
      </c>
      <c r="G74" s="6" t="s">
        <v>35</v>
      </c>
      <c r="H74" s="6" t="str" cm="1">
        <f t="array" ref="H74">_xlfn.IFS(OR(D74="TC",D74="TP",AND(D74="TR",C74="AT"),AND(D74="TR",C74="BT")),CONCATENATE(B74,"_","TR",$B$3,C74,"_","TR",$B$3,C74,"_",G74),AND(D74="SECC",C74="BT"),CONCATENATE(B74,"_","TR",$B$3,C74,"_",$B$9,"_",G74),AND(D74="SECF",C74="AT"),CONCATENATE(B74,"_","TR",$B$3,C74,"_",$B$6,"_",G74),AND(D74="SECT",C74="AT"),CONCATENATE(B74,"_","TR",$B$3,C74,"_",$B$7,"_",G74),AND(D74="DJ",C74="AT"),CONCATENATE(B74,"_","TR",$B$3,C74,"_",$B$4,"_",G74),AND(D74="DJ",C74="BT"),CONCATENATE(B74,"_","TR",$B$3,C74,"_",$B$8,"_",G74),AND(C74="TR",D74="TR"),CONCATENATE(B74,"_","TR",$B$3,"_","TR",$B$3,"_",G74),AND(D74="SECT",C74="BT"),CONCATENATE(B74,"_","TR",$B$3,C74,"_",$B$11,"_",G74),AND(D74="SECF",C74="BT"),CONCATENATE(B74,"_","TR",$B$3,C74,"_",$B$10,"_",G74),AND(D74="SECC",C74="AT"),CONCATENATE(B74,"_","TR",$B$3,C74,"_",$B$5,"_",G74),AND(C74="AT",D74="TR_A"),CONCATENATE(B74,"_","TR",$B$3,C74,"_","TR",$B$3,C74,"_A","_",G74),AND(C74="AT",D74="TR_P"),CONCATENATE(B74,"_","TR",$B$3,C74,"_","TR",$B$3,C74,"_P","_",G74),AND(C74="BT",D74="TR_A"),CONCATENATE(B74,"_","TR",$B$3,C74,"_","TR",$B$3,C74,"_A","_",G74),AND(C74="BT",D74="TR_P"),CONCATENATE(B74,"_","TR",$B$3,C74,"_","TR",$B$3,C74,"_P","_",G74),AND(C74="TR",D74="TR_P"),CONCATENATE(B74,"_","TR",$B$3,"_","TR",$B$3,"_P","_",G74),AND(C74="TR",D74="TR_A"),CONCATENATE(B74,"_","TR",$B$3,"_","TR",$B$3,"_A","_",G74))</f>
        <v>IMA_TR6BT_52-19_51N</v>
      </c>
      <c r="I74" s="6"/>
      <c r="J74" s="6" t="s">
        <v>183</v>
      </c>
      <c r="K74" s="6" t="s">
        <v>184</v>
      </c>
      <c r="L74" s="6" t="s">
        <v>188</v>
      </c>
      <c r="M74" s="6" t="s">
        <v>188</v>
      </c>
      <c r="N74" s="6">
        <v>167</v>
      </c>
    </row>
    <row r="75" spans="1:14" x14ac:dyDescent="0.25">
      <c r="A75" s="6" t="s">
        <v>190</v>
      </c>
      <c r="B75" s="6" t="str">
        <f>Informações!$C$3</f>
        <v>IMA</v>
      </c>
      <c r="C75" s="6" t="s">
        <v>102</v>
      </c>
      <c r="D75" s="6" t="s">
        <v>102</v>
      </c>
      <c r="E75" s="2" t="s">
        <v>25</v>
      </c>
      <c r="F75" s="6" t="str">
        <f>VLOOKUP(G75,[1]Discrete!$A:$B,2,FALSE)</f>
        <v>90 - FUNCAO REGULADOR</v>
      </c>
      <c r="G75" s="6" t="s">
        <v>103</v>
      </c>
      <c r="H75" s="6" t="str" cm="1">
        <f t="array" ref="H75">_xlfn.IFS(OR(D75="TC",D75="TP",AND(D75="TR",C75="AT"),AND(D75="TR",C75="BT")),CONCATENATE(B75,"_","TR",$B$3,C75,"_","TR",$B$3,C75,"_",G75),AND(D75="SECC",C75="BT"),CONCATENATE(B75,"_","TR",$B$3,C75,"_",$B$9,"_",G75),AND(D75="SECF",C75="AT"),CONCATENATE(B75,"_","TR",$B$3,C75,"_",$B$6,"_",G75),AND(D75="SECT",C75="AT"),CONCATENATE(B75,"_","TR",$B$3,C75,"_",$B$7,"_",G75),AND(D75="DJ",C75="AT"),CONCATENATE(B75,"_","TR",$B$3,C75,"_",$B$4,"_",G75),AND(D75="DJ",C75="BT"),CONCATENATE(B75,"_","TR",$B$3,C75,"_",$B$8,"_",G75),AND(C75="TR",D75="TR"),CONCATENATE(B75,"_","TR",$B$3,"_","TR",$B$3,"_",G75),AND(D75="SECT",C75="BT"),CONCATENATE(B75,"_","TR",$B$3,C75,"_",$B$11,"_",G75),AND(D75="SECF",C75="BT"),CONCATENATE(B75,"_","TR",$B$3,C75,"_",$B$10,"_",G75),AND(D75="SECC",C75="AT"),CONCATENATE(B75,"_","TR",$B$3,C75,"_",$B$5,"_",G75),AND(C75="AT",D75="TR_A"),CONCATENATE(B75,"_","TR",$B$3,C75,"_","TR",$B$3,C75,"_A","_",G75),AND(C75="AT",D75="TR_P"),CONCATENATE(B75,"_","TR",$B$3,C75,"_","TR",$B$3,C75,"_P","_",G75),AND(C75="BT",D75="TR_A"),CONCATENATE(B75,"_","TR",$B$3,C75,"_","TR",$B$3,C75,"_A","_",G75),AND(C75="BT",D75="TR_P"),CONCATENATE(B75,"_","TR",$B$3,C75,"_","TR",$B$3,C75,"_P","_",G75),AND(C75="TR",D75="TR_P"),CONCATENATE(B75,"_","TR",$B$3,"_","TR",$B$3,"_P","_",G75),AND(C75="TR",D75="TR_A"),CONCATENATE(B75,"_","TR",$B$3,"_","TR",$B$3,"_A","_",G75))</f>
        <v>IMA_TR6_TR6_R90</v>
      </c>
      <c r="I75" s="6"/>
      <c r="J75" s="6" t="s">
        <v>183</v>
      </c>
      <c r="K75" s="6" t="s">
        <v>184</v>
      </c>
      <c r="L75" s="6" t="s">
        <v>188</v>
      </c>
      <c r="M75" s="6" t="s">
        <v>188</v>
      </c>
      <c r="N75" s="6">
        <f t="shared" si="3"/>
        <v>168</v>
      </c>
    </row>
    <row r="76" spans="1:14" x14ac:dyDescent="0.25">
      <c r="A76" s="6" t="s">
        <v>190</v>
      </c>
      <c r="B76" s="6" t="str">
        <f>Informações!$C$3</f>
        <v>IMA</v>
      </c>
      <c r="C76" s="6" t="s">
        <v>102</v>
      </c>
      <c r="D76" s="6" t="s">
        <v>102</v>
      </c>
      <c r="E76" s="2" t="s">
        <v>25</v>
      </c>
      <c r="F76" s="6" t="str">
        <f>VLOOKUP(G76,[1]Discrete!$A:$B,2,FALSE)</f>
        <v>VENTILACAO FORCADA</v>
      </c>
      <c r="G76" s="6" t="s">
        <v>105</v>
      </c>
      <c r="H76" s="6" t="str" cm="1">
        <f t="array" ref="H76">_xlfn.IFS(OR(D76="TC",D76="TP",AND(D76="TR",C76="AT"),AND(D76="TR",C76="BT")),CONCATENATE(B76,"_","TR",$B$3,C76,"_","TR",$B$3,C76,"_",G76),AND(D76="SECC",C76="BT"),CONCATENATE(B76,"_","TR",$B$3,C76,"_",$B$9,"_",G76),AND(D76="SECF",C76="AT"),CONCATENATE(B76,"_","TR",$B$3,C76,"_",$B$6,"_",G76),AND(D76="SECT",C76="AT"),CONCATENATE(B76,"_","TR",$B$3,C76,"_",$B$7,"_",G76),AND(D76="DJ",C76="AT"),CONCATENATE(B76,"_","TR",$B$3,C76,"_",$B$4,"_",G76),AND(D76="DJ",C76="BT"),CONCATENATE(B76,"_","TR",$B$3,C76,"_",$B$8,"_",G76),AND(C76="TR",D76="TR"),CONCATENATE(B76,"_","TR",$B$3,"_","TR",$B$3,"_",G76),AND(D76="SECT",C76="BT"),CONCATENATE(B76,"_","TR",$B$3,C76,"_",$B$11,"_",G76),AND(D76="SECF",C76="BT"),CONCATENATE(B76,"_","TR",$B$3,C76,"_",$B$10,"_",G76),AND(D76="SECC",C76="AT"),CONCATENATE(B76,"_","TR",$B$3,C76,"_",$B$5,"_",G76),AND(C76="AT",D76="TR_A"),CONCATENATE(B76,"_","TR",$B$3,C76,"_","TR",$B$3,C76,"_A","_",G76),AND(C76="AT",D76="TR_P"),CONCATENATE(B76,"_","TR",$B$3,C76,"_","TR",$B$3,C76,"_P","_",G76),AND(C76="BT",D76="TR_A"),CONCATENATE(B76,"_","TR",$B$3,C76,"_","TR",$B$3,C76,"_A","_",G76),AND(C76="BT",D76="TR_P"),CONCATENATE(B76,"_","TR",$B$3,C76,"_","TR",$B$3,C76,"_P","_",G76),AND(C76="TR",D76="TR_P"),CONCATENATE(B76,"_","TR",$B$3,"_","TR",$B$3,"_P","_",G76),AND(C76="TR",D76="TR_A"),CONCATENATE(B76,"_","TR",$B$3,"_","TR",$B$3,"_A","_",G76))</f>
        <v>IMA_TR6_TR6_VF</v>
      </c>
      <c r="I76" s="6"/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3"/>
        <v>169</v>
      </c>
    </row>
    <row r="77" spans="1:14" x14ac:dyDescent="0.25">
      <c r="A77" s="6" t="s">
        <v>190</v>
      </c>
      <c r="B77" s="6" t="str">
        <f>Informações!$C$3</f>
        <v>IMA</v>
      </c>
      <c r="C77" s="6" t="s">
        <v>100</v>
      </c>
      <c r="D77" s="6" t="s">
        <v>30</v>
      </c>
      <c r="E77" s="2" t="s">
        <v>25</v>
      </c>
      <c r="F77" s="6" t="str">
        <f>VLOOKUP(G77,[1]Discrete!$A:$B,2,FALSE)</f>
        <v>43 - CHAVE LOCAL REMOTO</v>
      </c>
      <c r="G77" s="6" t="s">
        <v>39</v>
      </c>
      <c r="H77" s="6" t="str" cm="1">
        <f t="array" ref="H77">_xlfn.IFS(OR(D77="TC",D77="TP",AND(D77="TR",C77="AT"),AND(D77="TR",C77="BT")),CONCATENATE(B77,"_","TR",$B$3,C77,"_","TR",$B$3,C77,"_",G77),AND(D77="SECC",C77="BT"),CONCATENATE(B77,"_","TR",$B$3,C77,"_",$B$9,"_",G77),AND(D77="SECF",C77="AT"),CONCATENATE(B77,"_","TR",$B$3,C77,"_",$B$6,"_",G77),AND(D77="SECT",C77="AT"),CONCATENATE(B77,"_","TR",$B$3,C77,"_",$B$7,"_",G77),AND(D77="DJ",C77="AT"),CONCATENATE(B77,"_","TR",$B$3,C77,"_",$B$4,"_",G77),AND(D77="DJ",C77="BT"),CONCATENATE(B77,"_","TR",$B$3,C77,"_",$B$8,"_",G77),AND(C77="TR",D77="TR"),CONCATENATE(B77,"_","TR",$B$3,"_","TR",$B$3,"_",G77),AND(D77="SECT",C77="BT"),CONCATENATE(B77,"_","TR",$B$3,C77,"_",$B$11,"_",G77),AND(D77="SECF",C77="BT"),CONCATENATE(B77,"_","TR",$B$3,C77,"_",$B$10,"_",G77),AND(D77="SECC",C77="AT"),CONCATENATE(B77,"_","TR",$B$3,C77,"_",$B$5,"_",G77),AND(C77="AT",D77="TR_A"),CONCATENATE(B77,"_","TR",$B$3,C77,"_","TR",$B$3,C77,"_A","_",G77),AND(C77="AT",D77="TR_P"),CONCATENATE(B77,"_","TR",$B$3,C77,"_","TR",$B$3,C77,"_P","_",G77),AND(C77="BT",D77="TR_A"),CONCATENATE(B77,"_","TR",$B$3,C77,"_","TR",$B$3,C77,"_A","_",G77),AND(C77="BT",D77="TR_P"),CONCATENATE(B77,"_","TR",$B$3,C77,"_","TR",$B$3,C77,"_P","_",G77),AND(C77="TR",D77="TR_P"),CONCATENATE(B77,"_","TR",$B$3,"_","TR",$B$3,"_P","_",G77),AND(C77="TR",D77="TR_A"),CONCATENATE(B77,"_","TR",$B$3,"_","TR",$B$3,"_A","_",G77))</f>
        <v>IMA_TR6AT_52-6_43LR</v>
      </c>
      <c r="I77" s="6"/>
      <c r="J77" s="94" t="s">
        <v>186</v>
      </c>
      <c r="K77" s="94" t="s">
        <v>185</v>
      </c>
      <c r="L77" s="6" t="s">
        <v>188</v>
      </c>
      <c r="M77" s="6" t="s">
        <v>188</v>
      </c>
      <c r="N77" s="6">
        <f>N76+1</f>
        <v>170</v>
      </c>
    </row>
    <row r="78" spans="1:14" x14ac:dyDescent="0.25">
      <c r="A78" s="6" t="s">
        <v>190</v>
      </c>
      <c r="B78" s="6" t="str">
        <f>Informações!$C$3</f>
        <v>IMA</v>
      </c>
      <c r="C78" s="6" t="s">
        <v>100</v>
      </c>
      <c r="D78" s="6" t="s">
        <v>30</v>
      </c>
      <c r="E78" s="2" t="s">
        <v>25</v>
      </c>
      <c r="F78" s="6" t="str">
        <f>VLOOKUP(G78,[1]Discrete!$A:$B,2,FALSE)</f>
        <v>BOBINA ABERTURA</v>
      </c>
      <c r="G78" s="6" t="s">
        <v>41</v>
      </c>
      <c r="H78" s="6" t="str" cm="1">
        <f t="array" ref="H78">_xlfn.IFS(OR(D78="TC",D78="TP",AND(D78="TR",C78="AT"),AND(D78="TR",C78="BT")),CONCATENATE(B78,"_","TR",$B$3,C78,"_","TR",$B$3,C78,"_",G78),AND(D78="SECC",C78="BT"),CONCATENATE(B78,"_","TR",$B$3,C78,"_",$B$9,"_",G78),AND(D78="SECF",C78="AT"),CONCATENATE(B78,"_","TR",$B$3,C78,"_",$B$6,"_",G78),AND(D78="SECT",C78="AT"),CONCATENATE(B78,"_","TR",$B$3,C78,"_",$B$7,"_",G78),AND(D78="DJ",C78="AT"),CONCATENATE(B78,"_","TR",$B$3,C78,"_",$B$4,"_",G78),AND(D78="DJ",C78="BT"),CONCATENATE(B78,"_","TR",$B$3,C78,"_",$B$8,"_",G78),AND(C78="TR",D78="TR"),CONCATENATE(B78,"_","TR",$B$3,"_","TR",$B$3,"_",G78),AND(D78="SECT",C78="BT"),CONCATENATE(B78,"_","TR",$B$3,C78,"_",$B$11,"_",G78),AND(D78="SECF",C78="BT"),CONCATENATE(B78,"_","TR",$B$3,C78,"_",$B$10,"_",G78),AND(D78="SECC",C78="AT"),CONCATENATE(B78,"_","TR",$B$3,C78,"_",$B$5,"_",G78),AND(C78="AT",D78="TR_A"),CONCATENATE(B78,"_","TR",$B$3,C78,"_","TR",$B$3,C78,"_A","_",G78),AND(C78="AT",D78="TR_P"),CONCATENATE(B78,"_","TR",$B$3,C78,"_","TR",$B$3,C78,"_P","_",G78),AND(C78="BT",D78="TR_A"),CONCATENATE(B78,"_","TR",$B$3,C78,"_","TR",$B$3,C78,"_A","_",G78),AND(C78="BT",D78="TR_P"),CONCATENATE(B78,"_","TR",$B$3,C78,"_","TR",$B$3,C78,"_P","_",G78),AND(C78="TR",D78="TR_P"),CONCATENATE(B78,"_","TR",$B$3,"_","TR",$B$3,"_P","_",G78),AND(C78="TR",D78="TR_A"),CONCATENATE(B78,"_","TR",$B$3,"_","TR",$B$3,"_A","_",G78))</f>
        <v>IMA_TR6AT_52-6_BBAB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 t="shared" si="3"/>
        <v>171</v>
      </c>
    </row>
    <row r="79" spans="1:14" x14ac:dyDescent="0.25">
      <c r="A79" s="6" t="s">
        <v>190</v>
      </c>
      <c r="B79" s="6" t="str">
        <f>Informações!$C$3</f>
        <v>IMA</v>
      </c>
      <c r="C79" s="6" t="s">
        <v>100</v>
      </c>
      <c r="D79" s="6" t="s">
        <v>30</v>
      </c>
      <c r="E79" s="2" t="s">
        <v>25</v>
      </c>
      <c r="F79" s="6" t="str">
        <f>VLOOKUP(G79,[1]Discrete!$A:$B,2,FALSE)</f>
        <v>BOBINA FECHAMENTO</v>
      </c>
      <c r="G79" s="6" t="s">
        <v>50</v>
      </c>
      <c r="H79" s="6" t="str" cm="1">
        <f t="array" ref="H79">_xlfn.IFS(OR(D79="TC",D79="TP",AND(D79="TR",C79="AT"),AND(D79="TR",C79="BT")),CONCATENATE(B79,"_","TR",$B$3,C79,"_","TR",$B$3,C79,"_",G79),AND(D79="SECC",C79="BT"),CONCATENATE(B79,"_","TR",$B$3,C79,"_",$B$9,"_",G79),AND(D79="SECF",C79="AT"),CONCATENATE(B79,"_","TR",$B$3,C79,"_",$B$6,"_",G79),AND(D79="SECT",C79="AT"),CONCATENATE(B79,"_","TR",$B$3,C79,"_",$B$7,"_",G79),AND(D79="DJ",C79="AT"),CONCATENATE(B79,"_","TR",$B$3,C79,"_",$B$4,"_",G79),AND(D79="DJ",C79="BT"),CONCATENATE(B79,"_","TR",$B$3,C79,"_",$B$8,"_",G79),AND(C79="TR",D79="TR"),CONCATENATE(B79,"_","TR",$B$3,"_","TR",$B$3,"_",G79),AND(D79="SECT",C79="BT"),CONCATENATE(B79,"_","TR",$B$3,C79,"_",$B$11,"_",G79),AND(D79="SECF",C79="BT"),CONCATENATE(B79,"_","TR",$B$3,C79,"_",$B$10,"_",G79),AND(D79="SECC",C79="AT"),CONCATENATE(B79,"_","TR",$B$3,C79,"_",$B$5,"_",G79),AND(C79="AT",D79="TR_A"),CONCATENATE(B79,"_","TR",$B$3,C79,"_","TR",$B$3,C79,"_A","_",G79),AND(C79="AT",D79="TR_P"),CONCATENATE(B79,"_","TR",$B$3,C79,"_","TR",$B$3,C79,"_P","_",G79),AND(C79="BT",D79="TR_A"),CONCATENATE(B79,"_","TR",$B$3,C79,"_","TR",$B$3,C79,"_A","_",G79),AND(C79="BT",D79="TR_P"),CONCATENATE(B79,"_","TR",$B$3,C79,"_","TR",$B$3,C79,"_P","_",G79),AND(C79="TR",D79="TR_P"),CONCATENATE(B79,"_","TR",$B$3,"_","TR",$B$3,"_P","_",G79),AND(C79="TR",D79="TR_A"),CONCATENATE(B79,"_","TR",$B$3,"_","TR",$B$3,"_A","_",G79))</f>
        <v>IMA_TR6AT_52-6_BBFC</v>
      </c>
      <c r="I79" s="6"/>
      <c r="J79" s="6" t="s">
        <v>182</v>
      </c>
      <c r="K79" s="6" t="s">
        <v>180</v>
      </c>
      <c r="L79" s="6" t="s">
        <v>188</v>
      </c>
      <c r="M79" s="6" t="s">
        <v>188</v>
      </c>
      <c r="N79" s="6">
        <f t="shared" si="3"/>
        <v>172</v>
      </c>
    </row>
    <row r="80" spans="1:14" x14ac:dyDescent="0.25">
      <c r="A80" s="6" t="s">
        <v>190</v>
      </c>
      <c r="B80" s="6" t="str">
        <f>Informações!$C$3</f>
        <v>IMA</v>
      </c>
      <c r="C80" s="6" t="s">
        <v>100</v>
      </c>
      <c r="D80" s="6" t="s">
        <v>30</v>
      </c>
      <c r="E80" s="2" t="s">
        <v>25</v>
      </c>
      <c r="F80" s="6" t="str">
        <f>VLOOKUP(G80,[1]Discrete!$A:$B,2,FALSE)</f>
        <v>FALTA VCC MOTOR</v>
      </c>
      <c r="G80" s="6" t="s">
        <v>80</v>
      </c>
      <c r="H80" s="6" t="str" cm="1">
        <f t="array" ref="H80">_xlfn.IFS(OR(D80="TC",D80="TP",AND(D80="TR",C80="AT"),AND(D80="TR",C80="BT")),CONCATENATE(B80,"_","TR",$B$3,C80,"_","TR",$B$3,C80,"_",G80),AND(D80="SECC",C80="BT"),CONCATENATE(B80,"_","TR",$B$3,C80,"_",$B$9,"_",G80),AND(D80="SECF",C80="AT"),CONCATENATE(B80,"_","TR",$B$3,C80,"_",$B$6,"_",G80),AND(D80="SECT",C80="AT"),CONCATENATE(B80,"_","TR",$B$3,C80,"_",$B$7,"_",G80),AND(D80="DJ",C80="AT"),CONCATENATE(B80,"_","TR",$B$3,C80,"_",$B$4,"_",G80),AND(D80="DJ",C80="BT"),CONCATENATE(B80,"_","TR",$B$3,C80,"_",$B$8,"_",G80),AND(C80="TR",D80="TR"),CONCATENATE(B80,"_","TR",$B$3,"_","TR",$B$3,"_",G80),AND(D80="SECT",C80="BT"),CONCATENATE(B80,"_","TR",$B$3,C80,"_",$B$11,"_",G80),AND(D80="SECF",C80="BT"),CONCATENATE(B80,"_","TR",$B$3,C80,"_",$B$10,"_",G80),AND(D80="SECC",C80="AT"),CONCATENATE(B80,"_","TR",$B$3,C80,"_",$B$5,"_",G80),AND(C80="AT",D80="TR_A"),CONCATENATE(B80,"_","TR",$B$3,C80,"_","TR",$B$3,C80,"_A","_",G80),AND(C80="AT",D80="TR_P"),CONCATENATE(B80,"_","TR",$B$3,C80,"_","TR",$B$3,C80,"_P","_",G80),AND(C80="BT",D80="TR_A"),CONCATENATE(B80,"_","TR",$B$3,C80,"_","TR",$B$3,C80,"_A","_",G80),AND(C80="BT",D80="TR_P"),CONCATENATE(B80,"_","TR",$B$3,C80,"_","TR",$B$3,C80,"_P","_",G80),AND(C80="TR",D80="TR_P"),CONCATENATE(B80,"_","TR",$B$3,"_","TR",$B$3,"_P","_",G80),AND(C80="TR",D80="TR_A"),CONCATENATE(B80,"_","TR",$B$3,"_","TR",$B$3,"_A","_",G80))</f>
        <v>IMA_TR6AT_52-6_CCMO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>
        <f t="shared" si="3"/>
        <v>173</v>
      </c>
    </row>
    <row r="81" spans="1:14" x14ac:dyDescent="0.25">
      <c r="A81" s="6" t="s">
        <v>190</v>
      </c>
      <c r="B81" s="6" t="str">
        <f>Informações!$C$3</f>
        <v>IMA</v>
      </c>
      <c r="C81" s="6" t="s">
        <v>100</v>
      </c>
      <c r="D81" s="6" t="s">
        <v>30</v>
      </c>
      <c r="E81" s="2" t="s">
        <v>25</v>
      </c>
      <c r="F81" s="6" t="str">
        <f>VLOOKUP(G81,[1]Discrete!$A:$B,2,FALSE)</f>
        <v>FALTA VCC COMANDO</v>
      </c>
      <c r="G81" s="6" t="s">
        <v>79</v>
      </c>
      <c r="H81" s="6" t="str" cm="1">
        <f t="array" ref="H81">_xlfn.IFS(OR(D81="TC",D81="TP",AND(D81="TR",C81="AT"),AND(D81="TR",C81="BT")),CONCATENATE(B81,"_","TR",$B$3,C81,"_","TR",$B$3,C81,"_",G81),AND(D81="SECC",C81="BT"),CONCATENATE(B81,"_","TR",$B$3,C81,"_",$B$9,"_",G81),AND(D81="SECF",C81="AT"),CONCATENATE(B81,"_","TR",$B$3,C81,"_",$B$6,"_",G81),AND(D81="SECT",C81="AT"),CONCATENATE(B81,"_","TR",$B$3,C81,"_",$B$7,"_",G81),AND(D81="DJ",C81="AT"),CONCATENATE(B81,"_","TR",$B$3,C81,"_",$B$4,"_",G81),AND(D81="DJ",C81="BT"),CONCATENATE(B81,"_","TR",$B$3,C81,"_",$B$8,"_",G81),AND(C81="TR",D81="TR"),CONCATENATE(B81,"_","TR",$B$3,"_","TR",$B$3,"_",G81),AND(D81="SECT",C81="BT"),CONCATENATE(B81,"_","TR",$B$3,C81,"_",$B$11,"_",G81),AND(D81="SECF",C81="BT"),CONCATENATE(B81,"_","TR",$B$3,C81,"_",$B$10,"_",G81),AND(D81="SECC",C81="AT"),CONCATENATE(B81,"_","TR",$B$3,C81,"_",$B$5,"_",G81),AND(C81="AT",D81="TR_A"),CONCATENATE(B81,"_","TR",$B$3,C81,"_","TR",$B$3,C81,"_A","_",G81),AND(C81="AT",D81="TR_P"),CONCATENATE(B81,"_","TR",$B$3,C81,"_","TR",$B$3,C81,"_P","_",G81),AND(C81="BT",D81="TR_A"),CONCATENATE(B81,"_","TR",$B$3,C81,"_","TR",$B$3,C81,"_A","_",G81),AND(C81="BT",D81="TR_P"),CONCATENATE(B81,"_","TR",$B$3,C81,"_","TR",$B$3,C81,"_P","_",G81),AND(C81="TR",D81="TR_P"),CONCATENATE(B81,"_","TR",$B$3,"_","TR",$B$3,"_P","_",G81),AND(C81="TR",D81="TR_A"),CONCATENATE(B81,"_","TR",$B$3,"_","TR",$B$3,"_A","_",G81))</f>
        <v>IMA_TR6AT_52-6_CCCO</v>
      </c>
      <c r="I81" s="6"/>
      <c r="J81" s="6" t="s">
        <v>182</v>
      </c>
      <c r="K81" s="6" t="s">
        <v>180</v>
      </c>
      <c r="L81" s="6" t="s">
        <v>188</v>
      </c>
      <c r="M81" s="6" t="s">
        <v>188</v>
      </c>
      <c r="N81" s="6">
        <f t="shared" si="3"/>
        <v>174</v>
      </c>
    </row>
    <row r="82" spans="1:14" x14ac:dyDescent="0.25">
      <c r="A82" s="6" t="s">
        <v>190</v>
      </c>
      <c r="B82" s="6" t="str">
        <f>Informações!$C$3</f>
        <v>IMA</v>
      </c>
      <c r="C82" s="6" t="s">
        <v>100</v>
      </c>
      <c r="D82" s="6" t="s">
        <v>30</v>
      </c>
      <c r="E82" s="2" t="s">
        <v>25</v>
      </c>
      <c r="F82" s="6" t="str">
        <f>VLOOKUP(G82,[1]Discrete!$A:$B,2,FALSE)</f>
        <v>VCA AQUECIMENTO</v>
      </c>
      <c r="G82" s="6" t="s">
        <v>110</v>
      </c>
      <c r="H82" s="6" t="str" cm="1">
        <f t="array" ref="H82">_xlfn.IFS(OR(D82="TC",D82="TP",AND(D82="TR",C82="AT"),AND(D82="TR",C82="BT")),CONCATENATE(B82,"_","TR",$B$3,C82,"_","TR",$B$3,C82,"_",G82),AND(D82="SECC",C82="BT"),CONCATENATE(B82,"_","TR",$B$3,C82,"_",$B$9,"_",G82),AND(D82="SECF",C82="AT"),CONCATENATE(B82,"_","TR",$B$3,C82,"_",$B$6,"_",G82),AND(D82="SECT",C82="AT"),CONCATENATE(B82,"_","TR",$B$3,C82,"_",$B$7,"_",G82),AND(D82="DJ",C82="AT"),CONCATENATE(B82,"_","TR",$B$3,C82,"_",$B$4,"_",G82),AND(D82="DJ",C82="BT"),CONCATENATE(B82,"_","TR",$B$3,C82,"_",$B$8,"_",G82),AND(C82="TR",D82="TR"),CONCATENATE(B82,"_","TR",$B$3,"_","TR",$B$3,"_",G82),AND(D82="SECT",C82="BT"),CONCATENATE(B82,"_","TR",$B$3,C82,"_",$B$11,"_",G82),AND(D82="SECF",C82="BT"),CONCATENATE(B82,"_","TR",$B$3,C82,"_",$B$10,"_",G82),AND(D82="SECC",C82="AT"),CONCATENATE(B82,"_","TR",$B$3,C82,"_",$B$5,"_",G82),AND(C82="AT",D82="TR_A"),CONCATENATE(B82,"_","TR",$B$3,C82,"_","TR",$B$3,C82,"_A","_",G82),AND(C82="AT",D82="TR_P"),CONCATENATE(B82,"_","TR",$B$3,C82,"_","TR",$B$3,C82,"_P","_",G82),AND(C82="BT",D82="TR_A"),CONCATENATE(B82,"_","TR",$B$3,C82,"_","TR",$B$3,C82,"_A","_",G82),AND(C82="BT",D82="TR_P"),CONCATENATE(B82,"_","TR",$B$3,C82,"_","TR",$B$3,C82,"_P","_",G82),AND(C82="TR",D82="TR_P"),CONCATENATE(B82,"_","TR",$B$3,"_","TR",$B$3,"_P","_",G82),AND(C82="TR",D82="TR_A"),CONCATENATE(B82,"_","TR",$B$3,"_","TR",$B$3,"_A","_",G82))</f>
        <v>IMA_TR6AT_52-6_CAAQ</v>
      </c>
      <c r="I82" s="6"/>
      <c r="J82" s="6" t="s">
        <v>182</v>
      </c>
      <c r="K82" s="6" t="s">
        <v>180</v>
      </c>
      <c r="L82" s="6" t="s">
        <v>188</v>
      </c>
      <c r="M82" s="6" t="s">
        <v>188</v>
      </c>
      <c r="N82" s="6">
        <f t="shared" si="3"/>
        <v>175</v>
      </c>
    </row>
    <row r="83" spans="1:14" x14ac:dyDescent="0.25">
      <c r="A83" s="6" t="s">
        <v>190</v>
      </c>
      <c r="B83" s="6" t="str">
        <f>Informações!$C$3</f>
        <v>IMA</v>
      </c>
      <c r="C83" s="6" t="s">
        <v>100</v>
      </c>
      <c r="D83" s="6" t="s">
        <v>30</v>
      </c>
      <c r="E83" s="2" t="s">
        <v>25</v>
      </c>
      <c r="F83" s="6" t="str">
        <f>VLOOKUP(G83,[1]Discrete!$A:$B,2,FALSE)</f>
        <v>MOLA</v>
      </c>
      <c r="G83" s="6" t="s">
        <v>38</v>
      </c>
      <c r="H83" s="6" t="str" cm="1">
        <f t="array" ref="H83">_xlfn.IFS(OR(D83="TC",D83="TP",AND(D83="TR",C83="AT"),AND(D83="TR",C83="BT")),CONCATENATE(B83,"_","TR",$B$3,C83,"_","TR",$B$3,C83,"_",G83),AND(D83="SECC",C83="BT"),CONCATENATE(B83,"_","TR",$B$3,C83,"_",$B$9,"_",G83),AND(D83="SECF",C83="AT"),CONCATENATE(B83,"_","TR",$B$3,C83,"_",$B$6,"_",G83),AND(D83="SECT",C83="AT"),CONCATENATE(B83,"_","TR",$B$3,C83,"_",$B$7,"_",G83),AND(D83="DJ",C83="AT"),CONCATENATE(B83,"_","TR",$B$3,C83,"_",$B$4,"_",G83),AND(D83="DJ",C83="BT"),CONCATENATE(B83,"_","TR",$B$3,C83,"_",$B$8,"_",G83),AND(C83="TR",D83="TR"),CONCATENATE(B83,"_","TR",$B$3,"_","TR",$B$3,"_",G83),AND(D83="SECT",C83="BT"),CONCATENATE(B83,"_","TR",$B$3,C83,"_",$B$11,"_",G83),AND(D83="SECF",C83="BT"),CONCATENATE(B83,"_","TR",$B$3,C83,"_",$B$10,"_",G83),AND(D83="SECC",C83="AT"),CONCATENATE(B83,"_","TR",$B$3,C83,"_",$B$5,"_",G83),AND(C83="AT",D83="TR_A"),CONCATENATE(B83,"_","TR",$B$3,C83,"_","TR",$B$3,C83,"_A","_",G83),AND(C83="AT",D83="TR_P"),CONCATENATE(B83,"_","TR",$B$3,C83,"_","TR",$B$3,C83,"_P","_",G83),AND(C83="BT",D83="TR_A"),CONCATENATE(B83,"_","TR",$B$3,C83,"_","TR",$B$3,C83,"_A","_",G83),AND(C83="BT",D83="TR_P"),CONCATENATE(B83,"_","TR",$B$3,C83,"_","TR",$B$3,C83,"_P","_",G83),AND(C83="TR",D83="TR_P"),CONCATENATE(B83,"_","TR",$B$3,"_","TR",$B$3,"_P","_",G83),AND(C83="TR",D83="TR_A"),CONCATENATE(B83,"_","TR",$B$3,"_","TR",$B$3,"_A","_",G83))</f>
        <v>IMA_TR6AT_52-6_MOLA</v>
      </c>
      <c r="I83" s="6"/>
      <c r="J83" s="94" t="s">
        <v>282</v>
      </c>
      <c r="K83" s="94" t="s">
        <v>283</v>
      </c>
      <c r="L83" s="6" t="s">
        <v>188</v>
      </c>
      <c r="M83" s="6" t="s">
        <v>188</v>
      </c>
      <c r="N83" s="6">
        <f t="shared" si="3"/>
        <v>176</v>
      </c>
    </row>
    <row r="84" spans="1:14" x14ac:dyDescent="0.25">
      <c r="A84" s="93" t="s">
        <v>191</v>
      </c>
      <c r="B84" s="6" t="str">
        <f>Informações!$C$3</f>
        <v>IMA</v>
      </c>
      <c r="C84" s="6" t="s">
        <v>100</v>
      </c>
      <c r="D84" s="6" t="s">
        <v>30</v>
      </c>
      <c r="E84" s="2" t="s">
        <v>25</v>
      </c>
      <c r="F84" s="93" t="str">
        <f>VLOOKUP(G84,[1]Discrete!$A:$B,2,FALSE)</f>
        <v>BOBINA FECHAMENTO</v>
      </c>
      <c r="G84" s="6" t="s">
        <v>50</v>
      </c>
      <c r="H84" s="6" t="str" cm="1">
        <f t="array" ref="H84">_xlfn.IFS(OR(D84="TC",D84="TP",AND(D84="TR",C84="AT"),AND(D84="TR",C84="BT")),CONCATENATE(B84,"_","TR",$B$3,C84,"_","TR",$B$3,C84,"_",G84),AND(D84="SECC",C84="BT"),CONCATENATE(B84,"_","TR",$B$3,C84,"_",$B$9,"_",G84),AND(D84="SECF",C84="AT"),CONCATENATE(B84,"_","TR",$B$3,C84,"_",$B$6,"_",G84),AND(D84="SECT",C84="AT"),CONCATENATE(B84,"_","TR",$B$3,C84,"_",$B$7,"_",G84),AND(D84="DJ",C84="AT"),CONCATENATE(B84,"_","TR",$B$3,C84,"_",$B$4,"_",G84),AND(D84="DJ",C84="BT"),CONCATENATE(B84,"_","TR",$B$3,C84,"_",$B$8,"_",G84),AND(C84="TR",D84="TR"),CONCATENATE(B84,"_","TR",$B$3,"_","TR",$B$3,"_",G84),AND(D84="SECT",C84="BT"),CONCATENATE(B84,"_","TR",$B$3,C84,"_",$B$11,"_",G84),AND(D84="SECF",C84="BT"),CONCATENATE(B84,"_","TR",$B$3,C84,"_",$B$10,"_",G84),AND(D84="SECC",C84="AT"),CONCATENATE(B84,"_","TR",$B$3,C84,"_",$B$5,"_",G84),AND(C84="AT",D84="TR_A"),CONCATENATE(B84,"_","TR",$B$3,C84,"_","TR",$B$3,C84,"_A","_",G84),AND(C84="AT",D84="TR_P"),CONCATENATE(B84,"_","TR",$B$3,C84,"_","TR",$B$3,C84,"_P","_",G84),AND(C84="BT",D84="TR_A"),CONCATENATE(B84,"_","TR",$B$3,C84,"_","TR",$B$3,C84,"_A","_",G84),AND(C84="BT",D84="TR_P"),CONCATENATE(B84,"_","TR",$B$3,C84,"_","TR",$B$3,C84,"_P","_",G84),AND(C84="TR",D84="TR_P"),CONCATENATE(B84,"_","TR",$B$3,"_","TR",$B$3,"_P","_",G84),AND(C84="TR",D84="TR_A"),CONCATENATE(B84,"_","TR",$B$3,"_","TR",$B$3,"_A","_",G84))</f>
        <v>IMA_TR6AT_52-6_BBFC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93">
        <f t="shared" si="3"/>
        <v>177</v>
      </c>
    </row>
    <row r="85" spans="1:14" x14ac:dyDescent="0.25">
      <c r="A85" s="93" t="s">
        <v>191</v>
      </c>
      <c r="B85" s="6" t="str">
        <f>Informações!$C$3</f>
        <v>IMA</v>
      </c>
      <c r="C85" s="6" t="s">
        <v>100</v>
      </c>
      <c r="D85" s="6" t="s">
        <v>30</v>
      </c>
      <c r="E85" s="2" t="s">
        <v>25</v>
      </c>
      <c r="F85" s="93" t="str">
        <f>VLOOKUP(G85,[1]Discrete!$A:$B,2,FALSE)</f>
        <v>BOBINA ABERTURA</v>
      </c>
      <c r="G85" s="6" t="s">
        <v>41</v>
      </c>
      <c r="H85" s="6" t="str" cm="1">
        <f t="array" ref="H85">_xlfn.IFS(OR(D85="TC",D85="TP",AND(D85="TR",C85="AT"),AND(D85="TR",C85="BT")),CONCATENATE(B85,"_","TR",$B$3,C85,"_","TR",$B$3,C85,"_",G85),AND(D85="SECC",C85="BT"),CONCATENATE(B85,"_","TR",$B$3,C85,"_",$B$9,"_",G85),AND(D85="SECF",C85="AT"),CONCATENATE(B85,"_","TR",$B$3,C85,"_",$B$6,"_",G85),AND(D85="SECT",C85="AT"),CONCATENATE(B85,"_","TR",$B$3,C85,"_",$B$7,"_",G85),AND(D85="DJ",C85="AT"),CONCATENATE(B85,"_","TR",$B$3,C85,"_",$B$4,"_",G85),AND(D85="DJ",C85="BT"),CONCATENATE(B85,"_","TR",$B$3,C85,"_",$B$8,"_",G85),AND(C85="TR",D85="TR"),CONCATENATE(B85,"_","TR",$B$3,"_","TR",$B$3,"_",G85),AND(D85="SECT",C85="BT"),CONCATENATE(B85,"_","TR",$B$3,C85,"_",$B$11,"_",G85),AND(D85="SECF",C85="BT"),CONCATENATE(B85,"_","TR",$B$3,C85,"_",$B$10,"_",G85),AND(D85="SECC",C85="AT"),CONCATENATE(B85,"_","TR",$B$3,C85,"_",$B$5,"_",G85),AND(C85="AT",D85="TR_A"),CONCATENATE(B85,"_","TR",$B$3,C85,"_","TR",$B$3,C85,"_A","_",G85),AND(C85="AT",D85="TR_P"),CONCATENATE(B85,"_","TR",$B$3,C85,"_","TR",$B$3,C85,"_P","_",G85),AND(C85="BT",D85="TR_A"),CONCATENATE(B85,"_","TR",$B$3,C85,"_","TR",$B$3,C85,"_A","_",G85),AND(C85="BT",D85="TR_P"),CONCATENATE(B85,"_","TR",$B$3,C85,"_","TR",$B$3,C85,"_P","_",G85),AND(C85="TR",D85="TR_P"),CONCATENATE(B85,"_","TR",$B$3,"_","TR",$B$3,"_P","_",G85),AND(C85="TR",D85="TR_A"),CONCATENATE(B85,"_","TR",$B$3,"_","TR",$B$3,"_A","_",G85))</f>
        <v>IMA_TR6AT_52-6_BBAB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93">
        <f t="shared" si="3"/>
        <v>178</v>
      </c>
    </row>
    <row r="86" spans="1:14" x14ac:dyDescent="0.25">
      <c r="A86" s="6" t="s">
        <v>190</v>
      </c>
      <c r="B86" s="6" t="str">
        <f>Informações!$C$3</f>
        <v>IMA</v>
      </c>
      <c r="C86" s="6" t="s">
        <v>100</v>
      </c>
      <c r="D86" s="6" t="s">
        <v>30</v>
      </c>
      <c r="E86" s="2" t="s">
        <v>25</v>
      </c>
      <c r="F86" s="6" t="str">
        <f>VLOOKUP(G86,[1]Discrete!$A:$B,2,FALSE)</f>
        <v>ALARME BAIXA PRESSAO SF6</v>
      </c>
      <c r="G86" s="6" t="s">
        <v>37</v>
      </c>
      <c r="H86" s="6" t="str" cm="1">
        <f t="array" ref="H86">_xlfn.IFS(OR(D86="TC",D86="TP",AND(D86="TR",C86="AT"),AND(D86="TR",C86="BT")),CONCATENATE(B86,"_","TR",$B$3,C86,"_","TR",$B$3,C86,"_",G86),AND(D86="SECC",C86="BT"),CONCATENATE(B86,"_","TR",$B$3,C86,"_",$B$9,"_",G86),AND(D86="SECF",C86="AT"),CONCATENATE(B86,"_","TR",$B$3,C86,"_",$B$6,"_",G86),AND(D86="SECT",C86="AT"),CONCATENATE(B86,"_","TR",$B$3,C86,"_",$B$7,"_",G86),AND(D86="DJ",C86="AT"),CONCATENATE(B86,"_","TR",$B$3,C86,"_",$B$4,"_",G86),AND(D86="DJ",C86="BT"),CONCATENATE(B86,"_","TR",$B$3,C86,"_",$B$8,"_",G86),AND(C86="TR",D86="TR"),CONCATENATE(B86,"_","TR",$B$3,"_","TR",$B$3,"_",G86),AND(D86="SECT",C86="BT"),CONCATENATE(B86,"_","TR",$B$3,C86,"_",$B$11,"_",G86),AND(D86="SECF",C86="BT"),CONCATENATE(B86,"_","TR",$B$3,C86,"_",$B$10,"_",G86),AND(D86="SECC",C86="AT"),CONCATENATE(B86,"_","TR",$B$3,C86,"_",$B$5,"_",G86),AND(C86="AT",D86="TR_A"),CONCATENATE(B86,"_","TR",$B$3,C86,"_","TR",$B$3,C86,"_A","_",G86),AND(C86="AT",D86="TR_P"),CONCATENATE(B86,"_","TR",$B$3,C86,"_","TR",$B$3,C86,"_P","_",G86),AND(C86="BT",D86="TR_A"),CONCATENATE(B86,"_","TR",$B$3,C86,"_","TR",$B$3,C86,"_A","_",G86),AND(C86="BT",D86="TR_P"),CONCATENATE(B86,"_","TR",$B$3,C86,"_","TR",$B$3,C86,"_P","_",G86),AND(C86="TR",D86="TR_P"),CONCATENATE(B86,"_","TR",$B$3,"_","TR",$B$3,"_P","_",G86),AND(C86="TR",D86="TR_A"),CONCATENATE(B86,"_","TR",$B$3,"_","TR",$B$3,"_A","_",G86))</f>
        <v>IMA_TR6AT_52-6_SF6A</v>
      </c>
      <c r="I86" s="6"/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3"/>
        <v>179</v>
      </c>
    </row>
    <row r="87" spans="1:14" x14ac:dyDescent="0.25">
      <c r="A87" s="6" t="s">
        <v>190</v>
      </c>
      <c r="B87" s="6" t="str">
        <f>Informações!$C$3</f>
        <v>IMA</v>
      </c>
      <c r="C87" s="6" t="s">
        <v>100</v>
      </c>
      <c r="D87" s="6" t="s">
        <v>30</v>
      </c>
      <c r="E87" s="2" t="s">
        <v>25</v>
      </c>
      <c r="F87" s="6" t="str">
        <f>VLOOKUP(G87,[1]Discrete!$A:$B,2,FALSE)</f>
        <v>BLOQUEIO BAIXA PRESSAO SF6</v>
      </c>
      <c r="G87" s="6" t="s">
        <v>49</v>
      </c>
      <c r="H87" s="6" t="str" cm="1">
        <f t="array" ref="H87">_xlfn.IFS(OR(D87="TC",D87="TP",AND(D87="TR",C87="AT"),AND(D87="TR",C87="BT")),CONCATENATE(B87,"_","TR",$B$3,C87,"_","TR",$B$3,C87,"_",G87),AND(D87="SECC",C87="BT"),CONCATENATE(B87,"_","TR",$B$3,C87,"_",$B$9,"_",G87),AND(D87="SECF",C87="AT"),CONCATENATE(B87,"_","TR",$B$3,C87,"_",$B$6,"_",G87),AND(D87="SECT",C87="AT"),CONCATENATE(B87,"_","TR",$B$3,C87,"_",$B$7,"_",G87),AND(D87="DJ",C87="AT"),CONCATENATE(B87,"_","TR",$B$3,C87,"_",$B$4,"_",G87),AND(D87="DJ",C87="BT"),CONCATENATE(B87,"_","TR",$B$3,C87,"_",$B$8,"_",G87),AND(C87="TR",D87="TR"),CONCATENATE(B87,"_","TR",$B$3,"_","TR",$B$3,"_",G87),AND(D87="SECT",C87="BT"),CONCATENATE(B87,"_","TR",$B$3,C87,"_",$B$11,"_",G87),AND(D87="SECF",C87="BT"),CONCATENATE(B87,"_","TR",$B$3,C87,"_",$B$10,"_",G87),AND(D87="SECC",C87="AT"),CONCATENATE(B87,"_","TR",$B$3,C87,"_",$B$5,"_",G87),AND(C87="AT",D87="TR_A"),CONCATENATE(B87,"_","TR",$B$3,C87,"_","TR",$B$3,C87,"_A","_",G87),AND(C87="AT",D87="TR_P"),CONCATENATE(B87,"_","TR",$B$3,C87,"_","TR",$B$3,C87,"_P","_",G87),AND(C87="BT",D87="TR_A"),CONCATENATE(B87,"_","TR",$B$3,C87,"_","TR",$B$3,C87,"_A","_",G87),AND(C87="BT",D87="TR_P"),CONCATENATE(B87,"_","TR",$B$3,C87,"_","TR",$B$3,C87,"_P","_",G87),AND(C87="TR",D87="TR_P"),CONCATENATE(B87,"_","TR",$B$3,"_","TR",$B$3,"_P","_",G87),AND(C87="TR",D87="TR_A"),CONCATENATE(B87,"_","TR",$B$3,"_","TR",$B$3,"_A","_",G87))</f>
        <v>IMA_TR6AT_52-6_SF6B</v>
      </c>
      <c r="I87" s="6"/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3"/>
        <v>180</v>
      </c>
    </row>
    <row r="88" spans="1:14" x14ac:dyDescent="0.25">
      <c r="A88" s="6" t="s">
        <v>190</v>
      </c>
      <c r="B88" s="6" t="str">
        <f>Informações!$C$3</f>
        <v>IMA</v>
      </c>
      <c r="C88" s="6" t="s">
        <v>100</v>
      </c>
      <c r="D88" s="94" t="s">
        <v>212</v>
      </c>
      <c r="E88" s="2" t="s">
        <v>25</v>
      </c>
      <c r="F88" s="6" t="str">
        <f>VLOOKUP(G88,[1]Discrete!$A:$B,2,FALSE)</f>
        <v>FASE A</v>
      </c>
      <c r="G88" s="6" t="s">
        <v>54</v>
      </c>
      <c r="H88" s="6" t="str" cm="1">
        <f t="array" ref="H88">_xlfn.IFS(OR(D88="TC",D88="TP",AND(D88="TR",C88="AT"),AND(D88="TR",C88="BT")),CONCATENATE(B88,"_","TR",$B$3,C88,"_","TR",$B$3,C88,"_",G88),AND(D88="SECC",C88="BT"),CONCATENATE(B88,"_","TR",$B$3,C88,"_",$B$9,"_",G88),AND(D88="SECF",C88="AT"),CONCATENATE(B88,"_","TR",$B$3,C88,"_",$B$6,"_",G88),AND(D88="SECT",C88="AT"),CONCATENATE(B88,"_","TR",$B$3,C88,"_",$B$7,"_",G88),AND(D88="DJ",C88="AT"),CONCATENATE(B88,"_","TR",$B$3,C88,"_",$B$4,"_",G88),AND(D88="DJ",C88="BT"),CONCATENATE(B88,"_","TR",$B$3,C88,"_",$B$8,"_",G88),AND(C88="TR",D88="TR"),CONCATENATE(B88,"_","TR",$B$3,"_","TR",$B$3,"_",G88),AND(D88="SECT",C88="BT"),CONCATENATE(B88,"_","TR",$B$3,C88,"_",$B$11,"_",G88),AND(D88="SECF",C88="BT"),CONCATENATE(B88,"_","TR",$B$3,C88,"_",$B$10,"_",G88),AND(D88="SECC",C88="AT"),CONCATENATE(B88,"_","TR",$B$3,C88,"_",$B$5,"_",G88),AND(C88="AT",D88="TR_A"),CONCATENATE(B88,"_","TR",$B$3,C88,"_","TR",$B$3,C88,"_A","_",G88),AND(C88="AT",D88="TR_P"),CONCATENATE(B88,"_","TR",$B$3,C88,"_","TR",$B$3,C88,"_P","_",G88),AND(C88="BT",D88="TR_A"),CONCATENATE(B88,"_","TR",$B$3,C88,"_","TR",$B$3,C88,"_A","_",G88),AND(C88="BT",D88="TR_P"),CONCATENATE(B88,"_","TR",$B$3,C88,"_","TR",$B$3,C88,"_P","_",G88),AND(C88="TR",D88="TR_P"),CONCATENATE(B88,"_","TR",$B$3,"_","TR",$B$3,"_P","_",G88),AND(C88="TR",D88="TR_A"),CONCATENATE(B88,"_","TR",$B$3,"_","TR",$B$3,"_A","_",G88))</f>
        <v>IMA_TR6AT_TR6AT_P_FA</v>
      </c>
      <c r="I88" s="6"/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3"/>
        <v>181</v>
      </c>
    </row>
    <row r="89" spans="1:14" x14ac:dyDescent="0.25">
      <c r="A89" s="6" t="s">
        <v>190</v>
      </c>
      <c r="B89" s="6" t="str">
        <f>Informações!$C$3</f>
        <v>IMA</v>
      </c>
      <c r="C89" s="6" t="s">
        <v>100</v>
      </c>
      <c r="D89" s="94" t="s">
        <v>212</v>
      </c>
      <c r="E89" s="2" t="s">
        <v>25</v>
      </c>
      <c r="F89" s="6" t="str">
        <f>VLOOKUP(G89,[1]Discrete!$A:$B,2,FALSE)</f>
        <v>FASE B</v>
      </c>
      <c r="G89" s="6" t="s">
        <v>55</v>
      </c>
      <c r="H89" s="6" t="str" cm="1">
        <f t="array" ref="H89">_xlfn.IFS(OR(D89="TC",D89="TP",AND(D89="TR",C89="AT"),AND(D89="TR",C89="BT")),CONCATENATE(B89,"_","TR",$B$3,C89,"_","TR",$B$3,C89,"_",G89),AND(D89="SECC",C89="BT"),CONCATENATE(B89,"_","TR",$B$3,C89,"_",$B$9,"_",G89),AND(D89="SECF",C89="AT"),CONCATENATE(B89,"_","TR",$B$3,C89,"_",$B$6,"_",G89),AND(D89="SECT",C89="AT"),CONCATENATE(B89,"_","TR",$B$3,C89,"_",$B$7,"_",G89),AND(D89="DJ",C89="AT"),CONCATENATE(B89,"_","TR",$B$3,C89,"_",$B$4,"_",G89),AND(D89="DJ",C89="BT"),CONCATENATE(B89,"_","TR",$B$3,C89,"_",$B$8,"_",G89),AND(C89="TR",D89="TR"),CONCATENATE(B89,"_","TR",$B$3,"_","TR",$B$3,"_",G89),AND(D89="SECT",C89="BT"),CONCATENATE(B89,"_","TR",$B$3,C89,"_",$B$11,"_",G89),AND(D89="SECF",C89="BT"),CONCATENATE(B89,"_","TR",$B$3,C89,"_",$B$10,"_",G89),AND(D89="SECC",C89="AT"),CONCATENATE(B89,"_","TR",$B$3,C89,"_",$B$5,"_",G89),AND(C89="AT",D89="TR_A"),CONCATENATE(B89,"_","TR",$B$3,C89,"_","TR",$B$3,C89,"_A","_",G89),AND(C89="AT",D89="TR_P"),CONCATENATE(B89,"_","TR",$B$3,C89,"_","TR",$B$3,C89,"_P","_",G89),AND(C89="BT",D89="TR_A"),CONCATENATE(B89,"_","TR",$B$3,C89,"_","TR",$B$3,C89,"_A","_",G89),AND(C89="BT",D89="TR_P"),CONCATENATE(B89,"_","TR",$B$3,C89,"_","TR",$B$3,C89,"_P","_",G89),AND(C89="TR",D89="TR_P"),CONCATENATE(B89,"_","TR",$B$3,"_","TR",$B$3,"_P","_",G89),AND(C89="TR",D89="TR_A"),CONCATENATE(B89,"_","TR",$B$3,"_","TR",$B$3,"_A","_",G89))</f>
        <v>IMA_TR6AT_TR6AT_P_FB</v>
      </c>
      <c r="I89" s="6"/>
      <c r="J89" s="6" t="s">
        <v>182</v>
      </c>
      <c r="K89" s="6" t="s">
        <v>179</v>
      </c>
      <c r="L89" s="6" t="s">
        <v>188</v>
      </c>
      <c r="M89" s="6" t="s">
        <v>188</v>
      </c>
      <c r="N89" s="6">
        <f t="shared" si="3"/>
        <v>182</v>
      </c>
    </row>
    <row r="90" spans="1:14" x14ac:dyDescent="0.25">
      <c r="A90" s="6" t="s">
        <v>190</v>
      </c>
      <c r="B90" s="6" t="str">
        <f>Informações!$C$3</f>
        <v>IMA</v>
      </c>
      <c r="C90" s="6" t="s">
        <v>100</v>
      </c>
      <c r="D90" s="94" t="s">
        <v>212</v>
      </c>
      <c r="E90" s="2" t="s">
        <v>25</v>
      </c>
      <c r="F90" s="6" t="str">
        <f>VLOOKUP(G90,[1]Discrete!$A:$B,2,FALSE)</f>
        <v>FASE C</v>
      </c>
      <c r="G90" s="6" t="s">
        <v>56</v>
      </c>
      <c r="H90" s="6" t="str" cm="1">
        <f t="array" ref="H90">_xlfn.IFS(OR(D90="TC",D90="TP",AND(D90="TR",C90="AT"),AND(D90="TR",C90="BT")),CONCATENATE(B90,"_","TR",$B$3,C90,"_","TR",$B$3,C90,"_",G90),AND(D90="SECC",C90="BT"),CONCATENATE(B90,"_","TR",$B$3,C90,"_",$B$9,"_",G90),AND(D90="SECF",C90="AT"),CONCATENATE(B90,"_","TR",$B$3,C90,"_",$B$6,"_",G90),AND(D90="SECT",C90="AT"),CONCATENATE(B90,"_","TR",$B$3,C90,"_",$B$7,"_",G90),AND(D90="DJ",C90="AT"),CONCATENATE(B90,"_","TR",$B$3,C90,"_",$B$4,"_",G90),AND(D90="DJ",C90="BT"),CONCATENATE(B90,"_","TR",$B$3,C90,"_",$B$8,"_",G90),AND(C90="TR",D90="TR"),CONCATENATE(B90,"_","TR",$B$3,"_","TR",$B$3,"_",G90),AND(D90="SECT",C90="BT"),CONCATENATE(B90,"_","TR",$B$3,C90,"_",$B$11,"_",G90),AND(D90="SECF",C90="BT"),CONCATENATE(B90,"_","TR",$B$3,C90,"_",$B$10,"_",G90),AND(D90="SECC",C90="AT"),CONCATENATE(B90,"_","TR",$B$3,C90,"_",$B$5,"_",G90),AND(C90="AT",D90="TR_A"),CONCATENATE(B90,"_","TR",$B$3,C90,"_","TR",$B$3,C90,"_A","_",G90),AND(C90="AT",D90="TR_P"),CONCATENATE(B90,"_","TR",$B$3,C90,"_","TR",$B$3,C90,"_P","_",G90),AND(C90="BT",D90="TR_A"),CONCATENATE(B90,"_","TR",$B$3,C90,"_","TR",$B$3,C90,"_A","_",G90),AND(C90="BT",D90="TR_P"),CONCATENATE(B90,"_","TR",$B$3,C90,"_","TR",$B$3,C90,"_P","_",G90),AND(C90="TR",D90="TR_P"),CONCATENATE(B90,"_","TR",$B$3,"_","TR",$B$3,"_P","_",G90),AND(C90="TR",D90="TR_A"),CONCATENATE(B90,"_","TR",$B$3,"_","TR",$B$3,"_A","_",G90))</f>
        <v>IMA_TR6AT_TR6AT_P_FC</v>
      </c>
      <c r="I90" s="6"/>
      <c r="J90" s="6" t="s">
        <v>182</v>
      </c>
      <c r="K90" s="6" t="s">
        <v>179</v>
      </c>
      <c r="L90" s="6" t="s">
        <v>188</v>
      </c>
      <c r="M90" s="6" t="s">
        <v>188</v>
      </c>
      <c r="N90" s="6">
        <f t="shared" si="3"/>
        <v>183</v>
      </c>
    </row>
    <row r="91" spans="1:14" x14ac:dyDescent="0.25">
      <c r="A91" s="6" t="s">
        <v>190</v>
      </c>
      <c r="B91" s="6" t="str">
        <f>Informações!$C$3</f>
        <v>IMA</v>
      </c>
      <c r="C91" s="6" t="s">
        <v>100</v>
      </c>
      <c r="D91" s="94" t="s">
        <v>212</v>
      </c>
      <c r="E91" s="2" t="s">
        <v>25</v>
      </c>
      <c r="F91" s="6" t="str">
        <f>VLOOKUP(G91,[1]Discrete!$A:$B,2,FALSE)</f>
        <v>NEUTRO</v>
      </c>
      <c r="G91" s="6" t="s">
        <v>420</v>
      </c>
      <c r="H91" s="6" t="str" cm="1">
        <f t="array" ref="H91">_xlfn.IFS(OR(D91="TC",D91="TP",AND(D91="TR",C91="AT"),AND(D91="TR",C91="BT")),CONCATENATE(B91,"_","TR",$B$3,C91,"_","TR",$B$3,C91,"_",G91),AND(D91="SECC",C91="BT"),CONCATENATE(B91,"_","TR",$B$3,C91,"_",$B$9,"_",G91),AND(D91="SECF",C91="AT"),CONCATENATE(B91,"_","TR",$B$3,C91,"_",$B$6,"_",G91),AND(D91="SECT",C91="AT"),CONCATENATE(B91,"_","TR",$B$3,C91,"_",$B$7,"_",G91),AND(D91="DJ",C91="AT"),CONCATENATE(B91,"_","TR",$B$3,C91,"_",$B$4,"_",G91),AND(D91="DJ",C91="BT"),CONCATENATE(B91,"_","TR",$B$3,C91,"_",$B$8,"_",G91),AND(C91="TR",D91="TR"),CONCATENATE(B91,"_","TR",$B$3,"_","TR",$B$3,"_",G91),AND(D91="SECT",C91="BT"),CONCATENATE(B91,"_","TR",$B$3,C91,"_",$B$11,"_",G91),AND(D91="SECF",C91="BT"),CONCATENATE(B91,"_","TR",$B$3,C91,"_",$B$10,"_",G91),AND(D91="SECC",C91="AT"),CONCATENATE(B91,"_","TR",$B$3,C91,"_",$B$5,"_",G91),AND(C91="AT",D91="TR_A"),CONCATENATE(B91,"_","TR",$B$3,C91,"_","TR",$B$3,C91,"_A","_",G91),AND(C91="AT",D91="TR_P"),CONCATENATE(B91,"_","TR",$B$3,C91,"_","TR",$B$3,C91,"_P","_",G91),AND(C91="BT",D91="TR_A"),CONCATENATE(B91,"_","TR",$B$3,C91,"_","TR",$B$3,C91,"_A","_",G91),AND(C91="BT",D91="TR_P"),CONCATENATE(B91,"_","TR",$B$3,C91,"_","TR",$B$3,C91,"_P","_",G91),AND(C91="TR",D91="TR_P"),CONCATENATE(B91,"_","TR",$B$3,"_","TR",$B$3,"_P","_",G91),AND(C91="TR",D91="TR_A"),CONCATENATE(B91,"_","TR",$B$3,"_","TR",$B$3,"_A","_",G91))</f>
        <v>IMA_TR6AT_TR6AT_P_N</v>
      </c>
      <c r="I91" s="6"/>
      <c r="J91" s="6" t="s">
        <v>182</v>
      </c>
      <c r="K91" s="6" t="s">
        <v>179</v>
      </c>
      <c r="L91" s="6" t="s">
        <v>188</v>
      </c>
      <c r="M91" s="6" t="s">
        <v>188</v>
      </c>
      <c r="N91" s="6">
        <f t="shared" si="3"/>
        <v>184</v>
      </c>
    </row>
    <row r="92" spans="1:14" x14ac:dyDescent="0.25">
      <c r="A92" s="6" t="s">
        <v>190</v>
      </c>
      <c r="B92" s="6" t="str">
        <f>Informações!$C$3</f>
        <v>IMA</v>
      </c>
      <c r="C92" s="6" t="s">
        <v>100</v>
      </c>
      <c r="D92" s="94" t="s">
        <v>212</v>
      </c>
      <c r="E92" s="2" t="s">
        <v>25</v>
      </c>
      <c r="F92" s="6" t="str">
        <f>VLOOKUP(G92,[1]Discrete!$A:$B,2,FALSE)</f>
        <v>67 - DIRECIONAL SOBRECORRENTE FASE TEMPORIZADO</v>
      </c>
      <c r="G92" s="6" t="s">
        <v>60</v>
      </c>
      <c r="H92" s="6" t="str" cm="1">
        <f t="array" ref="H92">_xlfn.IFS(OR(D92="TC",D92="TP",AND(D92="TR",C92="AT"),AND(D92="TR",C92="BT")),CONCATENATE(B92,"_","TR",$B$3,C92,"_","TR",$B$3,C92,"_",G92),AND(D92="SECC",C92="BT"),CONCATENATE(B92,"_","TR",$B$3,C92,"_",$B$9,"_",G92),AND(D92="SECF",C92="AT"),CONCATENATE(B92,"_","TR",$B$3,C92,"_",$B$6,"_",G92),AND(D92="SECT",C92="AT"),CONCATENATE(B92,"_","TR",$B$3,C92,"_",$B$7,"_",G92),AND(D92="DJ",C92="AT"),CONCATENATE(B92,"_","TR",$B$3,C92,"_",$B$4,"_",G92),AND(D92="DJ",C92="BT"),CONCATENATE(B92,"_","TR",$B$3,C92,"_",$B$8,"_",G92),AND(C92="TR",D92="TR"),CONCATENATE(B92,"_","TR",$B$3,"_","TR",$B$3,"_",G92),AND(D92="SECT",C92="BT"),CONCATENATE(B92,"_","TR",$B$3,C92,"_",$B$11,"_",G92),AND(D92="SECF",C92="BT"),CONCATENATE(B92,"_","TR",$B$3,C92,"_",$B$10,"_",G92),AND(D92="SECC",C92="AT"),CONCATENATE(B92,"_","TR",$B$3,C92,"_",$B$5,"_",G92),AND(C92="AT",D92="TR_A"),CONCATENATE(B92,"_","TR",$B$3,C92,"_","TR",$B$3,C92,"_A","_",G92),AND(C92="AT",D92="TR_P"),CONCATENATE(B92,"_","TR",$B$3,C92,"_","TR",$B$3,C92,"_P","_",G92),AND(C92="BT",D92="TR_A"),CONCATENATE(B92,"_","TR",$B$3,C92,"_","TR",$B$3,C92,"_A","_",G92),AND(C92="BT",D92="TR_P"),CONCATENATE(B92,"_","TR",$B$3,C92,"_","TR",$B$3,C92,"_P","_",G92),AND(C92="TR",D92="TR_P"),CONCATENATE(B92,"_","TR",$B$3,"_","TR",$B$3,"_P","_",G92),AND(C92="TR",D92="TR_A"),CONCATENATE(B92,"_","TR",$B$3,"_","TR",$B$3,"_A","_",G92))</f>
        <v>IMA_TR6AT_TR6AT_P_67FT</v>
      </c>
      <c r="I92" s="6"/>
      <c r="J92" s="6" t="s">
        <v>182</v>
      </c>
      <c r="K92" s="6" t="s">
        <v>179</v>
      </c>
      <c r="L92" s="6" t="s">
        <v>188</v>
      </c>
      <c r="M92" s="6" t="s">
        <v>188</v>
      </c>
      <c r="N92" s="6">
        <f t="shared" si="3"/>
        <v>185</v>
      </c>
    </row>
    <row r="93" spans="1:14" x14ac:dyDescent="0.25">
      <c r="A93" s="6" t="s">
        <v>190</v>
      </c>
      <c r="B93" s="6" t="str">
        <f>Informações!$C$3</f>
        <v>IMA</v>
      </c>
      <c r="C93" s="6" t="s">
        <v>100</v>
      </c>
      <c r="D93" s="94" t="s">
        <v>212</v>
      </c>
      <c r="E93" s="2" t="s">
        <v>25</v>
      </c>
      <c r="F93" s="6" t="str">
        <f>VLOOKUP(G93,[1]Discrete!$A:$B,2,FALSE)</f>
        <v>67 - DIRECIONAL SOBRECORRENTE NEUTRO TEMPORIZADO</v>
      </c>
      <c r="G93" s="6" t="s">
        <v>63</v>
      </c>
      <c r="H93" s="6" t="str" cm="1">
        <f t="array" ref="H93">_xlfn.IFS(OR(D93="TC",D93="TP",AND(D93="TR",C93="AT"),AND(D93="TR",C93="BT")),CONCATENATE(B93,"_","TR",$B$3,C93,"_","TR",$B$3,C93,"_",G93),AND(D93="SECC",C93="BT"),CONCATENATE(B93,"_","TR",$B$3,C93,"_",$B$9,"_",G93),AND(D93="SECF",C93="AT"),CONCATENATE(B93,"_","TR",$B$3,C93,"_",$B$6,"_",G93),AND(D93="SECT",C93="AT"),CONCATENATE(B93,"_","TR",$B$3,C93,"_",$B$7,"_",G93),AND(D93="DJ",C93="AT"),CONCATENATE(B93,"_","TR",$B$3,C93,"_",$B$4,"_",G93),AND(D93="DJ",C93="BT"),CONCATENATE(B93,"_","TR",$B$3,C93,"_",$B$8,"_",G93),AND(C93="TR",D93="TR"),CONCATENATE(B93,"_","TR",$B$3,"_","TR",$B$3,"_",G93),AND(D93="SECT",C93="BT"),CONCATENATE(B93,"_","TR",$B$3,C93,"_",$B$11,"_",G93),AND(D93="SECF",C93="BT"),CONCATENATE(B93,"_","TR",$B$3,C93,"_",$B$10,"_",G93),AND(D93="SECC",C93="AT"),CONCATENATE(B93,"_","TR",$B$3,C93,"_",$B$5,"_",G93),AND(C93="AT",D93="TR_A"),CONCATENATE(B93,"_","TR",$B$3,C93,"_","TR",$B$3,C93,"_A","_",G93),AND(C93="AT",D93="TR_P"),CONCATENATE(B93,"_","TR",$B$3,C93,"_","TR",$B$3,C93,"_P","_",G93),AND(C93="BT",D93="TR_A"),CONCATENATE(B93,"_","TR",$B$3,C93,"_","TR",$B$3,C93,"_A","_",G93),AND(C93="BT",D93="TR_P"),CONCATENATE(B93,"_","TR",$B$3,C93,"_","TR",$B$3,C93,"_P","_",G93),AND(C93="TR",D93="TR_P"),CONCATENATE(B93,"_","TR",$B$3,"_","TR",$B$3,"_P","_",G93),AND(C93="TR",D93="TR_A"),CONCATENATE(B93,"_","TR",$B$3,"_","TR",$B$3,"_A","_",G93))</f>
        <v>IMA_TR6AT_TR6AT_P_67NT</v>
      </c>
      <c r="I93" s="6"/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3"/>
        <v>186</v>
      </c>
    </row>
    <row r="94" spans="1:14" x14ac:dyDescent="0.25">
      <c r="A94" s="6" t="s">
        <v>190</v>
      </c>
      <c r="B94" s="6" t="str">
        <f>Informações!$C$3</f>
        <v>IMA</v>
      </c>
      <c r="C94" s="6" t="s">
        <v>100</v>
      </c>
      <c r="D94" s="94" t="s">
        <v>212</v>
      </c>
      <c r="E94" s="2" t="s">
        <v>25</v>
      </c>
      <c r="F94" s="6" t="str">
        <f>VLOOKUP(G94,[1]Discrete!$A:$B,2,FALSE)</f>
        <v>50 - SOBRECORRENTE INSTANTANEA FASE</v>
      </c>
      <c r="G94" s="6" t="s">
        <v>416</v>
      </c>
      <c r="H94" s="6" t="str" cm="1">
        <f t="array" ref="H94">_xlfn.IFS(OR(D94="TC",D94="TP",AND(D94="TR",C94="AT"),AND(D94="TR",C94="BT")),CONCATENATE(B94,"_","TR",$B$3,C94,"_","TR",$B$3,C94,"_",G94),AND(D94="SECC",C94="BT"),CONCATENATE(B94,"_","TR",$B$3,C94,"_",$B$9,"_",G94),AND(D94="SECF",C94="AT"),CONCATENATE(B94,"_","TR",$B$3,C94,"_",$B$6,"_",G94),AND(D94="SECT",C94="AT"),CONCATENATE(B94,"_","TR",$B$3,C94,"_",$B$7,"_",G94),AND(D94="DJ",C94="AT"),CONCATENATE(B94,"_","TR",$B$3,C94,"_",$B$4,"_",G94),AND(D94="DJ",C94="BT"),CONCATENATE(B94,"_","TR",$B$3,C94,"_",$B$8,"_",G94),AND(C94="TR",D94="TR"),CONCATENATE(B94,"_","TR",$B$3,"_","TR",$B$3,"_",G94),AND(D94="SECT",C94="BT"),CONCATENATE(B94,"_","TR",$B$3,C94,"_",$B$11,"_",G94),AND(D94="SECF",C94="BT"),CONCATENATE(B94,"_","TR",$B$3,C94,"_",$B$10,"_",G94),AND(D94="SECC",C94="AT"),CONCATENATE(B94,"_","TR",$B$3,C94,"_",$B$5,"_",G94),AND(C94="AT",D94="TR_A"),CONCATENATE(B94,"_","TR",$B$3,C94,"_","TR",$B$3,C94,"_A","_",G94),AND(C94="AT",D94="TR_P"),CONCATENATE(B94,"_","TR",$B$3,C94,"_","TR",$B$3,C94,"_P","_",G94),AND(C94="BT",D94="TR_A"),CONCATENATE(B94,"_","TR",$B$3,C94,"_","TR",$B$3,C94,"_A","_",G94),AND(C94="BT",D94="TR_P"),CONCATENATE(B94,"_","TR",$B$3,C94,"_","TR",$B$3,C94,"_P","_",G94),AND(C94="TR",D94="TR_P"),CONCATENATE(B94,"_","TR",$B$3,"_","TR",$B$3,"_P","_",G94),AND(C94="TR",D94="TR_A"),CONCATENATE(B94,"_","TR",$B$3,"_","TR",$B$3,"_A","_",G94))</f>
        <v>IMA_TR6AT_TR6AT_P_50F</v>
      </c>
      <c r="I94" s="6"/>
      <c r="J94" s="6" t="s">
        <v>182</v>
      </c>
      <c r="K94" s="6" t="s">
        <v>179</v>
      </c>
      <c r="L94" s="6" t="s">
        <v>188</v>
      </c>
      <c r="M94" s="6" t="s">
        <v>188</v>
      </c>
      <c r="N94" s="6">
        <f t="shared" si="3"/>
        <v>187</v>
      </c>
    </row>
    <row r="95" spans="1:14" x14ac:dyDescent="0.25">
      <c r="A95" s="6" t="s">
        <v>190</v>
      </c>
      <c r="B95" s="6" t="str">
        <f>Informações!$C$3</f>
        <v>IMA</v>
      </c>
      <c r="C95" s="6" t="s">
        <v>100</v>
      </c>
      <c r="D95" s="94" t="s">
        <v>212</v>
      </c>
      <c r="E95" s="2" t="s">
        <v>25</v>
      </c>
      <c r="F95" s="6" t="str">
        <f>VLOOKUP(G95,[1]Discrete!$A:$B,2,FALSE)</f>
        <v>50 - SOBRECORRENTE INSTANTANEA FASE NEUTRO</v>
      </c>
      <c r="G95" s="6" t="s">
        <v>428</v>
      </c>
      <c r="H95" s="6" t="str" cm="1">
        <f t="array" ref="H95">_xlfn.IFS(OR(D95="TC",D95="TP",AND(D95="TR",C95="AT"),AND(D95="TR",C95="BT")),CONCATENATE(B95,"_","TR",$B$3,C95,"_","TR",$B$3,C95,"_",G95),AND(D95="SECC",C95="BT"),CONCATENATE(B95,"_","TR",$B$3,C95,"_",$B$9,"_",G95),AND(D95="SECF",C95="AT"),CONCATENATE(B95,"_","TR",$B$3,C95,"_",$B$6,"_",G95),AND(D95="SECT",C95="AT"),CONCATENATE(B95,"_","TR",$B$3,C95,"_",$B$7,"_",G95),AND(D95="DJ",C95="AT"),CONCATENATE(B95,"_","TR",$B$3,C95,"_",$B$4,"_",G95),AND(D95="DJ",C95="BT"),CONCATENATE(B95,"_","TR",$B$3,C95,"_",$B$8,"_",G95),AND(C95="TR",D95="TR"),CONCATENATE(B95,"_","TR",$B$3,"_","TR",$B$3,"_",G95),AND(D95="SECT",C95="BT"),CONCATENATE(B95,"_","TR",$B$3,C95,"_",$B$11,"_",G95),AND(D95="SECF",C95="BT"),CONCATENATE(B95,"_","TR",$B$3,C95,"_",$B$10,"_",G95),AND(D95="SECC",C95="AT"),CONCATENATE(B95,"_","TR",$B$3,C95,"_",$B$5,"_",G95),AND(C95="AT",D95="TR_A"),CONCATENATE(B95,"_","TR",$B$3,C95,"_","TR",$B$3,C95,"_A","_",G95),AND(C95="AT",D95="TR_P"),CONCATENATE(B95,"_","TR",$B$3,C95,"_","TR",$B$3,C95,"_P","_",G95),AND(C95="BT",D95="TR_A"),CONCATENATE(B95,"_","TR",$B$3,C95,"_","TR",$B$3,C95,"_A","_",G95),AND(C95="BT",D95="TR_P"),CONCATENATE(B95,"_","TR",$B$3,C95,"_","TR",$B$3,C95,"_P","_",G95),AND(C95="TR",D95="TR_P"),CONCATENATE(B95,"_","TR",$B$3,"_","TR",$B$3,"_P","_",G95),AND(C95="TR",D95="TR_A"),CONCATENATE(B95,"_","TR",$B$3,"_","TR",$B$3,"_A","_",G95))</f>
        <v>IMA_TR6AT_TR6AT_P_50FN</v>
      </c>
      <c r="I95" s="6"/>
      <c r="J95" s="6" t="s">
        <v>182</v>
      </c>
      <c r="K95" s="6" t="s">
        <v>179</v>
      </c>
      <c r="L95" s="6" t="s">
        <v>188</v>
      </c>
      <c r="M95" s="6" t="s">
        <v>188</v>
      </c>
      <c r="N95" s="6">
        <f t="shared" si="3"/>
        <v>188</v>
      </c>
    </row>
    <row r="96" spans="1:14" x14ac:dyDescent="0.25">
      <c r="A96" s="6" t="s">
        <v>190</v>
      </c>
      <c r="B96" s="6" t="str">
        <f>Informações!$C$3</f>
        <v>IMA</v>
      </c>
      <c r="C96" s="6" t="s">
        <v>100</v>
      </c>
      <c r="D96" s="94" t="s">
        <v>212</v>
      </c>
      <c r="E96" s="2" t="s">
        <v>25</v>
      </c>
      <c r="F96" s="6" t="str">
        <f>VLOOKUP(G96,[1]Discrete!$A:$B,2,FALSE)</f>
        <v>51 - SOBRECORRENTE TEMPORIZADA FASE</v>
      </c>
      <c r="G96" s="6" t="s">
        <v>98</v>
      </c>
      <c r="H96" s="6" t="str" cm="1">
        <f t="array" ref="H96">_xlfn.IFS(OR(D96="TC",D96="TP",AND(D96="TR",C96="AT"),AND(D96="TR",C96="BT")),CONCATENATE(B96,"_","TR",$B$3,C96,"_","TR",$B$3,C96,"_",G96),AND(D96="SECC",C96="BT"),CONCATENATE(B96,"_","TR",$B$3,C96,"_",$B$9,"_",G96),AND(D96="SECF",C96="AT"),CONCATENATE(B96,"_","TR",$B$3,C96,"_",$B$6,"_",G96),AND(D96="SECT",C96="AT"),CONCATENATE(B96,"_","TR",$B$3,C96,"_",$B$7,"_",G96),AND(D96="DJ",C96="AT"),CONCATENATE(B96,"_","TR",$B$3,C96,"_",$B$4,"_",G96),AND(D96="DJ",C96="BT"),CONCATENATE(B96,"_","TR",$B$3,C96,"_",$B$8,"_",G96),AND(C96="TR",D96="TR"),CONCATENATE(B96,"_","TR",$B$3,"_","TR",$B$3,"_",G96),AND(D96="SECT",C96="BT"),CONCATENATE(B96,"_","TR",$B$3,C96,"_",$B$11,"_",G96),AND(D96="SECF",C96="BT"),CONCATENATE(B96,"_","TR",$B$3,C96,"_",$B$10,"_",G96),AND(D96="SECC",C96="AT"),CONCATENATE(B96,"_","TR",$B$3,C96,"_",$B$5,"_",G96),AND(C96="AT",D96="TR_A"),CONCATENATE(B96,"_","TR",$B$3,C96,"_","TR",$B$3,C96,"_A","_",G96),AND(C96="AT",D96="TR_P"),CONCATENATE(B96,"_","TR",$B$3,C96,"_","TR",$B$3,C96,"_P","_",G96),AND(C96="BT",D96="TR_A"),CONCATENATE(B96,"_","TR",$B$3,C96,"_","TR",$B$3,C96,"_A","_",G96),AND(C96="BT",D96="TR_P"),CONCATENATE(B96,"_","TR",$B$3,C96,"_","TR",$B$3,C96,"_P","_",G96),AND(C96="TR",D96="TR_P"),CONCATENATE(B96,"_","TR",$B$3,"_","TR",$B$3,"_P","_",G96),AND(C96="TR",D96="TR_A"),CONCATENATE(B96,"_","TR",$B$3,"_","TR",$B$3,"_A","_",G96))</f>
        <v>IMA_TR6AT_TR6AT_P_51F</v>
      </c>
      <c r="I96" s="6"/>
      <c r="J96" s="6" t="s">
        <v>182</v>
      </c>
      <c r="K96" s="6" t="s">
        <v>179</v>
      </c>
      <c r="L96" s="6" t="s">
        <v>188</v>
      </c>
      <c r="M96" s="6" t="s">
        <v>188</v>
      </c>
      <c r="N96" s="6">
        <f t="shared" si="3"/>
        <v>189</v>
      </c>
    </row>
    <row r="97" spans="1:14" x14ac:dyDescent="0.25">
      <c r="A97" s="6" t="s">
        <v>190</v>
      </c>
      <c r="B97" s="6" t="str">
        <f>Informações!$C$3</f>
        <v>IMA</v>
      </c>
      <c r="C97" s="6" t="s">
        <v>100</v>
      </c>
      <c r="D97" s="94" t="s">
        <v>212</v>
      </c>
      <c r="E97" s="2" t="s">
        <v>25</v>
      </c>
      <c r="F97" s="6" t="str">
        <f>VLOOKUP(G97,[1]Discrete!$A:$B,2,FALSE)</f>
        <v>51 - SOBRECORRENTE TEMPORIZADA FASE NEUTRO</v>
      </c>
      <c r="G97" s="6" t="s">
        <v>427</v>
      </c>
      <c r="H97" s="6" t="str" cm="1">
        <f t="array" ref="H97">_xlfn.IFS(OR(D97="TC",D97="TP",AND(D97="TR",C97="AT"),AND(D97="TR",C97="BT")),CONCATENATE(B97,"_","TR",$B$3,C97,"_","TR",$B$3,C97,"_",G97),AND(D97="SECC",C97="BT"),CONCATENATE(B97,"_","TR",$B$3,C97,"_",$B$9,"_",G97),AND(D97="SECF",C97="AT"),CONCATENATE(B97,"_","TR",$B$3,C97,"_",$B$6,"_",G97),AND(D97="SECT",C97="AT"),CONCATENATE(B97,"_","TR",$B$3,C97,"_",$B$7,"_",G97),AND(D97="DJ",C97="AT"),CONCATENATE(B97,"_","TR",$B$3,C97,"_",$B$4,"_",G97),AND(D97="DJ",C97="BT"),CONCATENATE(B97,"_","TR",$B$3,C97,"_",$B$8,"_",G97),AND(C97="TR",D97="TR"),CONCATENATE(B97,"_","TR",$B$3,"_","TR",$B$3,"_",G97),AND(D97="SECT",C97="BT"),CONCATENATE(B97,"_","TR",$B$3,C97,"_",$B$11,"_",G97),AND(D97="SECF",C97="BT"),CONCATENATE(B97,"_","TR",$B$3,C97,"_",$B$10,"_",G97),AND(D97="SECC",C97="AT"),CONCATENATE(B97,"_","TR",$B$3,C97,"_",$B$5,"_",G97),AND(C97="AT",D97="TR_A"),CONCATENATE(B97,"_","TR",$B$3,C97,"_","TR",$B$3,C97,"_A","_",G97),AND(C97="AT",D97="TR_P"),CONCATENATE(B97,"_","TR",$B$3,C97,"_","TR",$B$3,C97,"_P","_",G97),AND(C97="BT",D97="TR_A"),CONCATENATE(B97,"_","TR",$B$3,C97,"_","TR",$B$3,C97,"_A","_",G97),AND(C97="BT",D97="TR_P"),CONCATENATE(B97,"_","TR",$B$3,C97,"_","TR",$B$3,C97,"_P","_",G97),AND(C97="TR",D97="TR_P"),CONCATENATE(B97,"_","TR",$B$3,"_","TR",$B$3,"_P","_",G97),AND(C97="TR",D97="TR_A"),CONCATENATE(B97,"_","TR",$B$3,"_","TR",$B$3,"_A","_",G97))</f>
        <v>IMA_TR6AT_TR6AT_P_51FN</v>
      </c>
      <c r="I97" s="6"/>
      <c r="J97" s="6" t="s">
        <v>182</v>
      </c>
      <c r="K97" s="6" t="s">
        <v>179</v>
      </c>
      <c r="L97" s="6" t="s">
        <v>188</v>
      </c>
      <c r="M97" s="6" t="s">
        <v>188</v>
      </c>
      <c r="N97" s="6">
        <f t="shared" si="3"/>
        <v>190</v>
      </c>
    </row>
    <row r="98" spans="1:14" x14ac:dyDescent="0.25">
      <c r="A98" s="6" t="s">
        <v>190</v>
      </c>
      <c r="B98" s="6" t="str">
        <f>Informações!$C$3</f>
        <v>IMA</v>
      </c>
      <c r="C98" s="6" t="s">
        <v>101</v>
      </c>
      <c r="D98" s="94" t="s">
        <v>212</v>
      </c>
      <c r="E98" s="2" t="s">
        <v>25</v>
      </c>
      <c r="F98" s="6" t="str">
        <f>VLOOKUP(G98,[1]Discrete!$A:$B,2,FALSE)</f>
        <v>FASE A</v>
      </c>
      <c r="G98" s="6" t="s">
        <v>54</v>
      </c>
      <c r="H98" s="6" t="str" cm="1">
        <f t="array" ref="H98">_xlfn.IFS(OR(D98="TC",D98="TP",AND(D98="TR",C98="AT"),AND(D98="TR",C98="BT")),CONCATENATE(B98,"_","TR",$B$3,C98,"_","TR",$B$3,C98,"_",G98),AND(D98="SECC",C98="BT"),CONCATENATE(B98,"_","TR",$B$3,C98,"_",$B$9,"_",G98),AND(D98="SECF",C98="AT"),CONCATENATE(B98,"_","TR",$B$3,C98,"_",$B$6,"_",G98),AND(D98="SECT",C98="AT"),CONCATENATE(B98,"_","TR",$B$3,C98,"_",$B$7,"_",G98),AND(D98="DJ",C98="AT"),CONCATENATE(B98,"_","TR",$B$3,C98,"_",$B$4,"_",G98),AND(D98="DJ",C98="BT"),CONCATENATE(B98,"_","TR",$B$3,C98,"_",$B$8,"_",G98),AND(C98="TR",D98="TR"),CONCATENATE(B98,"_","TR",$B$3,"_","TR",$B$3,"_",G98),AND(D98="SECT",C98="BT"),CONCATENATE(B98,"_","TR",$B$3,C98,"_",$B$11,"_",G98),AND(D98="SECF",C98="BT"),CONCATENATE(B98,"_","TR",$B$3,C98,"_",$B$10,"_",G98),AND(D98="SECC",C98="AT"),CONCATENATE(B98,"_","TR",$B$3,C98,"_",$B$5,"_",G98),AND(C98="AT",D98="TR_A"),CONCATENATE(B98,"_","TR",$B$3,C98,"_","TR",$B$3,C98,"_A","_",G98),AND(C98="AT",D98="TR_P"),CONCATENATE(B98,"_","TR",$B$3,C98,"_","TR",$B$3,C98,"_P","_",G98),AND(C98="BT",D98="TR_A"),CONCATENATE(B98,"_","TR",$B$3,C98,"_","TR",$B$3,C98,"_A","_",G98),AND(C98="BT",D98="TR_P"),CONCATENATE(B98,"_","TR",$B$3,C98,"_","TR",$B$3,C98,"_P","_",G98),AND(C98="TR",D98="TR_P"),CONCATENATE(B98,"_","TR",$B$3,"_","TR",$B$3,"_P","_",G98),AND(C98="TR",D98="TR_A"),CONCATENATE(B98,"_","TR",$B$3,"_","TR",$B$3,"_A","_",G98))</f>
        <v>IMA_TR6BT_TR6BT_P_FA</v>
      </c>
      <c r="I98" s="6"/>
      <c r="J98" s="6" t="s">
        <v>182</v>
      </c>
      <c r="K98" s="6" t="s">
        <v>179</v>
      </c>
      <c r="L98" s="6" t="s">
        <v>188</v>
      </c>
      <c r="M98" s="6" t="s">
        <v>188</v>
      </c>
      <c r="N98" s="6">
        <f t="shared" si="3"/>
        <v>191</v>
      </c>
    </row>
    <row r="99" spans="1:14" x14ac:dyDescent="0.25">
      <c r="A99" s="6" t="s">
        <v>190</v>
      </c>
      <c r="B99" s="6" t="str">
        <f>Informações!$C$3</f>
        <v>IMA</v>
      </c>
      <c r="C99" s="6" t="s">
        <v>101</v>
      </c>
      <c r="D99" s="94" t="s">
        <v>212</v>
      </c>
      <c r="E99" s="2" t="s">
        <v>25</v>
      </c>
      <c r="F99" s="6" t="str">
        <f>VLOOKUP(G99,[1]Discrete!$A:$B,2,FALSE)</f>
        <v>FASE B</v>
      </c>
      <c r="G99" s="6" t="s">
        <v>55</v>
      </c>
      <c r="H99" s="6" t="str" cm="1">
        <f t="array" ref="H99">_xlfn.IFS(OR(D99="TC",D99="TP",AND(D99="TR",C99="AT"),AND(D99="TR",C99="BT")),CONCATENATE(B99,"_","TR",$B$3,C99,"_","TR",$B$3,C99,"_",G99),AND(D99="SECC",C99="BT"),CONCATENATE(B99,"_","TR",$B$3,C99,"_",$B$9,"_",G99),AND(D99="SECF",C99="AT"),CONCATENATE(B99,"_","TR",$B$3,C99,"_",$B$6,"_",G99),AND(D99="SECT",C99="AT"),CONCATENATE(B99,"_","TR",$B$3,C99,"_",$B$7,"_",G99),AND(D99="DJ",C99="AT"),CONCATENATE(B99,"_","TR",$B$3,C99,"_",$B$4,"_",G99),AND(D99="DJ",C99="BT"),CONCATENATE(B99,"_","TR",$B$3,C99,"_",$B$8,"_",G99),AND(C99="TR",D99="TR"),CONCATENATE(B99,"_","TR",$B$3,"_","TR",$B$3,"_",G99),AND(D99="SECT",C99="BT"),CONCATENATE(B99,"_","TR",$B$3,C99,"_",$B$11,"_",G99),AND(D99="SECF",C99="BT"),CONCATENATE(B99,"_","TR",$B$3,C99,"_",$B$10,"_",G99),AND(D99="SECC",C99="AT"),CONCATENATE(B99,"_","TR",$B$3,C99,"_",$B$5,"_",G99),AND(C99="AT",D99="TR_A"),CONCATENATE(B99,"_","TR",$B$3,C99,"_","TR",$B$3,C99,"_A","_",G99),AND(C99="AT",D99="TR_P"),CONCATENATE(B99,"_","TR",$B$3,C99,"_","TR",$B$3,C99,"_P","_",G99),AND(C99="BT",D99="TR_A"),CONCATENATE(B99,"_","TR",$B$3,C99,"_","TR",$B$3,C99,"_A","_",G99),AND(C99="BT",D99="TR_P"),CONCATENATE(B99,"_","TR",$B$3,C99,"_","TR",$B$3,C99,"_P","_",G99),AND(C99="TR",D99="TR_P"),CONCATENATE(B99,"_","TR",$B$3,"_","TR",$B$3,"_P","_",G99),AND(C99="TR",D99="TR_A"),CONCATENATE(B99,"_","TR",$B$3,"_","TR",$B$3,"_A","_",G99))</f>
        <v>IMA_TR6BT_TR6BT_P_FB</v>
      </c>
      <c r="I99" s="6"/>
      <c r="J99" s="6" t="s">
        <v>182</v>
      </c>
      <c r="K99" s="6" t="s">
        <v>179</v>
      </c>
      <c r="L99" s="6" t="s">
        <v>188</v>
      </c>
      <c r="M99" s="6" t="s">
        <v>188</v>
      </c>
      <c r="N99" s="6">
        <f t="shared" si="3"/>
        <v>192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101</v>
      </c>
      <c r="D100" s="94" t="s">
        <v>212</v>
      </c>
      <c r="E100" s="2" t="s">
        <v>25</v>
      </c>
      <c r="F100" s="6" t="str">
        <f>VLOOKUP(G100,[1]Discrete!$A:$B,2,FALSE)</f>
        <v>FASE C</v>
      </c>
      <c r="G100" s="6" t="s">
        <v>56</v>
      </c>
      <c r="H100" s="6" t="str" cm="1">
        <f t="array" ref="H100">_xlfn.IFS(OR(D100="TC",D100="TP",AND(D100="TR",C100="AT"),AND(D100="TR",C100="BT")),CONCATENATE(B100,"_","TR",$B$3,C100,"_","TR",$B$3,C100,"_",G100),AND(D100="SECC",C100="BT"),CONCATENATE(B100,"_","TR",$B$3,C100,"_",$B$9,"_",G100),AND(D100="SECF",C100="AT"),CONCATENATE(B100,"_","TR",$B$3,C100,"_",$B$6,"_",G100),AND(D100="SECT",C100="AT"),CONCATENATE(B100,"_","TR",$B$3,C100,"_",$B$7,"_",G100),AND(D100="DJ",C100="AT"),CONCATENATE(B100,"_","TR",$B$3,C100,"_",$B$4,"_",G100),AND(D100="DJ",C100="BT"),CONCATENATE(B100,"_","TR",$B$3,C100,"_",$B$8,"_",G100),AND(C100="TR",D100="TR"),CONCATENATE(B100,"_","TR",$B$3,"_","TR",$B$3,"_",G100),AND(D100="SECT",C100="BT"),CONCATENATE(B100,"_","TR",$B$3,C100,"_",$B$11,"_",G100),AND(D100="SECF",C100="BT"),CONCATENATE(B100,"_","TR",$B$3,C100,"_",$B$10,"_",G100),AND(D100="SECC",C100="AT"),CONCATENATE(B100,"_","TR",$B$3,C100,"_",$B$5,"_",G100),AND(C100="AT",D100="TR_A"),CONCATENATE(B100,"_","TR",$B$3,C100,"_","TR",$B$3,C100,"_A","_",G100),AND(C100="AT",D100="TR_P"),CONCATENATE(B100,"_","TR",$B$3,C100,"_","TR",$B$3,C100,"_P","_",G100),AND(C100="BT",D100="TR_A"),CONCATENATE(B100,"_","TR",$B$3,C100,"_","TR",$B$3,C100,"_A","_",G100),AND(C100="BT",D100="TR_P"),CONCATENATE(B100,"_","TR",$B$3,C100,"_","TR",$B$3,C100,"_P","_",G100),AND(C100="TR",D100="TR_P"),CONCATENATE(B100,"_","TR",$B$3,"_","TR",$B$3,"_P","_",G100),AND(C100="TR",D100="TR_A"),CONCATENATE(B100,"_","TR",$B$3,"_","TR",$B$3,"_A","_",G100))</f>
        <v>IMA_TR6BT_TR6BT_P_FC</v>
      </c>
      <c r="I100" s="6"/>
      <c r="J100" s="6" t="s">
        <v>182</v>
      </c>
      <c r="K100" s="6" t="s">
        <v>179</v>
      </c>
      <c r="L100" s="6" t="s">
        <v>188</v>
      </c>
      <c r="M100" s="6" t="s">
        <v>188</v>
      </c>
      <c r="N100" s="6">
        <f t="shared" si="3"/>
        <v>193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101</v>
      </c>
      <c r="D101" s="94" t="s">
        <v>212</v>
      </c>
      <c r="E101" s="2" t="s">
        <v>25</v>
      </c>
      <c r="F101" s="6" t="str">
        <f>VLOOKUP(G101,[1]Discrete!$A:$B,2,FALSE)</f>
        <v>NEUTRO</v>
      </c>
      <c r="G101" s="6" t="s">
        <v>420</v>
      </c>
      <c r="H101" s="6" t="str" cm="1">
        <f t="array" ref="H101">_xlfn.IFS(OR(D101="TC",D101="TP",AND(D101="TR",C101="AT"),AND(D101="TR",C101="BT")),CONCATENATE(B101,"_","TR",$B$3,C101,"_","TR",$B$3,C101,"_",G101),AND(D101="SECC",C101="BT"),CONCATENATE(B101,"_","TR",$B$3,C101,"_",$B$9,"_",G101),AND(D101="SECF",C101="AT"),CONCATENATE(B101,"_","TR",$B$3,C101,"_",$B$6,"_",G101),AND(D101="SECT",C101="AT"),CONCATENATE(B101,"_","TR",$B$3,C101,"_",$B$7,"_",G101),AND(D101="DJ",C101="AT"),CONCATENATE(B101,"_","TR",$B$3,C101,"_",$B$4,"_",G101),AND(D101="DJ",C101="BT"),CONCATENATE(B101,"_","TR",$B$3,C101,"_",$B$8,"_",G101),AND(C101="TR",D101="TR"),CONCATENATE(B101,"_","TR",$B$3,"_","TR",$B$3,"_",G101),AND(D101="SECT",C101="BT"),CONCATENATE(B101,"_","TR",$B$3,C101,"_",$B$11,"_",G101),AND(D101="SECF",C101="BT"),CONCATENATE(B101,"_","TR",$B$3,C101,"_",$B$10,"_",G101),AND(D101="SECC",C101="AT"),CONCATENATE(B101,"_","TR",$B$3,C101,"_",$B$5,"_",G101),AND(C101="AT",D101="TR_A"),CONCATENATE(B101,"_","TR",$B$3,C101,"_","TR",$B$3,C101,"_A","_",G101),AND(C101="AT",D101="TR_P"),CONCATENATE(B101,"_","TR",$B$3,C101,"_","TR",$B$3,C101,"_P","_",G101),AND(C101="BT",D101="TR_A"),CONCATENATE(B101,"_","TR",$B$3,C101,"_","TR",$B$3,C101,"_A","_",G101),AND(C101="BT",D101="TR_P"),CONCATENATE(B101,"_","TR",$B$3,C101,"_","TR",$B$3,C101,"_P","_",G101),AND(C101="TR",D101="TR_P"),CONCATENATE(B101,"_","TR",$B$3,"_","TR",$B$3,"_P","_",G101),AND(C101="TR",D101="TR_A"),CONCATENATE(B101,"_","TR",$B$3,"_","TR",$B$3,"_A","_",G101))</f>
        <v>IMA_TR6BT_TR6BT_P_N</v>
      </c>
      <c r="I101" s="6"/>
      <c r="J101" s="6" t="s">
        <v>182</v>
      </c>
      <c r="K101" s="6" t="s">
        <v>179</v>
      </c>
      <c r="L101" s="6" t="s">
        <v>188</v>
      </c>
      <c r="M101" s="6" t="s">
        <v>188</v>
      </c>
      <c r="N101" s="6">
        <f t="shared" si="3"/>
        <v>194</v>
      </c>
    </row>
    <row r="102" spans="1:14" x14ac:dyDescent="0.25">
      <c r="A102" s="94" t="s">
        <v>190</v>
      </c>
      <c r="B102" s="6" t="str">
        <f>Informações!$C$3</f>
        <v>IMA</v>
      </c>
      <c r="C102" s="6" t="s">
        <v>101</v>
      </c>
      <c r="D102" s="94" t="s">
        <v>212</v>
      </c>
      <c r="E102" s="2" t="s">
        <v>25</v>
      </c>
      <c r="F102" s="94" t="str">
        <f>VLOOKUP(G102,[1]Discrete!$A:$B,2,FALSE)</f>
        <v>62 - FALHA DISJUNTOR BLOQUEIO</v>
      </c>
      <c r="G102" s="6" t="s">
        <v>44</v>
      </c>
      <c r="H102" s="6" t="str" cm="1">
        <f t="array" ref="H102">_xlfn.IFS(OR(D102="TC",D102="TP",AND(D102="TR",C102="AT"),AND(D102="TR",C102="BT")),CONCATENATE(B102,"_","TR",$B$3,C102,"_","TR",$B$3,C102,"_",G102),AND(D102="SECC",C102="BT"),CONCATENATE(B102,"_","TR",$B$3,C102,"_",$B$9,"_",G102),AND(D102="SECF",C102="AT"),CONCATENATE(B102,"_","TR",$B$3,C102,"_",$B$6,"_",G102),AND(D102="SECT",C102="AT"),CONCATENATE(B102,"_","TR",$B$3,C102,"_",$B$7,"_",G102),AND(D102="DJ",C102="AT"),CONCATENATE(B102,"_","TR",$B$3,C102,"_",$B$4,"_",G102),AND(D102="DJ",C102="BT"),CONCATENATE(B102,"_","TR",$B$3,C102,"_",$B$8,"_",G102),AND(C102="TR",D102="TR"),CONCATENATE(B102,"_","TR",$B$3,"_","TR",$B$3,"_",G102),AND(D102="SECT",C102="BT"),CONCATENATE(B102,"_","TR",$B$3,C102,"_",$B$11,"_",G102),AND(D102="SECF",C102="BT"),CONCATENATE(B102,"_","TR",$B$3,C102,"_",$B$10,"_",G102),AND(D102="SECC",C102="AT"),CONCATENATE(B102,"_","TR",$B$3,C102,"_",$B$5,"_",G102),AND(C102="AT",D102="TR_A"),CONCATENATE(B102,"_","TR",$B$3,C102,"_","TR",$B$3,C102,"_A","_",G102),AND(C102="AT",D102="TR_P"),CONCATENATE(B102,"_","TR",$B$3,C102,"_","TR",$B$3,C102,"_P","_",G102),AND(C102="BT",D102="TR_A"),CONCATENATE(B102,"_","TR",$B$3,C102,"_","TR",$B$3,C102,"_A","_",G102),AND(C102="BT",D102="TR_P"),CONCATENATE(B102,"_","TR",$B$3,C102,"_","TR",$B$3,C102,"_P","_",G102),AND(C102="TR",D102="TR_P"),CONCATENATE(B102,"_","TR",$B$3,"_","TR",$B$3,"_P","_",G102),AND(C102="TR",D102="TR_A"),CONCATENATE(B102,"_","TR",$B$3,"_","TR",$B$3,"_A","_",G102))</f>
        <v>IMA_TR6BT_TR6BT_P_62BF</v>
      </c>
      <c r="I102" s="6"/>
      <c r="J102" s="6" t="s">
        <v>182</v>
      </c>
      <c r="K102" s="6" t="s">
        <v>179</v>
      </c>
      <c r="L102" s="6" t="s">
        <v>188</v>
      </c>
      <c r="M102" s="6" t="s">
        <v>188</v>
      </c>
      <c r="N102" s="6">
        <f t="shared" si="3"/>
        <v>195</v>
      </c>
    </row>
    <row r="103" spans="1:14" x14ac:dyDescent="0.25">
      <c r="A103" s="94" t="s">
        <v>190</v>
      </c>
      <c r="B103" s="6" t="str">
        <f>Informações!$C$3</f>
        <v>IMA</v>
      </c>
      <c r="C103" s="6" t="s">
        <v>101</v>
      </c>
      <c r="D103" s="94" t="s">
        <v>211</v>
      </c>
      <c r="E103" s="2" t="s">
        <v>25</v>
      </c>
      <c r="F103" s="94" t="str">
        <f>VLOOKUP(G103,[1]Discrete!$A:$B,2,FALSE)</f>
        <v>62 - FALHA DISJUNTOR BLOQUEIO</v>
      </c>
      <c r="G103" s="6" t="s">
        <v>44</v>
      </c>
      <c r="H103" s="6" t="str" cm="1">
        <f t="array" ref="H103">_xlfn.IFS(OR(D103="TC",D103="TP",AND(D103="TR",C103="AT"),AND(D103="TR",C103="BT")),CONCATENATE(B103,"_","TR",$B$3,C103,"_","TR",$B$3,C103,"_",G103),AND(D103="SECC",C103="BT"),CONCATENATE(B103,"_","TR",$B$3,C103,"_",$B$9,"_",G103),AND(D103="SECF",C103="AT"),CONCATENATE(B103,"_","TR",$B$3,C103,"_",$B$6,"_",G103),AND(D103="SECT",C103="AT"),CONCATENATE(B103,"_","TR",$B$3,C103,"_",$B$7,"_",G103),AND(D103="DJ",C103="AT"),CONCATENATE(B103,"_","TR",$B$3,C103,"_",$B$4,"_",G103),AND(D103="DJ",C103="BT"),CONCATENATE(B103,"_","TR",$B$3,C103,"_",$B$8,"_",G103),AND(C103="TR",D103="TR"),CONCATENATE(B103,"_","TR",$B$3,"_","TR",$B$3,"_",G103),AND(D103="SECT",C103="BT"),CONCATENATE(B103,"_","TR",$B$3,C103,"_",$B$11,"_",G103),AND(D103="SECF",C103="BT"),CONCATENATE(B103,"_","TR",$B$3,C103,"_",$B$10,"_",G103),AND(D103="SECC",C103="AT"),CONCATENATE(B103,"_","TR",$B$3,C103,"_",$B$5,"_",G103),AND(C103="AT",D103="TR_A"),CONCATENATE(B103,"_","TR",$B$3,C103,"_","TR",$B$3,C103,"_A","_",G103),AND(C103="AT",D103="TR_P"),CONCATENATE(B103,"_","TR",$B$3,C103,"_","TR",$B$3,C103,"_P","_",G103),AND(C103="BT",D103="TR_A"),CONCATENATE(B103,"_","TR",$B$3,C103,"_","TR",$B$3,C103,"_A","_",G103),AND(C103="BT",D103="TR_P"),CONCATENATE(B103,"_","TR",$B$3,C103,"_","TR",$B$3,C103,"_P","_",G103),AND(C103="TR",D103="TR_P"),CONCATENATE(B103,"_","TR",$B$3,"_","TR",$B$3,"_P","_",G103),AND(C103="TR",D103="TR_A"),CONCATENATE(B103,"_","TR",$B$3,"_","TR",$B$3,"_A","_",G103))</f>
        <v>IMA_TR6BT_TR6BT_A_62BF</v>
      </c>
      <c r="I103" s="6"/>
      <c r="J103" s="6" t="s">
        <v>182</v>
      </c>
      <c r="K103" s="6" t="s">
        <v>179</v>
      </c>
      <c r="L103" s="6" t="s">
        <v>188</v>
      </c>
      <c r="M103" s="6" t="s">
        <v>188</v>
      </c>
      <c r="N103" s="6">
        <f t="shared" si="3"/>
        <v>196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101</v>
      </c>
      <c r="D104" s="94" t="s">
        <v>212</v>
      </c>
      <c r="E104" s="2" t="s">
        <v>25</v>
      </c>
      <c r="F104" s="6" t="str">
        <f>VLOOKUP(G104,[1]Discrete!$A:$B,2,FALSE)</f>
        <v>50 - SOBRECORRENTE INSTANTANEA FASE</v>
      </c>
      <c r="G104" s="6" t="s">
        <v>416</v>
      </c>
      <c r="H104" s="6" t="str" cm="1">
        <f t="array" ref="H104">_xlfn.IFS(OR(D104="TC",D104="TP",AND(D104="TR",C104="AT"),AND(D104="TR",C104="BT")),CONCATENATE(B104,"_","TR",$B$3,C104,"_","TR",$B$3,C104,"_",G104),AND(D104="SECC",C104="BT"),CONCATENATE(B104,"_","TR",$B$3,C104,"_",$B$9,"_",G104),AND(D104="SECF",C104="AT"),CONCATENATE(B104,"_","TR",$B$3,C104,"_",$B$6,"_",G104),AND(D104="SECT",C104="AT"),CONCATENATE(B104,"_","TR",$B$3,C104,"_",$B$7,"_",G104),AND(D104="DJ",C104="AT"),CONCATENATE(B104,"_","TR",$B$3,C104,"_",$B$4,"_",G104),AND(D104="DJ",C104="BT"),CONCATENATE(B104,"_","TR",$B$3,C104,"_",$B$8,"_",G104),AND(C104="TR",D104="TR"),CONCATENATE(B104,"_","TR",$B$3,"_","TR",$B$3,"_",G104),AND(D104="SECT",C104="BT"),CONCATENATE(B104,"_","TR",$B$3,C104,"_",$B$11,"_",G104),AND(D104="SECF",C104="BT"),CONCATENATE(B104,"_","TR",$B$3,C104,"_",$B$10,"_",G104),AND(D104="SECC",C104="AT"),CONCATENATE(B104,"_","TR",$B$3,C104,"_",$B$5,"_",G104),AND(C104="AT",D104="TR_A"),CONCATENATE(B104,"_","TR",$B$3,C104,"_","TR",$B$3,C104,"_A","_",G104),AND(C104="AT",D104="TR_P"),CONCATENATE(B104,"_","TR",$B$3,C104,"_","TR",$B$3,C104,"_P","_",G104),AND(C104="BT",D104="TR_A"),CONCATENATE(B104,"_","TR",$B$3,C104,"_","TR",$B$3,C104,"_A","_",G104),AND(C104="BT",D104="TR_P"),CONCATENATE(B104,"_","TR",$B$3,C104,"_","TR",$B$3,C104,"_P","_",G104),AND(C104="TR",D104="TR_P"),CONCATENATE(B104,"_","TR",$B$3,"_","TR",$B$3,"_P","_",G104),AND(C104="TR",D104="TR_A"),CONCATENATE(B104,"_","TR",$B$3,"_","TR",$B$3,"_A","_",G104))</f>
        <v>IMA_TR6BT_TR6BT_P_50F</v>
      </c>
      <c r="I104" s="6"/>
      <c r="J104" s="6" t="s">
        <v>182</v>
      </c>
      <c r="K104" s="6" t="s">
        <v>179</v>
      </c>
      <c r="L104" s="6" t="s">
        <v>188</v>
      </c>
      <c r="M104" s="6" t="s">
        <v>188</v>
      </c>
      <c r="N104" s="6">
        <f t="shared" si="3"/>
        <v>197</v>
      </c>
    </row>
    <row r="105" spans="1:14" x14ac:dyDescent="0.25">
      <c r="A105" s="6" t="s">
        <v>190</v>
      </c>
      <c r="B105" s="6" t="str">
        <f>Informações!$C$3</f>
        <v>IMA</v>
      </c>
      <c r="C105" s="6" t="s">
        <v>101</v>
      </c>
      <c r="D105" s="94" t="s">
        <v>212</v>
      </c>
      <c r="E105" s="2" t="s">
        <v>25</v>
      </c>
      <c r="F105" s="6" t="str">
        <f>VLOOKUP(G105,[1]Discrete!$A:$B,2,FALSE)</f>
        <v>50 - SOBRECORRENTE INSTANTANEA NEUTRO</v>
      </c>
      <c r="G105" s="6" t="s">
        <v>417</v>
      </c>
      <c r="H105" s="6" t="str" cm="1">
        <f t="array" ref="H105">_xlfn.IFS(OR(D105="TC",D105="TP",AND(D105="TR",C105="AT"),AND(D105="TR",C105="BT")),CONCATENATE(B105,"_","TR",$B$3,C105,"_","TR",$B$3,C105,"_",G105),AND(D105="SECC",C105="BT"),CONCATENATE(B105,"_","TR",$B$3,C105,"_",$B$9,"_",G105),AND(D105="SECF",C105="AT"),CONCATENATE(B105,"_","TR",$B$3,C105,"_",$B$6,"_",G105),AND(D105="SECT",C105="AT"),CONCATENATE(B105,"_","TR",$B$3,C105,"_",$B$7,"_",G105),AND(D105="DJ",C105="AT"),CONCATENATE(B105,"_","TR",$B$3,C105,"_",$B$4,"_",G105),AND(D105="DJ",C105="BT"),CONCATENATE(B105,"_","TR",$B$3,C105,"_",$B$8,"_",G105),AND(C105="TR",D105="TR"),CONCATENATE(B105,"_","TR",$B$3,"_","TR",$B$3,"_",G105),AND(D105="SECT",C105="BT"),CONCATENATE(B105,"_","TR",$B$3,C105,"_",$B$11,"_",G105),AND(D105="SECF",C105="BT"),CONCATENATE(B105,"_","TR",$B$3,C105,"_",$B$10,"_",G105),AND(D105="SECC",C105="AT"),CONCATENATE(B105,"_","TR",$B$3,C105,"_",$B$5,"_",G105),AND(C105="AT",D105="TR_A"),CONCATENATE(B105,"_","TR",$B$3,C105,"_","TR",$B$3,C105,"_A","_",G105),AND(C105="AT",D105="TR_P"),CONCATENATE(B105,"_","TR",$B$3,C105,"_","TR",$B$3,C105,"_P","_",G105),AND(C105="BT",D105="TR_A"),CONCATENATE(B105,"_","TR",$B$3,C105,"_","TR",$B$3,C105,"_A","_",G105),AND(C105="BT",D105="TR_P"),CONCATENATE(B105,"_","TR",$B$3,C105,"_","TR",$B$3,C105,"_P","_",G105),AND(C105="TR",D105="TR_P"),CONCATENATE(B105,"_","TR",$B$3,"_","TR",$B$3,"_P","_",G105),AND(C105="TR",D105="TR_A"),CONCATENATE(B105,"_","TR",$B$3,"_","TR",$B$3,"_A","_",G105))</f>
        <v>IMA_TR6BT_TR6BT_P_50N</v>
      </c>
      <c r="I105" s="6"/>
      <c r="J105" s="6" t="s">
        <v>182</v>
      </c>
      <c r="K105" s="6" t="s">
        <v>179</v>
      </c>
      <c r="L105" s="6" t="s">
        <v>188</v>
      </c>
      <c r="M105" s="6" t="s">
        <v>188</v>
      </c>
      <c r="N105" s="6">
        <f t="shared" si="3"/>
        <v>198</v>
      </c>
    </row>
    <row r="106" spans="1:14" x14ac:dyDescent="0.25">
      <c r="A106" s="6" t="s">
        <v>190</v>
      </c>
      <c r="B106" s="6" t="str">
        <f>Informações!$C$3</f>
        <v>IMA</v>
      </c>
      <c r="C106" s="6" t="s">
        <v>101</v>
      </c>
      <c r="D106" s="94" t="s">
        <v>212</v>
      </c>
      <c r="E106" s="2" t="s">
        <v>25</v>
      </c>
      <c r="F106" s="6" t="str">
        <f>VLOOKUP(G106,[1]Discrete!$A:$B,2,FALSE)</f>
        <v>51 - SOBRECORRENTE TEMPORIZADA FASE</v>
      </c>
      <c r="G106" s="6" t="s">
        <v>98</v>
      </c>
      <c r="H106" s="6" t="str" cm="1">
        <f t="array" ref="H106">_xlfn.IFS(OR(D106="TC",D106="TP",AND(D106="TR",C106="AT"),AND(D106="TR",C106="BT")),CONCATENATE(B106,"_","TR",$B$3,C106,"_","TR",$B$3,C106,"_",G106),AND(D106="SECC",C106="BT"),CONCATENATE(B106,"_","TR",$B$3,C106,"_",$B$9,"_",G106),AND(D106="SECF",C106="AT"),CONCATENATE(B106,"_","TR",$B$3,C106,"_",$B$6,"_",G106),AND(D106="SECT",C106="AT"),CONCATENATE(B106,"_","TR",$B$3,C106,"_",$B$7,"_",G106),AND(D106="DJ",C106="AT"),CONCATENATE(B106,"_","TR",$B$3,C106,"_",$B$4,"_",G106),AND(D106="DJ",C106="BT"),CONCATENATE(B106,"_","TR",$B$3,C106,"_",$B$8,"_",G106),AND(C106="TR",D106="TR"),CONCATENATE(B106,"_","TR",$B$3,"_","TR",$B$3,"_",G106),AND(D106="SECT",C106="BT"),CONCATENATE(B106,"_","TR",$B$3,C106,"_",$B$11,"_",G106),AND(D106="SECF",C106="BT"),CONCATENATE(B106,"_","TR",$B$3,C106,"_",$B$10,"_",G106),AND(D106="SECC",C106="AT"),CONCATENATE(B106,"_","TR",$B$3,C106,"_",$B$5,"_",G106),AND(C106="AT",D106="TR_A"),CONCATENATE(B106,"_","TR",$B$3,C106,"_","TR",$B$3,C106,"_A","_",G106),AND(C106="AT",D106="TR_P"),CONCATENATE(B106,"_","TR",$B$3,C106,"_","TR",$B$3,C106,"_P","_",G106),AND(C106="BT",D106="TR_A"),CONCATENATE(B106,"_","TR",$B$3,C106,"_","TR",$B$3,C106,"_A","_",G106),AND(C106="BT",D106="TR_P"),CONCATENATE(B106,"_","TR",$B$3,C106,"_","TR",$B$3,C106,"_P","_",G106),AND(C106="TR",D106="TR_P"),CONCATENATE(B106,"_","TR",$B$3,"_","TR",$B$3,"_P","_",G106),AND(C106="TR",D106="TR_A"),CONCATENATE(B106,"_","TR",$B$3,"_","TR",$B$3,"_A","_",G106))</f>
        <v>IMA_TR6BT_TR6BT_P_51F</v>
      </c>
      <c r="I106" s="6"/>
      <c r="J106" s="6" t="s">
        <v>182</v>
      </c>
      <c r="K106" s="6" t="s">
        <v>179</v>
      </c>
      <c r="L106" s="6" t="s">
        <v>188</v>
      </c>
      <c r="M106" s="6" t="s">
        <v>188</v>
      </c>
      <c r="N106" s="6">
        <f t="shared" si="3"/>
        <v>199</v>
      </c>
    </row>
    <row r="107" spans="1:14" x14ac:dyDescent="0.25">
      <c r="A107" s="6" t="s">
        <v>190</v>
      </c>
      <c r="B107" s="6" t="str">
        <f>Informações!$C$3</f>
        <v>IMA</v>
      </c>
      <c r="C107" s="6" t="s">
        <v>101</v>
      </c>
      <c r="D107" s="94" t="s">
        <v>212</v>
      </c>
      <c r="E107" s="2" t="s">
        <v>25</v>
      </c>
      <c r="F107" s="6" t="str">
        <f>VLOOKUP(G107,[1]Discrete!$A:$B,2,FALSE)</f>
        <v>51 - SOBRECORRENTE TEMPORIZADA FASE NEUTRO</v>
      </c>
      <c r="G107" s="6" t="s">
        <v>427</v>
      </c>
      <c r="H107" s="6" t="str" cm="1">
        <f t="array" ref="H107">_xlfn.IFS(OR(D107="TC",D107="TP",AND(D107="TR",C107="AT"),AND(D107="TR",C107="BT")),CONCATENATE(B107,"_","TR",$B$3,C107,"_","TR",$B$3,C107,"_",G107),AND(D107="SECC",C107="BT"),CONCATENATE(B107,"_","TR",$B$3,C107,"_",$B$9,"_",G107),AND(D107="SECF",C107="AT"),CONCATENATE(B107,"_","TR",$B$3,C107,"_",$B$6,"_",G107),AND(D107="SECT",C107="AT"),CONCATENATE(B107,"_","TR",$B$3,C107,"_",$B$7,"_",G107),AND(D107="DJ",C107="AT"),CONCATENATE(B107,"_","TR",$B$3,C107,"_",$B$4,"_",G107),AND(D107="DJ",C107="BT"),CONCATENATE(B107,"_","TR",$B$3,C107,"_",$B$8,"_",G107),AND(C107="TR",D107="TR"),CONCATENATE(B107,"_","TR",$B$3,"_","TR",$B$3,"_",G107),AND(D107="SECT",C107="BT"),CONCATENATE(B107,"_","TR",$B$3,C107,"_",$B$11,"_",G107),AND(D107="SECF",C107="BT"),CONCATENATE(B107,"_","TR",$B$3,C107,"_",$B$10,"_",G107),AND(D107="SECC",C107="AT"),CONCATENATE(B107,"_","TR",$B$3,C107,"_",$B$5,"_",G107),AND(C107="AT",D107="TR_A"),CONCATENATE(B107,"_","TR",$B$3,C107,"_","TR",$B$3,C107,"_A","_",G107),AND(C107="AT",D107="TR_P"),CONCATENATE(B107,"_","TR",$B$3,C107,"_","TR",$B$3,C107,"_P","_",G107),AND(C107="BT",D107="TR_A"),CONCATENATE(B107,"_","TR",$B$3,C107,"_","TR",$B$3,C107,"_A","_",G107),AND(C107="BT",D107="TR_P"),CONCATENATE(B107,"_","TR",$B$3,C107,"_","TR",$B$3,C107,"_P","_",G107),AND(C107="TR",D107="TR_P"),CONCATENATE(B107,"_","TR",$B$3,"_","TR",$B$3,"_P","_",G107),AND(C107="TR",D107="TR_A"),CONCATENATE(B107,"_","TR",$B$3,"_","TR",$B$3,"_A","_",G107))</f>
        <v>IMA_TR6BT_TR6BT_P_51FN</v>
      </c>
      <c r="I107" s="6"/>
      <c r="J107" s="6" t="s">
        <v>182</v>
      </c>
      <c r="K107" s="6" t="s">
        <v>179</v>
      </c>
      <c r="L107" s="6" t="s">
        <v>188</v>
      </c>
      <c r="M107" s="6" t="s">
        <v>188</v>
      </c>
      <c r="N107" s="6">
        <f t="shared" si="3"/>
        <v>200</v>
      </c>
    </row>
    <row r="108" spans="1:14" x14ac:dyDescent="0.25">
      <c r="A108" s="6" t="s">
        <v>190</v>
      </c>
      <c r="B108" s="6" t="str">
        <f>Informações!$C$3</f>
        <v>IMA</v>
      </c>
      <c r="C108" s="6" t="s">
        <v>100</v>
      </c>
      <c r="D108" s="6" t="s">
        <v>102</v>
      </c>
      <c r="E108" s="2" t="s">
        <v>25</v>
      </c>
      <c r="F108" s="94" t="s">
        <v>710</v>
      </c>
      <c r="G108" s="6" t="s">
        <v>119</v>
      </c>
      <c r="H108" s="6" t="str" cm="1">
        <f t="array" ref="H108">_xlfn.IFS(OR(D108="TC",D108="TP",AND(D108="TR",C108="AT"),AND(D108="TR",C108="BT")),CONCATENATE(B108,"_","TR",$B$3,C108,"_","TR",$B$3,C108,"_",G108),AND(D108="SECC",C108="BT"),CONCATENATE(B108,"_","TR",$B$3,C108,"_",$B$9,"_",G108),AND(D108="SECF",C108="AT"),CONCATENATE(B108,"_","TR",$B$3,C108,"_",$B$6,"_",G108),AND(D108="SECT",C108="AT"),CONCATENATE(B108,"_","TR",$B$3,C108,"_",$B$7,"_",G108),AND(D108="DJ",C108="AT"),CONCATENATE(B108,"_","TR",$B$3,C108,"_",$B$4,"_",G108),AND(D108="DJ",C108="BT"),CONCATENATE(B108,"_","TR",$B$3,C108,"_",$B$8,"_",G108),AND(C108="TR",D108="TR"),CONCATENATE(B108,"_","TR",$B$3,"_","TR",$B$3,"_",G108),AND(D108="SECT",C108="BT"),CONCATENATE(B108,"_","TR",$B$3,C108,"_",$B$11,"_",G108),AND(D108="SECF",C108="BT"),CONCATENATE(B108,"_","TR",$B$3,C108,"_",$B$10,"_",G108),AND(D108="SECC",C108="AT"),CONCATENATE(B108,"_","TR",$B$3,C108,"_",$B$5,"_",G108),AND(C108="AT",D108="TR_A"),CONCATENATE(B108,"_","TR",$B$3,C108,"_","TR",$B$3,C108,"_A","_",G108),AND(C108="AT",D108="TR_P"),CONCATENATE(B108,"_","TR",$B$3,C108,"_","TR",$B$3,C108,"_P","_",G108),AND(C108="BT",D108="TR_A"),CONCATENATE(B108,"_","TR",$B$3,C108,"_","TR",$B$3,C108,"_A","_",G108),AND(C108="BT",D108="TR_P"),CONCATENATE(B108,"_","TR",$B$3,C108,"_","TR",$B$3,C108,"_P","_",G108),AND(C108="TR",D108="TR_P"),CONCATENATE(B108,"_","TR",$B$3,"_","TR",$B$3,"_P","_",G108),AND(C108="TR",D108="TR_A"),CONCATENATE(B108,"_","TR",$B$3,"_","TR",$B$3,"_A","_",G108))</f>
        <v>IMA_TR6AT_TR6AT_TEA</v>
      </c>
      <c r="I108" s="6"/>
      <c r="J108" s="6" t="s">
        <v>182</v>
      </c>
      <c r="K108" s="6" t="s">
        <v>179</v>
      </c>
      <c r="L108" s="6" t="s">
        <v>188</v>
      </c>
      <c r="M108" s="6" t="s">
        <v>188</v>
      </c>
      <c r="N108" s="6">
        <f t="shared" si="3"/>
        <v>201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100</v>
      </c>
      <c r="D109" s="6" t="s">
        <v>102</v>
      </c>
      <c r="E109" s="2" t="s">
        <v>25</v>
      </c>
      <c r="F109" s="94" t="s">
        <v>711</v>
      </c>
      <c r="G109" s="6" t="s">
        <v>120</v>
      </c>
      <c r="H109" s="6" t="str" cm="1">
        <f t="array" ref="H109">_xlfn.IFS(OR(D109="TC",D109="TP",AND(D109="TR",C109="AT"),AND(D109="TR",C109="BT")),CONCATENATE(B109,"_","TR",$B$3,C109,"_","TR",$B$3,C109,"_",G109),AND(D109="SECC",C109="BT"),CONCATENATE(B109,"_","TR",$B$3,C109,"_",$B$9,"_",G109),AND(D109="SECF",C109="AT"),CONCATENATE(B109,"_","TR",$B$3,C109,"_",$B$6,"_",G109),AND(D109="SECT",C109="AT"),CONCATENATE(B109,"_","TR",$B$3,C109,"_",$B$7,"_",G109),AND(D109="DJ",C109="AT"),CONCATENATE(B109,"_","TR",$B$3,C109,"_",$B$4,"_",G109),AND(D109="DJ",C109="BT"),CONCATENATE(B109,"_","TR",$B$3,C109,"_",$B$8,"_",G109),AND(C109="TR",D109="TR"),CONCATENATE(B109,"_","TR",$B$3,"_","TR",$B$3,"_",G109),AND(D109="SECT",C109="BT"),CONCATENATE(B109,"_","TR",$B$3,C109,"_",$B$11,"_",G109),AND(D109="SECF",C109="BT"),CONCATENATE(B109,"_","TR",$B$3,C109,"_",$B$10,"_",G109),AND(D109="SECC",C109="AT"),CONCATENATE(B109,"_","TR",$B$3,C109,"_",$B$5,"_",G109),AND(C109="AT",D109="TR_A"),CONCATENATE(B109,"_","TR",$B$3,C109,"_","TR",$B$3,C109,"_A","_",G109),AND(C109="AT",D109="TR_P"),CONCATENATE(B109,"_","TR",$B$3,C109,"_","TR",$B$3,C109,"_P","_",G109),AND(C109="BT",D109="TR_A"),CONCATENATE(B109,"_","TR",$B$3,C109,"_","TR",$B$3,C109,"_A","_",G109),AND(C109="BT",D109="TR_P"),CONCATENATE(B109,"_","TR",$B$3,C109,"_","TR",$B$3,C109,"_P","_",G109),AND(C109="TR",D109="TR_P"),CONCATENATE(B109,"_","TR",$B$3,"_","TR",$B$3,"_P","_",G109),AND(C109="TR",D109="TR_A"),CONCATENATE(B109,"_","TR",$B$3,"_","TR",$B$3,"_A","_",G109))</f>
        <v>IMA_TR6AT_TR6AT_TED</v>
      </c>
      <c r="I109" s="6"/>
      <c r="J109" s="6" t="s">
        <v>182</v>
      </c>
      <c r="K109" s="6" t="s">
        <v>179</v>
      </c>
      <c r="L109" s="6" t="s">
        <v>188</v>
      </c>
      <c r="M109" s="6" t="s">
        <v>188</v>
      </c>
      <c r="N109" s="6">
        <f t="shared" si="3"/>
        <v>202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100</v>
      </c>
      <c r="D110" s="6" t="s">
        <v>102</v>
      </c>
      <c r="E110" s="2" t="s">
        <v>25</v>
      </c>
      <c r="F110" s="6" t="str">
        <f>VLOOKUP(G110,[1]Discrete!$A:$B,2,FALSE)</f>
        <v>62 - FALHA DISJUNTOR BLOQUEIO</v>
      </c>
      <c r="G110" s="6" t="s">
        <v>44</v>
      </c>
      <c r="H110" s="6" t="str" cm="1">
        <f t="array" ref="H110">_xlfn.IFS(OR(D110="TC",D110="TP",AND(D110="TR",C110="AT"),AND(D110="TR",C110="BT")),CONCATENATE(B110,"_","TR",$B$3,C110,"_","TR",$B$3,C110,"_",G110),AND(D110="SECC",C110="BT"),CONCATENATE(B110,"_","TR",$B$3,C110,"_",$B$9,"_",G110),AND(D110="SECF",C110="AT"),CONCATENATE(B110,"_","TR",$B$3,C110,"_",$B$6,"_",G110),AND(D110="SECT",C110="AT"),CONCATENATE(B110,"_","TR",$B$3,C110,"_",$B$7,"_",G110),AND(D110="DJ",C110="AT"),CONCATENATE(B110,"_","TR",$B$3,C110,"_",$B$4,"_",G110),AND(D110="DJ",C110="BT"),CONCATENATE(B110,"_","TR",$B$3,C110,"_",$B$8,"_",G110),AND(C110="TR",D110="TR"),CONCATENATE(B110,"_","TR",$B$3,"_","TR",$B$3,"_",G110),AND(D110="SECT",C110="BT"),CONCATENATE(B110,"_","TR",$B$3,C110,"_",$B$11,"_",G110),AND(D110="SECF",C110="BT"),CONCATENATE(B110,"_","TR",$B$3,C110,"_",$B$10,"_",G110),AND(D110="SECC",C110="AT"),CONCATENATE(B110,"_","TR",$B$3,C110,"_",$B$5,"_",G110),AND(C110="AT",D110="TR_A"),CONCATENATE(B110,"_","TR",$B$3,C110,"_","TR",$B$3,C110,"_A","_",G110),AND(C110="AT",D110="TR_P"),CONCATENATE(B110,"_","TR",$B$3,C110,"_","TR",$B$3,C110,"_P","_",G110),AND(C110="BT",D110="TR_A"),CONCATENATE(B110,"_","TR",$B$3,C110,"_","TR",$B$3,C110,"_A","_",G110),AND(C110="BT",D110="TR_P"),CONCATENATE(B110,"_","TR",$B$3,C110,"_","TR",$B$3,C110,"_P","_",G110),AND(C110="TR",D110="TR_P"),CONCATENATE(B110,"_","TR",$B$3,"_","TR",$B$3,"_P","_",G110),AND(C110="TR",D110="TR_A"),CONCATENATE(B110,"_","TR",$B$3,"_","TR",$B$3,"_A","_",G110))</f>
        <v>IMA_TR6AT_TR6AT_62BF</v>
      </c>
      <c r="I110" s="6"/>
      <c r="J110" s="94" t="s">
        <v>182</v>
      </c>
      <c r="K110" s="94" t="s">
        <v>179</v>
      </c>
      <c r="L110" s="6" t="s">
        <v>188</v>
      </c>
      <c r="M110" s="6" t="s">
        <v>188</v>
      </c>
      <c r="N110" s="6">
        <f>N109+1</f>
        <v>203</v>
      </c>
    </row>
    <row r="111" spans="1:14" x14ac:dyDescent="0.25">
      <c r="A111" s="93" t="s">
        <v>191</v>
      </c>
      <c r="B111" s="6" t="str">
        <f>Informações!$C$3</f>
        <v>IMA</v>
      </c>
      <c r="C111" s="6" t="s">
        <v>100</v>
      </c>
      <c r="D111" s="6" t="s">
        <v>102</v>
      </c>
      <c r="E111" s="2" t="s">
        <v>25</v>
      </c>
      <c r="F111" s="93" t="str">
        <f>VLOOKUP(G111,[1]Discrete!$A:$B,2,FALSE)</f>
        <v>59 - SOBRETENSAO NEUTRO</v>
      </c>
      <c r="G111" s="6" t="s">
        <v>363</v>
      </c>
      <c r="H111" s="6" t="str" cm="1">
        <f t="array" ref="H111">_xlfn.IFS(OR(D111="TC",D111="TP",AND(D111="TR",C111="AT"),AND(D111="TR",C111="BT")),CONCATENATE(B111,"_","TR",$B$3,C111,"_","TR",$B$3,C111,"_",G111),AND(D111="SECC",C111="BT"),CONCATENATE(B111,"_","TR",$B$3,C111,"_",$B$9,"_",G111),AND(D111="SECF",C111="AT"),CONCATENATE(B111,"_","TR",$B$3,C111,"_",$B$6,"_",G111),AND(D111="SECT",C111="AT"),CONCATENATE(B111,"_","TR",$B$3,C111,"_",$B$7,"_",G111),AND(D111="DJ",C111="AT"),CONCATENATE(B111,"_","TR",$B$3,C111,"_",$B$4,"_",G111),AND(D111="DJ",C111="BT"),CONCATENATE(B111,"_","TR",$B$3,C111,"_",$B$8,"_",G111),AND(C111="TR",D111="TR"),CONCATENATE(B111,"_","TR",$B$3,"_","TR",$B$3,"_",G111),AND(D111="SECT",C111="BT"),CONCATENATE(B111,"_","TR",$B$3,C111,"_",$B$11,"_",G111),AND(D111="SECF",C111="BT"),CONCATENATE(B111,"_","TR",$B$3,C111,"_",$B$10,"_",G111),AND(D111="SECC",C111="AT"),CONCATENATE(B111,"_","TR",$B$3,C111,"_",$B$5,"_",G111),AND(C111="AT",D111="TR_A"),CONCATENATE(B111,"_","TR",$B$3,C111,"_","TR",$B$3,C111,"_A","_",G111),AND(C111="AT",D111="TR_P"),CONCATENATE(B111,"_","TR",$B$3,C111,"_","TR",$B$3,C111,"_P","_",G111),AND(C111="BT",D111="TR_A"),CONCATENATE(B111,"_","TR",$B$3,C111,"_","TR",$B$3,C111,"_A","_",G111),AND(C111="BT",D111="TR_P"),CONCATENATE(B111,"_","TR",$B$3,C111,"_","TR",$B$3,C111,"_P","_",G111),AND(C111="TR",D111="TR_P"),CONCATENATE(B111,"_","TR",$B$3,"_","TR",$B$3,"_P","_",G111),AND(C111="TR",D111="TR_A"),CONCATENATE(B111,"_","TR",$B$3,"_","TR",$B$3,"_A","_",G111))</f>
        <v>IMA_TR6AT_TR6AT_59N</v>
      </c>
      <c r="I111" s="6"/>
      <c r="J111" s="6" t="s">
        <v>183</v>
      </c>
      <c r="K111" s="6" t="s">
        <v>184</v>
      </c>
      <c r="L111" s="6" t="s">
        <v>188</v>
      </c>
      <c r="M111" s="6" t="s">
        <v>188</v>
      </c>
      <c r="N111" s="93">
        <f t="shared" si="3"/>
        <v>204</v>
      </c>
    </row>
    <row r="112" spans="1:14" x14ac:dyDescent="0.25">
      <c r="A112" s="93" t="s">
        <v>191</v>
      </c>
      <c r="B112" s="6" t="str">
        <f>Informações!$C$3</f>
        <v>IMA</v>
      </c>
      <c r="C112" s="6" t="s">
        <v>100</v>
      </c>
      <c r="D112" s="6" t="s">
        <v>102</v>
      </c>
      <c r="E112" s="2" t="s">
        <v>25</v>
      </c>
      <c r="F112" s="93" t="str">
        <f>VLOOKUP(G112,[1]Discrete!$A:$B,2,FALSE)</f>
        <v>59 - TRIP SOBRETENSAO</v>
      </c>
      <c r="G112" s="6" t="s">
        <v>70</v>
      </c>
      <c r="H112" s="6" t="str" cm="1">
        <f t="array" ref="H112">_xlfn.IFS(OR(D112="TC",D112="TP",AND(D112="TR",C112="AT"),AND(D112="TR",C112="BT")),CONCATENATE(B112,"_","TR",$B$3,C112,"_","TR",$B$3,C112,"_",G112),AND(D112="SECC",C112="BT"),CONCATENATE(B112,"_","TR",$B$3,C112,"_",$B$9,"_",G112),AND(D112="SECF",C112="AT"),CONCATENATE(B112,"_","TR",$B$3,C112,"_",$B$6,"_",G112),AND(D112="SECT",C112="AT"),CONCATENATE(B112,"_","TR",$B$3,C112,"_",$B$7,"_",G112),AND(D112="DJ",C112="AT"),CONCATENATE(B112,"_","TR",$B$3,C112,"_",$B$4,"_",G112),AND(D112="DJ",C112="BT"),CONCATENATE(B112,"_","TR",$B$3,C112,"_",$B$8,"_",G112),AND(C112="TR",D112="TR"),CONCATENATE(B112,"_","TR",$B$3,"_","TR",$B$3,"_",G112),AND(D112="SECT",C112="BT"),CONCATENATE(B112,"_","TR",$B$3,C112,"_",$B$11,"_",G112),AND(D112="SECF",C112="BT"),CONCATENATE(B112,"_","TR",$B$3,C112,"_",$B$10,"_",G112),AND(D112="SECC",C112="AT"),CONCATENATE(B112,"_","TR",$B$3,C112,"_",$B$5,"_",G112),AND(C112="AT",D112="TR_A"),CONCATENATE(B112,"_","TR",$B$3,C112,"_","TR",$B$3,C112,"_A","_",G112),AND(C112="AT",D112="TR_P"),CONCATENATE(B112,"_","TR",$B$3,C112,"_","TR",$B$3,C112,"_P","_",G112),AND(C112="BT",D112="TR_A"),CONCATENATE(B112,"_","TR",$B$3,C112,"_","TR",$B$3,C112,"_A","_",G112),AND(C112="BT",D112="TR_P"),CONCATENATE(B112,"_","TR",$B$3,C112,"_","TR",$B$3,C112,"_P","_",G112),AND(C112="TR",D112="TR_P"),CONCATENATE(B112,"_","TR",$B$3,"_","TR",$B$3,"_P","_",G112),AND(C112="TR",D112="TR_A"),CONCATENATE(B112,"_","TR",$B$3,"_","TR",$B$3,"_A","_",G112))</f>
        <v>IMA_TR6AT_TR6AT_59_T</v>
      </c>
      <c r="I112" s="6"/>
      <c r="J112" s="6" t="s">
        <v>183</v>
      </c>
      <c r="K112" s="6" t="s">
        <v>184</v>
      </c>
      <c r="L112" s="6" t="s">
        <v>188</v>
      </c>
      <c r="M112" s="6" t="s">
        <v>188</v>
      </c>
      <c r="N112" s="93">
        <f t="shared" si="3"/>
        <v>205</v>
      </c>
    </row>
    <row r="113" spans="1:14" x14ac:dyDescent="0.25">
      <c r="A113" s="6" t="s">
        <v>190</v>
      </c>
      <c r="B113" s="6" t="str">
        <f>Informações!$C$3</f>
        <v>IMA</v>
      </c>
      <c r="C113" s="94" t="s">
        <v>102</v>
      </c>
      <c r="D113" s="94" t="s">
        <v>212</v>
      </c>
      <c r="E113" s="2" t="s">
        <v>25</v>
      </c>
      <c r="F113" s="6" t="e">
        <f>VLOOKUP(G113,[1]Discrete!$A:$B,2,FALSE)</f>
        <v>#N/A</v>
      </c>
      <c r="G113" s="6">
        <v>86</v>
      </c>
      <c r="H113" s="6" t="str" cm="1">
        <f t="array" ref="H113">_xlfn.IFS(OR(D113="TC",D113="TP",AND(D113="TR",C113="AT"),AND(D113="TR",C113="BT")),CONCATENATE(B113,"_","TR",$B$3,C113,"_","TR",$B$3,C113,"_",G113),AND(D113="SECC",C113="BT"),CONCATENATE(B113,"_","TR",$B$3,C113,"_",$B$9,"_",G113),AND(D113="SECF",C113="AT"),CONCATENATE(B113,"_","TR",$B$3,C113,"_",$B$6,"_",G113),AND(D113="SECT",C113="AT"),CONCATENATE(B113,"_","TR",$B$3,C113,"_",$B$7,"_",G113),AND(D113="DJ",C113="AT"),CONCATENATE(B113,"_","TR",$B$3,C113,"_",$B$4,"_",G113),AND(D113="DJ",C113="BT"),CONCATENATE(B113,"_","TR",$B$3,C113,"_",$B$8,"_",G113),AND(C113="TR",D113="TR"),CONCATENATE(B113,"_","TR",$B$3,"_","TR",$B$3,"_",G113),AND(D113="SECT",C113="BT"),CONCATENATE(B113,"_","TR",$B$3,C113,"_",$B$11,"_",G113),AND(D113="SECF",C113="BT"),CONCATENATE(B113,"_","TR",$B$3,C113,"_",$B$10,"_",G113),AND(D113="SECC",C113="AT"),CONCATENATE(B113,"_","TR",$B$3,C113,"_",$B$5,"_",G113),AND(C113="AT",D113="TR_A"),CONCATENATE(B113,"_","TR",$B$3,C113,"_","TR",$B$3,C113,"_A","_",G113),AND(C113="AT",D113="TR_P"),CONCATENATE(B113,"_","TR",$B$3,C113,"_","TR",$B$3,C113,"_P","_",G113),AND(C113="BT",D113="TR_A"),CONCATENATE(B113,"_","TR",$B$3,C113,"_","TR",$B$3,C113,"_A","_",G113),AND(C113="BT",D113="TR_P"),CONCATENATE(B113,"_","TR",$B$3,C113,"_","TR",$B$3,C113,"_P","_",G113),AND(C113="TR",D113="TR_P"),CONCATENATE(B113,"_","TR",$B$3,"_","TR",$B$3,"_P","_",G113),AND(C113="TR",D113="TR_A"),CONCATENATE(B113,"_","TR",$B$3,"_","TR",$B$3,"_A","_",G113))</f>
        <v>IMA_TR6_TR6_P_86</v>
      </c>
      <c r="I113" s="6"/>
      <c r="J113" s="94" t="s">
        <v>182</v>
      </c>
      <c r="K113" s="94" t="s">
        <v>179</v>
      </c>
      <c r="L113" s="6" t="s">
        <v>188</v>
      </c>
      <c r="M113" s="6" t="s">
        <v>188</v>
      </c>
      <c r="N113" s="6">
        <f t="shared" si="3"/>
        <v>206</v>
      </c>
    </row>
    <row r="114" spans="1:14" x14ac:dyDescent="0.25">
      <c r="A114" s="6" t="s">
        <v>190</v>
      </c>
      <c r="B114" s="6" t="str">
        <f>Informações!$C$3</f>
        <v>IMA</v>
      </c>
      <c r="C114" s="6" t="s">
        <v>101</v>
      </c>
      <c r="D114" s="6" t="s">
        <v>30</v>
      </c>
      <c r="E114" s="2" t="s">
        <v>25</v>
      </c>
      <c r="F114" s="6" t="str">
        <f>VLOOKUP(G114,[1]Discrete!$A:$B,2,FALSE)</f>
        <v>43 - CHAVE LOCAL REMOTO</v>
      </c>
      <c r="G114" s="6" t="s">
        <v>39</v>
      </c>
      <c r="H114" s="6" t="str" cm="1">
        <f t="array" ref="H114">_xlfn.IFS(OR(D114="TC",D114="TP",AND(D114="TR",C114="AT"),AND(D114="TR",C114="BT")),CONCATENATE(B114,"_","TR",$B$3,C114,"_","TR",$B$3,C114,"_",G114),AND(D114="SECC",C114="BT"),CONCATENATE(B114,"_","TR",$B$3,C114,"_",$B$9,"_",G114),AND(D114="SECF",C114="AT"),CONCATENATE(B114,"_","TR",$B$3,C114,"_",$B$6,"_",G114),AND(D114="SECT",C114="AT"),CONCATENATE(B114,"_","TR",$B$3,C114,"_",$B$7,"_",G114),AND(D114="DJ",C114="AT"),CONCATENATE(B114,"_","TR",$B$3,C114,"_",$B$4,"_",G114),AND(D114="DJ",C114="BT"),CONCATENATE(B114,"_","TR",$B$3,C114,"_",$B$8,"_",G114),AND(C114="TR",D114="TR"),CONCATENATE(B114,"_","TR",$B$3,"_","TR",$B$3,"_",G114),AND(D114="SECT",C114="BT"),CONCATENATE(B114,"_","TR",$B$3,C114,"_",$B$11,"_",G114),AND(D114="SECF",C114="BT"),CONCATENATE(B114,"_","TR",$B$3,C114,"_",$B$10,"_",G114),AND(D114="SECC",C114="AT"),CONCATENATE(B114,"_","TR",$B$3,C114,"_",$B$5,"_",G114),AND(C114="AT",D114="TR_A"),CONCATENATE(B114,"_","TR",$B$3,C114,"_","TR",$B$3,C114,"_A","_",G114),AND(C114="AT",D114="TR_P"),CONCATENATE(B114,"_","TR",$B$3,C114,"_","TR",$B$3,C114,"_P","_",G114),AND(C114="BT",D114="TR_A"),CONCATENATE(B114,"_","TR",$B$3,C114,"_","TR",$B$3,C114,"_A","_",G114),AND(C114="BT",D114="TR_P"),CONCATENATE(B114,"_","TR",$B$3,C114,"_","TR",$B$3,C114,"_P","_",G114),AND(C114="TR",D114="TR_P"),CONCATENATE(B114,"_","TR",$B$3,"_","TR",$B$3,"_P","_",G114),AND(C114="TR",D114="TR_A"),CONCATENATE(B114,"_","TR",$B$3,"_","TR",$B$3,"_A","_",G114))</f>
        <v>IMA_TR6BT_52-19_43LR</v>
      </c>
      <c r="I114" s="6"/>
      <c r="J114" s="6" t="s">
        <v>186</v>
      </c>
      <c r="K114" s="6" t="s">
        <v>185</v>
      </c>
      <c r="L114" s="6" t="s">
        <v>188</v>
      </c>
      <c r="M114" s="6" t="s">
        <v>188</v>
      </c>
      <c r="N114" s="6">
        <f t="shared" si="3"/>
        <v>207</v>
      </c>
    </row>
    <row r="115" spans="1:14" x14ac:dyDescent="0.25">
      <c r="A115" s="6" t="s">
        <v>190</v>
      </c>
      <c r="B115" s="6" t="str">
        <f>Informações!$C$3</f>
        <v>IMA</v>
      </c>
      <c r="C115" s="6" t="s">
        <v>101</v>
      </c>
      <c r="D115" s="6" t="s">
        <v>30</v>
      </c>
      <c r="E115" s="2" t="s">
        <v>25</v>
      </c>
      <c r="F115" s="6" t="str">
        <f>VLOOKUP(G115,[1]Discrete!$A:$B,2,FALSE)</f>
        <v>BOBINA ABERTURA</v>
      </c>
      <c r="G115" s="6" t="s">
        <v>41</v>
      </c>
      <c r="H115" s="6" t="str" cm="1">
        <f t="array" ref="H115">_xlfn.IFS(OR(D115="TC",D115="TP",AND(D115="TR",C115="AT"),AND(D115="TR",C115="BT")),CONCATENATE(B115,"_","TR",$B$3,C115,"_","TR",$B$3,C115,"_",G115),AND(D115="SECC",C115="BT"),CONCATENATE(B115,"_","TR",$B$3,C115,"_",$B$9,"_",G115),AND(D115="SECF",C115="AT"),CONCATENATE(B115,"_","TR",$B$3,C115,"_",$B$6,"_",G115),AND(D115="SECT",C115="AT"),CONCATENATE(B115,"_","TR",$B$3,C115,"_",$B$7,"_",G115),AND(D115="DJ",C115="AT"),CONCATENATE(B115,"_","TR",$B$3,C115,"_",$B$4,"_",G115),AND(D115="DJ",C115="BT"),CONCATENATE(B115,"_","TR",$B$3,C115,"_",$B$8,"_",G115),AND(C115="TR",D115="TR"),CONCATENATE(B115,"_","TR",$B$3,"_","TR",$B$3,"_",G115),AND(D115="SECT",C115="BT"),CONCATENATE(B115,"_","TR",$B$3,C115,"_",$B$11,"_",G115),AND(D115="SECF",C115="BT"),CONCATENATE(B115,"_","TR",$B$3,C115,"_",$B$10,"_",G115),AND(D115="SECC",C115="AT"),CONCATENATE(B115,"_","TR",$B$3,C115,"_",$B$5,"_",G115),AND(C115="AT",D115="TR_A"),CONCATENATE(B115,"_","TR",$B$3,C115,"_","TR",$B$3,C115,"_A","_",G115),AND(C115="AT",D115="TR_P"),CONCATENATE(B115,"_","TR",$B$3,C115,"_","TR",$B$3,C115,"_P","_",G115),AND(C115="BT",D115="TR_A"),CONCATENATE(B115,"_","TR",$B$3,C115,"_","TR",$B$3,C115,"_A","_",G115),AND(C115="BT",D115="TR_P"),CONCATENATE(B115,"_","TR",$B$3,C115,"_","TR",$B$3,C115,"_P","_",G115),AND(C115="TR",D115="TR_P"),CONCATENATE(B115,"_","TR",$B$3,"_","TR",$B$3,"_P","_",G115),AND(C115="TR",D115="TR_A"),CONCATENATE(B115,"_","TR",$B$3,"_","TR",$B$3,"_A","_",G115))</f>
        <v>IMA_TR6BT_52-19_BBAB</v>
      </c>
      <c r="I115" s="6"/>
      <c r="J115" s="6" t="s">
        <v>182</v>
      </c>
      <c r="K115" s="6" t="s">
        <v>180</v>
      </c>
      <c r="L115" s="6" t="s">
        <v>188</v>
      </c>
      <c r="M115" s="6" t="s">
        <v>188</v>
      </c>
      <c r="N115" s="6">
        <f t="shared" si="3"/>
        <v>208</v>
      </c>
    </row>
    <row r="116" spans="1:14" x14ac:dyDescent="0.25">
      <c r="A116" s="6" t="s">
        <v>190</v>
      </c>
      <c r="B116" s="6" t="str">
        <f>Informações!$C$3</f>
        <v>IMA</v>
      </c>
      <c r="C116" s="6" t="s">
        <v>101</v>
      </c>
      <c r="D116" s="6" t="s">
        <v>30</v>
      </c>
      <c r="E116" s="2" t="s">
        <v>25</v>
      </c>
      <c r="F116" s="6" t="str">
        <f>VLOOKUP(G116,[1]Discrete!$A:$B,2,FALSE)</f>
        <v>BOBINA FECHAMENTO</v>
      </c>
      <c r="G116" s="6" t="s">
        <v>50</v>
      </c>
      <c r="H116" s="6" t="str" cm="1">
        <f t="array" ref="H116">_xlfn.IFS(OR(D116="TC",D116="TP",AND(D116="TR",C116="AT"),AND(D116="TR",C116="BT")),CONCATENATE(B116,"_","TR",$B$3,C116,"_","TR",$B$3,C116,"_",G116),AND(D116="SECC",C116="BT"),CONCATENATE(B116,"_","TR",$B$3,C116,"_",$B$9,"_",G116),AND(D116="SECF",C116="AT"),CONCATENATE(B116,"_","TR",$B$3,C116,"_",$B$6,"_",G116),AND(D116="SECT",C116="AT"),CONCATENATE(B116,"_","TR",$B$3,C116,"_",$B$7,"_",G116),AND(D116="DJ",C116="AT"),CONCATENATE(B116,"_","TR",$B$3,C116,"_",$B$4,"_",G116),AND(D116="DJ",C116="BT"),CONCATENATE(B116,"_","TR",$B$3,C116,"_",$B$8,"_",G116),AND(C116="TR",D116="TR"),CONCATENATE(B116,"_","TR",$B$3,"_","TR",$B$3,"_",G116),AND(D116="SECT",C116="BT"),CONCATENATE(B116,"_","TR",$B$3,C116,"_",$B$11,"_",G116),AND(D116="SECF",C116="BT"),CONCATENATE(B116,"_","TR",$B$3,C116,"_",$B$10,"_",G116),AND(D116="SECC",C116="AT"),CONCATENATE(B116,"_","TR",$B$3,C116,"_",$B$5,"_",G116),AND(C116="AT",D116="TR_A"),CONCATENATE(B116,"_","TR",$B$3,C116,"_","TR",$B$3,C116,"_A","_",G116),AND(C116="AT",D116="TR_P"),CONCATENATE(B116,"_","TR",$B$3,C116,"_","TR",$B$3,C116,"_P","_",G116),AND(C116="BT",D116="TR_A"),CONCATENATE(B116,"_","TR",$B$3,C116,"_","TR",$B$3,C116,"_A","_",G116),AND(C116="BT",D116="TR_P"),CONCATENATE(B116,"_","TR",$B$3,C116,"_","TR",$B$3,C116,"_P","_",G116),AND(C116="TR",D116="TR_P"),CONCATENATE(B116,"_","TR",$B$3,"_","TR",$B$3,"_P","_",G116),AND(C116="TR",D116="TR_A"),CONCATENATE(B116,"_","TR",$B$3,"_","TR",$B$3,"_A","_",G116))</f>
        <v>IMA_TR6BT_52-19_BBFC</v>
      </c>
      <c r="I116" s="6"/>
      <c r="J116" s="6" t="s">
        <v>182</v>
      </c>
      <c r="K116" s="6" t="s">
        <v>180</v>
      </c>
      <c r="L116" s="6" t="s">
        <v>188</v>
      </c>
      <c r="M116" s="6" t="s">
        <v>188</v>
      </c>
      <c r="N116" s="6">
        <f t="shared" si="3"/>
        <v>209</v>
      </c>
    </row>
    <row r="117" spans="1:14" x14ac:dyDescent="0.25">
      <c r="A117" s="6" t="s">
        <v>190</v>
      </c>
      <c r="B117" s="6" t="str">
        <f>Informações!$C$3</f>
        <v>IMA</v>
      </c>
      <c r="C117" s="6" t="s">
        <v>101</v>
      </c>
      <c r="D117" s="6" t="s">
        <v>30</v>
      </c>
      <c r="E117" s="2" t="s">
        <v>25</v>
      </c>
      <c r="F117" s="6" t="str">
        <f>VLOOKUP(G117,[1]Discrete!$A:$B,2,FALSE)</f>
        <v>FALTA VCC MOTOR</v>
      </c>
      <c r="G117" s="6" t="s">
        <v>80</v>
      </c>
      <c r="H117" s="6" t="str" cm="1">
        <f t="array" ref="H117">_xlfn.IFS(OR(D117="TC",D117="TP",AND(D117="TR",C117="AT"),AND(D117="TR",C117="BT")),CONCATENATE(B117,"_","TR",$B$3,C117,"_","TR",$B$3,C117,"_",G117),AND(D117="SECC",C117="BT"),CONCATENATE(B117,"_","TR",$B$3,C117,"_",$B$9,"_",G117),AND(D117="SECF",C117="AT"),CONCATENATE(B117,"_","TR",$B$3,C117,"_",$B$6,"_",G117),AND(D117="SECT",C117="AT"),CONCATENATE(B117,"_","TR",$B$3,C117,"_",$B$7,"_",G117),AND(D117="DJ",C117="AT"),CONCATENATE(B117,"_","TR",$B$3,C117,"_",$B$4,"_",G117),AND(D117="DJ",C117="BT"),CONCATENATE(B117,"_","TR",$B$3,C117,"_",$B$8,"_",G117),AND(C117="TR",D117="TR"),CONCATENATE(B117,"_","TR",$B$3,"_","TR",$B$3,"_",G117),AND(D117="SECT",C117="BT"),CONCATENATE(B117,"_","TR",$B$3,C117,"_",$B$11,"_",G117),AND(D117="SECF",C117="BT"),CONCATENATE(B117,"_","TR",$B$3,C117,"_",$B$10,"_",G117),AND(D117="SECC",C117="AT"),CONCATENATE(B117,"_","TR",$B$3,C117,"_",$B$5,"_",G117),AND(C117="AT",D117="TR_A"),CONCATENATE(B117,"_","TR",$B$3,C117,"_","TR",$B$3,C117,"_A","_",G117),AND(C117="AT",D117="TR_P"),CONCATENATE(B117,"_","TR",$B$3,C117,"_","TR",$B$3,C117,"_P","_",G117),AND(C117="BT",D117="TR_A"),CONCATENATE(B117,"_","TR",$B$3,C117,"_","TR",$B$3,C117,"_A","_",G117),AND(C117="BT",D117="TR_P"),CONCATENATE(B117,"_","TR",$B$3,C117,"_","TR",$B$3,C117,"_P","_",G117),AND(C117="TR",D117="TR_P"),CONCATENATE(B117,"_","TR",$B$3,"_","TR",$B$3,"_P","_",G117),AND(C117="TR",D117="TR_A"),CONCATENATE(B117,"_","TR",$B$3,"_","TR",$B$3,"_A","_",G117))</f>
        <v>IMA_TR6BT_52-19_CCMO</v>
      </c>
      <c r="I117" s="6"/>
      <c r="J117" s="6" t="s">
        <v>182</v>
      </c>
      <c r="K117" s="6" t="s">
        <v>180</v>
      </c>
      <c r="L117" s="6" t="s">
        <v>188</v>
      </c>
      <c r="M117" s="6" t="s">
        <v>188</v>
      </c>
      <c r="N117" s="6">
        <f t="shared" si="3"/>
        <v>210</v>
      </c>
    </row>
    <row r="118" spans="1:14" x14ac:dyDescent="0.25">
      <c r="A118" s="6" t="s">
        <v>190</v>
      </c>
      <c r="B118" s="6" t="str">
        <f>Informações!$C$3</f>
        <v>IMA</v>
      </c>
      <c r="C118" s="6" t="s">
        <v>101</v>
      </c>
      <c r="D118" s="6" t="s">
        <v>30</v>
      </c>
      <c r="E118" s="2" t="s">
        <v>25</v>
      </c>
      <c r="F118" s="6" t="str">
        <f>VLOOKUP(G118,[1]Discrete!$A:$B,2,FALSE)</f>
        <v>FALTA VCC COMANDO</v>
      </c>
      <c r="G118" s="6" t="s">
        <v>79</v>
      </c>
      <c r="H118" s="6" t="str" cm="1">
        <f t="array" ref="H118">_xlfn.IFS(OR(D118="TC",D118="TP",AND(D118="TR",C118="AT"),AND(D118="TR",C118="BT")),CONCATENATE(B118,"_","TR",$B$3,C118,"_","TR",$B$3,C118,"_",G118),AND(D118="SECC",C118="BT"),CONCATENATE(B118,"_","TR",$B$3,C118,"_",$B$9,"_",G118),AND(D118="SECF",C118="AT"),CONCATENATE(B118,"_","TR",$B$3,C118,"_",$B$6,"_",G118),AND(D118="SECT",C118="AT"),CONCATENATE(B118,"_","TR",$B$3,C118,"_",$B$7,"_",G118),AND(D118="DJ",C118="AT"),CONCATENATE(B118,"_","TR",$B$3,C118,"_",$B$4,"_",G118),AND(D118="DJ",C118="BT"),CONCATENATE(B118,"_","TR",$B$3,C118,"_",$B$8,"_",G118),AND(C118="TR",D118="TR"),CONCATENATE(B118,"_","TR",$B$3,"_","TR",$B$3,"_",G118),AND(D118="SECT",C118="BT"),CONCATENATE(B118,"_","TR",$B$3,C118,"_",$B$11,"_",G118),AND(D118="SECF",C118="BT"),CONCATENATE(B118,"_","TR",$B$3,C118,"_",$B$10,"_",G118),AND(D118="SECC",C118="AT"),CONCATENATE(B118,"_","TR",$B$3,C118,"_",$B$5,"_",G118),AND(C118="AT",D118="TR_A"),CONCATENATE(B118,"_","TR",$B$3,C118,"_","TR",$B$3,C118,"_A","_",G118),AND(C118="AT",D118="TR_P"),CONCATENATE(B118,"_","TR",$B$3,C118,"_","TR",$B$3,C118,"_P","_",G118),AND(C118="BT",D118="TR_A"),CONCATENATE(B118,"_","TR",$B$3,C118,"_","TR",$B$3,C118,"_A","_",G118),AND(C118="BT",D118="TR_P"),CONCATENATE(B118,"_","TR",$B$3,C118,"_","TR",$B$3,C118,"_P","_",G118),AND(C118="TR",D118="TR_P"),CONCATENATE(B118,"_","TR",$B$3,"_","TR",$B$3,"_P","_",G118),AND(C118="TR",D118="TR_A"),CONCATENATE(B118,"_","TR",$B$3,"_","TR",$B$3,"_A","_",G118))</f>
        <v>IMA_TR6BT_52-19_CCCO</v>
      </c>
      <c r="I118" s="6"/>
      <c r="J118" s="6" t="s">
        <v>182</v>
      </c>
      <c r="K118" s="6" t="s">
        <v>180</v>
      </c>
      <c r="L118" s="6" t="s">
        <v>188</v>
      </c>
      <c r="M118" s="6" t="s">
        <v>188</v>
      </c>
      <c r="N118" s="6">
        <f t="shared" si="3"/>
        <v>211</v>
      </c>
    </row>
    <row r="119" spans="1:14" x14ac:dyDescent="0.25">
      <c r="A119" s="6" t="s">
        <v>190</v>
      </c>
      <c r="B119" s="6" t="str">
        <f>Informações!$C$3</f>
        <v>IMA</v>
      </c>
      <c r="C119" s="6" t="s">
        <v>101</v>
      </c>
      <c r="D119" s="6" t="s">
        <v>30</v>
      </c>
      <c r="E119" s="2" t="s">
        <v>25</v>
      </c>
      <c r="F119" s="6" t="str">
        <f>VLOOKUP(G119,[1]Discrete!$A:$B,2,FALSE)</f>
        <v>VCA AQUECIMENTO</v>
      </c>
      <c r="G119" s="6" t="s">
        <v>110</v>
      </c>
      <c r="H119" s="6" t="str" cm="1">
        <f t="array" ref="H119">_xlfn.IFS(OR(D119="TC",D119="TP",AND(D119="TR",C119="AT"),AND(D119="TR",C119="BT")),CONCATENATE(B119,"_","TR",$B$3,C119,"_","TR",$B$3,C119,"_",G119),AND(D119="SECC",C119="BT"),CONCATENATE(B119,"_","TR",$B$3,C119,"_",$B$9,"_",G119),AND(D119="SECF",C119="AT"),CONCATENATE(B119,"_","TR",$B$3,C119,"_",$B$6,"_",G119),AND(D119="SECT",C119="AT"),CONCATENATE(B119,"_","TR",$B$3,C119,"_",$B$7,"_",G119),AND(D119="DJ",C119="AT"),CONCATENATE(B119,"_","TR",$B$3,C119,"_",$B$4,"_",G119),AND(D119="DJ",C119="BT"),CONCATENATE(B119,"_","TR",$B$3,C119,"_",$B$8,"_",G119),AND(C119="TR",D119="TR"),CONCATENATE(B119,"_","TR",$B$3,"_","TR",$B$3,"_",G119),AND(D119="SECT",C119="BT"),CONCATENATE(B119,"_","TR",$B$3,C119,"_",$B$11,"_",G119),AND(D119="SECF",C119="BT"),CONCATENATE(B119,"_","TR",$B$3,C119,"_",$B$10,"_",G119),AND(D119="SECC",C119="AT"),CONCATENATE(B119,"_","TR",$B$3,C119,"_",$B$5,"_",G119),AND(C119="AT",D119="TR_A"),CONCATENATE(B119,"_","TR",$B$3,C119,"_","TR",$B$3,C119,"_A","_",G119),AND(C119="AT",D119="TR_P"),CONCATENATE(B119,"_","TR",$B$3,C119,"_","TR",$B$3,C119,"_P","_",G119),AND(C119="BT",D119="TR_A"),CONCATENATE(B119,"_","TR",$B$3,C119,"_","TR",$B$3,C119,"_A","_",G119),AND(C119="BT",D119="TR_P"),CONCATENATE(B119,"_","TR",$B$3,C119,"_","TR",$B$3,C119,"_P","_",G119),AND(C119="TR",D119="TR_P"),CONCATENATE(B119,"_","TR",$B$3,"_","TR",$B$3,"_P","_",G119),AND(C119="TR",D119="TR_A"),CONCATENATE(B119,"_","TR",$B$3,"_","TR",$B$3,"_A","_",G119))</f>
        <v>IMA_TR6BT_52-19_CAAQ</v>
      </c>
      <c r="I119" s="6"/>
      <c r="J119" s="6" t="s">
        <v>182</v>
      </c>
      <c r="K119" s="6" t="s">
        <v>180</v>
      </c>
      <c r="L119" s="6" t="s">
        <v>188</v>
      </c>
      <c r="M119" s="6" t="s">
        <v>188</v>
      </c>
      <c r="N119" s="6">
        <f t="shared" si="3"/>
        <v>212</v>
      </c>
    </row>
    <row r="120" spans="1:14" x14ac:dyDescent="0.25">
      <c r="A120" s="6" t="s">
        <v>190</v>
      </c>
      <c r="B120" s="6" t="str">
        <f>Informações!$C$3</f>
        <v>IMA</v>
      </c>
      <c r="C120" s="6" t="s">
        <v>101</v>
      </c>
      <c r="D120" s="6" t="s">
        <v>30</v>
      </c>
      <c r="E120" s="2" t="s">
        <v>25</v>
      </c>
      <c r="F120" s="6" t="str">
        <f>VLOOKUP(G120,[1]Discrete!$A:$B,2,FALSE)</f>
        <v>MOLA</v>
      </c>
      <c r="G120" s="6" t="s">
        <v>38</v>
      </c>
      <c r="H120" s="6" t="str" cm="1">
        <f t="array" ref="H120">_xlfn.IFS(OR(D120="TC",D120="TP",AND(D120="TR",C120="AT"),AND(D120="TR",C120="BT")),CONCATENATE(B120,"_","TR",$B$3,C120,"_","TR",$B$3,C120,"_",G120),AND(D120="SECC",C120="BT"),CONCATENATE(B120,"_","TR",$B$3,C120,"_",$B$9,"_",G120),AND(D120="SECF",C120="AT"),CONCATENATE(B120,"_","TR",$B$3,C120,"_",$B$6,"_",G120),AND(D120="SECT",C120="AT"),CONCATENATE(B120,"_","TR",$B$3,C120,"_",$B$7,"_",G120),AND(D120="DJ",C120="AT"),CONCATENATE(B120,"_","TR",$B$3,C120,"_",$B$4,"_",G120),AND(D120="DJ",C120="BT"),CONCATENATE(B120,"_","TR",$B$3,C120,"_",$B$8,"_",G120),AND(C120="TR",D120="TR"),CONCATENATE(B120,"_","TR",$B$3,"_","TR",$B$3,"_",G120),AND(D120="SECT",C120="BT"),CONCATENATE(B120,"_","TR",$B$3,C120,"_",$B$11,"_",G120),AND(D120="SECF",C120="BT"),CONCATENATE(B120,"_","TR",$B$3,C120,"_",$B$10,"_",G120),AND(D120="SECC",C120="AT"),CONCATENATE(B120,"_","TR",$B$3,C120,"_",$B$5,"_",G120),AND(C120="AT",D120="TR_A"),CONCATENATE(B120,"_","TR",$B$3,C120,"_","TR",$B$3,C120,"_A","_",G120),AND(C120="AT",D120="TR_P"),CONCATENATE(B120,"_","TR",$B$3,C120,"_","TR",$B$3,C120,"_P","_",G120),AND(C120="BT",D120="TR_A"),CONCATENATE(B120,"_","TR",$B$3,C120,"_","TR",$B$3,C120,"_A","_",G120),AND(C120="BT",D120="TR_P"),CONCATENATE(B120,"_","TR",$B$3,C120,"_","TR",$B$3,C120,"_P","_",G120),AND(C120="TR",D120="TR_P"),CONCATENATE(B120,"_","TR",$B$3,"_","TR",$B$3,"_P","_",G120),AND(C120="TR",D120="TR_A"),CONCATENATE(B120,"_","TR",$B$3,"_","TR",$B$3,"_A","_",G120))</f>
        <v>IMA_TR6BT_52-19_MOLA</v>
      </c>
      <c r="I120" s="6"/>
      <c r="J120" s="94" t="s">
        <v>282</v>
      </c>
      <c r="K120" s="94" t="s">
        <v>283</v>
      </c>
      <c r="L120" s="6" t="s">
        <v>188</v>
      </c>
      <c r="M120" s="6" t="s">
        <v>188</v>
      </c>
      <c r="N120" s="6">
        <f t="shared" si="3"/>
        <v>213</v>
      </c>
    </row>
    <row r="121" spans="1:14" x14ac:dyDescent="0.25">
      <c r="A121" s="6" t="s">
        <v>190</v>
      </c>
      <c r="B121" s="6" t="str">
        <f>Informações!$C$3</f>
        <v>IMA</v>
      </c>
      <c r="C121" s="94" t="s">
        <v>100</v>
      </c>
      <c r="D121" s="6" t="s">
        <v>30</v>
      </c>
      <c r="E121" s="2" t="s">
        <v>25</v>
      </c>
      <c r="F121" s="6" t="e">
        <f>VLOOKUP(G121,[1]Discrete!$A:$B,2,FALSE)</f>
        <v>#N/A</v>
      </c>
      <c r="G121" s="6">
        <v>81</v>
      </c>
      <c r="H121" s="6" t="str" cm="1">
        <f t="array" ref="H121">_xlfn.IFS(OR(D121="TC",D121="TP",AND(D121="TR",C121="AT"),AND(D121="TR",C121="BT")),CONCATENATE(B121,"_","TR",$B$3,C121,"_","TR",$B$3,C121,"_",G121),AND(D121="SECC",C121="BT"),CONCATENATE(B121,"_","TR",$B$3,C121,"_",$B$9,"_",G121),AND(D121="SECF",C121="AT"),CONCATENATE(B121,"_","TR",$B$3,C121,"_",$B$6,"_",G121),AND(D121="SECT",C121="AT"),CONCATENATE(B121,"_","TR",$B$3,C121,"_",$B$7,"_",G121),AND(D121="DJ",C121="AT"),CONCATENATE(B121,"_","TR",$B$3,C121,"_",$B$4,"_",G121),AND(D121="DJ",C121="BT"),CONCATENATE(B121,"_","TR",$B$3,C121,"_",$B$8,"_",G121),AND(C121="TR",D121="TR"),CONCATENATE(B121,"_","TR",$B$3,"_","TR",$B$3,"_",G121),AND(D121="SECT",C121="BT"),CONCATENATE(B121,"_","TR",$B$3,C121,"_",$B$11,"_",G121),AND(D121="SECF",C121="BT"),CONCATENATE(B121,"_","TR",$B$3,C121,"_",$B$10,"_",G121),AND(D121="SECC",C121="AT"),CONCATENATE(B121,"_","TR",$B$3,C121,"_",$B$5,"_",G121),AND(C121="AT",D121="TR_A"),CONCATENATE(B121,"_","TR",$B$3,C121,"_","TR",$B$3,C121,"_A","_",G121),AND(C121="AT",D121="TR_P"),CONCATENATE(B121,"_","TR",$B$3,C121,"_","TR",$B$3,C121,"_P","_",G121),AND(C121="BT",D121="TR_A"),CONCATENATE(B121,"_","TR",$B$3,C121,"_","TR",$B$3,C121,"_A","_",G121),AND(C121="BT",D121="TR_P"),CONCATENATE(B121,"_","TR",$B$3,C121,"_","TR",$B$3,C121,"_P","_",G121),AND(C121="TR",D121="TR_P"),CONCATENATE(B121,"_","TR",$B$3,"_","TR",$B$3,"_P","_",G121),AND(C121="TR",D121="TR_A"),CONCATENATE(B121,"_","TR",$B$3,"_","TR",$B$3,"_A","_",G121))</f>
        <v>IMA_TR6AT_52-6_81</v>
      </c>
      <c r="I121" s="6"/>
      <c r="J121" s="94" t="s">
        <v>183</v>
      </c>
      <c r="K121" s="94" t="s">
        <v>184</v>
      </c>
      <c r="L121" s="6" t="s">
        <v>188</v>
      </c>
      <c r="M121" s="6" t="s">
        <v>188</v>
      </c>
      <c r="N121" s="6">
        <f t="shared" si="3"/>
        <v>214</v>
      </c>
    </row>
    <row r="122" spans="1:14" x14ac:dyDescent="0.25">
      <c r="A122" s="6" t="s">
        <v>190</v>
      </c>
      <c r="B122" s="6" t="str">
        <f>Informações!$C$3</f>
        <v>IMA</v>
      </c>
      <c r="C122" s="94" t="s">
        <v>100</v>
      </c>
      <c r="D122" s="6" t="s">
        <v>30</v>
      </c>
      <c r="E122" s="2" t="s">
        <v>25</v>
      </c>
      <c r="F122" s="6" t="str">
        <f>VLOOKUP(G122,[1]Discrete!$A:$B,2,FALSE)</f>
        <v>AJUSTE PARA 81 E1</v>
      </c>
      <c r="G122" s="6" t="s">
        <v>72</v>
      </c>
      <c r="H122" s="6" t="str" cm="1">
        <f t="array" ref="H122">_xlfn.IFS(OR(D122="TC",D122="TP",AND(D122="TR",C122="AT"),AND(D122="TR",C122="BT")),CONCATENATE(B122,"_","TR",$B$3,C122,"_","TR",$B$3,C122,"_",G122),AND(D122="SECC",C122="BT"),CONCATENATE(B122,"_","TR",$B$3,C122,"_",$B$9,"_",G122),AND(D122="SECF",C122="AT"),CONCATENATE(B122,"_","TR",$B$3,C122,"_",$B$6,"_",G122),AND(D122="SECT",C122="AT"),CONCATENATE(B122,"_","TR",$B$3,C122,"_",$B$7,"_",G122),AND(D122="DJ",C122="AT"),CONCATENATE(B122,"_","TR",$B$3,C122,"_",$B$4,"_",G122),AND(D122="DJ",C122="BT"),CONCATENATE(B122,"_","TR",$B$3,C122,"_",$B$8,"_",G122),AND(C122="TR",D122="TR"),CONCATENATE(B122,"_","TR",$B$3,"_","TR",$B$3,"_",G122),AND(D122="SECT",C122="BT"),CONCATENATE(B122,"_","TR",$B$3,C122,"_",$B$11,"_",G122),AND(D122="SECF",C122="BT"),CONCATENATE(B122,"_","TR",$B$3,C122,"_",$B$10,"_",G122),AND(D122="SECC",C122="AT"),CONCATENATE(B122,"_","TR",$B$3,C122,"_",$B$5,"_",G122),AND(C122="AT",D122="TR_A"),CONCATENATE(B122,"_","TR",$B$3,C122,"_","TR",$B$3,C122,"_A","_",G122),AND(C122="AT",D122="TR_P"),CONCATENATE(B122,"_","TR",$B$3,C122,"_","TR",$B$3,C122,"_P","_",G122),AND(C122="BT",D122="TR_A"),CONCATENATE(B122,"_","TR",$B$3,C122,"_","TR",$B$3,C122,"_A","_",G122),AND(C122="BT",D122="TR_P"),CONCATENATE(B122,"_","TR",$B$3,C122,"_","TR",$B$3,C122,"_P","_",G122),AND(C122="TR",D122="TR_P"),CONCATENATE(B122,"_","TR",$B$3,"_","TR",$B$3,"_P","_",G122),AND(C122="TR",D122="TR_A"),CONCATENATE(B122,"_","TR",$B$3,"_","TR",$B$3,"_A","_",G122))</f>
        <v>IMA_TR6AT_52-6_81U1</v>
      </c>
      <c r="I122" s="6"/>
      <c r="J122" s="94" t="s">
        <v>184</v>
      </c>
      <c r="K122" s="94" t="s">
        <v>183</v>
      </c>
      <c r="L122" s="6" t="s">
        <v>188</v>
      </c>
      <c r="M122" s="6" t="s">
        <v>188</v>
      </c>
      <c r="N122" s="6">
        <f t="shared" si="3"/>
        <v>215</v>
      </c>
    </row>
    <row r="123" spans="1:14" x14ac:dyDescent="0.25">
      <c r="A123" s="6" t="s">
        <v>190</v>
      </c>
      <c r="B123" s="6" t="str">
        <f>Informações!$C$3</f>
        <v>IMA</v>
      </c>
      <c r="C123" s="94" t="s">
        <v>100</v>
      </c>
      <c r="D123" s="6" t="s">
        <v>30</v>
      </c>
      <c r="E123" s="2" t="s">
        <v>25</v>
      </c>
      <c r="F123" s="6" t="str">
        <f>VLOOKUP(G123,[1]Discrete!$A:$B,2,FALSE)</f>
        <v>AJUSTE PARA 81 E2</v>
      </c>
      <c r="G123" s="6" t="s">
        <v>73</v>
      </c>
      <c r="H123" s="6" t="str" cm="1">
        <f t="array" ref="H123">_xlfn.IFS(OR(D123="TC",D123="TP",AND(D123="TR",C123="AT"),AND(D123="TR",C123="BT")),CONCATENATE(B123,"_","TR",$B$3,C123,"_","TR",$B$3,C123,"_",G123),AND(D123="SECC",C123="BT"),CONCATENATE(B123,"_","TR",$B$3,C123,"_",$B$9,"_",G123),AND(D123="SECF",C123="AT"),CONCATENATE(B123,"_","TR",$B$3,C123,"_",$B$6,"_",G123),AND(D123="SECT",C123="AT"),CONCATENATE(B123,"_","TR",$B$3,C123,"_",$B$7,"_",G123),AND(D123="DJ",C123="AT"),CONCATENATE(B123,"_","TR",$B$3,C123,"_",$B$4,"_",G123),AND(D123="DJ",C123="BT"),CONCATENATE(B123,"_","TR",$B$3,C123,"_",$B$8,"_",G123),AND(C123="TR",D123="TR"),CONCATENATE(B123,"_","TR",$B$3,"_","TR",$B$3,"_",G123),AND(D123="SECT",C123="BT"),CONCATENATE(B123,"_","TR",$B$3,C123,"_",$B$11,"_",G123),AND(D123="SECF",C123="BT"),CONCATENATE(B123,"_","TR",$B$3,C123,"_",$B$10,"_",G123),AND(D123="SECC",C123="AT"),CONCATENATE(B123,"_","TR",$B$3,C123,"_",$B$5,"_",G123),AND(C123="AT",D123="TR_A"),CONCATENATE(B123,"_","TR",$B$3,C123,"_","TR",$B$3,C123,"_A","_",G123),AND(C123="AT",D123="TR_P"),CONCATENATE(B123,"_","TR",$B$3,C123,"_","TR",$B$3,C123,"_P","_",G123),AND(C123="BT",D123="TR_A"),CONCATENATE(B123,"_","TR",$B$3,C123,"_","TR",$B$3,C123,"_A","_",G123),AND(C123="BT",D123="TR_P"),CONCATENATE(B123,"_","TR",$B$3,C123,"_","TR",$B$3,C123,"_P","_",G123),AND(C123="TR",D123="TR_P"),CONCATENATE(B123,"_","TR",$B$3,"_","TR",$B$3,"_P","_",G123),AND(C123="TR",D123="TR_A"),CONCATENATE(B123,"_","TR",$B$3,"_","TR",$B$3,"_A","_",G123))</f>
        <v>IMA_TR6AT_52-6_81U2</v>
      </c>
      <c r="I123" s="6"/>
      <c r="J123" s="94" t="s">
        <v>184</v>
      </c>
      <c r="K123" s="94" t="s">
        <v>183</v>
      </c>
      <c r="L123" s="6" t="s">
        <v>188</v>
      </c>
      <c r="M123" s="6" t="s">
        <v>188</v>
      </c>
      <c r="N123" s="6">
        <f t="shared" ref="N123:N172" si="4">N122+1</f>
        <v>216</v>
      </c>
    </row>
    <row r="124" spans="1:14" x14ac:dyDescent="0.25">
      <c r="A124" s="6" t="s">
        <v>190</v>
      </c>
      <c r="B124" s="6" t="str">
        <f>Informações!$C$3</f>
        <v>IMA</v>
      </c>
      <c r="C124" s="94" t="s">
        <v>100</v>
      </c>
      <c r="D124" s="6" t="s">
        <v>30</v>
      </c>
      <c r="E124" s="2" t="s">
        <v>25</v>
      </c>
      <c r="F124" s="6" t="str">
        <f>VLOOKUP(G124,[1]Discrete!$A:$B,2,FALSE)</f>
        <v>AJUSTE PARA 81 E3</v>
      </c>
      <c r="G124" s="6" t="s">
        <v>74</v>
      </c>
      <c r="H124" s="6" t="str" cm="1">
        <f t="array" ref="H124">_xlfn.IFS(OR(D124="TC",D124="TP",AND(D124="TR",C124="AT"),AND(D124="TR",C124="BT")),CONCATENATE(B124,"_","TR",$B$3,C124,"_","TR",$B$3,C124,"_",G124),AND(D124="SECC",C124="BT"),CONCATENATE(B124,"_","TR",$B$3,C124,"_",$B$9,"_",G124),AND(D124="SECF",C124="AT"),CONCATENATE(B124,"_","TR",$B$3,C124,"_",$B$6,"_",G124),AND(D124="SECT",C124="AT"),CONCATENATE(B124,"_","TR",$B$3,C124,"_",$B$7,"_",G124),AND(D124="DJ",C124="AT"),CONCATENATE(B124,"_","TR",$B$3,C124,"_",$B$4,"_",G124),AND(D124="DJ",C124="BT"),CONCATENATE(B124,"_","TR",$B$3,C124,"_",$B$8,"_",G124),AND(C124="TR",D124="TR"),CONCATENATE(B124,"_","TR",$B$3,"_","TR",$B$3,"_",G124),AND(D124="SECT",C124="BT"),CONCATENATE(B124,"_","TR",$B$3,C124,"_",$B$11,"_",G124),AND(D124="SECF",C124="BT"),CONCATENATE(B124,"_","TR",$B$3,C124,"_",$B$10,"_",G124),AND(D124="SECC",C124="AT"),CONCATENATE(B124,"_","TR",$B$3,C124,"_",$B$5,"_",G124),AND(C124="AT",D124="TR_A"),CONCATENATE(B124,"_","TR",$B$3,C124,"_","TR",$B$3,C124,"_A","_",G124),AND(C124="AT",D124="TR_P"),CONCATENATE(B124,"_","TR",$B$3,C124,"_","TR",$B$3,C124,"_P","_",G124),AND(C124="BT",D124="TR_A"),CONCATENATE(B124,"_","TR",$B$3,C124,"_","TR",$B$3,C124,"_A","_",G124),AND(C124="BT",D124="TR_P"),CONCATENATE(B124,"_","TR",$B$3,C124,"_","TR",$B$3,C124,"_P","_",G124),AND(C124="TR",D124="TR_P"),CONCATENATE(B124,"_","TR",$B$3,"_","TR",$B$3,"_P","_",G124),AND(C124="TR",D124="TR_A"),CONCATENATE(B124,"_","TR",$B$3,"_","TR",$B$3,"_A","_",G124))</f>
        <v>IMA_TR6AT_52-6_81U3</v>
      </c>
      <c r="I124" s="6"/>
      <c r="J124" s="94" t="s">
        <v>184</v>
      </c>
      <c r="K124" s="94" t="s">
        <v>183</v>
      </c>
      <c r="L124" s="6" t="s">
        <v>188</v>
      </c>
      <c r="M124" s="6" t="s">
        <v>188</v>
      </c>
      <c r="N124" s="6">
        <f t="shared" si="4"/>
        <v>217</v>
      </c>
    </row>
    <row r="125" spans="1:14" x14ac:dyDescent="0.25">
      <c r="A125" s="6" t="s">
        <v>190</v>
      </c>
      <c r="B125" s="6" t="str">
        <f>Informações!$C$3</f>
        <v>IMA</v>
      </c>
      <c r="C125" s="94" t="s">
        <v>100</v>
      </c>
      <c r="D125" s="6" t="s">
        <v>30</v>
      </c>
      <c r="E125" s="2" t="s">
        <v>25</v>
      </c>
      <c r="F125" s="6" t="str">
        <f>VLOOKUP(G125,[1]Discrete!$A:$B,2,FALSE)</f>
        <v>AJUSTE PARA 81 E4</v>
      </c>
      <c r="G125" s="6" t="s">
        <v>75</v>
      </c>
      <c r="H125" s="6" t="str" cm="1">
        <f t="array" ref="H125">_xlfn.IFS(OR(D125="TC",D125="TP",AND(D125="TR",C125="AT"),AND(D125="TR",C125="BT")),CONCATENATE(B125,"_","TR",$B$3,C125,"_","TR",$B$3,C125,"_",G125),AND(D125="SECC",C125="BT"),CONCATENATE(B125,"_","TR",$B$3,C125,"_",$B$9,"_",G125),AND(D125="SECF",C125="AT"),CONCATENATE(B125,"_","TR",$B$3,C125,"_",$B$6,"_",G125),AND(D125="SECT",C125="AT"),CONCATENATE(B125,"_","TR",$B$3,C125,"_",$B$7,"_",G125),AND(D125="DJ",C125="AT"),CONCATENATE(B125,"_","TR",$B$3,C125,"_",$B$4,"_",G125),AND(D125="DJ",C125="BT"),CONCATENATE(B125,"_","TR",$B$3,C125,"_",$B$8,"_",G125),AND(C125="TR",D125="TR"),CONCATENATE(B125,"_","TR",$B$3,"_","TR",$B$3,"_",G125),AND(D125="SECT",C125="BT"),CONCATENATE(B125,"_","TR",$B$3,C125,"_",$B$11,"_",G125),AND(D125="SECF",C125="BT"),CONCATENATE(B125,"_","TR",$B$3,C125,"_",$B$10,"_",G125),AND(D125="SECC",C125="AT"),CONCATENATE(B125,"_","TR",$B$3,C125,"_",$B$5,"_",G125),AND(C125="AT",D125="TR_A"),CONCATENATE(B125,"_","TR",$B$3,C125,"_","TR",$B$3,C125,"_A","_",G125),AND(C125="AT",D125="TR_P"),CONCATENATE(B125,"_","TR",$B$3,C125,"_","TR",$B$3,C125,"_P","_",G125),AND(C125="BT",D125="TR_A"),CONCATENATE(B125,"_","TR",$B$3,C125,"_","TR",$B$3,C125,"_A","_",G125),AND(C125="BT",D125="TR_P"),CONCATENATE(B125,"_","TR",$B$3,C125,"_","TR",$B$3,C125,"_P","_",G125),AND(C125="TR",D125="TR_P"),CONCATENATE(B125,"_","TR",$B$3,"_","TR",$B$3,"_P","_",G125),AND(C125="TR",D125="TR_A"),CONCATENATE(B125,"_","TR",$B$3,"_","TR",$B$3,"_A","_",G125))</f>
        <v>IMA_TR6AT_52-6_81U4</v>
      </c>
      <c r="I125" s="6"/>
      <c r="J125" s="94" t="s">
        <v>184</v>
      </c>
      <c r="K125" s="94" t="s">
        <v>183</v>
      </c>
      <c r="L125" s="6" t="s">
        <v>188</v>
      </c>
      <c r="M125" s="6" t="s">
        <v>188</v>
      </c>
      <c r="N125" s="6">
        <f t="shared" si="4"/>
        <v>218</v>
      </c>
    </row>
    <row r="126" spans="1:14" x14ac:dyDescent="0.25">
      <c r="A126" s="6" t="s">
        <v>190</v>
      </c>
      <c r="B126" s="6" t="str">
        <f>Informações!$C$3</f>
        <v>IMA</v>
      </c>
      <c r="C126" s="94" t="s">
        <v>100</v>
      </c>
      <c r="D126" s="6" t="s">
        <v>30</v>
      </c>
      <c r="E126" s="2" t="s">
        <v>25</v>
      </c>
      <c r="F126" s="6" t="s">
        <v>296</v>
      </c>
      <c r="G126" s="6" t="s">
        <v>76</v>
      </c>
      <c r="H126" s="6" t="str" cm="1">
        <f t="array" ref="H126">_xlfn.IFS(OR(D126="TC",D126="TP",AND(D126="TR",C126="AT"),AND(D126="TR",C126="BT")),CONCATENATE(B126,"_","TR",$B$3,C126,"_","TR",$B$3,C126,"_",G126),AND(D126="SECC",C126="BT"),CONCATENATE(B126,"_","TR",$B$3,C126,"_",$B$9,"_",G126),AND(D126="SECF",C126="AT"),CONCATENATE(B126,"_","TR",$B$3,C126,"_",$B$6,"_",G126),AND(D126="SECT",C126="AT"),CONCATENATE(B126,"_","TR",$B$3,C126,"_",$B$7,"_",G126),AND(D126="DJ",C126="AT"),CONCATENATE(B126,"_","TR",$B$3,C126,"_",$B$4,"_",G126),AND(D126="DJ",C126="BT"),CONCATENATE(B126,"_","TR",$B$3,C126,"_",$B$8,"_",G126),AND(C126="TR",D126="TR"),CONCATENATE(B126,"_","TR",$B$3,"_","TR",$B$3,"_",G126),AND(D126="SECT",C126="BT"),CONCATENATE(B126,"_","TR",$B$3,C126,"_",$B$11,"_",G126),AND(D126="SECF",C126="BT"),CONCATENATE(B126,"_","TR",$B$3,C126,"_",$B$10,"_",G126),AND(D126="SECC",C126="AT"),CONCATENATE(B126,"_","TR",$B$3,C126,"_",$B$5,"_",G126),AND(C126="AT",D126="TR_A"),CONCATENATE(B126,"_","TR",$B$3,C126,"_","TR",$B$3,C126,"_A","_",G126),AND(C126="AT",D126="TR_P"),CONCATENATE(B126,"_","TR",$B$3,C126,"_","TR",$B$3,C126,"_P","_",G126),AND(C126="BT",D126="TR_A"),CONCATENATE(B126,"_","TR",$B$3,C126,"_","TR",$B$3,C126,"_A","_",G126),AND(C126="BT",D126="TR_P"),CONCATENATE(B126,"_","TR",$B$3,C126,"_","TR",$B$3,C126,"_P","_",G126),AND(C126="TR",D126="TR_P"),CONCATENATE(B126,"_","TR",$B$3,"_","TR",$B$3,"_P","_",G126),AND(C126="TR",D126="TR_A"),CONCATENATE(B126,"_","TR",$B$3,"_","TR",$B$3,"_A","_",G126))</f>
        <v>IMA_TR6AT_52-6_81U5</v>
      </c>
      <c r="I126" s="6"/>
      <c r="J126" s="94" t="s">
        <v>184</v>
      </c>
      <c r="K126" s="94" t="s">
        <v>183</v>
      </c>
      <c r="L126" s="6" t="s">
        <v>188</v>
      </c>
      <c r="M126" s="6" t="s">
        <v>188</v>
      </c>
      <c r="N126" s="6">
        <f t="shared" si="4"/>
        <v>219</v>
      </c>
    </row>
    <row r="127" spans="1:14" x14ac:dyDescent="0.25">
      <c r="A127" s="6" t="s">
        <v>190</v>
      </c>
      <c r="B127" s="6" t="str">
        <f>Informações!$C$3</f>
        <v>IMA</v>
      </c>
      <c r="C127" s="6" t="s">
        <v>101</v>
      </c>
      <c r="D127" s="94" t="s">
        <v>211</v>
      </c>
      <c r="E127" s="2" t="s">
        <v>25</v>
      </c>
      <c r="F127" s="6" t="str">
        <f>VLOOKUP(G127,[1]Discrete!$A:$B,2,FALSE)</f>
        <v>67 - DIRECIONAL SOBRECORRENTE FASE TEMPORIZADO</v>
      </c>
      <c r="G127" s="6" t="s">
        <v>60</v>
      </c>
      <c r="H127" s="6" t="str" cm="1">
        <f t="array" ref="H127">_xlfn.IFS(OR(D127="TC",D127="TP",AND(D127="TR",C127="AT"),AND(D127="TR",C127="BT")),CONCATENATE(B127,"_","TR",$B$3,C127,"_","TR",$B$3,C127,"_",G127),AND(D127="SECC",C127="BT"),CONCATENATE(B127,"_","TR",$B$3,C127,"_",$B$9,"_",G127),AND(D127="SECF",C127="AT"),CONCATENATE(B127,"_","TR",$B$3,C127,"_",$B$6,"_",G127),AND(D127="SECT",C127="AT"),CONCATENATE(B127,"_","TR",$B$3,C127,"_",$B$7,"_",G127),AND(D127="DJ",C127="AT"),CONCATENATE(B127,"_","TR",$B$3,C127,"_",$B$4,"_",G127),AND(D127="DJ",C127="BT"),CONCATENATE(B127,"_","TR",$B$3,C127,"_",$B$8,"_",G127),AND(C127="TR",D127="TR"),CONCATENATE(B127,"_","TR",$B$3,"_","TR",$B$3,"_",G127),AND(D127="SECT",C127="BT"),CONCATENATE(B127,"_","TR",$B$3,C127,"_",$B$11,"_",G127),AND(D127="SECF",C127="BT"),CONCATENATE(B127,"_","TR",$B$3,C127,"_",$B$10,"_",G127),AND(D127="SECC",C127="AT"),CONCATENATE(B127,"_","TR",$B$3,C127,"_",$B$5,"_",G127),AND(C127="AT",D127="TR_A"),CONCATENATE(B127,"_","TR",$B$3,C127,"_","TR",$B$3,C127,"_A","_",G127),AND(C127="AT",D127="TR_P"),CONCATENATE(B127,"_","TR",$B$3,C127,"_","TR",$B$3,C127,"_P","_",G127),AND(C127="BT",D127="TR_A"),CONCATENATE(B127,"_","TR",$B$3,C127,"_","TR",$B$3,C127,"_A","_",G127),AND(C127="BT",D127="TR_P"),CONCATENATE(B127,"_","TR",$B$3,C127,"_","TR",$B$3,C127,"_P","_",G127),AND(C127="TR",D127="TR_P"),CONCATENATE(B127,"_","TR",$B$3,"_","TR",$B$3,"_P","_",G127),AND(C127="TR",D127="TR_A"),CONCATENATE(B127,"_","TR",$B$3,"_","TR",$B$3,"_A","_",G127))</f>
        <v>IMA_TR6BT_TR6BT_A_67FT</v>
      </c>
      <c r="I127" s="6"/>
      <c r="J127" s="6" t="s">
        <v>182</v>
      </c>
      <c r="K127" s="6" t="s">
        <v>179</v>
      </c>
      <c r="L127" s="6" t="s">
        <v>188</v>
      </c>
      <c r="M127" s="6" t="s">
        <v>188</v>
      </c>
      <c r="N127" s="6">
        <f>N126+1</f>
        <v>220</v>
      </c>
    </row>
    <row r="128" spans="1:14" x14ac:dyDescent="0.25">
      <c r="A128" s="6" t="s">
        <v>190</v>
      </c>
      <c r="B128" s="6" t="str">
        <f>Informações!$C$3</f>
        <v>IMA</v>
      </c>
      <c r="C128" s="6" t="s">
        <v>101</v>
      </c>
      <c r="D128" s="94" t="s">
        <v>211</v>
      </c>
      <c r="E128" s="2" t="s">
        <v>25</v>
      </c>
      <c r="F128" s="6" t="str">
        <f>VLOOKUP(G128,[1]Discrete!$A:$B,2,FALSE)</f>
        <v>67 - DIRECIONAL SOBRECORRENTE NEUTRO TEMPORIZADO</v>
      </c>
      <c r="G128" s="6" t="s">
        <v>63</v>
      </c>
      <c r="H128" s="6" t="str" cm="1">
        <f t="array" ref="H128">_xlfn.IFS(OR(D128="TC",D128="TP",AND(D128="TR",C128="AT"),AND(D128="TR",C128="BT")),CONCATENATE(B128,"_","TR",$B$3,C128,"_","TR",$B$3,C128,"_",G128),AND(D128="SECC",C128="BT"),CONCATENATE(B128,"_","TR",$B$3,C128,"_",$B$9,"_",G128),AND(D128="SECF",C128="AT"),CONCATENATE(B128,"_","TR",$B$3,C128,"_",$B$6,"_",G128),AND(D128="SECT",C128="AT"),CONCATENATE(B128,"_","TR",$B$3,C128,"_",$B$7,"_",G128),AND(D128="DJ",C128="AT"),CONCATENATE(B128,"_","TR",$B$3,C128,"_",$B$4,"_",G128),AND(D128="DJ",C128="BT"),CONCATENATE(B128,"_","TR",$B$3,C128,"_",$B$8,"_",G128),AND(C128="TR",D128="TR"),CONCATENATE(B128,"_","TR",$B$3,"_","TR",$B$3,"_",G128),AND(D128="SECT",C128="BT"),CONCATENATE(B128,"_","TR",$B$3,C128,"_",$B$11,"_",G128),AND(D128="SECF",C128="BT"),CONCATENATE(B128,"_","TR",$B$3,C128,"_",$B$10,"_",G128),AND(D128="SECC",C128="AT"),CONCATENATE(B128,"_","TR",$B$3,C128,"_",$B$5,"_",G128),AND(C128="AT",D128="TR_A"),CONCATENATE(B128,"_","TR",$B$3,C128,"_","TR",$B$3,C128,"_A","_",G128),AND(C128="AT",D128="TR_P"),CONCATENATE(B128,"_","TR",$B$3,C128,"_","TR",$B$3,C128,"_P","_",G128),AND(C128="BT",D128="TR_A"),CONCATENATE(B128,"_","TR",$B$3,C128,"_","TR",$B$3,C128,"_A","_",G128),AND(C128="BT",D128="TR_P"),CONCATENATE(B128,"_","TR",$B$3,C128,"_","TR",$B$3,C128,"_P","_",G128),AND(C128="TR",D128="TR_P"),CONCATENATE(B128,"_","TR",$B$3,"_","TR",$B$3,"_P","_",G128),AND(C128="TR",D128="TR_A"),CONCATENATE(B128,"_","TR",$B$3,"_","TR",$B$3,"_A","_",G128))</f>
        <v>IMA_TR6BT_TR6BT_A_67NT</v>
      </c>
      <c r="I128" s="6"/>
      <c r="J128" s="6" t="s">
        <v>182</v>
      </c>
      <c r="K128" s="6" t="s">
        <v>179</v>
      </c>
      <c r="L128" s="6" t="s">
        <v>188</v>
      </c>
      <c r="M128" s="6" t="s">
        <v>188</v>
      </c>
      <c r="N128" s="6">
        <f t="shared" si="4"/>
        <v>221</v>
      </c>
    </row>
    <row r="129" spans="1:14" x14ac:dyDescent="0.25">
      <c r="A129" s="6" t="s">
        <v>190</v>
      </c>
      <c r="B129" s="6" t="str">
        <f>Informações!$C$3</f>
        <v>IMA</v>
      </c>
      <c r="C129" s="6" t="s">
        <v>101</v>
      </c>
      <c r="D129" s="94" t="s">
        <v>211</v>
      </c>
      <c r="E129" s="2" t="s">
        <v>25</v>
      </c>
      <c r="F129" s="6" t="str">
        <f>VLOOKUP(G129,[1]Discrete!$A:$B,2,FALSE)</f>
        <v>50 - SOBRECORRENTE INSTANTANEA FASE</v>
      </c>
      <c r="G129" s="6" t="s">
        <v>416</v>
      </c>
      <c r="H129" s="6" t="str" cm="1">
        <f t="array" ref="H129">_xlfn.IFS(OR(D129="TC",D129="TP",AND(D129="TR",C129="AT"),AND(D129="TR",C129="BT")),CONCATENATE(B129,"_","TR",$B$3,C129,"_","TR",$B$3,C129,"_",G129),AND(D129="SECC",C129="BT"),CONCATENATE(B129,"_","TR",$B$3,C129,"_",$B$9,"_",G129),AND(D129="SECF",C129="AT"),CONCATENATE(B129,"_","TR",$B$3,C129,"_",$B$6,"_",G129),AND(D129="SECT",C129="AT"),CONCATENATE(B129,"_","TR",$B$3,C129,"_",$B$7,"_",G129),AND(D129="DJ",C129="AT"),CONCATENATE(B129,"_","TR",$B$3,C129,"_",$B$4,"_",G129),AND(D129="DJ",C129="BT"),CONCATENATE(B129,"_","TR",$B$3,C129,"_",$B$8,"_",G129),AND(C129="TR",D129="TR"),CONCATENATE(B129,"_","TR",$B$3,"_","TR",$B$3,"_",G129),AND(D129="SECT",C129="BT"),CONCATENATE(B129,"_","TR",$B$3,C129,"_",$B$11,"_",G129),AND(D129="SECF",C129="BT"),CONCATENATE(B129,"_","TR",$B$3,C129,"_",$B$10,"_",G129),AND(D129="SECC",C129="AT"),CONCATENATE(B129,"_","TR",$B$3,C129,"_",$B$5,"_",G129),AND(C129="AT",D129="TR_A"),CONCATENATE(B129,"_","TR",$B$3,C129,"_","TR",$B$3,C129,"_A","_",G129),AND(C129="AT",D129="TR_P"),CONCATENATE(B129,"_","TR",$B$3,C129,"_","TR",$B$3,C129,"_P","_",G129),AND(C129="BT",D129="TR_A"),CONCATENATE(B129,"_","TR",$B$3,C129,"_","TR",$B$3,C129,"_A","_",G129),AND(C129="BT",D129="TR_P"),CONCATENATE(B129,"_","TR",$B$3,C129,"_","TR",$B$3,C129,"_P","_",G129),AND(C129="TR",D129="TR_P"),CONCATENATE(B129,"_","TR",$B$3,"_","TR",$B$3,"_P","_",G129),AND(C129="TR",D129="TR_A"),CONCATENATE(B129,"_","TR",$B$3,"_","TR",$B$3,"_A","_",G129))</f>
        <v>IMA_TR6BT_TR6BT_A_50F</v>
      </c>
      <c r="I129" s="6"/>
      <c r="J129" s="6" t="s">
        <v>182</v>
      </c>
      <c r="K129" s="6" t="s">
        <v>179</v>
      </c>
      <c r="L129" s="6" t="s">
        <v>188</v>
      </c>
      <c r="M129" s="6" t="s">
        <v>188</v>
      </c>
      <c r="N129" s="6">
        <f t="shared" si="4"/>
        <v>222</v>
      </c>
    </row>
    <row r="130" spans="1:14" x14ac:dyDescent="0.25">
      <c r="A130" s="6" t="s">
        <v>190</v>
      </c>
      <c r="B130" s="6" t="str">
        <f>Informações!$C$3</f>
        <v>IMA</v>
      </c>
      <c r="C130" s="6" t="s">
        <v>101</v>
      </c>
      <c r="D130" s="94" t="s">
        <v>211</v>
      </c>
      <c r="E130" s="2" t="s">
        <v>25</v>
      </c>
      <c r="F130" s="6" t="str">
        <f>VLOOKUP(G130,[1]Discrete!$A:$B,2,FALSE)</f>
        <v>50 - SOBRECORRENTE INSTANTANEA NEUTRO</v>
      </c>
      <c r="G130" s="6" t="s">
        <v>417</v>
      </c>
      <c r="H130" s="6" t="str" cm="1">
        <f t="array" ref="H130">_xlfn.IFS(OR(D130="TC",D130="TP",AND(D130="TR",C130="AT"),AND(D130="TR",C130="BT")),CONCATENATE(B130,"_","TR",$B$3,C130,"_","TR",$B$3,C130,"_",G130),AND(D130="SECC",C130="BT"),CONCATENATE(B130,"_","TR",$B$3,C130,"_",$B$9,"_",G130),AND(D130="SECF",C130="AT"),CONCATENATE(B130,"_","TR",$B$3,C130,"_",$B$6,"_",G130),AND(D130="SECT",C130="AT"),CONCATENATE(B130,"_","TR",$B$3,C130,"_",$B$7,"_",G130),AND(D130="DJ",C130="AT"),CONCATENATE(B130,"_","TR",$B$3,C130,"_",$B$4,"_",G130),AND(D130="DJ",C130="BT"),CONCATENATE(B130,"_","TR",$B$3,C130,"_",$B$8,"_",G130),AND(C130="TR",D130="TR"),CONCATENATE(B130,"_","TR",$B$3,"_","TR",$B$3,"_",G130),AND(D130="SECT",C130="BT"),CONCATENATE(B130,"_","TR",$B$3,C130,"_",$B$11,"_",G130),AND(D130="SECF",C130="BT"),CONCATENATE(B130,"_","TR",$B$3,C130,"_",$B$10,"_",G130),AND(D130="SECC",C130="AT"),CONCATENATE(B130,"_","TR",$B$3,C130,"_",$B$5,"_",G130),AND(C130="AT",D130="TR_A"),CONCATENATE(B130,"_","TR",$B$3,C130,"_","TR",$B$3,C130,"_A","_",G130),AND(C130="AT",D130="TR_P"),CONCATENATE(B130,"_","TR",$B$3,C130,"_","TR",$B$3,C130,"_P","_",G130),AND(C130="BT",D130="TR_A"),CONCATENATE(B130,"_","TR",$B$3,C130,"_","TR",$B$3,C130,"_A","_",G130),AND(C130="BT",D130="TR_P"),CONCATENATE(B130,"_","TR",$B$3,C130,"_","TR",$B$3,C130,"_P","_",G130),AND(C130="TR",D130="TR_P"),CONCATENATE(B130,"_","TR",$B$3,"_","TR",$B$3,"_P","_",G130),AND(C130="TR",D130="TR_A"),CONCATENATE(B130,"_","TR",$B$3,"_","TR",$B$3,"_A","_",G130))</f>
        <v>IMA_TR6BT_TR6BT_A_50N</v>
      </c>
      <c r="I130" s="6"/>
      <c r="J130" s="6" t="s">
        <v>182</v>
      </c>
      <c r="K130" s="6" t="s">
        <v>179</v>
      </c>
      <c r="L130" s="6" t="s">
        <v>188</v>
      </c>
      <c r="M130" s="6" t="s">
        <v>188</v>
      </c>
      <c r="N130" s="6">
        <f t="shared" si="4"/>
        <v>223</v>
      </c>
    </row>
    <row r="131" spans="1:14" x14ac:dyDescent="0.25">
      <c r="A131" s="6" t="s">
        <v>190</v>
      </c>
      <c r="B131" s="6" t="str">
        <f>Informações!$C$3</f>
        <v>IMA</v>
      </c>
      <c r="C131" s="6" t="s">
        <v>101</v>
      </c>
      <c r="D131" s="94" t="s">
        <v>211</v>
      </c>
      <c r="E131" s="2" t="s">
        <v>25</v>
      </c>
      <c r="F131" s="6" t="str">
        <f>VLOOKUP(G131,[1]Discrete!$A:$B,2,FALSE)</f>
        <v>51 - SOBRECORRENTE TEMPORIZADA FASE</v>
      </c>
      <c r="G131" s="6" t="s">
        <v>98</v>
      </c>
      <c r="H131" s="6" t="str" cm="1">
        <f t="array" ref="H131">_xlfn.IFS(OR(D131="TC",D131="TP",AND(D131="TR",C131="AT"),AND(D131="TR",C131="BT")),CONCATENATE(B131,"_","TR",$B$3,C131,"_","TR",$B$3,C131,"_",G131),AND(D131="SECC",C131="BT"),CONCATENATE(B131,"_","TR",$B$3,C131,"_",$B$9,"_",G131),AND(D131="SECF",C131="AT"),CONCATENATE(B131,"_","TR",$B$3,C131,"_",$B$6,"_",G131),AND(D131="SECT",C131="AT"),CONCATENATE(B131,"_","TR",$B$3,C131,"_",$B$7,"_",G131),AND(D131="DJ",C131="AT"),CONCATENATE(B131,"_","TR",$B$3,C131,"_",$B$4,"_",G131),AND(D131="DJ",C131="BT"),CONCATENATE(B131,"_","TR",$B$3,C131,"_",$B$8,"_",G131),AND(C131="TR",D131="TR"),CONCATENATE(B131,"_","TR",$B$3,"_","TR",$B$3,"_",G131),AND(D131="SECT",C131="BT"),CONCATENATE(B131,"_","TR",$B$3,C131,"_",$B$11,"_",G131),AND(D131="SECF",C131="BT"),CONCATENATE(B131,"_","TR",$B$3,C131,"_",$B$10,"_",G131),AND(D131="SECC",C131="AT"),CONCATENATE(B131,"_","TR",$B$3,C131,"_",$B$5,"_",G131),AND(C131="AT",D131="TR_A"),CONCATENATE(B131,"_","TR",$B$3,C131,"_","TR",$B$3,C131,"_A","_",G131),AND(C131="AT",D131="TR_P"),CONCATENATE(B131,"_","TR",$B$3,C131,"_","TR",$B$3,C131,"_P","_",G131),AND(C131="BT",D131="TR_A"),CONCATENATE(B131,"_","TR",$B$3,C131,"_","TR",$B$3,C131,"_A","_",G131),AND(C131="BT",D131="TR_P"),CONCATENATE(B131,"_","TR",$B$3,C131,"_","TR",$B$3,C131,"_P","_",G131),AND(C131="TR",D131="TR_P"),CONCATENATE(B131,"_","TR",$B$3,"_","TR",$B$3,"_P","_",G131),AND(C131="TR",D131="TR_A"),CONCATENATE(B131,"_","TR",$B$3,"_","TR",$B$3,"_A","_",G131))</f>
        <v>IMA_TR6BT_TR6BT_A_51F</v>
      </c>
      <c r="I131" s="6"/>
      <c r="J131" s="6" t="s">
        <v>182</v>
      </c>
      <c r="K131" s="6" t="s">
        <v>179</v>
      </c>
      <c r="L131" s="6" t="s">
        <v>188</v>
      </c>
      <c r="M131" s="6" t="s">
        <v>188</v>
      </c>
      <c r="N131" s="6">
        <f t="shared" si="4"/>
        <v>224</v>
      </c>
    </row>
    <row r="132" spans="1:14" x14ac:dyDescent="0.25">
      <c r="A132" s="6" t="s">
        <v>190</v>
      </c>
      <c r="B132" s="6" t="str">
        <f>Informações!$C$3</f>
        <v>IMA</v>
      </c>
      <c r="C132" s="6" t="s">
        <v>101</v>
      </c>
      <c r="D132" s="94" t="s">
        <v>211</v>
      </c>
      <c r="E132" s="2" t="s">
        <v>25</v>
      </c>
      <c r="F132" s="6" t="str">
        <f>VLOOKUP(G132,[1]Discrete!$A:$B,2,FALSE)</f>
        <v>51 - SOBRECORRENTE TEMPORIZADA FASE NEUTRO</v>
      </c>
      <c r="G132" s="6" t="s">
        <v>427</v>
      </c>
      <c r="H132" s="6" t="str" cm="1">
        <f t="array" ref="H132">_xlfn.IFS(OR(D132="TC",D132="TP",AND(D132="TR",C132="AT"),AND(D132="TR",C132="BT")),CONCATENATE(B132,"_","TR",$B$3,C132,"_","TR",$B$3,C132,"_",G132),AND(D132="SECC",C132="BT"),CONCATENATE(B132,"_","TR",$B$3,C132,"_",$B$9,"_",G132),AND(D132="SECF",C132="AT"),CONCATENATE(B132,"_","TR",$B$3,C132,"_",$B$6,"_",G132),AND(D132="SECT",C132="AT"),CONCATENATE(B132,"_","TR",$B$3,C132,"_",$B$7,"_",G132),AND(D132="DJ",C132="AT"),CONCATENATE(B132,"_","TR",$B$3,C132,"_",$B$4,"_",G132),AND(D132="DJ",C132="BT"),CONCATENATE(B132,"_","TR",$B$3,C132,"_",$B$8,"_",G132),AND(C132="TR",D132="TR"),CONCATENATE(B132,"_","TR",$B$3,"_","TR",$B$3,"_",G132),AND(D132="SECT",C132="BT"),CONCATENATE(B132,"_","TR",$B$3,C132,"_",$B$11,"_",G132),AND(D132="SECF",C132="BT"),CONCATENATE(B132,"_","TR",$B$3,C132,"_",$B$10,"_",G132),AND(D132="SECC",C132="AT"),CONCATENATE(B132,"_","TR",$B$3,C132,"_",$B$5,"_",G132),AND(C132="AT",D132="TR_A"),CONCATENATE(B132,"_","TR",$B$3,C132,"_","TR",$B$3,C132,"_A","_",G132),AND(C132="AT",D132="TR_P"),CONCATENATE(B132,"_","TR",$B$3,C132,"_","TR",$B$3,C132,"_P","_",G132),AND(C132="BT",D132="TR_A"),CONCATENATE(B132,"_","TR",$B$3,C132,"_","TR",$B$3,C132,"_A","_",G132),AND(C132="BT",D132="TR_P"),CONCATENATE(B132,"_","TR",$B$3,C132,"_","TR",$B$3,C132,"_P","_",G132),AND(C132="TR",D132="TR_P"),CONCATENATE(B132,"_","TR",$B$3,"_","TR",$B$3,"_P","_",G132),AND(C132="TR",D132="TR_A"),CONCATENATE(B132,"_","TR",$B$3,"_","TR",$B$3,"_A","_",G132))</f>
        <v>IMA_TR6BT_TR6BT_A_51FN</v>
      </c>
      <c r="I132" s="6"/>
      <c r="J132" s="6" t="s">
        <v>182</v>
      </c>
      <c r="K132" s="6" t="s">
        <v>179</v>
      </c>
      <c r="L132" s="6" t="s">
        <v>188</v>
      </c>
      <c r="M132" s="6" t="s">
        <v>188</v>
      </c>
      <c r="N132" s="6">
        <f t="shared" si="4"/>
        <v>225</v>
      </c>
    </row>
    <row r="133" spans="1:14" x14ac:dyDescent="0.25">
      <c r="A133" s="93" t="s">
        <v>191</v>
      </c>
      <c r="B133" s="6" t="str">
        <f>Informações!$C$3</f>
        <v>IMA</v>
      </c>
      <c r="C133" s="94" t="s">
        <v>102</v>
      </c>
      <c r="D133" s="6" t="s">
        <v>102</v>
      </c>
      <c r="E133" s="2" t="s">
        <v>25</v>
      </c>
      <c r="F133" s="93" t="str">
        <f>VLOOKUP(G133,[1]Discrete!$A:$B,2,FALSE)</f>
        <v>49 - ALARME TEMPERATURA ENROLAMENTO</v>
      </c>
      <c r="G133" s="6" t="s">
        <v>119</v>
      </c>
      <c r="H133" s="6" t="str" cm="1">
        <f t="array" ref="H133">_xlfn.IFS(OR(D133="TC",D133="TP",AND(D133="TR",C133="AT"),AND(D133="TR",C133="BT")),CONCATENATE(B133,"_","TR",$B$3,C133,"_","TR",$B$3,C133,"_",G133),AND(D133="SECC",C133="BT"),CONCATENATE(B133,"_","TR",$B$3,C133,"_",$B$9,"_",G133),AND(D133="SECF",C133="AT"),CONCATENATE(B133,"_","TR",$B$3,C133,"_",$B$6,"_",G133),AND(D133="SECT",C133="AT"),CONCATENATE(B133,"_","TR",$B$3,C133,"_",$B$7,"_",G133),AND(D133="DJ",C133="AT"),CONCATENATE(B133,"_","TR",$B$3,C133,"_",$B$4,"_",G133),AND(D133="DJ",C133="BT"),CONCATENATE(B133,"_","TR",$B$3,C133,"_",$B$8,"_",G133),AND(C133="TR",D133="TR"),CONCATENATE(B133,"_","TR",$B$3,"_","TR",$B$3,"_",G133),AND(D133="SECT",C133="BT"),CONCATENATE(B133,"_","TR",$B$3,C133,"_",$B$11,"_",G133),AND(D133="SECF",C133="BT"),CONCATENATE(B133,"_","TR",$B$3,C133,"_",$B$10,"_",G133),AND(D133="SECC",C133="AT"),CONCATENATE(B133,"_","TR",$B$3,C133,"_",$B$5,"_",G133),AND(C133="AT",D133="TR_A"),CONCATENATE(B133,"_","TR",$B$3,C133,"_","TR",$B$3,C133,"_A","_",G133),AND(C133="AT",D133="TR_P"),CONCATENATE(B133,"_","TR",$B$3,C133,"_","TR",$B$3,C133,"_P","_",G133),AND(C133="BT",D133="TR_A"),CONCATENATE(B133,"_","TR",$B$3,C133,"_","TR",$B$3,C133,"_A","_",G133),AND(C133="BT",D133="TR_P"),CONCATENATE(B133,"_","TR",$B$3,C133,"_","TR",$B$3,C133,"_P","_",G133),AND(C133="TR",D133="TR_P"),CONCATENATE(B133,"_","TR",$B$3,"_","TR",$B$3,"_P","_",G133),AND(C133="TR",D133="TR_A"),CONCATENATE(B133,"_","TR",$B$3,"_","TR",$B$3,"_A","_",G133))</f>
        <v>IMA_TR6_TR6_TEA</v>
      </c>
      <c r="I133" s="6"/>
      <c r="J133" s="6" t="s">
        <v>182</v>
      </c>
      <c r="K133" s="6" t="s">
        <v>179</v>
      </c>
      <c r="L133" s="6" t="s">
        <v>188</v>
      </c>
      <c r="M133" s="6" t="s">
        <v>188</v>
      </c>
      <c r="N133" s="93">
        <f t="shared" si="4"/>
        <v>226</v>
      </c>
    </row>
    <row r="134" spans="1:14" x14ac:dyDescent="0.25">
      <c r="A134" s="93" t="s">
        <v>191</v>
      </c>
      <c r="B134" s="6" t="str">
        <f>Informações!$C$3</f>
        <v>IMA</v>
      </c>
      <c r="C134" s="94" t="s">
        <v>102</v>
      </c>
      <c r="D134" s="6" t="s">
        <v>102</v>
      </c>
      <c r="E134" s="2" t="s">
        <v>25</v>
      </c>
      <c r="F134" s="93" t="str">
        <f>VLOOKUP(G134,[1]Discrete!$A:$B,2,FALSE)</f>
        <v>49 - TRIP TEMPERATURA ENROLAMENTO</v>
      </c>
      <c r="G134" s="6" t="s">
        <v>120</v>
      </c>
      <c r="H134" s="6" t="str" cm="1">
        <f t="array" ref="H134">_xlfn.IFS(OR(D134="TC",D134="TP",AND(D134="TR",C134="AT"),AND(D134="TR",C134="BT")),CONCATENATE(B134,"_","TR",$B$3,C134,"_","TR",$B$3,C134,"_",G134),AND(D134="SECC",C134="BT"),CONCATENATE(B134,"_","TR",$B$3,C134,"_",$B$9,"_",G134),AND(D134="SECF",C134="AT"),CONCATENATE(B134,"_","TR",$B$3,C134,"_",$B$6,"_",G134),AND(D134="SECT",C134="AT"),CONCATENATE(B134,"_","TR",$B$3,C134,"_",$B$7,"_",G134),AND(D134="DJ",C134="AT"),CONCATENATE(B134,"_","TR",$B$3,C134,"_",$B$4,"_",G134),AND(D134="DJ",C134="BT"),CONCATENATE(B134,"_","TR",$B$3,C134,"_",$B$8,"_",G134),AND(C134="TR",D134="TR"),CONCATENATE(B134,"_","TR",$B$3,"_","TR",$B$3,"_",G134),AND(D134="SECT",C134="BT"),CONCATENATE(B134,"_","TR",$B$3,C134,"_",$B$11,"_",G134),AND(D134="SECF",C134="BT"),CONCATENATE(B134,"_","TR",$B$3,C134,"_",$B$10,"_",G134),AND(D134="SECC",C134="AT"),CONCATENATE(B134,"_","TR",$B$3,C134,"_",$B$5,"_",G134),AND(C134="AT",D134="TR_A"),CONCATENATE(B134,"_","TR",$B$3,C134,"_","TR",$B$3,C134,"_A","_",G134),AND(C134="AT",D134="TR_P"),CONCATENATE(B134,"_","TR",$B$3,C134,"_","TR",$B$3,C134,"_P","_",G134),AND(C134="BT",D134="TR_A"),CONCATENATE(B134,"_","TR",$B$3,C134,"_","TR",$B$3,C134,"_A","_",G134),AND(C134="BT",D134="TR_P"),CONCATENATE(B134,"_","TR",$B$3,C134,"_","TR",$B$3,C134,"_P","_",G134),AND(C134="TR",D134="TR_P"),CONCATENATE(B134,"_","TR",$B$3,"_","TR",$B$3,"_P","_",G134),AND(C134="TR",D134="TR_A"),CONCATENATE(B134,"_","TR",$B$3,"_","TR",$B$3,"_A","_",G134))</f>
        <v>IMA_TR6_TR6_TED</v>
      </c>
      <c r="I134" s="6"/>
      <c r="J134" s="6" t="s">
        <v>182</v>
      </c>
      <c r="K134" s="6" t="s">
        <v>179</v>
      </c>
      <c r="L134" s="6" t="s">
        <v>188</v>
      </c>
      <c r="M134" s="6" t="s">
        <v>188</v>
      </c>
      <c r="N134" s="93">
        <f t="shared" si="4"/>
        <v>227</v>
      </c>
    </row>
    <row r="135" spans="1:14" x14ac:dyDescent="0.25">
      <c r="A135" s="6" t="s">
        <v>190</v>
      </c>
      <c r="B135" s="6" t="str">
        <f>Informações!$C$3</f>
        <v>IMA</v>
      </c>
      <c r="C135" s="94" t="s">
        <v>100</v>
      </c>
      <c r="D135" s="6" t="s">
        <v>30</v>
      </c>
      <c r="E135" s="2" t="s">
        <v>25</v>
      </c>
      <c r="F135" s="6" t="e">
        <f>VLOOKUP(G135,[1]Discrete!$A:$B,2,FALSE)</f>
        <v>#N/A</v>
      </c>
      <c r="G135" s="6">
        <v>81</v>
      </c>
      <c r="H135" s="6" t="str" cm="1">
        <f t="array" ref="H135">_xlfn.IFS(OR(D135="TC",D135="TP",AND(D135="TR",C135="AT"),AND(D135="TR",C135="BT")),CONCATENATE(B135,"_","TR",$B$3,C135,"_","TR",$B$3,C135,"_",G135),AND(D135="SECC",C135="BT"),CONCATENATE(B135,"_","TR",$B$3,C135,"_",$B$9,"_",G135),AND(D135="SECF",C135="AT"),CONCATENATE(B135,"_","TR",$B$3,C135,"_",$B$6,"_",G135),AND(D135="SECT",C135="AT"),CONCATENATE(B135,"_","TR",$B$3,C135,"_",$B$7,"_",G135),AND(D135="DJ",C135="AT"),CONCATENATE(B135,"_","TR",$B$3,C135,"_",$B$4,"_",G135),AND(D135="DJ",C135="BT"),CONCATENATE(B135,"_","TR",$B$3,C135,"_",$B$8,"_",G135),AND(C135="TR",D135="TR"),CONCATENATE(B135,"_","TR",$B$3,"_","TR",$B$3,"_",G135),AND(D135="SECT",C135="BT"),CONCATENATE(B135,"_","TR",$B$3,C135,"_",$B$11,"_",G135),AND(D135="SECF",C135="BT"),CONCATENATE(B135,"_","TR",$B$3,C135,"_",$B$10,"_",G135),AND(D135="SECC",C135="AT"),CONCATENATE(B135,"_","TR",$B$3,C135,"_",$B$5,"_",G135),AND(C135="AT",D135="TR_A"),CONCATENATE(B135,"_","TR",$B$3,C135,"_","TR",$B$3,C135,"_A","_",G135),AND(C135="AT",D135="TR_P"),CONCATENATE(B135,"_","TR",$B$3,C135,"_","TR",$B$3,C135,"_P","_",G135),AND(C135="BT",D135="TR_A"),CONCATENATE(B135,"_","TR",$B$3,C135,"_","TR",$B$3,C135,"_A","_",G135),AND(C135="BT",D135="TR_P"),CONCATENATE(B135,"_","TR",$B$3,C135,"_","TR",$B$3,C135,"_P","_",G135),AND(C135="TR",D135="TR_P"),CONCATENATE(B135,"_","TR",$B$3,"_","TR",$B$3,"_P","_",G135),AND(C135="TR",D135="TR_A"),CONCATENATE(B135,"_","TR",$B$3,"_","TR",$B$3,"_A","_",G135))</f>
        <v>IMA_TR6AT_52-6_81</v>
      </c>
      <c r="I135" s="6"/>
      <c r="J135" s="6" t="s">
        <v>183</v>
      </c>
      <c r="K135" s="6" t="s">
        <v>184</v>
      </c>
      <c r="L135" s="6" t="s">
        <v>188</v>
      </c>
      <c r="M135" s="6" t="s">
        <v>188</v>
      </c>
      <c r="N135" s="6">
        <f t="shared" si="4"/>
        <v>228</v>
      </c>
    </row>
    <row r="136" spans="1:14" x14ac:dyDescent="0.25">
      <c r="A136" s="6" t="s">
        <v>190</v>
      </c>
      <c r="B136" s="6" t="str">
        <f>Informações!$C$3</f>
        <v>IMA</v>
      </c>
      <c r="C136" s="94" t="s">
        <v>100</v>
      </c>
      <c r="D136" s="97" t="s">
        <v>212</v>
      </c>
      <c r="E136" s="2" t="s">
        <v>25</v>
      </c>
      <c r="F136" s="6" t="str">
        <f>VLOOKUP(G136,[1]Discrete!$A:$B,2,FALSE)</f>
        <v>81 - TRIP SUB FREQUENCIA</v>
      </c>
      <c r="G136" s="6" t="s">
        <v>71</v>
      </c>
      <c r="H136" s="6" t="str" cm="1">
        <f t="array" ref="H136">_xlfn.IFS(OR(D136="TC",D136="TP",AND(D136="TR",C136="AT"),AND(D136="TR",C136="BT")),CONCATENATE(B136,"_","TR",$B$3,C136,"_","TR",$B$3,C136,"_",G136),AND(D136="SECC",C136="BT"),CONCATENATE(B136,"_","TR",$B$3,C136,"_",$B$9,"_",G136),AND(D136="SECF",C136="AT"),CONCATENATE(B136,"_","TR",$B$3,C136,"_",$B$6,"_",G136),AND(D136="SECT",C136="AT"),CONCATENATE(B136,"_","TR",$B$3,C136,"_",$B$7,"_",G136),AND(D136="DJ",C136="AT"),CONCATENATE(B136,"_","TR",$B$3,C136,"_",$B$4,"_",G136),AND(D136="DJ",C136="BT"),CONCATENATE(B136,"_","TR",$B$3,C136,"_",$B$8,"_",G136),AND(C136="TR",D136="TR"),CONCATENATE(B136,"_","TR",$B$3,"_","TR",$B$3,"_",G136),AND(D136="SECT",C136="BT"),CONCATENATE(B136,"_","TR",$B$3,C136,"_",$B$11,"_",G136),AND(D136="SECF",C136="BT"),CONCATENATE(B136,"_","TR",$B$3,C136,"_",$B$10,"_",G136),AND(D136="SECC",C136="AT"),CONCATENATE(B136,"_","TR",$B$3,C136,"_",$B$5,"_",G136),AND(C136="AT",D136="TR_A"),CONCATENATE(B136,"_","TR",$B$3,C136,"_","TR",$B$3,C136,"_A","_",G136),AND(C136="AT",D136="TR_P"),CONCATENATE(B136,"_","TR",$B$3,C136,"_","TR",$B$3,C136,"_P","_",G136),AND(C136="BT",D136="TR_A"),CONCATENATE(B136,"_","TR",$B$3,C136,"_","TR",$B$3,C136,"_A","_",G136),AND(C136="BT",D136="TR_P"),CONCATENATE(B136,"_","TR",$B$3,C136,"_","TR",$B$3,C136,"_P","_",G136),AND(C136="TR",D136="TR_P"),CONCATENATE(B136,"_","TR",$B$3,"_","TR",$B$3,"_P","_",G136),AND(C136="TR",D136="TR_A"),CONCATENATE(B136,"_","TR",$B$3,"_","TR",$B$3,"_A","_",G136))</f>
        <v>IMA_TR6AT_TR6AT_P_81SU</v>
      </c>
      <c r="I136" s="6"/>
      <c r="J136" s="6" t="s">
        <v>182</v>
      </c>
      <c r="K136" s="6" t="s">
        <v>179</v>
      </c>
      <c r="L136" s="6" t="s">
        <v>188</v>
      </c>
      <c r="M136" s="6" t="s">
        <v>188</v>
      </c>
      <c r="N136" s="6">
        <f t="shared" si="4"/>
        <v>229</v>
      </c>
    </row>
    <row r="137" spans="1:14" x14ac:dyDescent="0.25">
      <c r="A137" s="6" t="s">
        <v>190</v>
      </c>
      <c r="B137" s="6" t="str">
        <f>Informações!$C$3</f>
        <v>IMA</v>
      </c>
      <c r="C137" s="94" t="s">
        <v>100</v>
      </c>
      <c r="D137" s="97" t="s">
        <v>212</v>
      </c>
      <c r="E137" s="2" t="s">
        <v>25</v>
      </c>
      <c r="F137" s="6" t="str">
        <f>VLOOKUP(G137,[1]Discrete!$A:$B,2,FALSE)</f>
        <v>81 - TRIP SUB/SOBRE FREQUENCIA E1</v>
      </c>
      <c r="G137" s="17" t="s">
        <v>353</v>
      </c>
      <c r="H137" s="6" t="str" cm="1">
        <f t="array" ref="H137">_xlfn.IFS(OR(D137="TC",D137="TP",AND(D137="TR",C137="AT"),AND(D137="TR",C137="BT")),CONCATENATE(B137,"_","TR",$B$3,C137,"_","TR",$B$3,C137,"_",G137),AND(D137="SECC",C137="BT"),CONCATENATE(B137,"_","TR",$B$3,C137,"_",$B$9,"_",G137),AND(D137="SECF",C137="AT"),CONCATENATE(B137,"_","TR",$B$3,C137,"_",$B$6,"_",G137),AND(D137="SECT",C137="AT"),CONCATENATE(B137,"_","TR",$B$3,C137,"_",$B$7,"_",G137),AND(D137="DJ",C137="AT"),CONCATENATE(B137,"_","TR",$B$3,C137,"_",$B$4,"_",G137),AND(D137="DJ",C137="BT"),CONCATENATE(B137,"_","TR",$B$3,C137,"_",$B$8,"_",G137),AND(C137="TR",D137="TR"),CONCATENATE(B137,"_","TR",$B$3,"_","TR",$B$3,"_",G137),AND(D137="SECT",C137="BT"),CONCATENATE(B137,"_","TR",$B$3,C137,"_",$B$11,"_",G137),AND(D137="SECF",C137="BT"),CONCATENATE(B137,"_","TR",$B$3,C137,"_",$B$10,"_",G137),AND(D137="SECC",C137="AT"),CONCATENATE(B137,"_","TR",$B$3,C137,"_",$B$5,"_",G137),AND(C137="AT",D137="TR_A"),CONCATENATE(B137,"_","TR",$B$3,C137,"_","TR",$B$3,C137,"_A","_",G137),AND(C137="AT",D137="TR_P"),CONCATENATE(B137,"_","TR",$B$3,C137,"_","TR",$B$3,C137,"_P","_",G137),AND(C137="BT",D137="TR_A"),CONCATENATE(B137,"_","TR",$B$3,C137,"_","TR",$B$3,C137,"_A","_",G137),AND(C137="BT",D137="TR_P"),CONCATENATE(B137,"_","TR",$B$3,C137,"_","TR",$B$3,C137,"_P","_",G137),AND(C137="TR",D137="TR_P"),CONCATENATE(B137,"_","TR",$B$3,"_","TR",$B$3,"_P","_",G137),AND(C137="TR",D137="TR_A"),CONCATENATE(B137,"_","TR",$B$3,"_","TR",$B$3,"_A","_",G137))</f>
        <v>IMA_TR6AT_TR6AT_P_81E1</v>
      </c>
      <c r="I137" s="6"/>
      <c r="J137" s="6" t="s">
        <v>182</v>
      </c>
      <c r="K137" s="6" t="s">
        <v>179</v>
      </c>
      <c r="L137" s="6" t="s">
        <v>188</v>
      </c>
      <c r="M137" s="6" t="s">
        <v>188</v>
      </c>
      <c r="N137" s="6">
        <f t="shared" si="4"/>
        <v>230</v>
      </c>
    </row>
    <row r="138" spans="1:14" x14ac:dyDescent="0.25">
      <c r="A138" s="6" t="s">
        <v>190</v>
      </c>
      <c r="B138" s="6" t="str">
        <f>Informações!$C$3</f>
        <v>IMA</v>
      </c>
      <c r="C138" s="94" t="s">
        <v>100</v>
      </c>
      <c r="D138" s="97" t="s">
        <v>212</v>
      </c>
      <c r="E138" s="2" t="s">
        <v>25</v>
      </c>
      <c r="F138" s="6" t="str">
        <f>VLOOKUP(G138,[1]Discrete!$A:$B,2,FALSE)</f>
        <v>81 - TRIP SUB/SOBRE FREQUENCIA E2</v>
      </c>
      <c r="G138" s="17" t="s">
        <v>354</v>
      </c>
      <c r="H138" s="6" t="str" cm="1">
        <f t="array" ref="H138">_xlfn.IFS(OR(D138="TC",D138="TP",AND(D138="TR",C138="AT"),AND(D138="TR",C138="BT")),CONCATENATE(B138,"_","TR",$B$3,C138,"_","TR",$B$3,C138,"_",G138),AND(D138="SECC",C138="BT"),CONCATENATE(B138,"_","TR",$B$3,C138,"_",$B$9,"_",G138),AND(D138="SECF",C138="AT"),CONCATENATE(B138,"_","TR",$B$3,C138,"_",$B$6,"_",G138),AND(D138="SECT",C138="AT"),CONCATENATE(B138,"_","TR",$B$3,C138,"_",$B$7,"_",G138),AND(D138="DJ",C138="AT"),CONCATENATE(B138,"_","TR",$B$3,C138,"_",$B$4,"_",G138),AND(D138="DJ",C138="BT"),CONCATENATE(B138,"_","TR",$B$3,C138,"_",$B$8,"_",G138),AND(C138="TR",D138="TR"),CONCATENATE(B138,"_","TR",$B$3,"_","TR",$B$3,"_",G138),AND(D138="SECT",C138="BT"),CONCATENATE(B138,"_","TR",$B$3,C138,"_",$B$11,"_",G138),AND(D138="SECF",C138="BT"),CONCATENATE(B138,"_","TR",$B$3,C138,"_",$B$10,"_",G138),AND(D138="SECC",C138="AT"),CONCATENATE(B138,"_","TR",$B$3,C138,"_",$B$5,"_",G138),AND(C138="AT",D138="TR_A"),CONCATENATE(B138,"_","TR",$B$3,C138,"_","TR",$B$3,C138,"_A","_",G138),AND(C138="AT",D138="TR_P"),CONCATENATE(B138,"_","TR",$B$3,C138,"_","TR",$B$3,C138,"_P","_",G138),AND(C138="BT",D138="TR_A"),CONCATENATE(B138,"_","TR",$B$3,C138,"_","TR",$B$3,C138,"_A","_",G138),AND(C138="BT",D138="TR_P"),CONCATENATE(B138,"_","TR",$B$3,C138,"_","TR",$B$3,C138,"_P","_",G138),AND(C138="TR",D138="TR_P"),CONCATENATE(B138,"_","TR",$B$3,"_","TR",$B$3,"_P","_",G138),AND(C138="TR",D138="TR_A"),CONCATENATE(B138,"_","TR",$B$3,"_","TR",$B$3,"_A","_",G138))</f>
        <v>IMA_TR6AT_TR6AT_P_81E2</v>
      </c>
      <c r="I138" s="6"/>
      <c r="J138" s="6" t="s">
        <v>182</v>
      </c>
      <c r="K138" s="6" t="s">
        <v>179</v>
      </c>
      <c r="L138" s="6" t="s">
        <v>188</v>
      </c>
      <c r="M138" s="6" t="s">
        <v>188</v>
      </c>
      <c r="N138" s="6">
        <f t="shared" si="4"/>
        <v>231</v>
      </c>
    </row>
    <row r="139" spans="1:14" x14ac:dyDescent="0.25">
      <c r="A139" s="6" t="s">
        <v>190</v>
      </c>
      <c r="B139" s="6" t="str">
        <f>Informações!$C$3</f>
        <v>IMA</v>
      </c>
      <c r="C139" s="94" t="s">
        <v>100</v>
      </c>
      <c r="D139" s="97" t="s">
        <v>212</v>
      </c>
      <c r="E139" s="2" t="s">
        <v>25</v>
      </c>
      <c r="F139" s="6" t="str">
        <f>VLOOKUP(G139,[1]Discrete!$A:$B,2,FALSE)</f>
        <v>81 - TRIP SUB/SOBRE FREQUENCIA E3</v>
      </c>
      <c r="G139" s="17" t="s">
        <v>355</v>
      </c>
      <c r="H139" s="6" t="str" cm="1">
        <f t="array" ref="H139">_xlfn.IFS(OR(D139="TC",D139="TP",AND(D139="TR",C139="AT"),AND(D139="TR",C139="BT")),CONCATENATE(B139,"_","TR",$B$3,C139,"_","TR",$B$3,C139,"_",G139),AND(D139="SECC",C139="BT"),CONCATENATE(B139,"_","TR",$B$3,C139,"_",$B$9,"_",G139),AND(D139="SECF",C139="AT"),CONCATENATE(B139,"_","TR",$B$3,C139,"_",$B$6,"_",G139),AND(D139="SECT",C139="AT"),CONCATENATE(B139,"_","TR",$B$3,C139,"_",$B$7,"_",G139),AND(D139="DJ",C139="AT"),CONCATENATE(B139,"_","TR",$B$3,C139,"_",$B$4,"_",G139),AND(D139="DJ",C139="BT"),CONCATENATE(B139,"_","TR",$B$3,C139,"_",$B$8,"_",G139),AND(C139="TR",D139="TR"),CONCATENATE(B139,"_","TR",$B$3,"_","TR",$B$3,"_",G139),AND(D139="SECT",C139="BT"),CONCATENATE(B139,"_","TR",$B$3,C139,"_",$B$11,"_",G139),AND(D139="SECF",C139="BT"),CONCATENATE(B139,"_","TR",$B$3,C139,"_",$B$10,"_",G139),AND(D139="SECC",C139="AT"),CONCATENATE(B139,"_","TR",$B$3,C139,"_",$B$5,"_",G139),AND(C139="AT",D139="TR_A"),CONCATENATE(B139,"_","TR",$B$3,C139,"_","TR",$B$3,C139,"_A","_",G139),AND(C139="AT",D139="TR_P"),CONCATENATE(B139,"_","TR",$B$3,C139,"_","TR",$B$3,C139,"_P","_",G139),AND(C139="BT",D139="TR_A"),CONCATENATE(B139,"_","TR",$B$3,C139,"_","TR",$B$3,C139,"_A","_",G139),AND(C139="BT",D139="TR_P"),CONCATENATE(B139,"_","TR",$B$3,C139,"_","TR",$B$3,C139,"_P","_",G139),AND(C139="TR",D139="TR_P"),CONCATENATE(B139,"_","TR",$B$3,"_","TR",$B$3,"_P","_",G139),AND(C139="TR",D139="TR_A"),CONCATENATE(B139,"_","TR",$B$3,"_","TR",$B$3,"_A","_",G139))</f>
        <v>IMA_TR6AT_TR6AT_P_81E3</v>
      </c>
      <c r="I139" s="6"/>
      <c r="J139" s="6" t="s">
        <v>182</v>
      </c>
      <c r="K139" s="6" t="s">
        <v>179</v>
      </c>
      <c r="L139" s="6" t="s">
        <v>188</v>
      </c>
      <c r="M139" s="6" t="s">
        <v>188</v>
      </c>
      <c r="N139" s="6">
        <f t="shared" si="4"/>
        <v>232</v>
      </c>
    </row>
    <row r="140" spans="1:14" x14ac:dyDescent="0.25">
      <c r="A140" s="6" t="s">
        <v>190</v>
      </c>
      <c r="B140" s="6" t="str">
        <f>Informações!$C$3</f>
        <v>IMA</v>
      </c>
      <c r="C140" s="94" t="s">
        <v>100</v>
      </c>
      <c r="D140" s="97" t="s">
        <v>212</v>
      </c>
      <c r="E140" s="2" t="s">
        <v>25</v>
      </c>
      <c r="F140" s="6" t="str">
        <f>VLOOKUP(G140,[1]Discrete!$A:$B,2,FALSE)</f>
        <v>81 - TRIP SUB/SOBRE FREQUENCIA E4</v>
      </c>
      <c r="G140" s="17" t="s">
        <v>356</v>
      </c>
      <c r="H140" s="6" t="str" cm="1">
        <f t="array" ref="H140">_xlfn.IFS(OR(D140="TC",D140="TP",AND(D140="TR",C140="AT"),AND(D140="TR",C140="BT")),CONCATENATE(B140,"_","TR",$B$3,C140,"_","TR",$B$3,C140,"_",G140),AND(D140="SECC",C140="BT"),CONCATENATE(B140,"_","TR",$B$3,C140,"_",$B$9,"_",G140),AND(D140="SECF",C140="AT"),CONCATENATE(B140,"_","TR",$B$3,C140,"_",$B$6,"_",G140),AND(D140="SECT",C140="AT"),CONCATENATE(B140,"_","TR",$B$3,C140,"_",$B$7,"_",G140),AND(D140="DJ",C140="AT"),CONCATENATE(B140,"_","TR",$B$3,C140,"_",$B$4,"_",G140),AND(D140="DJ",C140="BT"),CONCATENATE(B140,"_","TR",$B$3,C140,"_",$B$8,"_",G140),AND(C140="TR",D140="TR"),CONCATENATE(B140,"_","TR",$B$3,"_","TR",$B$3,"_",G140),AND(D140="SECT",C140="BT"),CONCATENATE(B140,"_","TR",$B$3,C140,"_",$B$11,"_",G140),AND(D140="SECF",C140="BT"),CONCATENATE(B140,"_","TR",$B$3,C140,"_",$B$10,"_",G140),AND(D140="SECC",C140="AT"),CONCATENATE(B140,"_","TR",$B$3,C140,"_",$B$5,"_",G140),AND(C140="AT",D140="TR_A"),CONCATENATE(B140,"_","TR",$B$3,C140,"_","TR",$B$3,C140,"_A","_",G140),AND(C140="AT",D140="TR_P"),CONCATENATE(B140,"_","TR",$B$3,C140,"_","TR",$B$3,C140,"_P","_",G140),AND(C140="BT",D140="TR_A"),CONCATENATE(B140,"_","TR",$B$3,C140,"_","TR",$B$3,C140,"_A","_",G140),AND(C140="BT",D140="TR_P"),CONCATENATE(B140,"_","TR",$B$3,C140,"_","TR",$B$3,C140,"_P","_",G140),AND(C140="TR",D140="TR_P"),CONCATENATE(B140,"_","TR",$B$3,"_","TR",$B$3,"_P","_",G140),AND(C140="TR",D140="TR_A"),CONCATENATE(B140,"_","TR",$B$3,"_","TR",$B$3,"_A","_",G140))</f>
        <v>IMA_TR6AT_TR6AT_P_81E4</v>
      </c>
      <c r="I140" s="6"/>
      <c r="J140" s="6" t="s">
        <v>182</v>
      </c>
      <c r="K140" s="6" t="s">
        <v>179</v>
      </c>
      <c r="L140" s="6" t="s">
        <v>188</v>
      </c>
      <c r="M140" s="6" t="s">
        <v>188</v>
      </c>
      <c r="N140" s="6">
        <f t="shared" si="4"/>
        <v>233</v>
      </c>
    </row>
    <row r="141" spans="1:14" x14ac:dyDescent="0.25">
      <c r="A141" s="6" t="s">
        <v>190</v>
      </c>
      <c r="B141" s="6" t="str">
        <f>Informações!$C$3</f>
        <v>IMA</v>
      </c>
      <c r="C141" s="94" t="s">
        <v>100</v>
      </c>
      <c r="D141" s="97" t="s">
        <v>212</v>
      </c>
      <c r="E141" s="2" t="s">
        <v>25</v>
      </c>
      <c r="F141" s="6" t="s">
        <v>358</v>
      </c>
      <c r="G141" s="17" t="s">
        <v>357</v>
      </c>
      <c r="H141" s="6" t="str" cm="1">
        <f t="array" ref="H141">_xlfn.IFS(OR(D141="TC",D141="TP",AND(D141="TR",C141="AT"),AND(D141="TR",C141="BT")),CONCATENATE(B141,"_","TR",$B$3,C141,"_","TR",$B$3,C141,"_",G141),AND(D141="SECC",C141="BT"),CONCATENATE(B141,"_","TR",$B$3,C141,"_",$B$9,"_",G141),AND(D141="SECF",C141="AT"),CONCATENATE(B141,"_","TR",$B$3,C141,"_",$B$6,"_",G141),AND(D141="SECT",C141="AT"),CONCATENATE(B141,"_","TR",$B$3,C141,"_",$B$7,"_",G141),AND(D141="DJ",C141="AT"),CONCATENATE(B141,"_","TR",$B$3,C141,"_",$B$4,"_",G141),AND(D141="DJ",C141="BT"),CONCATENATE(B141,"_","TR",$B$3,C141,"_",$B$8,"_",G141),AND(C141="TR",D141="TR"),CONCATENATE(B141,"_","TR",$B$3,"_","TR",$B$3,"_",G141),AND(D141="SECT",C141="BT"),CONCATENATE(B141,"_","TR",$B$3,C141,"_",$B$11,"_",G141),AND(D141="SECF",C141="BT"),CONCATENATE(B141,"_","TR",$B$3,C141,"_",$B$10,"_",G141),AND(D141="SECC",C141="AT"),CONCATENATE(B141,"_","TR",$B$3,C141,"_",$B$5,"_",G141),AND(C141="AT",D141="TR_A"),CONCATENATE(B141,"_","TR",$B$3,C141,"_","TR",$B$3,C141,"_A","_",G141),AND(C141="AT",D141="TR_P"),CONCATENATE(B141,"_","TR",$B$3,C141,"_","TR",$B$3,C141,"_P","_",G141),AND(C141="BT",D141="TR_A"),CONCATENATE(B141,"_","TR",$B$3,C141,"_","TR",$B$3,C141,"_A","_",G141),AND(C141="BT",D141="TR_P"),CONCATENATE(B141,"_","TR",$B$3,C141,"_","TR",$B$3,C141,"_P","_",G141),AND(C141="TR",D141="TR_P"),CONCATENATE(B141,"_","TR",$B$3,"_","TR",$B$3,"_P","_",G141),AND(C141="TR",D141="TR_A"),CONCATENATE(B141,"_","TR",$B$3,"_","TR",$B$3,"_A","_",G141))</f>
        <v>IMA_TR6AT_TR6AT_P_81E5</v>
      </c>
      <c r="I141" s="6"/>
      <c r="J141" s="6" t="s">
        <v>182</v>
      </c>
      <c r="K141" s="6" t="s">
        <v>179</v>
      </c>
      <c r="L141" s="6" t="s">
        <v>188</v>
      </c>
      <c r="M141" s="6" t="s">
        <v>188</v>
      </c>
      <c r="N141" s="6">
        <f t="shared" si="4"/>
        <v>234</v>
      </c>
    </row>
    <row r="142" spans="1:14" x14ac:dyDescent="0.25">
      <c r="A142" s="6" t="s">
        <v>190</v>
      </c>
      <c r="B142" s="6" t="str">
        <f>Informações!$C$3</f>
        <v>IMA</v>
      </c>
      <c r="C142" s="94" t="s">
        <v>100</v>
      </c>
      <c r="D142" s="94" t="s">
        <v>212</v>
      </c>
      <c r="E142" s="2" t="s">
        <v>25</v>
      </c>
      <c r="F142" s="94" t="str">
        <f>VLOOKUP(G142,[1]Discrete!$A:$B,2,FALSE)</f>
        <v>62 - FALHA DISJUNTOR BLOQUEIO</v>
      </c>
      <c r="G142" s="6" t="s">
        <v>44</v>
      </c>
      <c r="H142" s="6" t="str" cm="1">
        <f t="array" ref="H142">_xlfn.IFS(OR(D142="TC",D142="TP",AND(D142="TR",C142="AT"),AND(D142="TR",C142="BT")),CONCATENATE(B142,"_","TR",$B$3,C142,"_","TR",$B$3,C142,"_",G142),AND(D142="SECC",C142="BT"),CONCATENATE(B142,"_","TR",$B$3,C142,"_",$B$9,"_",G142),AND(D142="SECF",C142="AT"),CONCATENATE(B142,"_","TR",$B$3,C142,"_",$B$6,"_",G142),AND(D142="SECT",C142="AT"),CONCATENATE(B142,"_","TR",$B$3,C142,"_",$B$7,"_",G142),AND(D142="DJ",C142="AT"),CONCATENATE(B142,"_","TR",$B$3,C142,"_",$B$4,"_",G142),AND(D142="DJ",C142="BT"),CONCATENATE(B142,"_","TR",$B$3,C142,"_",$B$8,"_",G142),AND(C142="TR",D142="TR"),CONCATENATE(B142,"_","TR",$B$3,"_","TR",$B$3,"_",G142),AND(D142="SECT",C142="BT"),CONCATENATE(B142,"_","TR",$B$3,C142,"_",$B$11,"_",G142),AND(D142="SECF",C142="BT"),CONCATENATE(B142,"_","TR",$B$3,C142,"_",$B$10,"_",G142),AND(D142="SECC",C142="AT"),CONCATENATE(B142,"_","TR",$B$3,C142,"_",$B$5,"_",G142),AND(C142="AT",D142="TR_A"),CONCATENATE(B142,"_","TR",$B$3,C142,"_","TR",$B$3,C142,"_A","_",G142),AND(C142="AT",D142="TR_P"),CONCATENATE(B142,"_","TR",$B$3,C142,"_","TR",$B$3,C142,"_P","_",G142),AND(C142="BT",D142="TR_A"),CONCATENATE(B142,"_","TR",$B$3,C142,"_","TR",$B$3,C142,"_A","_",G142),AND(C142="BT",D142="TR_P"),CONCATENATE(B142,"_","TR",$B$3,C142,"_","TR",$B$3,C142,"_P","_",G142),AND(C142="TR",D142="TR_P"),CONCATENATE(B142,"_","TR",$B$3,"_","TR",$B$3,"_P","_",G142),AND(C142="TR",D142="TR_A"),CONCATENATE(B142,"_","TR",$B$3,"_","TR",$B$3,"_A","_",G142))</f>
        <v>IMA_TR6AT_TR6AT_P_62BF</v>
      </c>
      <c r="I142" s="6"/>
      <c r="J142" s="6" t="s">
        <v>182</v>
      </c>
      <c r="K142" s="6" t="s">
        <v>179</v>
      </c>
      <c r="L142" s="6" t="s">
        <v>188</v>
      </c>
      <c r="M142" s="6" t="s">
        <v>188</v>
      </c>
      <c r="N142" s="6">
        <f>N141+1</f>
        <v>235</v>
      </c>
    </row>
    <row r="143" spans="1:14" x14ac:dyDescent="0.25">
      <c r="A143" s="6" t="s">
        <v>190</v>
      </c>
      <c r="B143" s="6" t="str">
        <f>Informações!$C$3</f>
        <v>IMA</v>
      </c>
      <c r="C143" s="94" t="s">
        <v>100</v>
      </c>
      <c r="D143" s="94" t="s">
        <v>211</v>
      </c>
      <c r="E143" s="2" t="s">
        <v>25</v>
      </c>
      <c r="F143" s="94" t="str">
        <f>VLOOKUP(G143,[1]Discrete!$A:$B,2,FALSE)</f>
        <v>62 - FALHA DISJUNTOR BLOQUEIO</v>
      </c>
      <c r="G143" s="6" t="s">
        <v>44</v>
      </c>
      <c r="H143" s="6" t="str" cm="1">
        <f t="array" ref="H143">_xlfn.IFS(OR(D143="TC",D143="TP",AND(D143="TR",C143="AT"),AND(D143="TR",C143="BT")),CONCATENATE(B143,"_","TR",$B$3,C143,"_","TR",$B$3,C143,"_",G143),AND(D143="SECC",C143="BT"),CONCATENATE(B143,"_","TR",$B$3,C143,"_",$B$9,"_",G143),AND(D143="SECF",C143="AT"),CONCATENATE(B143,"_","TR",$B$3,C143,"_",$B$6,"_",G143),AND(D143="SECT",C143="AT"),CONCATENATE(B143,"_","TR",$B$3,C143,"_",$B$7,"_",G143),AND(D143="DJ",C143="AT"),CONCATENATE(B143,"_","TR",$B$3,C143,"_",$B$4,"_",G143),AND(D143="DJ",C143="BT"),CONCATENATE(B143,"_","TR",$B$3,C143,"_",$B$8,"_",G143),AND(C143="TR",D143="TR"),CONCATENATE(B143,"_","TR",$B$3,"_","TR",$B$3,"_",G143),AND(D143="SECT",C143="BT"),CONCATENATE(B143,"_","TR",$B$3,C143,"_",$B$11,"_",G143),AND(D143="SECF",C143="BT"),CONCATENATE(B143,"_","TR",$B$3,C143,"_",$B$10,"_",G143),AND(D143="SECC",C143="AT"),CONCATENATE(B143,"_","TR",$B$3,C143,"_",$B$5,"_",G143),AND(C143="AT",D143="TR_A"),CONCATENATE(B143,"_","TR",$B$3,C143,"_","TR",$B$3,C143,"_A","_",G143),AND(C143="AT",D143="TR_P"),CONCATENATE(B143,"_","TR",$B$3,C143,"_","TR",$B$3,C143,"_P","_",G143),AND(C143="BT",D143="TR_A"),CONCATENATE(B143,"_","TR",$B$3,C143,"_","TR",$B$3,C143,"_A","_",G143),AND(C143="BT",D143="TR_P"),CONCATENATE(B143,"_","TR",$B$3,C143,"_","TR",$B$3,C143,"_P","_",G143),AND(C143="TR",D143="TR_P"),CONCATENATE(B143,"_","TR",$B$3,"_","TR",$B$3,"_P","_",G143),AND(C143="TR",D143="TR_A"),CONCATENATE(B143,"_","TR",$B$3,"_","TR",$B$3,"_A","_",G143))</f>
        <v>IMA_TR6AT_TR6AT_A_62BF</v>
      </c>
      <c r="I143" s="6"/>
      <c r="J143" s="6" t="s">
        <v>182</v>
      </c>
      <c r="K143" s="6" t="s">
        <v>179</v>
      </c>
      <c r="L143" s="6" t="s">
        <v>188</v>
      </c>
      <c r="M143" s="6" t="s">
        <v>188</v>
      </c>
      <c r="N143" s="6">
        <f>N142+1</f>
        <v>236</v>
      </c>
    </row>
    <row r="144" spans="1:14" x14ac:dyDescent="0.25">
      <c r="A144" s="6" t="s">
        <v>190</v>
      </c>
      <c r="B144" s="6" t="str">
        <f>Informações!$C$3</f>
        <v>IMA</v>
      </c>
      <c r="C144" s="94" t="s">
        <v>102</v>
      </c>
      <c r="D144" s="94" t="s">
        <v>211</v>
      </c>
      <c r="E144" s="2" t="s">
        <v>25</v>
      </c>
      <c r="F144" s="6" t="e">
        <f>VLOOKUP(G144,[1]Discrete!$A:$B,2,FALSE)</f>
        <v>#N/A</v>
      </c>
      <c r="G144" s="6">
        <v>86</v>
      </c>
      <c r="H144" s="6" t="str" cm="1">
        <f t="array" ref="H144">_xlfn.IFS(OR(D144="TC",D144="TP",AND(D144="TR",C144="AT"),AND(D144="TR",C144="BT")),CONCATENATE(B144,"_","TR",$B$3,C144,"_","TR",$B$3,C144,"_",G144),AND(D144="SECC",C144="BT"),CONCATENATE(B144,"_","TR",$B$3,C144,"_",$B$9,"_",G144),AND(D144="SECF",C144="AT"),CONCATENATE(B144,"_","TR",$B$3,C144,"_",$B$6,"_",G144),AND(D144="SECT",C144="AT"),CONCATENATE(B144,"_","TR",$B$3,C144,"_",$B$7,"_",G144),AND(D144="DJ",C144="AT"),CONCATENATE(B144,"_","TR",$B$3,C144,"_",$B$4,"_",G144),AND(D144="DJ",C144="BT"),CONCATENATE(B144,"_","TR",$B$3,C144,"_",$B$8,"_",G144),AND(C144="TR",D144="TR"),CONCATENATE(B144,"_","TR",$B$3,"_","TR",$B$3,"_",G144),AND(D144="SECT",C144="BT"),CONCATENATE(B144,"_","TR",$B$3,C144,"_",$B$11,"_",G144),AND(D144="SECF",C144="BT"),CONCATENATE(B144,"_","TR",$B$3,C144,"_",$B$10,"_",G144),AND(D144="SECC",C144="AT"),CONCATENATE(B144,"_","TR",$B$3,C144,"_",$B$5,"_",G144),AND(C144="AT",D144="TR_A"),CONCATENATE(B144,"_","TR",$B$3,C144,"_","TR",$B$3,C144,"_A","_",G144),AND(C144="AT",D144="TR_P"),CONCATENATE(B144,"_","TR",$B$3,C144,"_","TR",$B$3,C144,"_P","_",G144),AND(C144="BT",D144="TR_A"),CONCATENATE(B144,"_","TR",$B$3,C144,"_","TR",$B$3,C144,"_A","_",G144),AND(C144="BT",D144="TR_P"),CONCATENATE(B144,"_","TR",$B$3,C144,"_","TR",$B$3,C144,"_P","_",G144),AND(C144="TR",D144="TR_P"),CONCATENATE(B144,"_","TR",$B$3,"_","TR",$B$3,"_P","_",G144),AND(C144="TR",D144="TR_A"),CONCATENATE(B144,"_","TR",$B$3,"_","TR",$B$3,"_A","_",G144))</f>
        <v>IMA_TR6_TR6_A_86</v>
      </c>
      <c r="I144" s="6"/>
      <c r="J144" s="6" t="s">
        <v>182</v>
      </c>
      <c r="K144" s="6" t="s">
        <v>179</v>
      </c>
      <c r="L144" s="6" t="s">
        <v>188</v>
      </c>
      <c r="M144" s="6" t="s">
        <v>188</v>
      </c>
      <c r="N144" s="6">
        <f t="shared" si="4"/>
        <v>237</v>
      </c>
    </row>
    <row r="145" spans="1:14" x14ac:dyDescent="0.25">
      <c r="A145" s="93" t="s">
        <v>191</v>
      </c>
      <c r="B145" s="6" t="str">
        <f>Informações!$C$3</f>
        <v>IMA</v>
      </c>
      <c r="C145" s="6" t="s">
        <v>102</v>
      </c>
      <c r="D145" s="6" t="s">
        <v>102</v>
      </c>
      <c r="E145" s="2" t="s">
        <v>25</v>
      </c>
      <c r="F145" s="93" t="str">
        <f>VLOOKUP(G145,[1]Discrete!$A:$B,2,FALSE)</f>
        <v>20 - ALARME VALVULA TRAFO</v>
      </c>
      <c r="G145" s="6" t="s">
        <v>113</v>
      </c>
      <c r="H145" s="6" t="str" cm="1">
        <f t="array" ref="H145">_xlfn.IFS(OR(D145="TC",D145="TP",AND(D145="TR",C145="AT"),AND(D145="TR",C145="BT")),CONCATENATE(B145,"_","TR",$B$3,C145,"_","TR",$B$3,C145,"_",G145),AND(D145="SECC",C145="BT"),CONCATENATE(B145,"_","TR",$B$3,C145,"_",$B$9,"_",G145),AND(D145="SECF",C145="AT"),CONCATENATE(B145,"_","TR",$B$3,C145,"_",$B$6,"_",G145),AND(D145="SECT",C145="AT"),CONCATENATE(B145,"_","TR",$B$3,C145,"_",$B$7,"_",G145),AND(D145="DJ",C145="AT"),CONCATENATE(B145,"_","TR",$B$3,C145,"_",$B$4,"_",G145),AND(D145="DJ",C145="BT"),CONCATENATE(B145,"_","TR",$B$3,C145,"_",$B$8,"_",G145),AND(C145="TR",D145="TR"),CONCATENATE(B145,"_","TR",$B$3,"_","TR",$B$3,"_",G145),AND(D145="SECT",C145="BT"),CONCATENATE(B145,"_","TR",$B$3,C145,"_",$B$11,"_",G145),AND(D145="SECF",C145="BT"),CONCATENATE(B145,"_","TR",$B$3,C145,"_",$B$10,"_",G145),AND(D145="SECC",C145="AT"),CONCATENATE(B145,"_","TR",$B$3,C145,"_",$B$5,"_",G145),AND(C145="AT",D145="TR_A"),CONCATENATE(B145,"_","TR",$B$3,C145,"_","TR",$B$3,C145,"_A","_",G145),AND(C145="AT",D145="TR_P"),CONCATENATE(B145,"_","TR",$B$3,C145,"_","TR",$B$3,C145,"_P","_",G145),AND(C145="BT",D145="TR_A"),CONCATENATE(B145,"_","TR",$B$3,C145,"_","TR",$B$3,C145,"_A","_",G145),AND(C145="BT",D145="TR_P"),CONCATENATE(B145,"_","TR",$B$3,C145,"_","TR",$B$3,C145,"_P","_",G145),AND(C145="TR",D145="TR_P"),CONCATENATE(B145,"_","TR",$B$3,"_","TR",$B$3,"_P","_",G145),AND(C145="TR",D145="TR_A"),CONCATENATE(B145,"_","TR",$B$3,"_","TR",$B$3,"_A","_",G145))</f>
        <v>IMA_TR6_TR6_20TA</v>
      </c>
      <c r="I145" s="6"/>
      <c r="J145" s="6" t="s">
        <v>182</v>
      </c>
      <c r="K145" s="6" t="s">
        <v>179</v>
      </c>
      <c r="L145" s="6" t="s">
        <v>188</v>
      </c>
      <c r="M145" s="6" t="s">
        <v>188</v>
      </c>
      <c r="N145" s="93">
        <f t="shared" si="4"/>
        <v>238</v>
      </c>
    </row>
    <row r="146" spans="1:14" x14ac:dyDescent="0.25">
      <c r="A146" s="6" t="s">
        <v>190</v>
      </c>
      <c r="B146" s="6" t="str">
        <f>Informações!$C$3</f>
        <v>IMA</v>
      </c>
      <c r="C146" s="6" t="s">
        <v>102</v>
      </c>
      <c r="D146" s="6" t="s">
        <v>102</v>
      </c>
      <c r="E146" s="2" t="s">
        <v>25</v>
      </c>
      <c r="F146" s="6" t="str">
        <f>VLOOKUP(G146,[1]Discrete!$A:$B,2,FALSE)</f>
        <v xml:space="preserve">20 - TRIP VALVULA TRAFO </v>
      </c>
      <c r="G146" s="6" t="s">
        <v>114</v>
      </c>
      <c r="H146" s="6" t="str" cm="1">
        <f t="array" ref="H146">_xlfn.IFS(OR(D146="TC",D146="TP",AND(D146="TR",C146="AT"),AND(D146="TR",C146="BT")),CONCATENATE(B146,"_","TR",$B$3,C146,"_","TR",$B$3,C146,"_",G146),AND(D146="SECC",C146="BT"),CONCATENATE(B146,"_","TR",$B$3,C146,"_",$B$9,"_",G146),AND(D146="SECF",C146="AT"),CONCATENATE(B146,"_","TR",$B$3,C146,"_",$B$6,"_",G146),AND(D146="SECT",C146="AT"),CONCATENATE(B146,"_","TR",$B$3,C146,"_",$B$7,"_",G146),AND(D146="DJ",C146="AT"),CONCATENATE(B146,"_","TR",$B$3,C146,"_",$B$4,"_",G146),AND(D146="DJ",C146="BT"),CONCATENATE(B146,"_","TR",$B$3,C146,"_",$B$8,"_",G146),AND(C146="TR",D146="TR"),CONCATENATE(B146,"_","TR",$B$3,"_","TR",$B$3,"_",G146),AND(D146="SECT",C146="BT"),CONCATENATE(B146,"_","TR",$B$3,C146,"_",$B$11,"_",G146),AND(D146="SECF",C146="BT"),CONCATENATE(B146,"_","TR",$B$3,C146,"_",$B$10,"_",G146),AND(D146="SECC",C146="AT"),CONCATENATE(B146,"_","TR",$B$3,C146,"_",$B$5,"_",G146),AND(C146="AT",D146="TR_A"),CONCATENATE(B146,"_","TR",$B$3,C146,"_","TR",$B$3,C146,"_A","_",G146),AND(C146="AT",D146="TR_P"),CONCATENATE(B146,"_","TR",$B$3,C146,"_","TR",$B$3,C146,"_P","_",G146),AND(C146="BT",D146="TR_A"),CONCATENATE(B146,"_","TR",$B$3,C146,"_","TR",$B$3,C146,"_A","_",G146),AND(C146="BT",D146="TR_P"),CONCATENATE(B146,"_","TR",$B$3,C146,"_","TR",$B$3,C146,"_P","_",G146),AND(C146="TR",D146="TR_P"),CONCATENATE(B146,"_","TR",$B$3,"_","TR",$B$3,"_P","_",G146),AND(C146="TR",D146="TR_A"),CONCATENATE(B146,"_","TR",$B$3,"_","TR",$B$3,"_A","_",G146))</f>
        <v>IMA_TR6_TR6_20TD</v>
      </c>
      <c r="I146" s="6"/>
      <c r="J146" s="6" t="s">
        <v>182</v>
      </c>
      <c r="K146" s="6" t="s">
        <v>179</v>
      </c>
      <c r="L146" s="6" t="s">
        <v>188</v>
      </c>
      <c r="M146" s="6" t="s">
        <v>188</v>
      </c>
      <c r="N146" s="6">
        <f t="shared" si="4"/>
        <v>239</v>
      </c>
    </row>
    <row r="147" spans="1:14" x14ac:dyDescent="0.25">
      <c r="A147" s="93" t="s">
        <v>191</v>
      </c>
      <c r="B147" s="6" t="str">
        <f>Informações!$C$3</f>
        <v>IMA</v>
      </c>
      <c r="C147" s="6" t="s">
        <v>102</v>
      </c>
      <c r="D147" s="6" t="s">
        <v>102</v>
      </c>
      <c r="E147" s="2" t="s">
        <v>25</v>
      </c>
      <c r="F147" s="93" t="str">
        <f>VLOOKUP(G147,[1]Discrete!$A:$B,2,FALSE)</f>
        <v xml:space="preserve">20 - ALARME VALVULA CDC          </v>
      </c>
      <c r="G147" s="6" t="s">
        <v>115</v>
      </c>
      <c r="H147" s="6" t="str" cm="1">
        <f t="array" ref="H147">_xlfn.IFS(OR(D147="TC",D147="TP",AND(D147="TR",C147="AT"),AND(D147="TR",C147="BT")),CONCATENATE(B147,"_","TR",$B$3,C147,"_","TR",$B$3,C147,"_",G147),AND(D147="SECC",C147="BT"),CONCATENATE(B147,"_","TR",$B$3,C147,"_",$B$9,"_",G147),AND(D147="SECF",C147="AT"),CONCATENATE(B147,"_","TR",$B$3,C147,"_",$B$6,"_",G147),AND(D147="SECT",C147="AT"),CONCATENATE(B147,"_","TR",$B$3,C147,"_",$B$7,"_",G147),AND(D147="DJ",C147="AT"),CONCATENATE(B147,"_","TR",$B$3,C147,"_",$B$4,"_",G147),AND(D147="DJ",C147="BT"),CONCATENATE(B147,"_","TR",$B$3,C147,"_",$B$8,"_",G147),AND(C147="TR",D147="TR"),CONCATENATE(B147,"_","TR",$B$3,"_","TR",$B$3,"_",G147),AND(D147="SECT",C147="BT"),CONCATENATE(B147,"_","TR",$B$3,C147,"_",$B$11,"_",G147),AND(D147="SECF",C147="BT"),CONCATENATE(B147,"_","TR",$B$3,C147,"_",$B$10,"_",G147),AND(D147="SECC",C147="AT"),CONCATENATE(B147,"_","TR",$B$3,C147,"_",$B$5,"_",G147),AND(C147="AT",D147="TR_A"),CONCATENATE(B147,"_","TR",$B$3,C147,"_","TR",$B$3,C147,"_A","_",G147),AND(C147="AT",D147="TR_P"),CONCATENATE(B147,"_","TR",$B$3,C147,"_","TR",$B$3,C147,"_P","_",G147),AND(C147="BT",D147="TR_A"),CONCATENATE(B147,"_","TR",$B$3,C147,"_","TR",$B$3,C147,"_A","_",G147),AND(C147="BT",D147="TR_P"),CONCATENATE(B147,"_","TR",$B$3,C147,"_","TR",$B$3,C147,"_P","_",G147),AND(C147="TR",D147="TR_P"),CONCATENATE(B147,"_","TR",$B$3,"_","TR",$B$3,"_P","_",G147),AND(C147="TR",D147="TR_A"),CONCATENATE(B147,"_","TR",$B$3,"_","TR",$B$3,"_A","_",G147))</f>
        <v>IMA_TR6_TR6_20CA</v>
      </c>
      <c r="I147" s="6"/>
      <c r="J147" s="6" t="s">
        <v>182</v>
      </c>
      <c r="K147" s="6" t="s">
        <v>179</v>
      </c>
      <c r="L147" s="6" t="s">
        <v>188</v>
      </c>
      <c r="M147" s="6" t="s">
        <v>188</v>
      </c>
      <c r="N147" s="93">
        <f t="shared" si="4"/>
        <v>240</v>
      </c>
    </row>
    <row r="148" spans="1:14" x14ac:dyDescent="0.25">
      <c r="A148" s="6" t="s">
        <v>190</v>
      </c>
      <c r="B148" s="6" t="str">
        <f>Informações!$C$3</f>
        <v>IMA</v>
      </c>
      <c r="C148" s="6" t="s">
        <v>102</v>
      </c>
      <c r="D148" s="6" t="s">
        <v>102</v>
      </c>
      <c r="E148" s="2" t="s">
        <v>25</v>
      </c>
      <c r="F148" s="6" t="str">
        <f>VLOOKUP(G148,[1]Discrete!$A:$B,2,FALSE)</f>
        <v>20 - TRIP VALVULA CDC</v>
      </c>
      <c r="G148" s="6" t="s">
        <v>116</v>
      </c>
      <c r="H148" s="6" t="str" cm="1">
        <f t="array" ref="H148">_xlfn.IFS(OR(D148="TC",D148="TP",AND(D148="TR",C148="AT"),AND(D148="TR",C148="BT")),CONCATENATE(B148,"_","TR",$B$3,C148,"_","TR",$B$3,C148,"_",G148),AND(D148="SECC",C148="BT"),CONCATENATE(B148,"_","TR",$B$3,C148,"_",$B$9,"_",G148),AND(D148="SECF",C148="AT"),CONCATENATE(B148,"_","TR",$B$3,C148,"_",$B$6,"_",G148),AND(D148="SECT",C148="AT"),CONCATENATE(B148,"_","TR",$B$3,C148,"_",$B$7,"_",G148),AND(D148="DJ",C148="AT"),CONCATENATE(B148,"_","TR",$B$3,C148,"_",$B$4,"_",G148),AND(D148="DJ",C148="BT"),CONCATENATE(B148,"_","TR",$B$3,C148,"_",$B$8,"_",G148),AND(C148="TR",D148="TR"),CONCATENATE(B148,"_","TR",$B$3,"_","TR",$B$3,"_",G148),AND(D148="SECT",C148="BT"),CONCATENATE(B148,"_","TR",$B$3,C148,"_",$B$11,"_",G148),AND(D148="SECF",C148="BT"),CONCATENATE(B148,"_","TR",$B$3,C148,"_",$B$10,"_",G148),AND(D148="SECC",C148="AT"),CONCATENATE(B148,"_","TR",$B$3,C148,"_",$B$5,"_",G148),AND(C148="AT",D148="TR_A"),CONCATENATE(B148,"_","TR",$B$3,C148,"_","TR",$B$3,C148,"_A","_",G148),AND(C148="AT",D148="TR_P"),CONCATENATE(B148,"_","TR",$B$3,C148,"_","TR",$B$3,C148,"_P","_",G148),AND(C148="BT",D148="TR_A"),CONCATENATE(B148,"_","TR",$B$3,C148,"_","TR",$B$3,C148,"_A","_",G148),AND(C148="BT",D148="TR_P"),CONCATENATE(B148,"_","TR",$B$3,C148,"_","TR",$B$3,C148,"_P","_",G148),AND(C148="TR",D148="TR_P"),CONCATENATE(B148,"_","TR",$B$3,"_","TR",$B$3,"_P","_",G148),AND(C148="TR",D148="TR_A"),CONCATENATE(B148,"_","TR",$B$3,"_","TR",$B$3,"_A","_",G148))</f>
        <v>IMA_TR6_TR6_20CD</v>
      </c>
      <c r="I148" s="6"/>
      <c r="J148" s="6" t="s">
        <v>182</v>
      </c>
      <c r="K148" s="6" t="s">
        <v>179</v>
      </c>
      <c r="L148" s="6" t="s">
        <v>188</v>
      </c>
      <c r="M148" s="6" t="s">
        <v>188</v>
      </c>
      <c r="N148" s="6">
        <f t="shared" si="4"/>
        <v>241</v>
      </c>
    </row>
    <row r="149" spans="1:14" x14ac:dyDescent="0.25">
      <c r="A149" s="6" t="s">
        <v>190</v>
      </c>
      <c r="B149" s="6" t="str">
        <f>Informações!$C$3</f>
        <v>IMA</v>
      </c>
      <c r="C149" s="6" t="s">
        <v>102</v>
      </c>
      <c r="D149" s="6" t="s">
        <v>102</v>
      </c>
      <c r="E149" s="2" t="s">
        <v>25</v>
      </c>
      <c r="F149" s="6" t="str">
        <f>VLOOKUP(G149,[1]Discrete!$A:$B,2,FALSE)</f>
        <v>43 - CHAVE TELECOMANDO</v>
      </c>
      <c r="G149" s="6" t="s">
        <v>40</v>
      </c>
      <c r="H149" s="6" t="str" cm="1">
        <f t="array" ref="H149">_xlfn.IFS(OR(D149="TC",D149="TP",AND(D149="TR",C149="AT"),AND(D149="TR",C149="BT")),CONCATENATE(B149,"_","TR",$B$3,C149,"_","TR",$B$3,C149,"_",G149),AND(D149="SECC",C149="BT"),CONCATENATE(B149,"_","TR",$B$3,C149,"_",$B$9,"_",G149),AND(D149="SECF",C149="AT"),CONCATENATE(B149,"_","TR",$B$3,C149,"_",$B$6,"_",G149),AND(D149="SECT",C149="AT"),CONCATENATE(B149,"_","TR",$B$3,C149,"_",$B$7,"_",G149),AND(D149="DJ",C149="AT"),CONCATENATE(B149,"_","TR",$B$3,C149,"_",$B$4,"_",G149),AND(D149="DJ",C149="BT"),CONCATENATE(B149,"_","TR",$B$3,C149,"_",$B$8,"_",G149),AND(C149="TR",D149="TR"),CONCATENATE(B149,"_","TR",$B$3,"_","TR",$B$3,"_",G149),AND(D149="SECT",C149="BT"),CONCATENATE(B149,"_","TR",$B$3,C149,"_",$B$11,"_",G149),AND(D149="SECF",C149="BT"),CONCATENATE(B149,"_","TR",$B$3,C149,"_",$B$10,"_",G149),AND(D149="SECC",C149="AT"),CONCATENATE(B149,"_","TR",$B$3,C149,"_",$B$5,"_",G149),AND(C149="AT",D149="TR_A"),CONCATENATE(B149,"_","TR",$B$3,C149,"_","TR",$B$3,C149,"_A","_",G149),AND(C149="AT",D149="TR_P"),CONCATENATE(B149,"_","TR",$B$3,C149,"_","TR",$B$3,C149,"_P","_",G149),AND(C149="BT",D149="TR_A"),CONCATENATE(B149,"_","TR",$B$3,C149,"_","TR",$B$3,C149,"_A","_",G149),AND(C149="BT",D149="TR_P"),CONCATENATE(B149,"_","TR",$B$3,C149,"_","TR",$B$3,C149,"_P","_",G149),AND(C149="TR",D149="TR_P"),CONCATENATE(B149,"_","TR",$B$3,"_","TR",$B$3,"_P","_",G149),AND(C149="TR",D149="TR_A"),CONCATENATE(B149,"_","TR",$B$3,"_","TR",$B$3,"_A","_",G149))</f>
        <v>IMA_TR6_TR6_43TC</v>
      </c>
      <c r="I149" s="6"/>
      <c r="J149" s="94" t="s">
        <v>183</v>
      </c>
      <c r="K149" s="94" t="s">
        <v>184</v>
      </c>
      <c r="L149" s="6" t="s">
        <v>188</v>
      </c>
      <c r="M149" s="6" t="s">
        <v>188</v>
      </c>
      <c r="N149" s="6">
        <f t="shared" si="4"/>
        <v>242</v>
      </c>
    </row>
    <row r="150" spans="1:14" x14ac:dyDescent="0.25">
      <c r="A150" s="93" t="s">
        <v>191</v>
      </c>
      <c r="B150" s="6" t="str">
        <f>Informações!$C$3</f>
        <v>IMA</v>
      </c>
      <c r="C150" s="6" t="s">
        <v>102</v>
      </c>
      <c r="D150" s="6" t="s">
        <v>102</v>
      </c>
      <c r="E150" s="2" t="s">
        <v>25</v>
      </c>
      <c r="F150" s="93" t="str">
        <f>VLOOKUP(G150,[1]Discrete!$A:$B,2,FALSE)</f>
        <v xml:space="preserve">63 - ALARME BUCHHOLZ CDC  </v>
      </c>
      <c r="G150" s="6" t="s">
        <v>123</v>
      </c>
      <c r="H150" s="6" t="str" cm="1">
        <f t="array" ref="H150">_xlfn.IFS(OR(D150="TC",D150="TP",AND(D150="TR",C150="AT"),AND(D150="TR",C150="BT")),CONCATENATE(B150,"_","TR",$B$3,C150,"_","TR",$B$3,C150,"_",G150),AND(D150="SECC",C150="BT"),CONCATENATE(B150,"_","TR",$B$3,C150,"_",$B$9,"_",G150),AND(D150="SECF",C150="AT"),CONCATENATE(B150,"_","TR",$B$3,C150,"_",$B$6,"_",G150),AND(D150="SECT",C150="AT"),CONCATENATE(B150,"_","TR",$B$3,C150,"_",$B$7,"_",G150),AND(D150="DJ",C150="AT"),CONCATENATE(B150,"_","TR",$B$3,C150,"_",$B$4,"_",G150),AND(D150="DJ",C150="BT"),CONCATENATE(B150,"_","TR",$B$3,C150,"_",$B$8,"_",G150),AND(C150="TR",D150="TR"),CONCATENATE(B150,"_","TR",$B$3,"_","TR",$B$3,"_",G150),AND(D150="SECT",C150="BT"),CONCATENATE(B150,"_","TR",$B$3,C150,"_",$B$11,"_",G150),AND(D150="SECF",C150="BT"),CONCATENATE(B150,"_","TR",$B$3,C150,"_",$B$10,"_",G150),AND(D150="SECC",C150="AT"),CONCATENATE(B150,"_","TR",$B$3,C150,"_",$B$5,"_",G150),AND(C150="AT",D150="TR_A"),CONCATENATE(B150,"_","TR",$B$3,C150,"_","TR",$B$3,C150,"_A","_",G150),AND(C150="AT",D150="TR_P"),CONCATENATE(B150,"_","TR",$B$3,C150,"_","TR",$B$3,C150,"_P","_",G150),AND(C150="BT",D150="TR_A"),CONCATENATE(B150,"_","TR",$B$3,C150,"_","TR",$B$3,C150,"_A","_",G150),AND(C150="BT",D150="TR_P"),CONCATENATE(B150,"_","TR",$B$3,C150,"_","TR",$B$3,C150,"_P","_",G150),AND(C150="TR",D150="TR_P"),CONCATENATE(B150,"_","TR",$B$3,"_","TR",$B$3,"_P","_",G150),AND(C150="TR",D150="TR_A"),CONCATENATE(B150,"_","TR",$B$3,"_","TR",$B$3,"_A","_",G150))</f>
        <v>IMA_TR6_TR6_63CA</v>
      </c>
      <c r="I150" s="6"/>
      <c r="J150" s="6" t="s">
        <v>182</v>
      </c>
      <c r="K150" s="6" t="s">
        <v>179</v>
      </c>
      <c r="L150" s="6" t="s">
        <v>188</v>
      </c>
      <c r="M150" s="6" t="s">
        <v>188</v>
      </c>
      <c r="N150" s="93">
        <f t="shared" si="4"/>
        <v>243</v>
      </c>
    </row>
    <row r="151" spans="1:14" x14ac:dyDescent="0.25">
      <c r="A151" s="93" t="s">
        <v>191</v>
      </c>
      <c r="B151" s="6" t="str">
        <f>Informações!$C$3</f>
        <v>IMA</v>
      </c>
      <c r="C151" s="6" t="s">
        <v>102</v>
      </c>
      <c r="D151" s="6" t="s">
        <v>102</v>
      </c>
      <c r="E151" s="2" t="s">
        <v>25</v>
      </c>
      <c r="F151" s="93" t="str">
        <f>VLOOKUP(G151,[1]Discrete!$A:$B,2,FALSE)</f>
        <v>63 - BUCHHOLZ CDC</v>
      </c>
      <c r="G151" s="6" t="s">
        <v>124</v>
      </c>
      <c r="H151" s="6" t="str" cm="1">
        <f t="array" ref="H151">_xlfn.IFS(OR(D151="TC",D151="TP",AND(D151="TR",C151="AT"),AND(D151="TR",C151="BT")),CONCATENATE(B151,"_","TR",$B$3,C151,"_","TR",$B$3,C151,"_",G151),AND(D151="SECC",C151="BT"),CONCATENATE(B151,"_","TR",$B$3,C151,"_",$B$9,"_",G151),AND(D151="SECF",C151="AT"),CONCATENATE(B151,"_","TR",$B$3,C151,"_",$B$6,"_",G151),AND(D151="SECT",C151="AT"),CONCATENATE(B151,"_","TR",$B$3,C151,"_",$B$7,"_",G151),AND(D151="DJ",C151="AT"),CONCATENATE(B151,"_","TR",$B$3,C151,"_",$B$4,"_",G151),AND(D151="DJ",C151="BT"),CONCATENATE(B151,"_","TR",$B$3,C151,"_",$B$8,"_",G151),AND(C151="TR",D151="TR"),CONCATENATE(B151,"_","TR",$B$3,"_","TR",$B$3,"_",G151),AND(D151="SECT",C151="BT"),CONCATENATE(B151,"_","TR",$B$3,C151,"_",$B$11,"_",G151),AND(D151="SECF",C151="BT"),CONCATENATE(B151,"_","TR",$B$3,C151,"_",$B$10,"_",G151),AND(D151="SECC",C151="AT"),CONCATENATE(B151,"_","TR",$B$3,C151,"_",$B$5,"_",G151),AND(C151="AT",D151="TR_A"),CONCATENATE(B151,"_","TR",$B$3,C151,"_","TR",$B$3,C151,"_A","_",G151),AND(C151="AT",D151="TR_P"),CONCATENATE(B151,"_","TR",$B$3,C151,"_","TR",$B$3,C151,"_P","_",G151),AND(C151="BT",D151="TR_A"),CONCATENATE(B151,"_","TR",$B$3,C151,"_","TR",$B$3,C151,"_A","_",G151),AND(C151="BT",D151="TR_P"),CONCATENATE(B151,"_","TR",$B$3,C151,"_","TR",$B$3,C151,"_P","_",G151),AND(C151="TR",D151="TR_P"),CONCATENATE(B151,"_","TR",$B$3,"_","TR",$B$3,"_P","_",G151),AND(C151="TR",D151="TR_A"),CONCATENATE(B151,"_","TR",$B$3,"_","TR",$B$3,"_A","_",G151))</f>
        <v>IMA_TR6_TR6_63C</v>
      </c>
      <c r="I151" s="6"/>
      <c r="J151" s="6" t="s">
        <v>182</v>
      </c>
      <c r="K151" s="6" t="s">
        <v>179</v>
      </c>
      <c r="L151" s="6" t="s">
        <v>188</v>
      </c>
      <c r="M151" s="6" t="s">
        <v>188</v>
      </c>
      <c r="N151" s="93">
        <f t="shared" si="4"/>
        <v>244</v>
      </c>
    </row>
    <row r="152" spans="1:14" x14ac:dyDescent="0.25">
      <c r="A152" s="6" t="s">
        <v>190</v>
      </c>
      <c r="B152" s="6" t="str">
        <f>Informações!$C$3</f>
        <v>IMA</v>
      </c>
      <c r="C152" s="6" t="s">
        <v>102</v>
      </c>
      <c r="D152" s="6" t="s">
        <v>102</v>
      </c>
      <c r="E152" s="2" t="s">
        <v>25</v>
      </c>
      <c r="F152" s="6" t="str">
        <f>VLOOKUP(G152,[1]Discrete!$A:$B,2,FALSE)</f>
        <v xml:space="preserve">63 - ALARME BUCHHOLZ TRAFO  </v>
      </c>
      <c r="G152" s="6" t="s">
        <v>125</v>
      </c>
      <c r="H152" s="6" t="str" cm="1">
        <f t="array" ref="H152">_xlfn.IFS(OR(D152="TC",D152="TP",AND(D152="TR",C152="AT"),AND(D152="TR",C152="BT")),CONCATENATE(B152,"_","TR",$B$3,C152,"_","TR",$B$3,C152,"_",G152),AND(D152="SECC",C152="BT"),CONCATENATE(B152,"_","TR",$B$3,C152,"_",$B$9,"_",G152),AND(D152="SECF",C152="AT"),CONCATENATE(B152,"_","TR",$B$3,C152,"_",$B$6,"_",G152),AND(D152="SECT",C152="AT"),CONCATENATE(B152,"_","TR",$B$3,C152,"_",$B$7,"_",G152),AND(D152="DJ",C152="AT"),CONCATENATE(B152,"_","TR",$B$3,C152,"_",$B$4,"_",G152),AND(D152="DJ",C152="BT"),CONCATENATE(B152,"_","TR",$B$3,C152,"_",$B$8,"_",G152),AND(C152="TR",D152="TR"),CONCATENATE(B152,"_","TR",$B$3,"_","TR",$B$3,"_",G152),AND(D152="SECT",C152="BT"),CONCATENATE(B152,"_","TR",$B$3,C152,"_",$B$11,"_",G152),AND(D152="SECF",C152="BT"),CONCATENATE(B152,"_","TR",$B$3,C152,"_",$B$10,"_",G152),AND(D152="SECC",C152="AT"),CONCATENATE(B152,"_","TR",$B$3,C152,"_",$B$5,"_",G152),AND(C152="AT",D152="TR_A"),CONCATENATE(B152,"_","TR",$B$3,C152,"_","TR",$B$3,C152,"_A","_",G152),AND(C152="AT",D152="TR_P"),CONCATENATE(B152,"_","TR",$B$3,C152,"_","TR",$B$3,C152,"_P","_",G152),AND(C152="BT",D152="TR_A"),CONCATENATE(B152,"_","TR",$B$3,C152,"_","TR",$B$3,C152,"_A","_",G152),AND(C152="BT",D152="TR_P"),CONCATENATE(B152,"_","TR",$B$3,C152,"_","TR",$B$3,C152,"_P","_",G152),AND(C152="TR",D152="TR_P"),CONCATENATE(B152,"_","TR",$B$3,"_","TR",$B$3,"_P","_",G152),AND(C152="TR",D152="TR_A"),CONCATENATE(B152,"_","TR",$B$3,"_","TR",$B$3,"_A","_",G152))</f>
        <v>IMA_TR6_TR6_63TA</v>
      </c>
      <c r="I152" s="6"/>
      <c r="J152" s="6" t="s">
        <v>182</v>
      </c>
      <c r="K152" s="6" t="s">
        <v>179</v>
      </c>
      <c r="L152" s="6" t="s">
        <v>188</v>
      </c>
      <c r="M152" s="6" t="s">
        <v>188</v>
      </c>
      <c r="N152" s="6">
        <f t="shared" si="4"/>
        <v>245</v>
      </c>
    </row>
    <row r="153" spans="1:14" x14ac:dyDescent="0.25">
      <c r="A153" s="6" t="s">
        <v>190</v>
      </c>
      <c r="B153" s="6" t="str">
        <f>Informações!$C$3</f>
        <v>IMA</v>
      </c>
      <c r="C153" s="6" t="s">
        <v>102</v>
      </c>
      <c r="D153" s="6" t="s">
        <v>102</v>
      </c>
      <c r="E153" s="2" t="s">
        <v>25</v>
      </c>
      <c r="F153" s="6" t="str">
        <f>VLOOKUP(G153,[1]Discrete!$A:$B,2,FALSE)</f>
        <v xml:space="preserve">63 - BUCHHOLZ TRAFO  </v>
      </c>
      <c r="G153" s="6" t="s">
        <v>126</v>
      </c>
      <c r="H153" s="6" t="str" cm="1">
        <f t="array" ref="H153">_xlfn.IFS(OR(D153="TC",D153="TP",AND(D153="TR",C153="AT"),AND(D153="TR",C153="BT")),CONCATENATE(B153,"_","TR",$B$3,C153,"_","TR",$B$3,C153,"_",G153),AND(D153="SECC",C153="BT"),CONCATENATE(B153,"_","TR",$B$3,C153,"_",$B$9,"_",G153),AND(D153="SECF",C153="AT"),CONCATENATE(B153,"_","TR",$B$3,C153,"_",$B$6,"_",G153),AND(D153="SECT",C153="AT"),CONCATENATE(B153,"_","TR",$B$3,C153,"_",$B$7,"_",G153),AND(D153="DJ",C153="AT"),CONCATENATE(B153,"_","TR",$B$3,C153,"_",$B$4,"_",G153),AND(D153="DJ",C153="BT"),CONCATENATE(B153,"_","TR",$B$3,C153,"_",$B$8,"_",G153),AND(C153="TR",D153="TR"),CONCATENATE(B153,"_","TR",$B$3,"_","TR",$B$3,"_",G153),AND(D153="SECT",C153="BT"),CONCATENATE(B153,"_","TR",$B$3,C153,"_",$B$11,"_",G153),AND(D153="SECF",C153="BT"),CONCATENATE(B153,"_","TR",$B$3,C153,"_",$B$10,"_",G153),AND(D153="SECC",C153="AT"),CONCATENATE(B153,"_","TR",$B$3,C153,"_",$B$5,"_",G153),AND(C153="AT",D153="TR_A"),CONCATENATE(B153,"_","TR",$B$3,C153,"_","TR",$B$3,C153,"_A","_",G153),AND(C153="AT",D153="TR_P"),CONCATENATE(B153,"_","TR",$B$3,C153,"_","TR",$B$3,C153,"_P","_",G153),AND(C153="BT",D153="TR_A"),CONCATENATE(B153,"_","TR",$B$3,C153,"_","TR",$B$3,C153,"_A","_",G153),AND(C153="BT",D153="TR_P"),CONCATENATE(B153,"_","TR",$B$3,C153,"_","TR",$B$3,C153,"_P","_",G153),AND(C153="TR",D153="TR_P"),CONCATENATE(B153,"_","TR",$B$3,"_","TR",$B$3,"_P","_",G153),AND(C153="TR",D153="TR_A"),CONCATENATE(B153,"_","TR",$B$3,"_","TR",$B$3,"_A","_",G153))</f>
        <v>IMA_TR6_TR6_63T</v>
      </c>
      <c r="I153" s="6"/>
      <c r="J153" s="6" t="s">
        <v>182</v>
      </c>
      <c r="K153" s="6" t="s">
        <v>179</v>
      </c>
      <c r="L153" s="6" t="s">
        <v>188</v>
      </c>
      <c r="M153" s="6" t="s">
        <v>188</v>
      </c>
      <c r="N153" s="6">
        <f t="shared" si="4"/>
        <v>246</v>
      </c>
    </row>
    <row r="154" spans="1:14" x14ac:dyDescent="0.25">
      <c r="A154" s="6" t="s">
        <v>190</v>
      </c>
      <c r="B154" s="6" t="str">
        <f>Informações!$C$3</f>
        <v>IMA</v>
      </c>
      <c r="C154" s="6" t="s">
        <v>102</v>
      </c>
      <c r="D154" s="6" t="s">
        <v>102</v>
      </c>
      <c r="E154" s="2" t="s">
        <v>25</v>
      </c>
      <c r="F154" s="94" t="str">
        <f>VLOOKUP(G154,[1]Discrete!$A:$B,2,FALSE)</f>
        <v>71 - NIVEL ALTO OLEO CDC OU TRAFO</v>
      </c>
      <c r="G154" s="6" t="s">
        <v>712</v>
      </c>
      <c r="H154" s="6" t="str" cm="1">
        <f t="array" ref="H154">_xlfn.IFS(OR(D154="TC",D154="TP",AND(D154="TR",C154="AT"),AND(D154="TR",C154="BT")),CONCATENATE(B154,"_","TR",$B$3,C154,"_","TR",$B$3,C154,"_",G154),AND(D154="SECC",C154="BT"),CONCATENATE(B154,"_","TR",$B$3,C154,"_",$B$9,"_",G154),AND(D154="SECF",C154="AT"),CONCATENATE(B154,"_","TR",$B$3,C154,"_",$B$6,"_",G154),AND(D154="SECT",C154="AT"),CONCATENATE(B154,"_","TR",$B$3,C154,"_",$B$7,"_",G154),AND(D154="DJ",C154="AT"),CONCATENATE(B154,"_","TR",$B$3,C154,"_",$B$4,"_",G154),AND(D154="DJ",C154="BT"),CONCATENATE(B154,"_","TR",$B$3,C154,"_",$B$8,"_",G154),AND(C154="TR",D154="TR"),CONCATENATE(B154,"_","TR",$B$3,"_","TR",$B$3,"_",G154),AND(D154="SECT",C154="BT"),CONCATENATE(B154,"_","TR",$B$3,C154,"_",$B$11,"_",G154),AND(D154="SECF",C154="BT"),CONCATENATE(B154,"_","TR",$B$3,C154,"_",$B$10,"_",G154),AND(D154="SECC",C154="AT"),CONCATENATE(B154,"_","TR",$B$3,C154,"_",$B$5,"_",G154),AND(C154="AT",D154="TR_A"),CONCATENATE(B154,"_","TR",$B$3,C154,"_","TR",$B$3,C154,"_A","_",G154),AND(C154="AT",D154="TR_P"),CONCATENATE(B154,"_","TR",$B$3,C154,"_","TR",$B$3,C154,"_P","_",G154),AND(C154="BT",D154="TR_A"),CONCATENATE(B154,"_","TR",$B$3,C154,"_","TR",$B$3,C154,"_A","_",G154),AND(C154="BT",D154="TR_P"),CONCATENATE(B154,"_","TR",$B$3,C154,"_","TR",$B$3,C154,"_P","_",G154),AND(C154="TR",D154="TR_P"),CONCATENATE(B154,"_","TR",$B$3,"_","TR",$B$3,"_P","_",G154),AND(C154="TR",D154="TR_A"),CONCATENATE(B154,"_","TR",$B$3,"_","TR",$B$3,"_A","_",G154))</f>
        <v>IMA_TR6_TR6_71HI</v>
      </c>
      <c r="I154" s="6"/>
      <c r="J154" s="6" t="s">
        <v>182</v>
      </c>
      <c r="K154" s="6" t="s">
        <v>179</v>
      </c>
      <c r="L154" s="6" t="s">
        <v>188</v>
      </c>
      <c r="M154" s="6" t="s">
        <v>188</v>
      </c>
      <c r="N154" s="6">
        <f t="shared" si="4"/>
        <v>247</v>
      </c>
    </row>
    <row r="155" spans="1:14" x14ac:dyDescent="0.25">
      <c r="A155" s="6" t="s">
        <v>190</v>
      </c>
      <c r="B155" s="6" t="str">
        <f>Informações!$C$3</f>
        <v>IMA</v>
      </c>
      <c r="C155" s="6" t="s">
        <v>102</v>
      </c>
      <c r="D155" s="6" t="s">
        <v>102</v>
      </c>
      <c r="E155" s="2" t="s">
        <v>25</v>
      </c>
      <c r="F155" s="94" t="str">
        <f>VLOOKUP(G155,[1]Discrete!$A:$B,2,FALSE)</f>
        <v>71 - NIVEL BAIXO OLEO CDC OU TRAFO</v>
      </c>
      <c r="G155" s="6" t="s">
        <v>713</v>
      </c>
      <c r="H155" s="6" t="str" cm="1">
        <f t="array" ref="H155">_xlfn.IFS(OR(D155="TC",D155="TP",AND(D155="TR",C155="AT"),AND(D155="TR",C155="BT")),CONCATENATE(B155,"_","TR",$B$3,C155,"_","TR",$B$3,C155,"_",G155),AND(D155="SECC",C155="BT"),CONCATENATE(B155,"_","TR",$B$3,C155,"_",$B$9,"_",G155),AND(D155="SECF",C155="AT"),CONCATENATE(B155,"_","TR",$B$3,C155,"_",$B$6,"_",G155),AND(D155="SECT",C155="AT"),CONCATENATE(B155,"_","TR",$B$3,C155,"_",$B$7,"_",G155),AND(D155="DJ",C155="AT"),CONCATENATE(B155,"_","TR",$B$3,C155,"_",$B$4,"_",G155),AND(D155="DJ",C155="BT"),CONCATENATE(B155,"_","TR",$B$3,C155,"_",$B$8,"_",G155),AND(C155="TR",D155="TR"),CONCATENATE(B155,"_","TR",$B$3,"_","TR",$B$3,"_",G155),AND(D155="SECT",C155="BT"),CONCATENATE(B155,"_","TR",$B$3,C155,"_",$B$11,"_",G155),AND(D155="SECF",C155="BT"),CONCATENATE(B155,"_","TR",$B$3,C155,"_",$B$10,"_",G155),AND(D155="SECC",C155="AT"),CONCATENATE(B155,"_","TR",$B$3,C155,"_",$B$5,"_",G155),AND(C155="AT",D155="TR_A"),CONCATENATE(B155,"_","TR",$B$3,C155,"_","TR",$B$3,C155,"_A","_",G155),AND(C155="AT",D155="TR_P"),CONCATENATE(B155,"_","TR",$B$3,C155,"_","TR",$B$3,C155,"_P","_",G155),AND(C155="BT",D155="TR_A"),CONCATENATE(B155,"_","TR",$B$3,C155,"_","TR",$B$3,C155,"_A","_",G155),AND(C155="BT",D155="TR_P"),CONCATENATE(B155,"_","TR",$B$3,C155,"_","TR",$B$3,C155,"_P","_",G155),AND(C155="TR",D155="TR_P"),CONCATENATE(B155,"_","TR",$B$3,"_","TR",$B$3,"_P","_",G155),AND(C155="TR",D155="TR_A"),CONCATENATE(B155,"_","TR",$B$3,"_","TR",$B$3,"_A","_",G155))</f>
        <v>IMA_TR6_TR6_71LO</v>
      </c>
      <c r="I155" s="6"/>
      <c r="J155" s="6" t="s">
        <v>182</v>
      </c>
      <c r="K155" s="6" t="s">
        <v>179</v>
      </c>
      <c r="L155" s="6" t="s">
        <v>188</v>
      </c>
      <c r="M155" s="6" t="s">
        <v>188</v>
      </c>
      <c r="N155" s="6">
        <f t="shared" si="4"/>
        <v>248</v>
      </c>
    </row>
    <row r="156" spans="1:14" x14ac:dyDescent="0.25">
      <c r="A156" s="6" t="s">
        <v>190</v>
      </c>
      <c r="B156" s="6" t="str">
        <f>Informações!$C$3</f>
        <v>IMA</v>
      </c>
      <c r="C156" s="6" t="s">
        <v>102</v>
      </c>
      <c r="D156" s="6" t="s">
        <v>102</v>
      </c>
      <c r="E156" s="2" t="s">
        <v>25</v>
      </c>
      <c r="F156" s="6" t="e">
        <f>VLOOKUP(G156,[1]Discrete!$A:$B,2,FALSE)</f>
        <v>#N/A</v>
      </c>
      <c r="G156" s="6">
        <v>87</v>
      </c>
      <c r="H156" s="6" t="str" cm="1">
        <f t="array" ref="H156">_xlfn.IFS(OR(D156="TC",D156="TP",AND(D156="TR",C156="AT"),AND(D156="TR",C156="BT")),CONCATENATE(B156,"_","TR",$B$3,C156,"_","TR",$B$3,C156,"_",G156),AND(D156="SECC",C156="BT"),CONCATENATE(B156,"_","TR",$B$3,C156,"_",$B$9,"_",G156),AND(D156="SECF",C156="AT"),CONCATENATE(B156,"_","TR",$B$3,C156,"_",$B$6,"_",G156),AND(D156="SECT",C156="AT"),CONCATENATE(B156,"_","TR",$B$3,C156,"_",$B$7,"_",G156),AND(D156="DJ",C156="AT"),CONCATENATE(B156,"_","TR",$B$3,C156,"_",$B$4,"_",G156),AND(D156="DJ",C156="BT"),CONCATENATE(B156,"_","TR",$B$3,C156,"_",$B$8,"_",G156),AND(C156="TR",D156="TR"),CONCATENATE(B156,"_","TR",$B$3,"_","TR",$B$3,"_",G156),AND(D156="SECT",C156="BT"),CONCATENATE(B156,"_","TR",$B$3,C156,"_",$B$11,"_",G156),AND(D156="SECF",C156="BT"),CONCATENATE(B156,"_","TR",$B$3,C156,"_",$B$10,"_",G156),AND(D156="SECC",C156="AT"),CONCATENATE(B156,"_","TR",$B$3,C156,"_",$B$5,"_",G156),AND(C156="AT",D156="TR_A"),CONCATENATE(B156,"_","TR",$B$3,C156,"_","TR",$B$3,C156,"_A","_",G156),AND(C156="AT",D156="TR_P"),CONCATENATE(B156,"_","TR",$B$3,C156,"_","TR",$B$3,C156,"_P","_",G156),AND(C156="BT",D156="TR_A"),CONCATENATE(B156,"_","TR",$B$3,C156,"_","TR",$B$3,C156,"_A","_",G156),AND(C156="BT",D156="TR_P"),CONCATENATE(B156,"_","TR",$B$3,C156,"_","TR",$B$3,C156,"_P","_",G156),AND(C156="TR",D156="TR_P"),CONCATENATE(B156,"_","TR",$B$3,"_","TR",$B$3,"_P","_",G156),AND(C156="TR",D156="TR_A"),CONCATENATE(B156,"_","TR",$B$3,"_","TR",$B$3,"_A","_",G156))</f>
        <v>IMA_TR6_TR6_87</v>
      </c>
      <c r="I156" s="6"/>
      <c r="J156" s="6" t="s">
        <v>183</v>
      </c>
      <c r="K156" s="6" t="s">
        <v>184</v>
      </c>
      <c r="L156" s="6" t="s">
        <v>188</v>
      </c>
      <c r="M156" s="6" t="s">
        <v>188</v>
      </c>
      <c r="N156" s="6">
        <f>N155+1</f>
        <v>249</v>
      </c>
    </row>
    <row r="157" spans="1:14" x14ac:dyDescent="0.25">
      <c r="A157" s="6" t="s">
        <v>190</v>
      </c>
      <c r="B157" s="6" t="str">
        <f>Informações!$C$3</f>
        <v>IMA</v>
      </c>
      <c r="C157" s="6" t="s">
        <v>102</v>
      </c>
      <c r="D157" s="6" t="s">
        <v>212</v>
      </c>
      <c r="E157" s="2" t="s">
        <v>25</v>
      </c>
      <c r="F157" s="6" t="str">
        <f>VLOOKUP(G157,[1]Discrete!$A:$B,2,FALSE)</f>
        <v>87 - TRIP DIFERENCIAL</v>
      </c>
      <c r="G157" s="6" t="s">
        <v>359</v>
      </c>
      <c r="H157" s="6" t="str" cm="1">
        <f t="array" ref="H157">_xlfn.IFS(OR(D157="TC",D157="TP",AND(D157="TR",C157="AT"),AND(D157="TR",C157="BT")),CONCATENATE(B157,"_","TR",$B$3,C157,"_","TR",$B$3,C157,"_",G157),AND(D157="SECC",C157="BT"),CONCATENATE(B157,"_","TR",$B$3,C157,"_",$B$9,"_",G157),AND(D157="SECF",C157="AT"),CONCATENATE(B157,"_","TR",$B$3,C157,"_",$B$6,"_",G157),AND(D157="SECT",C157="AT"),CONCATENATE(B157,"_","TR",$B$3,C157,"_",$B$7,"_",G157),AND(D157="DJ",C157="AT"),CONCATENATE(B157,"_","TR",$B$3,C157,"_",$B$4,"_",G157),AND(D157="DJ",C157="BT"),CONCATENATE(B157,"_","TR",$B$3,C157,"_",$B$8,"_",G157),AND(C157="TR",D157="TR"),CONCATENATE(B157,"_","TR",$B$3,"_","TR",$B$3,"_",G157),AND(D157="SECT",C157="BT"),CONCATENATE(B157,"_","TR",$B$3,C157,"_",$B$11,"_",G157),AND(D157="SECF",C157="BT"),CONCATENATE(B157,"_","TR",$B$3,C157,"_",$B$10,"_",G157),AND(D157="SECC",C157="AT"),CONCATENATE(B157,"_","TR",$B$3,C157,"_",$B$5,"_",G157),AND(C157="AT",D157="TR_A"),CONCATENATE(B157,"_","TR",$B$3,C157,"_","TR",$B$3,C157,"_A","_",G157),AND(C157="AT",D157="TR_P"),CONCATENATE(B157,"_","TR",$B$3,C157,"_","TR",$B$3,C157,"_P","_",G157),AND(C157="BT",D157="TR_A"),CONCATENATE(B157,"_","TR",$B$3,C157,"_","TR",$B$3,C157,"_A","_",G157),AND(C157="BT",D157="TR_P"),CONCATENATE(B157,"_","TR",$B$3,C157,"_","TR",$B$3,C157,"_P","_",G157),AND(C157="TR",D157="TR_P"),CONCATENATE(B157,"_","TR",$B$3,"_","TR",$B$3,"_P","_",G157),AND(C157="TR",D157="TR_A"),CONCATENATE(B157,"_","TR",$B$3,"_","TR",$B$3,"_A","_",G157))</f>
        <v>IMA_TR6_TR6_P_87_T</v>
      </c>
      <c r="I157" s="6"/>
      <c r="J157" s="6" t="s">
        <v>182</v>
      </c>
      <c r="K157" s="6" t="s">
        <v>179</v>
      </c>
      <c r="L157" s="6" t="s">
        <v>188</v>
      </c>
      <c r="M157" s="6" t="s">
        <v>188</v>
      </c>
      <c r="N157" s="6">
        <f>N156+1</f>
        <v>250</v>
      </c>
    </row>
    <row r="158" spans="1:14" x14ac:dyDescent="0.25">
      <c r="A158" s="6" t="s">
        <v>190</v>
      </c>
      <c r="B158" s="6" t="str">
        <f>Informações!$C$3</f>
        <v>IMA</v>
      </c>
      <c r="C158" s="6" t="s">
        <v>102</v>
      </c>
      <c r="D158" s="6" t="s">
        <v>212</v>
      </c>
      <c r="E158" s="2" t="s">
        <v>25</v>
      </c>
      <c r="F158" s="6" t="str">
        <f>VLOOKUP(G158,[1]Discrete!$A:$B,2,FALSE)</f>
        <v>87 - DIFERENCIAL FASE A</v>
      </c>
      <c r="G158" s="6" t="s">
        <v>361</v>
      </c>
      <c r="H158" s="6" t="str" cm="1">
        <f t="array" ref="H158">_xlfn.IFS(OR(D158="TC",D158="TP",AND(D158="TR",C158="AT"),AND(D158="TR",C158="BT")),CONCATENATE(B158,"_","TR",$B$3,C158,"_","TR",$B$3,C158,"_",G158),AND(D158="SECC",C158="BT"),CONCATENATE(B158,"_","TR",$B$3,C158,"_",$B$9,"_",G158),AND(D158="SECF",C158="AT"),CONCATENATE(B158,"_","TR",$B$3,C158,"_",$B$6,"_",G158),AND(D158="SECT",C158="AT"),CONCATENATE(B158,"_","TR",$B$3,C158,"_",$B$7,"_",G158),AND(D158="DJ",C158="AT"),CONCATENATE(B158,"_","TR",$B$3,C158,"_",$B$4,"_",G158),AND(D158="DJ",C158="BT"),CONCATENATE(B158,"_","TR",$B$3,C158,"_",$B$8,"_",G158),AND(C158="TR",D158="TR"),CONCATENATE(B158,"_","TR",$B$3,"_","TR",$B$3,"_",G158),AND(D158="SECT",C158="BT"),CONCATENATE(B158,"_","TR",$B$3,C158,"_",$B$11,"_",G158),AND(D158="SECF",C158="BT"),CONCATENATE(B158,"_","TR",$B$3,C158,"_",$B$10,"_",G158),AND(D158="SECC",C158="AT"),CONCATENATE(B158,"_","TR",$B$3,C158,"_",$B$5,"_",G158),AND(C158="AT",D158="TR_A"),CONCATENATE(B158,"_","TR",$B$3,C158,"_","TR",$B$3,C158,"_A","_",G158),AND(C158="AT",D158="TR_P"),CONCATENATE(B158,"_","TR",$B$3,C158,"_","TR",$B$3,C158,"_P","_",G158),AND(C158="BT",D158="TR_A"),CONCATENATE(B158,"_","TR",$B$3,C158,"_","TR",$B$3,C158,"_A","_",G158),AND(C158="BT",D158="TR_P"),CONCATENATE(B158,"_","TR",$B$3,C158,"_","TR",$B$3,C158,"_P","_",G158),AND(C158="TR",D158="TR_P"),CONCATENATE(B158,"_","TR",$B$3,"_","TR",$B$3,"_P","_",G158),AND(C158="TR",D158="TR_A"),CONCATENATE(B158,"_","TR",$B$3,"_","TR",$B$3,"_A","_",G158))</f>
        <v>IMA_TR6_TR6_P_87A</v>
      </c>
      <c r="I158" s="6"/>
      <c r="J158" s="6" t="s">
        <v>182</v>
      </c>
      <c r="K158" s="6" t="s">
        <v>179</v>
      </c>
      <c r="L158" s="6" t="s">
        <v>188</v>
      </c>
      <c r="M158" s="6" t="s">
        <v>188</v>
      </c>
      <c r="N158" s="6">
        <f t="shared" si="4"/>
        <v>251</v>
      </c>
    </row>
    <row r="159" spans="1:14" x14ac:dyDescent="0.25">
      <c r="A159" s="6" t="s">
        <v>190</v>
      </c>
      <c r="B159" s="6" t="str">
        <f>Informações!$C$3</f>
        <v>IMA</v>
      </c>
      <c r="C159" s="6" t="s">
        <v>102</v>
      </c>
      <c r="D159" s="6" t="s">
        <v>212</v>
      </c>
      <c r="E159" s="2" t="s">
        <v>25</v>
      </c>
      <c r="F159" s="6" t="str">
        <f>VLOOKUP(G159,[1]Discrete!$A:$B,2,FALSE)</f>
        <v>87 - DIFERENCIAL FASE B</v>
      </c>
      <c r="G159" s="6" t="s">
        <v>360</v>
      </c>
      <c r="H159" s="6" t="str" cm="1">
        <f t="array" ref="H159">_xlfn.IFS(OR(D159="TC",D159="TP",AND(D159="TR",C159="AT"),AND(D159="TR",C159="BT")),CONCATENATE(B159,"_","TR",$B$3,C159,"_","TR",$B$3,C159,"_",G159),AND(D159="SECC",C159="BT"),CONCATENATE(B159,"_","TR",$B$3,C159,"_",$B$9,"_",G159),AND(D159="SECF",C159="AT"),CONCATENATE(B159,"_","TR",$B$3,C159,"_",$B$6,"_",G159),AND(D159="SECT",C159="AT"),CONCATENATE(B159,"_","TR",$B$3,C159,"_",$B$7,"_",G159),AND(D159="DJ",C159="AT"),CONCATENATE(B159,"_","TR",$B$3,C159,"_",$B$4,"_",G159),AND(D159="DJ",C159="BT"),CONCATENATE(B159,"_","TR",$B$3,C159,"_",$B$8,"_",G159),AND(C159="TR",D159="TR"),CONCATENATE(B159,"_","TR",$B$3,"_","TR",$B$3,"_",G159),AND(D159="SECT",C159="BT"),CONCATENATE(B159,"_","TR",$B$3,C159,"_",$B$11,"_",G159),AND(D159="SECF",C159="BT"),CONCATENATE(B159,"_","TR",$B$3,C159,"_",$B$10,"_",G159),AND(D159="SECC",C159="AT"),CONCATENATE(B159,"_","TR",$B$3,C159,"_",$B$5,"_",G159),AND(C159="AT",D159="TR_A"),CONCATENATE(B159,"_","TR",$B$3,C159,"_","TR",$B$3,C159,"_A","_",G159),AND(C159="AT",D159="TR_P"),CONCATENATE(B159,"_","TR",$B$3,C159,"_","TR",$B$3,C159,"_P","_",G159),AND(C159="BT",D159="TR_A"),CONCATENATE(B159,"_","TR",$B$3,C159,"_","TR",$B$3,C159,"_A","_",G159),AND(C159="BT",D159="TR_P"),CONCATENATE(B159,"_","TR",$B$3,C159,"_","TR",$B$3,C159,"_P","_",G159),AND(C159="TR",D159="TR_P"),CONCATENATE(B159,"_","TR",$B$3,"_","TR",$B$3,"_P","_",G159),AND(C159="TR",D159="TR_A"),CONCATENATE(B159,"_","TR",$B$3,"_","TR",$B$3,"_A","_",G159))</f>
        <v>IMA_TR6_TR6_P_87B</v>
      </c>
      <c r="I159" s="6"/>
      <c r="J159" s="6" t="s">
        <v>182</v>
      </c>
      <c r="K159" s="6" t="s">
        <v>179</v>
      </c>
      <c r="L159" s="6" t="s">
        <v>188</v>
      </c>
      <c r="M159" s="6" t="s">
        <v>188</v>
      </c>
      <c r="N159" s="6">
        <f t="shared" si="4"/>
        <v>252</v>
      </c>
    </row>
    <row r="160" spans="1:14" x14ac:dyDescent="0.25">
      <c r="A160" s="6" t="s">
        <v>190</v>
      </c>
      <c r="B160" s="6" t="str">
        <f>Informações!$C$3</f>
        <v>IMA</v>
      </c>
      <c r="C160" s="6" t="s">
        <v>102</v>
      </c>
      <c r="D160" s="6" t="s">
        <v>212</v>
      </c>
      <c r="E160" s="2" t="s">
        <v>25</v>
      </c>
      <c r="F160" s="6" t="str">
        <f>VLOOKUP(G160,[1]Discrete!$A:$B,2,FALSE)</f>
        <v>87 - DIFERENCIAL FASE C</v>
      </c>
      <c r="G160" s="6" t="s">
        <v>362</v>
      </c>
      <c r="H160" s="6" t="str" cm="1">
        <f t="array" ref="H160">_xlfn.IFS(OR(D160="TC",D160="TP",AND(D160="TR",C160="AT"),AND(D160="TR",C160="BT")),CONCATENATE(B160,"_","TR",$B$3,C160,"_","TR",$B$3,C160,"_",G160),AND(D160="SECC",C160="BT"),CONCATENATE(B160,"_","TR",$B$3,C160,"_",$B$9,"_",G160),AND(D160="SECF",C160="AT"),CONCATENATE(B160,"_","TR",$B$3,C160,"_",$B$6,"_",G160),AND(D160="SECT",C160="AT"),CONCATENATE(B160,"_","TR",$B$3,C160,"_",$B$7,"_",G160),AND(D160="DJ",C160="AT"),CONCATENATE(B160,"_","TR",$B$3,C160,"_",$B$4,"_",G160),AND(D160="DJ",C160="BT"),CONCATENATE(B160,"_","TR",$B$3,C160,"_",$B$8,"_",G160),AND(C160="TR",D160="TR"),CONCATENATE(B160,"_","TR",$B$3,"_","TR",$B$3,"_",G160),AND(D160="SECT",C160="BT"),CONCATENATE(B160,"_","TR",$B$3,C160,"_",$B$11,"_",G160),AND(D160="SECF",C160="BT"),CONCATENATE(B160,"_","TR",$B$3,C160,"_",$B$10,"_",G160),AND(D160="SECC",C160="AT"),CONCATENATE(B160,"_","TR",$B$3,C160,"_",$B$5,"_",G160),AND(C160="AT",D160="TR_A"),CONCATENATE(B160,"_","TR",$B$3,C160,"_","TR",$B$3,C160,"_A","_",G160),AND(C160="AT",D160="TR_P"),CONCATENATE(B160,"_","TR",$B$3,C160,"_","TR",$B$3,C160,"_P","_",G160),AND(C160="BT",D160="TR_A"),CONCATENATE(B160,"_","TR",$B$3,C160,"_","TR",$B$3,C160,"_A","_",G160),AND(C160="BT",D160="TR_P"),CONCATENATE(B160,"_","TR",$B$3,C160,"_","TR",$B$3,C160,"_P","_",G160),AND(C160="TR",D160="TR_P"),CONCATENATE(B160,"_","TR",$B$3,"_","TR",$B$3,"_P","_",G160),AND(C160="TR",D160="TR_A"),CONCATENATE(B160,"_","TR",$B$3,"_","TR",$B$3,"_A","_",G160))</f>
        <v>IMA_TR6_TR6_P_87C</v>
      </c>
      <c r="I160" s="6"/>
      <c r="J160" s="6" t="s">
        <v>182</v>
      </c>
      <c r="K160" s="6" t="s">
        <v>179</v>
      </c>
      <c r="L160" s="6" t="s">
        <v>188</v>
      </c>
      <c r="M160" s="6" t="s">
        <v>188</v>
      </c>
      <c r="N160" s="6">
        <f t="shared" si="4"/>
        <v>253</v>
      </c>
    </row>
    <row r="161" spans="1:14" x14ac:dyDescent="0.25">
      <c r="A161" s="6" t="s">
        <v>190</v>
      </c>
      <c r="B161" s="6" t="str">
        <f>Informações!$C$3</f>
        <v>IMA</v>
      </c>
      <c r="C161" s="6" t="s">
        <v>102</v>
      </c>
      <c r="D161" s="6" t="s">
        <v>211</v>
      </c>
      <c r="E161" s="2" t="s">
        <v>25</v>
      </c>
      <c r="F161" s="6" t="str">
        <f>VLOOKUP(G161,[1]Discrete!$A:$B,2,FALSE)</f>
        <v>87 - TRIP DIFERENCIAL</v>
      </c>
      <c r="G161" s="6" t="s">
        <v>359</v>
      </c>
      <c r="H161" s="6" t="str" cm="1">
        <f t="array" ref="H161">_xlfn.IFS(OR(D161="TC",D161="TP",AND(D161="TR",C161="AT"),AND(D161="TR",C161="BT")),CONCATENATE(B161,"_","TR",$B$3,C161,"_","TR",$B$3,C161,"_",G161),AND(D161="SECC",C161="BT"),CONCATENATE(B161,"_","TR",$B$3,C161,"_",$B$9,"_",G161),AND(D161="SECF",C161="AT"),CONCATENATE(B161,"_","TR",$B$3,C161,"_",$B$6,"_",G161),AND(D161="SECT",C161="AT"),CONCATENATE(B161,"_","TR",$B$3,C161,"_",$B$7,"_",G161),AND(D161="DJ",C161="AT"),CONCATENATE(B161,"_","TR",$B$3,C161,"_",$B$4,"_",G161),AND(D161="DJ",C161="BT"),CONCATENATE(B161,"_","TR",$B$3,C161,"_",$B$8,"_",G161),AND(C161="TR",D161="TR"),CONCATENATE(B161,"_","TR",$B$3,"_","TR",$B$3,"_",G161),AND(D161="SECT",C161="BT"),CONCATENATE(B161,"_","TR",$B$3,C161,"_",$B$11,"_",G161),AND(D161="SECF",C161="BT"),CONCATENATE(B161,"_","TR",$B$3,C161,"_",$B$10,"_",G161),AND(D161="SECC",C161="AT"),CONCATENATE(B161,"_","TR",$B$3,C161,"_",$B$5,"_",G161),AND(C161="AT",D161="TR_A"),CONCATENATE(B161,"_","TR",$B$3,C161,"_","TR",$B$3,C161,"_A","_",G161),AND(C161="AT",D161="TR_P"),CONCATENATE(B161,"_","TR",$B$3,C161,"_","TR",$B$3,C161,"_P","_",G161),AND(C161="BT",D161="TR_A"),CONCATENATE(B161,"_","TR",$B$3,C161,"_","TR",$B$3,C161,"_A","_",G161),AND(C161="BT",D161="TR_P"),CONCATENATE(B161,"_","TR",$B$3,C161,"_","TR",$B$3,C161,"_P","_",G161),AND(C161="TR",D161="TR_P"),CONCATENATE(B161,"_","TR",$B$3,"_","TR",$B$3,"_P","_",G161),AND(C161="TR",D161="TR_A"),CONCATENATE(B161,"_","TR",$B$3,"_","TR",$B$3,"_A","_",G161))</f>
        <v>IMA_TR6_TR6_A_87_T</v>
      </c>
      <c r="I161" s="6"/>
      <c r="J161" s="6" t="s">
        <v>182</v>
      </c>
      <c r="K161" s="6" t="s">
        <v>179</v>
      </c>
      <c r="L161" s="6" t="s">
        <v>188</v>
      </c>
      <c r="M161" s="6" t="s">
        <v>188</v>
      </c>
      <c r="N161" s="6">
        <f t="shared" si="4"/>
        <v>254</v>
      </c>
    </row>
    <row r="162" spans="1:14" x14ac:dyDescent="0.25">
      <c r="A162" s="6" t="s">
        <v>190</v>
      </c>
      <c r="B162" s="6" t="str">
        <f>Informações!$C$3</f>
        <v>IMA</v>
      </c>
      <c r="C162" s="6" t="s">
        <v>102</v>
      </c>
      <c r="D162" s="6" t="s">
        <v>211</v>
      </c>
      <c r="E162" s="2" t="s">
        <v>25</v>
      </c>
      <c r="F162" s="6" t="str">
        <f>VLOOKUP(G162,[1]Discrete!$A:$B,2,FALSE)</f>
        <v>87 - DIFERENCIAL FASE A</v>
      </c>
      <c r="G162" s="6" t="s">
        <v>361</v>
      </c>
      <c r="H162" s="6" t="str" cm="1">
        <f t="array" ref="H162">_xlfn.IFS(OR(D162="TC",D162="TP",AND(D162="TR",C162="AT"),AND(D162="TR",C162="BT")),CONCATENATE(B162,"_","TR",$B$3,C162,"_","TR",$B$3,C162,"_",G162),AND(D162="SECC",C162="BT"),CONCATENATE(B162,"_","TR",$B$3,C162,"_",$B$9,"_",G162),AND(D162="SECF",C162="AT"),CONCATENATE(B162,"_","TR",$B$3,C162,"_",$B$6,"_",G162),AND(D162="SECT",C162="AT"),CONCATENATE(B162,"_","TR",$B$3,C162,"_",$B$7,"_",G162),AND(D162="DJ",C162="AT"),CONCATENATE(B162,"_","TR",$B$3,C162,"_",$B$4,"_",G162),AND(D162="DJ",C162="BT"),CONCATENATE(B162,"_","TR",$B$3,C162,"_",$B$8,"_",G162),AND(C162="TR",D162="TR"),CONCATENATE(B162,"_","TR",$B$3,"_","TR",$B$3,"_",G162),AND(D162="SECT",C162="BT"),CONCATENATE(B162,"_","TR",$B$3,C162,"_",$B$11,"_",G162),AND(D162="SECF",C162="BT"),CONCATENATE(B162,"_","TR",$B$3,C162,"_",$B$10,"_",G162),AND(D162="SECC",C162="AT"),CONCATENATE(B162,"_","TR",$B$3,C162,"_",$B$5,"_",G162),AND(C162="AT",D162="TR_A"),CONCATENATE(B162,"_","TR",$B$3,C162,"_","TR",$B$3,C162,"_A","_",G162),AND(C162="AT",D162="TR_P"),CONCATENATE(B162,"_","TR",$B$3,C162,"_","TR",$B$3,C162,"_P","_",G162),AND(C162="BT",D162="TR_A"),CONCATENATE(B162,"_","TR",$B$3,C162,"_","TR",$B$3,C162,"_A","_",G162),AND(C162="BT",D162="TR_P"),CONCATENATE(B162,"_","TR",$B$3,C162,"_","TR",$B$3,C162,"_P","_",G162),AND(C162="TR",D162="TR_P"),CONCATENATE(B162,"_","TR",$B$3,"_","TR",$B$3,"_P","_",G162),AND(C162="TR",D162="TR_A"),CONCATENATE(B162,"_","TR",$B$3,"_","TR",$B$3,"_A","_",G162))</f>
        <v>IMA_TR6_TR6_A_87A</v>
      </c>
      <c r="I162" s="6"/>
      <c r="J162" s="6" t="s">
        <v>182</v>
      </c>
      <c r="K162" s="6" t="s">
        <v>179</v>
      </c>
      <c r="L162" s="6" t="s">
        <v>188</v>
      </c>
      <c r="M162" s="6" t="s">
        <v>188</v>
      </c>
      <c r="N162" s="6">
        <f t="shared" si="4"/>
        <v>255</v>
      </c>
    </row>
    <row r="163" spans="1:14" x14ac:dyDescent="0.25">
      <c r="A163" s="6" t="s">
        <v>190</v>
      </c>
      <c r="B163" s="6" t="str">
        <f>Informações!$C$3</f>
        <v>IMA</v>
      </c>
      <c r="C163" s="6" t="s">
        <v>102</v>
      </c>
      <c r="D163" s="6" t="s">
        <v>211</v>
      </c>
      <c r="E163" s="2" t="s">
        <v>25</v>
      </c>
      <c r="F163" s="6" t="str">
        <f>VLOOKUP(G163,[1]Discrete!$A:$B,2,FALSE)</f>
        <v>87 - DIFERENCIAL FASE B</v>
      </c>
      <c r="G163" s="6" t="s">
        <v>360</v>
      </c>
      <c r="H163" s="6" t="str" cm="1">
        <f t="array" ref="H163">_xlfn.IFS(OR(D163="TC",D163="TP",AND(D163="TR",C163="AT"),AND(D163="TR",C163="BT")),CONCATENATE(B163,"_","TR",$B$3,C163,"_","TR",$B$3,C163,"_",G163),AND(D163="SECC",C163="BT"),CONCATENATE(B163,"_","TR",$B$3,C163,"_",$B$9,"_",G163),AND(D163="SECF",C163="AT"),CONCATENATE(B163,"_","TR",$B$3,C163,"_",$B$6,"_",G163),AND(D163="SECT",C163="AT"),CONCATENATE(B163,"_","TR",$B$3,C163,"_",$B$7,"_",G163),AND(D163="DJ",C163="AT"),CONCATENATE(B163,"_","TR",$B$3,C163,"_",$B$4,"_",G163),AND(D163="DJ",C163="BT"),CONCATENATE(B163,"_","TR",$B$3,C163,"_",$B$8,"_",G163),AND(C163="TR",D163="TR"),CONCATENATE(B163,"_","TR",$B$3,"_","TR",$B$3,"_",G163),AND(D163="SECT",C163="BT"),CONCATENATE(B163,"_","TR",$B$3,C163,"_",$B$11,"_",G163),AND(D163="SECF",C163="BT"),CONCATENATE(B163,"_","TR",$B$3,C163,"_",$B$10,"_",G163),AND(D163="SECC",C163="AT"),CONCATENATE(B163,"_","TR",$B$3,C163,"_",$B$5,"_",G163),AND(C163="AT",D163="TR_A"),CONCATENATE(B163,"_","TR",$B$3,C163,"_","TR",$B$3,C163,"_A","_",G163),AND(C163="AT",D163="TR_P"),CONCATENATE(B163,"_","TR",$B$3,C163,"_","TR",$B$3,C163,"_P","_",G163),AND(C163="BT",D163="TR_A"),CONCATENATE(B163,"_","TR",$B$3,C163,"_","TR",$B$3,C163,"_A","_",G163),AND(C163="BT",D163="TR_P"),CONCATENATE(B163,"_","TR",$B$3,C163,"_","TR",$B$3,C163,"_P","_",G163),AND(C163="TR",D163="TR_P"),CONCATENATE(B163,"_","TR",$B$3,"_","TR",$B$3,"_P","_",G163),AND(C163="TR",D163="TR_A"),CONCATENATE(B163,"_","TR",$B$3,"_","TR",$B$3,"_A","_",G163))</f>
        <v>IMA_TR6_TR6_A_87B</v>
      </c>
      <c r="I163" s="6"/>
      <c r="J163" s="6" t="s">
        <v>182</v>
      </c>
      <c r="K163" s="6" t="s">
        <v>179</v>
      </c>
      <c r="L163" s="6" t="s">
        <v>188</v>
      </c>
      <c r="M163" s="6" t="s">
        <v>188</v>
      </c>
      <c r="N163" s="6">
        <f t="shared" si="4"/>
        <v>256</v>
      </c>
    </row>
    <row r="164" spans="1:14" x14ac:dyDescent="0.25">
      <c r="A164" s="6" t="s">
        <v>190</v>
      </c>
      <c r="B164" s="6" t="str">
        <f>Informações!$C$3</f>
        <v>IMA</v>
      </c>
      <c r="C164" s="6" t="s">
        <v>102</v>
      </c>
      <c r="D164" s="6" t="s">
        <v>211</v>
      </c>
      <c r="E164" s="2" t="s">
        <v>25</v>
      </c>
      <c r="F164" s="6" t="str">
        <f>VLOOKUP(G164,[1]Discrete!$A:$B,2,FALSE)</f>
        <v>87 - DIFERENCIAL FASE C</v>
      </c>
      <c r="G164" s="6" t="s">
        <v>362</v>
      </c>
      <c r="H164" s="6" t="str" cm="1">
        <f t="array" ref="H164">_xlfn.IFS(OR(D164="TC",D164="TP",AND(D164="TR",C164="AT"),AND(D164="TR",C164="BT")),CONCATENATE(B164,"_","TR",$B$3,C164,"_","TR",$B$3,C164,"_",G164),AND(D164="SECC",C164="BT"),CONCATENATE(B164,"_","TR",$B$3,C164,"_",$B$9,"_",G164),AND(D164="SECF",C164="AT"),CONCATENATE(B164,"_","TR",$B$3,C164,"_",$B$6,"_",G164),AND(D164="SECT",C164="AT"),CONCATENATE(B164,"_","TR",$B$3,C164,"_",$B$7,"_",G164),AND(D164="DJ",C164="AT"),CONCATENATE(B164,"_","TR",$B$3,C164,"_",$B$4,"_",G164),AND(D164="DJ",C164="BT"),CONCATENATE(B164,"_","TR",$B$3,C164,"_",$B$8,"_",G164),AND(C164="TR",D164="TR"),CONCATENATE(B164,"_","TR",$B$3,"_","TR",$B$3,"_",G164),AND(D164="SECT",C164="BT"),CONCATENATE(B164,"_","TR",$B$3,C164,"_",$B$11,"_",G164),AND(D164="SECF",C164="BT"),CONCATENATE(B164,"_","TR",$B$3,C164,"_",$B$10,"_",G164),AND(D164="SECC",C164="AT"),CONCATENATE(B164,"_","TR",$B$3,C164,"_",$B$5,"_",G164),AND(C164="AT",D164="TR_A"),CONCATENATE(B164,"_","TR",$B$3,C164,"_","TR",$B$3,C164,"_A","_",G164),AND(C164="AT",D164="TR_P"),CONCATENATE(B164,"_","TR",$B$3,C164,"_","TR",$B$3,C164,"_P","_",G164),AND(C164="BT",D164="TR_A"),CONCATENATE(B164,"_","TR",$B$3,C164,"_","TR",$B$3,C164,"_A","_",G164),AND(C164="BT",D164="TR_P"),CONCATENATE(B164,"_","TR",$B$3,C164,"_","TR",$B$3,C164,"_P","_",G164),AND(C164="TR",D164="TR_P"),CONCATENATE(B164,"_","TR",$B$3,"_","TR",$B$3,"_P","_",G164),AND(C164="TR",D164="TR_A"),CONCATENATE(B164,"_","TR",$B$3,"_","TR",$B$3,"_A","_",G164))</f>
        <v>IMA_TR6_TR6_A_87C</v>
      </c>
      <c r="I164" s="6"/>
      <c r="J164" s="6" t="s">
        <v>182</v>
      </c>
      <c r="K164" s="6" t="s">
        <v>179</v>
      </c>
      <c r="L164" s="6" t="s">
        <v>188</v>
      </c>
      <c r="M164" s="6" t="s">
        <v>188</v>
      </c>
      <c r="N164" s="6">
        <f t="shared" si="4"/>
        <v>257</v>
      </c>
    </row>
    <row r="165" spans="1:14" x14ac:dyDescent="0.25">
      <c r="A165" s="6" t="s">
        <v>190</v>
      </c>
      <c r="B165" s="6" t="str">
        <f>Informações!$C$3</f>
        <v>IMA</v>
      </c>
      <c r="C165" s="6" t="s">
        <v>102</v>
      </c>
      <c r="D165" s="6" t="s">
        <v>102</v>
      </c>
      <c r="E165" s="2" t="s">
        <v>25</v>
      </c>
      <c r="F165" s="6" t="str">
        <f>VLOOKUP(G165,[1]Discrete!$A:$B,2,FALSE)</f>
        <v>26 - ALARME TEMPERATURA OLEO</v>
      </c>
      <c r="G165" s="6" t="s">
        <v>121</v>
      </c>
      <c r="H165" s="6" t="str" cm="1">
        <f t="array" ref="H165">_xlfn.IFS(OR(D165="TC",D165="TP",AND(D165="TR",C165="AT"),AND(D165="TR",C165="BT")),CONCATENATE(B165,"_","TR",$B$3,C165,"_","TR",$B$3,C165,"_",G165),AND(D165="SECC",C165="BT"),CONCATENATE(B165,"_","TR",$B$3,C165,"_",$B$9,"_",G165),AND(D165="SECF",C165="AT"),CONCATENATE(B165,"_","TR",$B$3,C165,"_",$B$6,"_",G165),AND(D165="SECT",C165="AT"),CONCATENATE(B165,"_","TR",$B$3,C165,"_",$B$7,"_",G165),AND(D165="DJ",C165="AT"),CONCATENATE(B165,"_","TR",$B$3,C165,"_",$B$4,"_",G165),AND(D165="DJ",C165="BT"),CONCATENATE(B165,"_","TR",$B$3,C165,"_",$B$8,"_",G165),AND(C165="TR",D165="TR"),CONCATENATE(B165,"_","TR",$B$3,"_","TR",$B$3,"_",G165),AND(D165="SECT",C165="BT"),CONCATENATE(B165,"_","TR",$B$3,C165,"_",$B$11,"_",G165),AND(D165="SECF",C165="BT"),CONCATENATE(B165,"_","TR",$B$3,C165,"_",$B$10,"_",G165),AND(D165="SECC",C165="AT"),CONCATENATE(B165,"_","TR",$B$3,C165,"_",$B$5,"_",G165),AND(C165="AT",D165="TR_A"),CONCATENATE(B165,"_","TR",$B$3,C165,"_","TR",$B$3,C165,"_A","_",G165),AND(C165="AT",D165="TR_P"),CONCATENATE(B165,"_","TR",$B$3,C165,"_","TR",$B$3,C165,"_P","_",G165),AND(C165="BT",D165="TR_A"),CONCATENATE(B165,"_","TR",$B$3,C165,"_","TR",$B$3,C165,"_A","_",G165),AND(C165="BT",D165="TR_P"),CONCATENATE(B165,"_","TR",$B$3,C165,"_","TR",$B$3,C165,"_P","_",G165),AND(C165="TR",D165="TR_P"),CONCATENATE(B165,"_","TR",$B$3,"_","TR",$B$3,"_P","_",G165),AND(C165="TR",D165="TR_A"),CONCATENATE(B165,"_","TR",$B$3,"_","TR",$B$3,"_A","_",G165))</f>
        <v>IMA_TR6_TR6_TOA</v>
      </c>
      <c r="I165" s="6"/>
      <c r="J165" s="6" t="s">
        <v>182</v>
      </c>
      <c r="K165" s="6" t="s">
        <v>179</v>
      </c>
      <c r="L165" s="6" t="s">
        <v>188</v>
      </c>
      <c r="M165" s="6" t="s">
        <v>188</v>
      </c>
      <c r="N165" s="6">
        <f t="shared" si="4"/>
        <v>258</v>
      </c>
    </row>
    <row r="166" spans="1:14" x14ac:dyDescent="0.25">
      <c r="A166" s="6" t="s">
        <v>190</v>
      </c>
      <c r="B166" s="6" t="str">
        <f>Informações!$C$3</f>
        <v>IMA</v>
      </c>
      <c r="C166" s="6" t="s">
        <v>102</v>
      </c>
      <c r="D166" s="6" t="s">
        <v>102</v>
      </c>
      <c r="E166" s="2" t="s">
        <v>25</v>
      </c>
      <c r="F166" s="6" t="str">
        <f>VLOOKUP(G166,[1]Discrete!$A:$B,2,FALSE)</f>
        <v>26 - TRIP TEMPERATURA OLEO</v>
      </c>
      <c r="G166" s="6" t="s">
        <v>122</v>
      </c>
      <c r="H166" s="6" t="str" cm="1">
        <f t="array" ref="H166">_xlfn.IFS(OR(D166="TC",D166="TP",AND(D166="TR",C166="AT"),AND(D166="TR",C166="BT")),CONCATENATE(B166,"_","TR",$B$3,C166,"_","TR",$B$3,C166,"_",G166),AND(D166="SECC",C166="BT"),CONCATENATE(B166,"_","TR",$B$3,C166,"_",$B$9,"_",G166),AND(D166="SECF",C166="AT"),CONCATENATE(B166,"_","TR",$B$3,C166,"_",$B$6,"_",G166),AND(D166="SECT",C166="AT"),CONCATENATE(B166,"_","TR",$B$3,C166,"_",$B$7,"_",G166),AND(D166="DJ",C166="AT"),CONCATENATE(B166,"_","TR",$B$3,C166,"_",$B$4,"_",G166),AND(D166="DJ",C166="BT"),CONCATENATE(B166,"_","TR",$B$3,C166,"_",$B$8,"_",G166),AND(C166="TR",D166="TR"),CONCATENATE(B166,"_","TR",$B$3,"_","TR",$B$3,"_",G166),AND(D166="SECT",C166="BT"),CONCATENATE(B166,"_","TR",$B$3,C166,"_",$B$11,"_",G166),AND(D166="SECF",C166="BT"),CONCATENATE(B166,"_","TR",$B$3,C166,"_",$B$10,"_",G166),AND(D166="SECC",C166="AT"),CONCATENATE(B166,"_","TR",$B$3,C166,"_",$B$5,"_",G166),AND(C166="AT",D166="TR_A"),CONCATENATE(B166,"_","TR",$B$3,C166,"_","TR",$B$3,C166,"_A","_",G166),AND(C166="AT",D166="TR_P"),CONCATENATE(B166,"_","TR",$B$3,C166,"_","TR",$B$3,C166,"_P","_",G166),AND(C166="BT",D166="TR_A"),CONCATENATE(B166,"_","TR",$B$3,C166,"_","TR",$B$3,C166,"_A","_",G166),AND(C166="BT",D166="TR_P"),CONCATENATE(B166,"_","TR",$B$3,C166,"_","TR",$B$3,C166,"_P","_",G166),AND(C166="TR",D166="TR_P"),CONCATENATE(B166,"_","TR",$B$3,"_","TR",$B$3,"_P","_",G166),AND(C166="TR",D166="TR_A"),CONCATENATE(B166,"_","TR",$B$3,"_","TR",$B$3,"_A","_",G166))</f>
        <v>IMA_TR6_TR6_TOD</v>
      </c>
      <c r="I166" s="6"/>
      <c r="J166" s="6" t="s">
        <v>182</v>
      </c>
      <c r="K166" s="6" t="s">
        <v>179</v>
      </c>
      <c r="L166" s="6" t="s">
        <v>188</v>
      </c>
      <c r="M166" s="6" t="s">
        <v>188</v>
      </c>
      <c r="N166" s="6">
        <f t="shared" si="4"/>
        <v>259</v>
      </c>
    </row>
    <row r="167" spans="1:14" x14ac:dyDescent="0.25">
      <c r="A167" s="6" t="s">
        <v>190</v>
      </c>
      <c r="B167" s="6" t="str">
        <f>Informações!$C$3</f>
        <v>IMA</v>
      </c>
      <c r="C167" s="6" t="s">
        <v>102</v>
      </c>
      <c r="D167" s="6" t="s">
        <v>211</v>
      </c>
      <c r="E167" s="2" t="s">
        <v>25</v>
      </c>
      <c r="F167" s="6" t="str">
        <f>VLOOKUP(G167,[1]Discrete!$A:$B,2,FALSE)</f>
        <v>DEFEITO RELE</v>
      </c>
      <c r="G167" s="6" t="s">
        <v>51</v>
      </c>
      <c r="H167" s="6" t="str" cm="1">
        <f t="array" ref="H167">_xlfn.IFS(OR(D167="TC",D167="TP",AND(D167="TR",C167="AT"),AND(D167="TR",C167="BT")),CONCATENATE(B167,"_","TR",$B$3,C167,"_","TR",$B$3,C167,"_",G167),AND(D167="SECC",C167="BT"),CONCATENATE(B167,"_","TR",$B$3,C167,"_",$B$9,"_",G167),AND(D167="SECF",C167="AT"),CONCATENATE(B167,"_","TR",$B$3,C167,"_",$B$6,"_",G167),AND(D167="SECT",C167="AT"),CONCATENATE(B167,"_","TR",$B$3,C167,"_",$B$7,"_",G167),AND(D167="DJ",C167="AT"),CONCATENATE(B167,"_","TR",$B$3,C167,"_",$B$4,"_",G167),AND(D167="DJ",C167="BT"),CONCATENATE(B167,"_","TR",$B$3,C167,"_",$B$8,"_",G167),AND(C167="TR",D167="TR"),CONCATENATE(B167,"_","TR",$B$3,"_","TR",$B$3,"_",G167),AND(D167="SECT",C167="BT"),CONCATENATE(B167,"_","TR",$B$3,C167,"_",$B$11,"_",G167),AND(D167="SECF",C167="BT"),CONCATENATE(B167,"_","TR",$B$3,C167,"_",$B$10,"_",G167),AND(D167="SECC",C167="AT"),CONCATENATE(B167,"_","TR",$B$3,C167,"_",$B$5,"_",G167),AND(C167="AT",D167="TR_A"),CONCATENATE(B167,"_","TR",$B$3,C167,"_","TR",$B$3,C167,"_A","_",G167),AND(C167="AT",D167="TR_P"),CONCATENATE(B167,"_","TR",$B$3,C167,"_","TR",$B$3,C167,"_P","_",G167),AND(C167="BT",D167="TR_A"),CONCATENATE(B167,"_","TR",$B$3,C167,"_","TR",$B$3,C167,"_A","_",G167),AND(C167="BT",D167="TR_P"),CONCATENATE(B167,"_","TR",$B$3,C167,"_","TR",$B$3,C167,"_P","_",G167),AND(C167="TR",D167="TR_P"),CONCATENATE(B167,"_","TR",$B$3,"_","TR",$B$3,"_P","_",G167),AND(C167="TR",D167="TR_A"),CONCATENATE(B167,"_","TR",$B$3,"_","TR",$B$3,"_A","_",G167))</f>
        <v>IMA_TR6_TR6_A_DR</v>
      </c>
      <c r="I167" s="6"/>
      <c r="J167" s="6" t="s">
        <v>182</v>
      </c>
      <c r="K167" s="6" t="s">
        <v>181</v>
      </c>
      <c r="L167" s="6" t="s">
        <v>188</v>
      </c>
      <c r="M167" s="6" t="s">
        <v>188</v>
      </c>
      <c r="N167" s="6">
        <f t="shared" si="4"/>
        <v>260</v>
      </c>
    </row>
    <row r="168" spans="1:14" x14ac:dyDescent="0.25">
      <c r="A168" s="6" t="s">
        <v>190</v>
      </c>
      <c r="B168" s="6" t="str">
        <f>Informações!$C$3</f>
        <v>IMA</v>
      </c>
      <c r="C168" s="6" t="s">
        <v>102</v>
      </c>
      <c r="D168" s="6" t="s">
        <v>211</v>
      </c>
      <c r="E168" s="2" t="s">
        <v>25</v>
      </c>
      <c r="F168" s="6" t="str">
        <f>VLOOKUP(G168,[1]Discrete!$A:$B,2,FALSE)</f>
        <v>FALHA COMUNICACAO</v>
      </c>
      <c r="G168" s="6" t="s">
        <v>78</v>
      </c>
      <c r="H168" s="6" t="str" cm="1">
        <f t="array" ref="H168">_xlfn.IFS(OR(D168="TC",D168="TP",AND(D168="TR",C168="AT"),AND(D168="TR",C168="BT")),CONCATENATE(B168,"_","TR",$B$3,C168,"_","TR",$B$3,C168,"_",G168),AND(D168="SECC",C168="BT"),CONCATENATE(B168,"_","TR",$B$3,C168,"_",$B$9,"_",G168),AND(D168="SECF",C168="AT"),CONCATENATE(B168,"_","TR",$B$3,C168,"_",$B$6,"_",G168),AND(D168="SECT",C168="AT"),CONCATENATE(B168,"_","TR",$B$3,C168,"_",$B$7,"_",G168),AND(D168="DJ",C168="AT"),CONCATENATE(B168,"_","TR",$B$3,C168,"_",$B$4,"_",G168),AND(D168="DJ",C168="BT"),CONCATENATE(B168,"_","TR",$B$3,C168,"_",$B$8,"_",G168),AND(C168="TR",D168="TR"),CONCATENATE(B168,"_","TR",$B$3,"_","TR",$B$3,"_",G168),AND(D168="SECT",C168="BT"),CONCATENATE(B168,"_","TR",$B$3,C168,"_",$B$11,"_",G168),AND(D168="SECF",C168="BT"),CONCATENATE(B168,"_","TR",$B$3,C168,"_",$B$10,"_",G168),AND(D168="SECC",C168="AT"),CONCATENATE(B168,"_","TR",$B$3,C168,"_",$B$5,"_",G168),AND(C168="AT",D168="TR_A"),CONCATENATE(B168,"_","TR",$B$3,C168,"_","TR",$B$3,C168,"_A","_",G168),AND(C168="AT",D168="TR_P"),CONCATENATE(B168,"_","TR",$B$3,C168,"_","TR",$B$3,C168,"_P","_",G168),AND(C168="BT",D168="TR_A"),CONCATENATE(B168,"_","TR",$B$3,C168,"_","TR",$B$3,C168,"_A","_",G168),AND(C168="BT",D168="TR_P"),CONCATENATE(B168,"_","TR",$B$3,C168,"_","TR",$B$3,C168,"_P","_",G168),AND(C168="TR",D168="TR_P"),CONCATENATE(B168,"_","TR",$B$3,"_","TR",$B$3,"_P","_",G168),AND(C168="TR",D168="TR_A"),CONCATENATE(B168,"_","TR",$B$3,"_","TR",$B$3,"_A","_",G168))</f>
        <v>IMA_TR6_TR6_A_FCOM</v>
      </c>
      <c r="I168" s="6"/>
      <c r="J168" s="6" t="s">
        <v>182</v>
      </c>
      <c r="K168" s="6" t="s">
        <v>180</v>
      </c>
      <c r="L168" s="6" t="s">
        <v>188</v>
      </c>
      <c r="M168" s="6" t="s">
        <v>188</v>
      </c>
      <c r="N168" s="6">
        <f t="shared" si="4"/>
        <v>261</v>
      </c>
    </row>
    <row r="169" spans="1:14" x14ac:dyDescent="0.25">
      <c r="A169" s="6" t="s">
        <v>190</v>
      </c>
      <c r="B169" s="6" t="str">
        <f>Informações!$C$3</f>
        <v>IMA</v>
      </c>
      <c r="C169" s="6" t="s">
        <v>102</v>
      </c>
      <c r="D169" s="6" t="s">
        <v>212</v>
      </c>
      <c r="E169" s="2" t="s">
        <v>25</v>
      </c>
      <c r="F169" s="6" t="str">
        <f>VLOOKUP(G169,[1]Discrete!$A:$B,2,FALSE)</f>
        <v>DEFEITO RELE</v>
      </c>
      <c r="G169" s="6" t="s">
        <v>51</v>
      </c>
      <c r="H169" s="6" t="str" cm="1">
        <f t="array" ref="H169">_xlfn.IFS(OR(D169="TC",D169="TP",AND(D169="TR",C169="AT"),AND(D169="TR",C169="BT")),CONCATENATE(B169,"_","TR",$B$3,C169,"_","TR",$B$3,C169,"_",G169),AND(D169="SECC",C169="BT"),CONCATENATE(B169,"_","TR",$B$3,C169,"_",$B$9,"_",G169),AND(D169="SECF",C169="AT"),CONCATENATE(B169,"_","TR",$B$3,C169,"_",$B$6,"_",G169),AND(D169="SECT",C169="AT"),CONCATENATE(B169,"_","TR",$B$3,C169,"_",$B$7,"_",G169),AND(D169="DJ",C169="AT"),CONCATENATE(B169,"_","TR",$B$3,C169,"_",$B$4,"_",G169),AND(D169="DJ",C169="BT"),CONCATENATE(B169,"_","TR",$B$3,C169,"_",$B$8,"_",G169),AND(C169="TR",D169="TR"),CONCATENATE(B169,"_","TR",$B$3,"_","TR",$B$3,"_",G169),AND(D169="SECT",C169="BT"),CONCATENATE(B169,"_","TR",$B$3,C169,"_",$B$11,"_",G169),AND(D169="SECF",C169="BT"),CONCATENATE(B169,"_","TR",$B$3,C169,"_",$B$10,"_",G169),AND(D169="SECC",C169="AT"),CONCATENATE(B169,"_","TR",$B$3,C169,"_",$B$5,"_",G169),AND(C169="AT",D169="TR_A"),CONCATENATE(B169,"_","TR",$B$3,C169,"_","TR",$B$3,C169,"_A","_",G169),AND(C169="AT",D169="TR_P"),CONCATENATE(B169,"_","TR",$B$3,C169,"_","TR",$B$3,C169,"_P","_",G169),AND(C169="BT",D169="TR_A"),CONCATENATE(B169,"_","TR",$B$3,C169,"_","TR",$B$3,C169,"_A","_",G169),AND(C169="BT",D169="TR_P"),CONCATENATE(B169,"_","TR",$B$3,C169,"_","TR",$B$3,C169,"_P","_",G169),AND(C169="TR",D169="TR_P"),CONCATENATE(B169,"_","TR",$B$3,"_","TR",$B$3,"_P","_",G169),AND(C169="TR",D169="TR_A"),CONCATENATE(B169,"_","TR",$B$3,"_","TR",$B$3,"_A","_",G169))</f>
        <v>IMA_TR6_TR6_P_DR</v>
      </c>
      <c r="I169" s="6"/>
      <c r="J169" s="6" t="s">
        <v>182</v>
      </c>
      <c r="K169" s="6" t="s">
        <v>181</v>
      </c>
      <c r="L169" s="6" t="s">
        <v>188</v>
      </c>
      <c r="M169" s="6" t="s">
        <v>188</v>
      </c>
      <c r="N169" s="6">
        <f t="shared" si="4"/>
        <v>262</v>
      </c>
    </row>
    <row r="170" spans="1:14" x14ac:dyDescent="0.25">
      <c r="A170" s="6" t="s">
        <v>190</v>
      </c>
      <c r="B170" s="6" t="str">
        <f>Informações!$C$3</f>
        <v>IMA</v>
      </c>
      <c r="C170" s="6" t="s">
        <v>102</v>
      </c>
      <c r="D170" s="6" t="s">
        <v>212</v>
      </c>
      <c r="E170" s="2" t="s">
        <v>25</v>
      </c>
      <c r="F170" s="6" t="str">
        <f>VLOOKUP(G170,[1]Discrete!$A:$B,2,FALSE)</f>
        <v>FALHA COMUNICACAO</v>
      </c>
      <c r="G170" s="6" t="s">
        <v>78</v>
      </c>
      <c r="H170" s="6" t="str" cm="1">
        <f t="array" ref="H170">_xlfn.IFS(OR(D170="TC",D170="TP",AND(D170="TR",C170="AT"),AND(D170="TR",C170="BT")),CONCATENATE(B170,"_","TR",$B$3,C170,"_","TR",$B$3,C170,"_",G170),AND(D170="SECC",C170="BT"),CONCATENATE(B170,"_","TR",$B$3,C170,"_",$B$9,"_",G170),AND(D170="SECF",C170="AT"),CONCATENATE(B170,"_","TR",$B$3,C170,"_",$B$6,"_",G170),AND(D170="SECT",C170="AT"),CONCATENATE(B170,"_","TR",$B$3,C170,"_",$B$7,"_",G170),AND(D170="DJ",C170="AT"),CONCATENATE(B170,"_","TR",$B$3,C170,"_",$B$4,"_",G170),AND(D170="DJ",C170="BT"),CONCATENATE(B170,"_","TR",$B$3,C170,"_",$B$8,"_",G170),AND(C170="TR",D170="TR"),CONCATENATE(B170,"_","TR",$B$3,"_","TR",$B$3,"_",G170),AND(D170="SECT",C170="BT"),CONCATENATE(B170,"_","TR",$B$3,C170,"_",$B$11,"_",G170),AND(D170="SECF",C170="BT"),CONCATENATE(B170,"_","TR",$B$3,C170,"_",$B$10,"_",G170),AND(D170="SECC",C170="AT"),CONCATENATE(B170,"_","TR",$B$3,C170,"_",$B$5,"_",G170),AND(C170="AT",D170="TR_A"),CONCATENATE(B170,"_","TR",$B$3,C170,"_","TR",$B$3,C170,"_A","_",G170),AND(C170="AT",D170="TR_P"),CONCATENATE(B170,"_","TR",$B$3,C170,"_","TR",$B$3,C170,"_P","_",G170),AND(C170="BT",D170="TR_A"),CONCATENATE(B170,"_","TR",$B$3,C170,"_","TR",$B$3,C170,"_A","_",G170),AND(C170="BT",D170="TR_P"),CONCATENATE(B170,"_","TR",$B$3,C170,"_","TR",$B$3,C170,"_P","_",G170),AND(C170="TR",D170="TR_P"),CONCATENATE(B170,"_","TR",$B$3,"_","TR",$B$3,"_P","_",G170),AND(C170="TR",D170="TR_A"),CONCATENATE(B170,"_","TR",$B$3,"_","TR",$B$3,"_A","_",G170))</f>
        <v>IMA_TR6_TR6_P_FCOM</v>
      </c>
      <c r="I170" s="6"/>
      <c r="J170" s="6" t="s">
        <v>182</v>
      </c>
      <c r="K170" s="6" t="s">
        <v>180</v>
      </c>
      <c r="L170" s="6" t="s">
        <v>188</v>
      </c>
      <c r="M170" s="6" t="s">
        <v>188</v>
      </c>
      <c r="N170" s="6">
        <f t="shared" si="4"/>
        <v>263</v>
      </c>
    </row>
    <row r="171" spans="1:14" x14ac:dyDescent="0.25">
      <c r="A171" s="6" t="s">
        <v>190</v>
      </c>
      <c r="B171" s="6" t="str">
        <f>Informações!$C$3</f>
        <v>IMA</v>
      </c>
      <c r="C171" s="6" t="s">
        <v>102</v>
      </c>
      <c r="D171" s="6" t="s">
        <v>102</v>
      </c>
      <c r="E171" s="2" t="s">
        <v>25</v>
      </c>
      <c r="F171" s="94" t="str">
        <f>VLOOKUP(G171,[1]Discrete!$A:$B,2,FALSE)</f>
        <v>DEFEITO RELE 2414</v>
      </c>
      <c r="G171" s="6" t="s">
        <v>704</v>
      </c>
      <c r="H171" s="6" t="str" cm="1">
        <f t="array" ref="H171">_xlfn.IFS(OR(D171="TC",D171="TP",AND(D171="TR",C171="AT"),AND(D171="TR",C171="BT")),CONCATENATE(B171,"_","TR",$B$3,C171,"_","TR",$B$3,C171,"_",G171),AND(D171="SECC",C171="BT"),CONCATENATE(B171,"_","TR",$B$3,C171,"_",$B$9,"_",G171),AND(D171="SECF",C171="AT"),CONCATENATE(B171,"_","TR",$B$3,C171,"_",$B$6,"_",G171),AND(D171="SECT",C171="AT"),CONCATENATE(B171,"_","TR",$B$3,C171,"_",$B$7,"_",G171),AND(D171="DJ",C171="AT"),CONCATENATE(B171,"_","TR",$B$3,C171,"_",$B$4,"_",G171),AND(D171="DJ",C171="BT"),CONCATENATE(B171,"_","TR",$B$3,C171,"_",$B$8,"_",G171),AND(C171="TR",D171="TR"),CONCATENATE(B171,"_","TR",$B$3,"_","TR",$B$3,"_",G171),AND(D171="SECT",C171="BT"),CONCATENATE(B171,"_","TR",$B$3,C171,"_",$B$11,"_",G171),AND(D171="SECF",C171="BT"),CONCATENATE(B171,"_","TR",$B$3,C171,"_",$B$10,"_",G171),AND(D171="SECC",C171="AT"),CONCATENATE(B171,"_","TR",$B$3,C171,"_",$B$5,"_",G171),AND(C171="AT",D171="TR_A"),CONCATENATE(B171,"_","TR",$B$3,C171,"_","TR",$B$3,C171,"_A","_",G171),AND(C171="AT",D171="TR_P"),CONCATENATE(B171,"_","TR",$B$3,C171,"_","TR",$B$3,C171,"_P","_",G171),AND(C171="BT",D171="TR_A"),CONCATENATE(B171,"_","TR",$B$3,C171,"_","TR",$B$3,C171,"_A","_",G171),AND(C171="BT",D171="TR_P"),CONCATENATE(B171,"_","TR",$B$3,C171,"_","TR",$B$3,C171,"_P","_",G171),AND(C171="TR",D171="TR_P"),CONCATENATE(B171,"_","TR",$B$3,"_","TR",$B$3,"_P","_",G171),AND(C171="TR",D171="TR_A"),CONCATENATE(B171,"_","TR",$B$3,"_","TR",$B$3,"_A","_",G171))</f>
        <v>IMA_TR6_TR6_DR14</v>
      </c>
      <c r="I171" s="6"/>
      <c r="J171" s="6" t="s">
        <v>182</v>
      </c>
      <c r="K171" s="6" t="s">
        <v>181</v>
      </c>
      <c r="L171" s="6" t="s">
        <v>188</v>
      </c>
      <c r="M171" s="6" t="s">
        <v>188</v>
      </c>
      <c r="N171" s="6">
        <f t="shared" si="4"/>
        <v>264</v>
      </c>
    </row>
    <row r="172" spans="1:14" x14ac:dyDescent="0.25">
      <c r="A172" s="6" t="s">
        <v>190</v>
      </c>
      <c r="B172" s="6" t="str">
        <f>Informações!$C$3</f>
        <v>IMA</v>
      </c>
      <c r="C172" s="6" t="s">
        <v>102</v>
      </c>
      <c r="D172" s="6" t="s">
        <v>102</v>
      </c>
      <c r="E172" s="2" t="s">
        <v>25</v>
      </c>
      <c r="F172" s="94" t="str">
        <f>VLOOKUP(G172,[1]Discrete!$A:$B,2,FALSE)</f>
        <v>FALHA COMUNICACAO RELE 2414</v>
      </c>
      <c r="G172" s="6" t="s">
        <v>705</v>
      </c>
      <c r="H172" s="6" t="str" cm="1">
        <f t="array" ref="H172">_xlfn.IFS(OR(D172="TC",D172="TP",AND(D172="TR",C172="AT"),AND(D172="TR",C172="BT")),CONCATENATE(B172,"_","TR",$B$3,C172,"_","TR",$B$3,C172,"_",G172),AND(D172="SECC",C172="BT"),CONCATENATE(B172,"_","TR",$B$3,C172,"_",$B$9,"_",G172),AND(D172="SECF",C172="AT"),CONCATENATE(B172,"_","TR",$B$3,C172,"_",$B$6,"_",G172),AND(D172="SECT",C172="AT"),CONCATENATE(B172,"_","TR",$B$3,C172,"_",$B$7,"_",G172),AND(D172="DJ",C172="AT"),CONCATENATE(B172,"_","TR",$B$3,C172,"_",$B$4,"_",G172),AND(D172="DJ",C172="BT"),CONCATENATE(B172,"_","TR",$B$3,C172,"_",$B$8,"_",G172),AND(C172="TR",D172="TR"),CONCATENATE(B172,"_","TR",$B$3,"_","TR",$B$3,"_",G172),AND(D172="SECT",C172="BT"),CONCATENATE(B172,"_","TR",$B$3,C172,"_",$B$11,"_",G172),AND(D172="SECF",C172="BT"),CONCATENATE(B172,"_","TR",$B$3,C172,"_",$B$10,"_",G172),AND(D172="SECC",C172="AT"),CONCATENATE(B172,"_","TR",$B$3,C172,"_",$B$5,"_",G172),AND(C172="AT",D172="TR_A"),CONCATENATE(B172,"_","TR",$B$3,C172,"_","TR",$B$3,C172,"_A","_",G172),AND(C172="AT",D172="TR_P"),CONCATENATE(B172,"_","TR",$B$3,C172,"_","TR",$B$3,C172,"_P","_",G172),AND(C172="BT",D172="TR_A"),CONCATENATE(B172,"_","TR",$B$3,C172,"_","TR",$B$3,C172,"_A","_",G172),AND(C172="BT",D172="TR_P"),CONCATENATE(B172,"_","TR",$B$3,C172,"_","TR",$B$3,C172,"_P","_",G172),AND(C172="TR",D172="TR_P"),CONCATENATE(B172,"_","TR",$B$3,"_","TR",$B$3,"_P","_",G172),AND(C172="TR",D172="TR_A"),CONCATENATE(B172,"_","TR",$B$3,"_","TR",$B$3,"_A","_",G172))</f>
        <v>IMA_TR6_TR6_FC14</v>
      </c>
      <c r="I172" s="6"/>
      <c r="J172" s="6" t="s">
        <v>182</v>
      </c>
      <c r="K172" s="6" t="s">
        <v>180</v>
      </c>
      <c r="L172" s="6" t="s">
        <v>188</v>
      </c>
      <c r="M172" s="6" t="s">
        <v>188</v>
      </c>
      <c r="N172" s="6">
        <f t="shared" si="4"/>
        <v>265</v>
      </c>
    </row>
    <row r="173" spans="1:14" x14ac:dyDescent="0.25">
      <c r="A173" s="95" t="s">
        <v>190</v>
      </c>
      <c r="B173" s="95" t="str">
        <f>Informações!$C$3</f>
        <v>IMA</v>
      </c>
      <c r="C173" s="95" t="s">
        <v>102</v>
      </c>
      <c r="D173" s="95" t="s">
        <v>102</v>
      </c>
      <c r="E173" s="2" t="s">
        <v>25</v>
      </c>
      <c r="F173" s="95" t="str">
        <f>VLOOKUP(G173,[1]Discrete!$A:$B,2,FALSE)</f>
        <v>CDC LOCAL AUTOMATICO</v>
      </c>
      <c r="G173" s="6" t="s">
        <v>706</v>
      </c>
      <c r="H173" s="6" t="str" cm="1">
        <f t="array" ref="H173">_xlfn.IFS(OR(D173="TC",D173="TP",AND(D173="TR",C173="AT"),AND(D173="TR",C173="BT")),CONCATENATE(B173,"_","TR",$B$3,C173,"_","TR",$B$3,C173,"_",G173),AND(D173="SECC",C173="BT"),CONCATENATE(B173,"_","TR",$B$3,C173,"_",$B$9,"_",G173),AND(D173="SECF",C173="AT"),CONCATENATE(B173,"_","TR",$B$3,C173,"_",$B$6,"_",G173),AND(D173="SECT",C173="AT"),CONCATENATE(B173,"_","TR",$B$3,C173,"_",$B$7,"_",G173),AND(D173="DJ",C173="AT"),CONCATENATE(B173,"_","TR",$B$3,C173,"_",$B$4,"_",G173),AND(D173="DJ",C173="BT"),CONCATENATE(B173,"_","TR",$B$3,C173,"_",$B$8,"_",G173),AND(C173="TR",D173="TR"),CONCATENATE(B173,"_","TR",$B$3,"_","TR",$B$3,"_",G173),AND(D173="SECT",C173="BT"),CONCATENATE(B173,"_","TR",$B$3,C173,"_",$B$11,"_",G173),AND(D173="SECF",C173="BT"),CONCATENATE(B173,"_","TR",$B$3,C173,"_",$B$10,"_",G173),AND(D173="SECC",C173="AT"),CONCATENATE(B173,"_","TR",$B$3,C173,"_",$B$5,"_",G173),AND(C173="AT",D173="TR_A"),CONCATENATE(B173,"_","TR",$B$3,C173,"_","TR",$B$3,C173,"_A","_",G173),AND(C173="AT",D173="TR_P"),CONCATENATE(B173,"_","TR",$B$3,C173,"_","TR",$B$3,C173,"_P","_",G173),AND(C173="BT",D173="TR_A"),CONCATENATE(B173,"_","TR",$B$3,C173,"_","TR",$B$3,C173,"_A","_",G173),AND(C173="BT",D173="TR_P"),CONCATENATE(B173,"_","TR",$B$3,C173,"_","TR",$B$3,C173,"_P","_",G173),AND(C173="TR",D173="TR_P"),CONCATENATE(B173,"_","TR",$B$3,"_","TR",$B$3,"_P","_",G173),AND(C173="TR",D173="TR_A"),CONCATENATE(B173,"_","TR",$B$3,"_","TR",$B$3,"_A","_",G173))</f>
        <v>IMA_TR6_TR6_CDLA</v>
      </c>
      <c r="I173" s="6"/>
      <c r="J173" s="6" t="s">
        <v>184</v>
      </c>
      <c r="K173" s="6" t="s">
        <v>183</v>
      </c>
      <c r="L173" s="6" t="s">
        <v>188</v>
      </c>
      <c r="M173" s="6" t="s">
        <v>188</v>
      </c>
      <c r="N173" s="95">
        <f>'LT 4'!N105+1</f>
        <v>937</v>
      </c>
    </row>
    <row r="174" spans="1:14" x14ac:dyDescent="0.25">
      <c r="A174" s="95" t="s">
        <v>190</v>
      </c>
      <c r="B174" s="95" t="str">
        <f>Informações!$C$3</f>
        <v>IMA</v>
      </c>
      <c r="C174" s="95" t="s">
        <v>102</v>
      </c>
      <c r="D174" s="95" t="s">
        <v>102</v>
      </c>
      <c r="E174" s="2" t="s">
        <v>25</v>
      </c>
      <c r="F174" s="95" t="str">
        <f>VLOOKUP(G174,[1]Discrete!$A:$B,2,FALSE)</f>
        <v>CDC LOCAL MANUAL</v>
      </c>
      <c r="G174" s="6" t="s">
        <v>707</v>
      </c>
      <c r="H174" s="6" t="str" cm="1">
        <f t="array" ref="H174">_xlfn.IFS(OR(D174="TC",D174="TP",AND(D174="TR",C174="AT"),AND(D174="TR",C174="BT")),CONCATENATE(B174,"_","TR",$B$3,C174,"_","TR",$B$3,C174,"_",G174),AND(D174="SECC",C174="BT"),CONCATENATE(B174,"_","TR",$B$3,C174,"_",$B$9,"_",G174),AND(D174="SECF",C174="AT"),CONCATENATE(B174,"_","TR",$B$3,C174,"_",$B$6,"_",G174),AND(D174="SECT",C174="AT"),CONCATENATE(B174,"_","TR",$B$3,C174,"_",$B$7,"_",G174),AND(D174="DJ",C174="AT"),CONCATENATE(B174,"_","TR",$B$3,C174,"_",$B$4,"_",G174),AND(D174="DJ",C174="BT"),CONCATENATE(B174,"_","TR",$B$3,C174,"_",$B$8,"_",G174),AND(C174="TR",D174="TR"),CONCATENATE(B174,"_","TR",$B$3,"_","TR",$B$3,"_",G174),AND(D174="SECT",C174="BT"),CONCATENATE(B174,"_","TR",$B$3,C174,"_",$B$11,"_",G174),AND(D174="SECF",C174="BT"),CONCATENATE(B174,"_","TR",$B$3,C174,"_",$B$10,"_",G174),AND(D174="SECC",C174="AT"),CONCATENATE(B174,"_","TR",$B$3,C174,"_",$B$5,"_",G174),AND(C174="AT",D174="TR_A"),CONCATENATE(B174,"_","TR",$B$3,C174,"_","TR",$B$3,C174,"_A","_",G174),AND(C174="AT",D174="TR_P"),CONCATENATE(B174,"_","TR",$B$3,C174,"_","TR",$B$3,C174,"_P","_",G174),AND(C174="BT",D174="TR_A"),CONCATENATE(B174,"_","TR",$B$3,C174,"_","TR",$B$3,C174,"_A","_",G174),AND(C174="BT",D174="TR_P"),CONCATENATE(B174,"_","TR",$B$3,C174,"_","TR",$B$3,C174,"_P","_",G174),AND(C174="TR",D174="TR_P"),CONCATENATE(B174,"_","TR",$B$3,"_","TR",$B$3,"_P","_",G174),AND(C174="TR",D174="TR_A"),CONCATENATE(B174,"_","TR",$B$3,"_","TR",$B$3,"_A","_",G174))</f>
        <v>IMA_TR6_TR6_CDLM</v>
      </c>
      <c r="I174" s="6"/>
      <c r="J174" s="6" t="s">
        <v>184</v>
      </c>
      <c r="K174" s="6" t="s">
        <v>183</v>
      </c>
      <c r="L174" s="6" t="s">
        <v>188</v>
      </c>
      <c r="M174" s="6" t="s">
        <v>188</v>
      </c>
      <c r="N174" s="95">
        <f>N173+1</f>
        <v>938</v>
      </c>
    </row>
    <row r="175" spans="1:14" x14ac:dyDescent="0.25">
      <c r="A175" s="95" t="s">
        <v>190</v>
      </c>
      <c r="B175" s="95" t="str">
        <f>Informações!$C$3</f>
        <v>IMA</v>
      </c>
      <c r="C175" s="95" t="s">
        <v>102</v>
      </c>
      <c r="D175" s="95" t="s">
        <v>102</v>
      </c>
      <c r="E175" s="2" t="s">
        <v>25</v>
      </c>
      <c r="F175" s="95" t="str">
        <f>VLOOKUP(G175,[1]Discrete!$A:$B,2,FALSE)</f>
        <v>CDC REMOTO AUTOMATICO</v>
      </c>
      <c r="G175" s="6" t="s">
        <v>708</v>
      </c>
      <c r="H175" s="6" t="str" cm="1">
        <f t="array" ref="H175">_xlfn.IFS(OR(D175="TC",D175="TP",AND(D175="TR",C175="AT"),AND(D175="TR",C175="BT")),CONCATENATE(B175,"_","TR",$B$3,C175,"_","TR",$B$3,C175,"_",G175),AND(D175="SECC",C175="BT"),CONCATENATE(B175,"_","TR",$B$3,C175,"_",$B$9,"_",G175),AND(D175="SECF",C175="AT"),CONCATENATE(B175,"_","TR",$B$3,C175,"_",$B$6,"_",G175),AND(D175="SECT",C175="AT"),CONCATENATE(B175,"_","TR",$B$3,C175,"_",$B$7,"_",G175),AND(D175="DJ",C175="AT"),CONCATENATE(B175,"_","TR",$B$3,C175,"_",$B$4,"_",G175),AND(D175="DJ",C175="BT"),CONCATENATE(B175,"_","TR",$B$3,C175,"_",$B$8,"_",G175),AND(C175="TR",D175="TR"),CONCATENATE(B175,"_","TR",$B$3,"_","TR",$B$3,"_",G175),AND(D175="SECT",C175="BT"),CONCATENATE(B175,"_","TR",$B$3,C175,"_",$B$11,"_",G175),AND(D175="SECF",C175="BT"),CONCATENATE(B175,"_","TR",$B$3,C175,"_",$B$10,"_",G175),AND(D175="SECC",C175="AT"),CONCATENATE(B175,"_","TR",$B$3,C175,"_",$B$5,"_",G175),AND(C175="AT",D175="TR_A"),CONCATENATE(B175,"_","TR",$B$3,C175,"_","TR",$B$3,C175,"_A","_",G175),AND(C175="AT",D175="TR_P"),CONCATENATE(B175,"_","TR",$B$3,C175,"_","TR",$B$3,C175,"_P","_",G175),AND(C175="BT",D175="TR_A"),CONCATENATE(B175,"_","TR",$B$3,C175,"_","TR",$B$3,C175,"_A","_",G175),AND(C175="BT",D175="TR_P"),CONCATENATE(B175,"_","TR",$B$3,C175,"_","TR",$B$3,C175,"_P","_",G175),AND(C175="TR",D175="TR_P"),CONCATENATE(B175,"_","TR",$B$3,"_","TR",$B$3,"_P","_",G175),AND(C175="TR",D175="TR_A"),CONCATENATE(B175,"_","TR",$B$3,"_","TR",$B$3,"_A","_",G175))</f>
        <v>IMA_TR6_TR6_CDRA</v>
      </c>
      <c r="I175" s="6"/>
      <c r="J175" s="6" t="s">
        <v>184</v>
      </c>
      <c r="K175" s="6" t="s">
        <v>183</v>
      </c>
      <c r="L175" s="6" t="s">
        <v>188</v>
      </c>
      <c r="M175" s="6" t="s">
        <v>188</v>
      </c>
      <c r="N175" s="95">
        <f t="shared" ref="N175:N212" si="5">N174+1</f>
        <v>939</v>
      </c>
    </row>
    <row r="176" spans="1:14" x14ac:dyDescent="0.25">
      <c r="A176" s="95" t="s">
        <v>190</v>
      </c>
      <c r="B176" s="95" t="str">
        <f>Informações!$C$3</f>
        <v>IMA</v>
      </c>
      <c r="C176" s="95" t="s">
        <v>102</v>
      </c>
      <c r="D176" s="95" t="s">
        <v>102</v>
      </c>
      <c r="E176" s="2" t="s">
        <v>25</v>
      </c>
      <c r="F176" s="95" t="str">
        <f>VLOOKUP(G176,[1]Discrete!$A:$B,2,FALSE)</f>
        <v>CDC REMOTO MANUAL</v>
      </c>
      <c r="G176" s="6" t="s">
        <v>709</v>
      </c>
      <c r="H176" s="6" t="str" cm="1">
        <f t="array" ref="H176">_xlfn.IFS(OR(D176="TC",D176="TP",AND(D176="TR",C176="AT"),AND(D176="TR",C176="BT")),CONCATENATE(B176,"_","TR",$B$3,C176,"_","TR",$B$3,C176,"_",G176),AND(D176="SECC",C176="BT"),CONCATENATE(B176,"_","TR",$B$3,C176,"_",$B$9,"_",G176),AND(D176="SECF",C176="AT"),CONCATENATE(B176,"_","TR",$B$3,C176,"_",$B$6,"_",G176),AND(D176="SECT",C176="AT"),CONCATENATE(B176,"_","TR",$B$3,C176,"_",$B$7,"_",G176),AND(D176="DJ",C176="AT"),CONCATENATE(B176,"_","TR",$B$3,C176,"_",$B$4,"_",G176),AND(D176="DJ",C176="BT"),CONCATENATE(B176,"_","TR",$B$3,C176,"_",$B$8,"_",G176),AND(C176="TR",D176="TR"),CONCATENATE(B176,"_","TR",$B$3,"_","TR",$B$3,"_",G176),AND(D176="SECT",C176="BT"),CONCATENATE(B176,"_","TR",$B$3,C176,"_",$B$11,"_",G176),AND(D176="SECF",C176="BT"),CONCATENATE(B176,"_","TR",$B$3,C176,"_",$B$10,"_",G176),AND(D176="SECC",C176="AT"),CONCATENATE(B176,"_","TR",$B$3,C176,"_",$B$5,"_",G176),AND(C176="AT",D176="TR_A"),CONCATENATE(B176,"_","TR",$B$3,C176,"_","TR",$B$3,C176,"_A","_",G176),AND(C176="AT",D176="TR_P"),CONCATENATE(B176,"_","TR",$B$3,C176,"_","TR",$B$3,C176,"_P","_",G176),AND(C176="BT",D176="TR_A"),CONCATENATE(B176,"_","TR",$B$3,C176,"_","TR",$B$3,C176,"_A","_",G176),AND(C176="BT",D176="TR_P"),CONCATENATE(B176,"_","TR",$B$3,C176,"_","TR",$B$3,C176,"_P","_",G176),AND(C176="TR",D176="TR_P"),CONCATENATE(B176,"_","TR",$B$3,"_","TR",$B$3,"_P","_",G176),AND(C176="TR",D176="TR_A"),CONCATENATE(B176,"_","TR",$B$3,"_","TR",$B$3,"_A","_",G176))</f>
        <v>IMA_TR6_TR6_CDRM</v>
      </c>
      <c r="I176" s="6"/>
      <c r="J176" s="6" t="s">
        <v>184</v>
      </c>
      <c r="K176" s="6" t="s">
        <v>183</v>
      </c>
      <c r="L176" s="6" t="s">
        <v>188</v>
      </c>
      <c r="M176" s="6" t="s">
        <v>188</v>
      </c>
      <c r="N176" s="95">
        <f t="shared" si="5"/>
        <v>940</v>
      </c>
    </row>
    <row r="177" spans="1:14" x14ac:dyDescent="0.25">
      <c r="A177" s="95" t="s">
        <v>190</v>
      </c>
      <c r="B177" s="95" t="str">
        <f>Informações!$C$3</f>
        <v>IMA</v>
      </c>
      <c r="C177" s="95" t="s">
        <v>102</v>
      </c>
      <c r="D177" s="95" t="s">
        <v>102</v>
      </c>
      <c r="E177" s="2" t="s">
        <v>25</v>
      </c>
      <c r="F177" s="95" t="str">
        <f>VLOOKUP(G177,[1]Discrete!$A:$B,2,FALSE)</f>
        <v>FALHA SINCRONISMO HORA</v>
      </c>
      <c r="G177" s="6" t="s">
        <v>162</v>
      </c>
      <c r="H177" s="6" t="str" cm="1">
        <f t="array" ref="H177">_xlfn.IFS(OR(D177="TC",D177="TP",AND(D177="TR",C177="AT"),AND(D177="TR",C177="BT")),CONCATENATE(B177,"_","TR",$B$3,C177,"_","TR",$B$3,C177,"_",G177),AND(D177="SECC",C177="BT"),CONCATENATE(B177,"_","TR",$B$3,C177,"_",$B$9,"_",G177),AND(D177="SECF",C177="AT"),CONCATENATE(B177,"_","TR",$B$3,C177,"_",$B$6,"_",G177),AND(D177="SECT",C177="AT"),CONCATENATE(B177,"_","TR",$B$3,C177,"_",$B$7,"_",G177),AND(D177="DJ",C177="AT"),CONCATENATE(B177,"_","TR",$B$3,C177,"_",$B$4,"_",G177),AND(D177="DJ",C177="BT"),CONCATENATE(B177,"_","TR",$B$3,C177,"_",$B$8,"_",G177),AND(C177="TR",D177="TR"),CONCATENATE(B177,"_","TR",$B$3,"_","TR",$B$3,"_",G177),AND(D177="SECT",C177="BT"),CONCATENATE(B177,"_","TR",$B$3,C177,"_",$B$11,"_",G177),AND(D177="SECF",C177="BT"),CONCATENATE(B177,"_","TR",$B$3,C177,"_",$B$10,"_",G177),AND(D177="SECC",C177="AT"),CONCATENATE(B177,"_","TR",$B$3,C177,"_",$B$5,"_",G177),AND(C177="AT",D177="TR_A"),CONCATENATE(B177,"_","TR",$B$3,C177,"_","TR",$B$3,C177,"_A","_",G177),AND(C177="AT",D177="TR_P"),CONCATENATE(B177,"_","TR",$B$3,C177,"_","TR",$B$3,C177,"_P","_",G177),AND(C177="BT",D177="TR_A"),CONCATENATE(B177,"_","TR",$B$3,C177,"_","TR",$B$3,C177,"_A","_",G177),AND(C177="BT",D177="TR_P"),CONCATENATE(B177,"_","TR",$B$3,C177,"_","TR",$B$3,C177,"_P","_",G177),AND(C177="TR",D177="TR_P"),CONCATENATE(B177,"_","TR",$B$3,"_","TR",$B$3,"_P","_",G177),AND(C177="TR",D177="TR_A"),CONCATENATE(B177,"_","TR",$B$3,"_","TR",$B$3,"_A","_",G177))</f>
        <v>IMA_TR6_TR6_FSIH</v>
      </c>
      <c r="I177" s="6"/>
      <c r="J177" s="6" t="s">
        <v>182</v>
      </c>
      <c r="K177" s="6" t="s">
        <v>179</v>
      </c>
      <c r="L177" s="6" t="s">
        <v>188</v>
      </c>
      <c r="M177" s="6" t="s">
        <v>188</v>
      </c>
      <c r="N177" s="95">
        <f t="shared" si="5"/>
        <v>941</v>
      </c>
    </row>
    <row r="178" spans="1:14" x14ac:dyDescent="0.25">
      <c r="A178" s="95" t="s">
        <v>190</v>
      </c>
      <c r="B178" s="95" t="str">
        <f>Informações!$C$3</f>
        <v>IMA</v>
      </c>
      <c r="C178" s="95" t="s">
        <v>100</v>
      </c>
      <c r="D178" s="95" t="s">
        <v>102</v>
      </c>
      <c r="E178" s="2" t="s">
        <v>25</v>
      </c>
      <c r="F178" s="95" t="str">
        <f>VLOOKUP(G178,[1]Discrete!$A:$B,2,FALSE)</f>
        <v>FALTA POTENCIAL BARRA</v>
      </c>
      <c r="G178" s="6" t="s">
        <v>723</v>
      </c>
      <c r="H178" s="6" t="str" cm="1">
        <f t="array" ref="H178">_xlfn.IFS(OR(D178="TC",D178="TP",AND(D178="TR",C178="AT"),AND(D178="TR",C178="BT")),CONCATENATE(B178,"_","TR",$B$3,C178,"_","TR",$B$3,C178,"_",G178),AND(D178="SECC",C178="BT"),CONCATENATE(B178,"_","TR",$B$3,C178,"_",$B$9,"_",G178),AND(D178="SECF",C178="AT"),CONCATENATE(B178,"_","TR",$B$3,C178,"_",$B$6,"_",G178),AND(D178="SECT",C178="AT"),CONCATENATE(B178,"_","TR",$B$3,C178,"_",$B$7,"_",G178),AND(D178="DJ",C178="AT"),CONCATENATE(B178,"_","TR",$B$3,C178,"_",$B$4,"_",G178),AND(D178="DJ",C178="BT"),CONCATENATE(B178,"_","TR",$B$3,C178,"_",$B$8,"_",G178),AND(C178="TR",D178="TR"),CONCATENATE(B178,"_","TR",$B$3,"_","TR",$B$3,"_",G178),AND(D178="SECT",C178="BT"),CONCATENATE(B178,"_","TR",$B$3,C178,"_",$B$11,"_",G178),AND(D178="SECF",C178="BT"),CONCATENATE(B178,"_","TR",$B$3,C178,"_",$B$10,"_",G178),AND(D178="SECC",C178="AT"),CONCATENATE(B178,"_","TR",$B$3,C178,"_",$B$5,"_",G178),AND(C178="AT",D178="TR_A"),CONCATENATE(B178,"_","TR",$B$3,C178,"_","TR",$B$3,C178,"_A","_",G178),AND(C178="AT",D178="TR_P"),CONCATENATE(B178,"_","TR",$B$3,C178,"_","TR",$B$3,C178,"_P","_",G178),AND(C178="BT",D178="TR_A"),CONCATENATE(B178,"_","TR",$B$3,C178,"_","TR",$B$3,C178,"_A","_",G178),AND(C178="BT",D178="TR_P"),CONCATENATE(B178,"_","TR",$B$3,C178,"_","TR",$B$3,C178,"_P","_",G178),AND(C178="TR",D178="TR_P"),CONCATENATE(B178,"_","TR",$B$3,"_","TR",$B$3,"_P","_",G178),AND(C178="TR",D178="TR_A"),CONCATENATE(B178,"_","TR",$B$3,"_","TR",$B$3,"_A","_",G178))</f>
        <v>IMA_TR6AT_TR6AT_FPBR</v>
      </c>
      <c r="I178" s="6"/>
      <c r="J178" s="6" t="s">
        <v>182</v>
      </c>
      <c r="K178" s="6" t="s">
        <v>179</v>
      </c>
      <c r="L178" s="6" t="s">
        <v>188</v>
      </c>
      <c r="M178" s="6" t="s">
        <v>188</v>
      </c>
      <c r="N178" s="95">
        <f t="shared" si="5"/>
        <v>942</v>
      </c>
    </row>
    <row r="179" spans="1:14" x14ac:dyDescent="0.25">
      <c r="A179" s="95" t="s">
        <v>190</v>
      </c>
      <c r="B179" s="95" t="str">
        <f>Informações!$C$3</f>
        <v>IMA</v>
      </c>
      <c r="C179" s="95" t="s">
        <v>101</v>
      </c>
      <c r="D179" s="95" t="s">
        <v>102</v>
      </c>
      <c r="E179" s="2" t="s">
        <v>25</v>
      </c>
      <c r="F179" s="95" t="str">
        <f>VLOOKUP(G179,[1]Discrete!$A:$B,2,FALSE)</f>
        <v>FALTA POTENCIAL BARRA</v>
      </c>
      <c r="G179" s="6" t="s">
        <v>723</v>
      </c>
      <c r="H179" s="6" t="str" cm="1">
        <f t="array" ref="H179">_xlfn.IFS(OR(D179="TC",D179="TP",AND(D179="TR",C179="AT"),AND(D179="TR",C179="BT")),CONCATENATE(B179,"_","TR",$B$3,C179,"_","TR",$B$3,C179,"_",G179),AND(D179="SECC",C179="BT"),CONCATENATE(B179,"_","TR",$B$3,C179,"_",$B$9,"_",G179),AND(D179="SECF",C179="AT"),CONCATENATE(B179,"_","TR",$B$3,C179,"_",$B$6,"_",G179),AND(D179="SECT",C179="AT"),CONCATENATE(B179,"_","TR",$B$3,C179,"_",$B$7,"_",G179),AND(D179="DJ",C179="AT"),CONCATENATE(B179,"_","TR",$B$3,C179,"_",$B$4,"_",G179),AND(D179="DJ",C179="BT"),CONCATENATE(B179,"_","TR",$B$3,C179,"_",$B$8,"_",G179),AND(C179="TR",D179="TR"),CONCATENATE(B179,"_","TR",$B$3,"_","TR",$B$3,"_",G179),AND(D179="SECT",C179="BT"),CONCATENATE(B179,"_","TR",$B$3,C179,"_",$B$11,"_",G179),AND(D179="SECF",C179="BT"),CONCATENATE(B179,"_","TR",$B$3,C179,"_",$B$10,"_",G179),AND(D179="SECC",C179="AT"),CONCATENATE(B179,"_","TR",$B$3,C179,"_",$B$5,"_",G179),AND(C179="AT",D179="TR_A"),CONCATENATE(B179,"_","TR",$B$3,C179,"_","TR",$B$3,C179,"_A","_",G179),AND(C179="AT",D179="TR_P"),CONCATENATE(B179,"_","TR",$B$3,C179,"_","TR",$B$3,C179,"_P","_",G179),AND(C179="BT",D179="TR_A"),CONCATENATE(B179,"_","TR",$B$3,C179,"_","TR",$B$3,C179,"_A","_",G179),AND(C179="BT",D179="TR_P"),CONCATENATE(B179,"_","TR",$B$3,C179,"_","TR",$B$3,C179,"_P","_",G179),AND(C179="TR",D179="TR_P"),CONCATENATE(B179,"_","TR",$B$3,"_","TR",$B$3,"_P","_",G179),AND(C179="TR",D179="TR_A"),CONCATENATE(B179,"_","TR",$B$3,"_","TR",$B$3,"_A","_",G179))</f>
        <v>IMA_TR6BT_TR6BT_FPBR</v>
      </c>
      <c r="I179" s="6"/>
      <c r="J179" s="6" t="s">
        <v>182</v>
      </c>
      <c r="K179" s="6" t="s">
        <v>179</v>
      </c>
      <c r="L179" s="6" t="s">
        <v>188</v>
      </c>
      <c r="M179" s="6" t="s">
        <v>188</v>
      </c>
      <c r="N179" s="95">
        <f t="shared" si="5"/>
        <v>943</v>
      </c>
    </row>
    <row r="180" spans="1:14" x14ac:dyDescent="0.25">
      <c r="A180" s="95" t="s">
        <v>190</v>
      </c>
      <c r="B180" s="95" t="str">
        <f>Informações!$C$3</f>
        <v>IMA</v>
      </c>
      <c r="C180" s="95" t="s">
        <v>101</v>
      </c>
      <c r="D180" s="95" t="s">
        <v>33</v>
      </c>
      <c r="E180" s="2" t="s">
        <v>25</v>
      </c>
      <c r="F180" s="95" t="str">
        <f>VLOOKUP(G180,[1]Discrete!$A:$B,2,FALSE)</f>
        <v>43 - CHAVE LOCAL REMOTO</v>
      </c>
      <c r="G180" s="6" t="s">
        <v>39</v>
      </c>
      <c r="H180" s="6" t="str" cm="1">
        <f t="array" ref="H180">_xlfn.IFS(OR(D180="TC",D180="TP",AND(D180="TR",C180="AT"),AND(D180="TR",C180="BT")),CONCATENATE(B180,"_","TR",$B$3,C180,"_","TR",$B$3,C180,"_",G180),AND(D180="SECC",C180="BT"),CONCATENATE(B180,"_","TR",$B$3,C180,"_",$B$9,"_",G180),AND(D180="SECF",C180="AT"),CONCATENATE(B180,"_","TR",$B$3,C180,"_",$B$6,"_",G180),AND(D180="SECT",C180="AT"),CONCATENATE(B180,"_","TR",$B$3,C180,"_",$B$7,"_",G180),AND(D180="DJ",C180="AT"),CONCATENATE(B180,"_","TR",$B$3,C180,"_",$B$4,"_",G180),AND(D180="DJ",C180="BT"),CONCATENATE(B180,"_","TR",$B$3,C180,"_",$B$8,"_",G180),AND(C180="TR",D180="TR"),CONCATENATE(B180,"_","TR",$B$3,"_","TR",$B$3,"_",G180),AND(D180="SECT",C180="BT"),CONCATENATE(B180,"_","TR",$B$3,C180,"_",$B$11,"_",G180),AND(D180="SECF",C180="BT"),CONCATENATE(B180,"_","TR",$B$3,C180,"_",$B$10,"_",G180),AND(D180="SECC",C180="AT"),CONCATENATE(B180,"_","TR",$B$3,C180,"_",$B$5,"_",G180),AND(C180="AT",D180="TR_A"),CONCATENATE(B180,"_","TR",$B$3,C180,"_","TR",$B$3,C180,"_A","_",G180),AND(C180="AT",D180="TR_P"),CONCATENATE(B180,"_","TR",$B$3,C180,"_","TR",$B$3,C180,"_P","_",G180),AND(C180="BT",D180="TR_A"),CONCATENATE(B180,"_","TR",$B$3,C180,"_","TR",$B$3,C180,"_A","_",G180),AND(C180="BT",D180="TR_P"),CONCATENATE(B180,"_","TR",$B$3,C180,"_","TR",$B$3,C180,"_P","_",G180),AND(C180="TR",D180="TR_P"),CONCATENATE(B180,"_","TR",$B$3,"_","TR",$B$3,"_P","_",G180),AND(C180="TR",D180="TR_A"),CONCATENATE(B180,"_","TR",$B$3,"_","TR",$B$3,"_A","_",G180))</f>
        <v>IMA_TR6BT_89-38_43LR</v>
      </c>
      <c r="I180" s="6"/>
      <c r="J180" s="6" t="s">
        <v>186</v>
      </c>
      <c r="K180" s="6" t="s">
        <v>185</v>
      </c>
      <c r="L180" s="6" t="s">
        <v>188</v>
      </c>
      <c r="M180" s="6" t="s">
        <v>188</v>
      </c>
      <c r="N180" s="95">
        <f t="shared" si="5"/>
        <v>944</v>
      </c>
    </row>
    <row r="181" spans="1:14" x14ac:dyDescent="0.25">
      <c r="A181" s="95" t="s">
        <v>190</v>
      </c>
      <c r="B181" s="95" t="str">
        <f>Informações!$C$3</f>
        <v>IMA</v>
      </c>
      <c r="C181" s="95" t="s">
        <v>101</v>
      </c>
      <c r="D181" s="95" t="s">
        <v>33</v>
      </c>
      <c r="E181" s="2" t="s">
        <v>25</v>
      </c>
      <c r="F181" s="95" t="str">
        <f>VLOOKUP(G181,[1]Discrete!$A:$B,2,FALSE)</f>
        <v>FALTA VCC</v>
      </c>
      <c r="G181" s="6" t="s">
        <v>42</v>
      </c>
      <c r="H181" s="6" t="str" cm="1">
        <f t="array" ref="H181">_xlfn.IFS(OR(D181="TC",D181="TP",AND(D181="TR",C181="AT"),AND(D181="TR",C181="BT")),CONCATENATE(B181,"_","TR",$B$3,C181,"_","TR",$B$3,C181,"_",G181),AND(D181="SECC",C181="BT"),CONCATENATE(B181,"_","TR",$B$3,C181,"_",$B$9,"_",G181),AND(D181="SECF",C181="AT"),CONCATENATE(B181,"_","TR",$B$3,C181,"_",$B$6,"_",G181),AND(D181="SECT",C181="AT"),CONCATENATE(B181,"_","TR",$B$3,C181,"_",$B$7,"_",G181),AND(D181="DJ",C181="AT"),CONCATENATE(B181,"_","TR",$B$3,C181,"_",$B$4,"_",G181),AND(D181="DJ",C181="BT"),CONCATENATE(B181,"_","TR",$B$3,C181,"_",$B$8,"_",G181),AND(C181="TR",D181="TR"),CONCATENATE(B181,"_","TR",$B$3,"_","TR",$B$3,"_",G181),AND(D181="SECT",C181="BT"),CONCATENATE(B181,"_","TR",$B$3,C181,"_",$B$11,"_",G181),AND(D181="SECF",C181="BT"),CONCATENATE(B181,"_","TR",$B$3,C181,"_",$B$10,"_",G181),AND(D181="SECC",C181="AT"),CONCATENATE(B181,"_","TR",$B$3,C181,"_",$B$5,"_",G181),AND(C181="AT",D181="TR_A"),CONCATENATE(B181,"_","TR",$B$3,C181,"_","TR",$B$3,C181,"_A","_",G181),AND(C181="AT",D181="TR_P"),CONCATENATE(B181,"_","TR",$B$3,C181,"_","TR",$B$3,C181,"_P","_",G181),AND(C181="BT",D181="TR_A"),CONCATENATE(B181,"_","TR",$B$3,C181,"_","TR",$B$3,C181,"_A","_",G181),AND(C181="BT",D181="TR_P"),CONCATENATE(B181,"_","TR",$B$3,C181,"_","TR",$B$3,C181,"_P","_",G181),AND(C181="TR",D181="TR_P"),CONCATENATE(B181,"_","TR",$B$3,"_","TR",$B$3,"_P","_",G181),AND(C181="TR",D181="TR_A"),CONCATENATE(B181,"_","TR",$B$3,"_","TR",$B$3,"_A","_",G181))</f>
        <v>IMA_TR6BT_89-38_CCFL</v>
      </c>
      <c r="I181" s="6"/>
      <c r="J181" s="6" t="s">
        <v>182</v>
      </c>
      <c r="K181" s="6" t="s">
        <v>180</v>
      </c>
      <c r="L181" s="6" t="s">
        <v>188</v>
      </c>
      <c r="M181" s="6" t="s">
        <v>188</v>
      </c>
      <c r="N181" s="95">
        <f t="shared" si="5"/>
        <v>945</v>
      </c>
    </row>
    <row r="182" spans="1:14" x14ac:dyDescent="0.25">
      <c r="A182" s="95" t="s">
        <v>190</v>
      </c>
      <c r="B182" s="95" t="str">
        <f>Informações!$C$3</f>
        <v>IMA</v>
      </c>
      <c r="C182" s="95" t="s">
        <v>101</v>
      </c>
      <c r="D182" s="95" t="s">
        <v>33</v>
      </c>
      <c r="E182" s="2" t="s">
        <v>25</v>
      </c>
      <c r="F182" s="95" t="str">
        <f>VLOOKUP(G182,[1]Discrete!$A:$B,2,FALSE)</f>
        <v>LIBERA MANOBRA</v>
      </c>
      <c r="G182" s="6" t="s">
        <v>112</v>
      </c>
      <c r="H182" s="6" t="str" cm="1">
        <f t="array" ref="H182">_xlfn.IFS(OR(D182="TC",D182="TP",AND(D182="TR",C182="AT"),AND(D182="TR",C182="BT")),CONCATENATE(B182,"_","TR",$B$3,C182,"_","TR",$B$3,C182,"_",G182),AND(D182="SECC",C182="BT"),CONCATENATE(B182,"_","TR",$B$3,C182,"_",$B$9,"_",G182),AND(D182="SECF",C182="AT"),CONCATENATE(B182,"_","TR",$B$3,C182,"_",$B$6,"_",G182),AND(D182="SECT",C182="AT"),CONCATENATE(B182,"_","TR",$B$3,C182,"_",$B$7,"_",G182),AND(D182="DJ",C182="AT"),CONCATENATE(B182,"_","TR",$B$3,C182,"_",$B$4,"_",G182),AND(D182="DJ",C182="BT"),CONCATENATE(B182,"_","TR",$B$3,C182,"_",$B$8,"_",G182),AND(C182="TR",D182="TR"),CONCATENATE(B182,"_","TR",$B$3,"_","TR",$B$3,"_",G182),AND(D182="SECT",C182="BT"),CONCATENATE(B182,"_","TR",$B$3,C182,"_",$B$11,"_",G182),AND(D182="SECF",C182="BT"),CONCATENATE(B182,"_","TR",$B$3,C182,"_",$B$10,"_",G182),AND(D182="SECC",C182="AT"),CONCATENATE(B182,"_","TR",$B$3,C182,"_",$B$5,"_",G182),AND(C182="AT",D182="TR_A"),CONCATENATE(B182,"_","TR",$B$3,C182,"_","TR",$B$3,C182,"_A","_",G182),AND(C182="AT",D182="TR_P"),CONCATENATE(B182,"_","TR",$B$3,C182,"_","TR",$B$3,C182,"_P","_",G182),AND(C182="BT",D182="TR_A"),CONCATENATE(B182,"_","TR",$B$3,C182,"_","TR",$B$3,C182,"_A","_",G182),AND(C182="BT",D182="TR_P"),CONCATENATE(B182,"_","TR",$B$3,C182,"_","TR",$B$3,C182,"_P","_",G182),AND(C182="TR",D182="TR_P"),CONCATENATE(B182,"_","TR",$B$3,"_","TR",$B$3,"_P","_",G182),AND(C182="TR",D182="TR_A"),CONCATENATE(B182,"_","TR",$B$3,"_","TR",$B$3,"_A","_",G182))</f>
        <v>IMA_TR6BT_89-38_LIBM</v>
      </c>
      <c r="I182" s="6"/>
      <c r="J182" s="6" t="s">
        <v>182</v>
      </c>
      <c r="K182" s="6" t="s">
        <v>179</v>
      </c>
      <c r="L182" s="6" t="s">
        <v>188</v>
      </c>
      <c r="M182" s="6" t="s">
        <v>188</v>
      </c>
      <c r="N182" s="95">
        <f t="shared" si="5"/>
        <v>946</v>
      </c>
    </row>
    <row r="183" spans="1:14" x14ac:dyDescent="0.25">
      <c r="A183" s="95" t="s">
        <v>190</v>
      </c>
      <c r="B183" s="95" t="str">
        <f>Informações!$C$3</f>
        <v>IMA</v>
      </c>
      <c r="C183" s="95" t="s">
        <v>102</v>
      </c>
      <c r="D183" s="95" t="s">
        <v>102</v>
      </c>
      <c r="E183" s="2" t="s">
        <v>25</v>
      </c>
      <c r="F183" s="95" t="str">
        <f>VLOOKUP(G183,[1]Discrete!$A:$B,2,FALSE)</f>
        <v>FALHA VENTILACAO FORCADA</v>
      </c>
      <c r="G183" s="6" t="s">
        <v>715</v>
      </c>
      <c r="H183" s="6" t="str" cm="1">
        <f t="array" ref="H183">_xlfn.IFS(OR(D183="TC",D183="TP",AND(D183="TR",C183="AT"),AND(D183="TR",C183="BT")),CONCATENATE(B183,"_","TR",$B$3,C183,"_","TR",$B$3,C183,"_",G183),AND(D183="SECC",C183="BT"),CONCATENATE(B183,"_","TR",$B$3,C183,"_",$B$9,"_",G183),AND(D183="SECF",C183="AT"),CONCATENATE(B183,"_","TR",$B$3,C183,"_",$B$6,"_",G183),AND(D183="SECT",C183="AT"),CONCATENATE(B183,"_","TR",$B$3,C183,"_",$B$7,"_",G183),AND(D183="DJ",C183="AT"),CONCATENATE(B183,"_","TR",$B$3,C183,"_",$B$4,"_",G183),AND(D183="DJ",C183="BT"),CONCATENATE(B183,"_","TR",$B$3,C183,"_",$B$8,"_",G183),AND(C183="TR",D183="TR"),CONCATENATE(B183,"_","TR",$B$3,"_","TR",$B$3,"_",G183),AND(D183="SECT",C183="BT"),CONCATENATE(B183,"_","TR",$B$3,C183,"_",$B$11,"_",G183),AND(D183="SECF",C183="BT"),CONCATENATE(B183,"_","TR",$B$3,C183,"_",$B$10,"_",G183),AND(D183="SECC",C183="AT"),CONCATENATE(B183,"_","TR",$B$3,C183,"_",$B$5,"_",G183),AND(C183="AT",D183="TR_A"),CONCATENATE(B183,"_","TR",$B$3,C183,"_","TR",$B$3,C183,"_A","_",G183),AND(C183="AT",D183="TR_P"),CONCATENATE(B183,"_","TR",$B$3,C183,"_","TR",$B$3,C183,"_P","_",G183),AND(C183="BT",D183="TR_A"),CONCATENATE(B183,"_","TR",$B$3,C183,"_","TR",$B$3,C183,"_A","_",G183),AND(C183="BT",D183="TR_P"),CONCATENATE(B183,"_","TR",$B$3,C183,"_","TR",$B$3,C183,"_P","_",G183),AND(C183="TR",D183="TR_P"),CONCATENATE(B183,"_","TR",$B$3,"_","TR",$B$3,"_P","_",G183),AND(C183="TR",D183="TR_A"),CONCATENATE(B183,"_","TR",$B$3,"_","TR",$B$3,"_A","_",G183))</f>
        <v>IMA_TR6_TR6_FVF</v>
      </c>
      <c r="I183" s="6"/>
      <c r="J183" s="6" t="s">
        <v>182</v>
      </c>
      <c r="K183" s="6" t="s">
        <v>179</v>
      </c>
      <c r="L183" s="6" t="s">
        <v>188</v>
      </c>
      <c r="M183" s="6" t="s">
        <v>188</v>
      </c>
      <c r="N183" s="95">
        <f t="shared" si="5"/>
        <v>947</v>
      </c>
    </row>
    <row r="184" spans="1:14" x14ac:dyDescent="0.25">
      <c r="A184" s="95" t="s">
        <v>190</v>
      </c>
      <c r="B184" s="95" t="str">
        <f>Informações!$C$3</f>
        <v>IMA</v>
      </c>
      <c r="C184" s="95" t="s">
        <v>101</v>
      </c>
      <c r="D184" s="95" t="s">
        <v>102</v>
      </c>
      <c r="E184" s="2" t="s">
        <v>25</v>
      </c>
      <c r="F184" s="95" t="s">
        <v>710</v>
      </c>
      <c r="G184" s="6" t="s">
        <v>119</v>
      </c>
      <c r="H184" s="6" t="str" cm="1">
        <f t="array" ref="H184">_xlfn.IFS(OR(D184="TC",D184="TP",AND(D184="TR",C184="AT"),AND(D184="TR",C184="BT")),CONCATENATE(B184,"_","TR",$B$3,C184,"_","TR",$B$3,C184,"_",G184),AND(D184="SECC",C184="BT"),CONCATENATE(B184,"_","TR",$B$3,C184,"_",$B$9,"_",G184),AND(D184="SECF",C184="AT"),CONCATENATE(B184,"_","TR",$B$3,C184,"_",$B$6,"_",G184),AND(D184="SECT",C184="AT"),CONCATENATE(B184,"_","TR",$B$3,C184,"_",$B$7,"_",G184),AND(D184="DJ",C184="AT"),CONCATENATE(B184,"_","TR",$B$3,C184,"_",$B$4,"_",G184),AND(D184="DJ",C184="BT"),CONCATENATE(B184,"_","TR",$B$3,C184,"_",$B$8,"_",G184),AND(C184="TR",D184="TR"),CONCATENATE(B184,"_","TR",$B$3,"_","TR",$B$3,"_",G184),AND(D184="SECT",C184="BT"),CONCATENATE(B184,"_","TR",$B$3,C184,"_",$B$11,"_",G184),AND(D184="SECF",C184="BT"),CONCATENATE(B184,"_","TR",$B$3,C184,"_",$B$10,"_",G184),AND(D184="SECC",C184="AT"),CONCATENATE(B184,"_","TR",$B$3,C184,"_",$B$5,"_",G184),AND(C184="AT",D184="TR_A"),CONCATENATE(B184,"_","TR",$B$3,C184,"_","TR",$B$3,C184,"_A","_",G184),AND(C184="AT",D184="TR_P"),CONCATENATE(B184,"_","TR",$B$3,C184,"_","TR",$B$3,C184,"_P","_",G184),AND(C184="BT",D184="TR_A"),CONCATENATE(B184,"_","TR",$B$3,C184,"_","TR",$B$3,C184,"_A","_",G184),AND(C184="BT",D184="TR_P"),CONCATENATE(B184,"_","TR",$B$3,C184,"_","TR",$B$3,C184,"_P","_",G184),AND(C184="TR",D184="TR_P"),CONCATENATE(B184,"_","TR",$B$3,"_","TR",$B$3,"_P","_",G184),AND(C184="TR",D184="TR_A"),CONCATENATE(B184,"_","TR",$B$3,"_","TR",$B$3,"_A","_",G184))</f>
        <v>IMA_TR6BT_TR6BT_TEA</v>
      </c>
      <c r="I184" s="6"/>
      <c r="J184" s="6" t="s">
        <v>182</v>
      </c>
      <c r="K184" s="6" t="s">
        <v>179</v>
      </c>
      <c r="L184" s="6" t="s">
        <v>188</v>
      </c>
      <c r="M184" s="6" t="s">
        <v>188</v>
      </c>
      <c r="N184" s="95">
        <f t="shared" si="5"/>
        <v>948</v>
      </c>
    </row>
    <row r="185" spans="1:14" x14ac:dyDescent="0.25">
      <c r="A185" s="95" t="s">
        <v>190</v>
      </c>
      <c r="B185" s="95" t="str">
        <f>Informações!$C$3</f>
        <v>IMA</v>
      </c>
      <c r="C185" s="95" t="s">
        <v>101</v>
      </c>
      <c r="D185" s="95" t="s">
        <v>102</v>
      </c>
      <c r="E185" s="2" t="s">
        <v>25</v>
      </c>
      <c r="F185" s="95" t="s">
        <v>711</v>
      </c>
      <c r="G185" s="6" t="s">
        <v>120</v>
      </c>
      <c r="H185" s="6" t="str" cm="1">
        <f t="array" ref="H185">_xlfn.IFS(OR(D185="TC",D185="TP",AND(D185="TR",C185="AT"),AND(D185="TR",C185="BT")),CONCATENATE(B185,"_","TR",$B$3,C185,"_","TR",$B$3,C185,"_",G185),AND(D185="SECC",C185="BT"),CONCATENATE(B185,"_","TR",$B$3,C185,"_",$B$9,"_",G185),AND(D185="SECF",C185="AT"),CONCATENATE(B185,"_","TR",$B$3,C185,"_",$B$6,"_",G185),AND(D185="SECT",C185="AT"),CONCATENATE(B185,"_","TR",$B$3,C185,"_",$B$7,"_",G185),AND(D185="DJ",C185="AT"),CONCATENATE(B185,"_","TR",$B$3,C185,"_",$B$4,"_",G185),AND(D185="DJ",C185="BT"),CONCATENATE(B185,"_","TR",$B$3,C185,"_",$B$8,"_",G185),AND(C185="TR",D185="TR"),CONCATENATE(B185,"_","TR",$B$3,"_","TR",$B$3,"_",G185),AND(D185="SECT",C185="BT"),CONCATENATE(B185,"_","TR",$B$3,C185,"_",$B$11,"_",G185),AND(D185="SECF",C185="BT"),CONCATENATE(B185,"_","TR",$B$3,C185,"_",$B$10,"_",G185),AND(D185="SECC",C185="AT"),CONCATENATE(B185,"_","TR",$B$3,C185,"_",$B$5,"_",G185),AND(C185="AT",D185="TR_A"),CONCATENATE(B185,"_","TR",$B$3,C185,"_","TR",$B$3,C185,"_A","_",G185),AND(C185="AT",D185="TR_P"),CONCATENATE(B185,"_","TR",$B$3,C185,"_","TR",$B$3,C185,"_P","_",G185),AND(C185="BT",D185="TR_A"),CONCATENATE(B185,"_","TR",$B$3,C185,"_","TR",$B$3,C185,"_A","_",G185),AND(C185="BT",D185="TR_P"),CONCATENATE(B185,"_","TR",$B$3,C185,"_","TR",$B$3,C185,"_P","_",G185),AND(C185="TR",D185="TR_P"),CONCATENATE(B185,"_","TR",$B$3,"_","TR",$B$3,"_P","_",G185),AND(C185="TR",D185="TR_A"),CONCATENATE(B185,"_","TR",$B$3,"_","TR",$B$3,"_A","_",G185))</f>
        <v>IMA_TR6BT_TR6BT_TED</v>
      </c>
      <c r="I185" s="6"/>
      <c r="J185" s="6" t="s">
        <v>182</v>
      </c>
      <c r="K185" s="6" t="s">
        <v>179</v>
      </c>
      <c r="L185" s="6" t="s">
        <v>188</v>
      </c>
      <c r="M185" s="6" t="s">
        <v>188</v>
      </c>
      <c r="N185" s="95">
        <f t="shared" si="5"/>
        <v>949</v>
      </c>
    </row>
    <row r="186" spans="1:14" x14ac:dyDescent="0.25">
      <c r="A186" s="95" t="s">
        <v>190</v>
      </c>
      <c r="B186" s="95" t="str">
        <f>Informações!$C$3</f>
        <v>IMA</v>
      </c>
      <c r="C186" s="95" t="s">
        <v>100</v>
      </c>
      <c r="D186" s="95" t="s">
        <v>211</v>
      </c>
      <c r="E186" s="2" t="s">
        <v>25</v>
      </c>
      <c r="F186" s="95" t="str">
        <f>VLOOKUP(G186,[1]Discrete!$A:$B,2,FALSE)</f>
        <v>FASE A</v>
      </c>
      <c r="G186" s="6" t="s">
        <v>54</v>
      </c>
      <c r="H186" s="6" t="str" cm="1">
        <f t="array" ref="H186">_xlfn.IFS(OR(D186="TC",D186="TP",AND(D186="TR",C186="AT"),AND(D186="TR",C186="BT")),CONCATENATE(B186,"_","TR",$B$3,C186,"_","TR",$B$3,C186,"_",G186),AND(D186="SECC",C186="BT"),CONCATENATE(B186,"_","TR",$B$3,C186,"_",$B$9,"_",G186),AND(D186="SECF",C186="AT"),CONCATENATE(B186,"_","TR",$B$3,C186,"_",$B$6,"_",G186),AND(D186="SECT",C186="AT"),CONCATENATE(B186,"_","TR",$B$3,C186,"_",$B$7,"_",G186),AND(D186="DJ",C186="AT"),CONCATENATE(B186,"_","TR",$B$3,C186,"_",$B$4,"_",G186),AND(D186="DJ",C186="BT"),CONCATENATE(B186,"_","TR",$B$3,C186,"_",$B$8,"_",G186),AND(C186="TR",D186="TR"),CONCATENATE(B186,"_","TR",$B$3,"_","TR",$B$3,"_",G186),AND(D186="SECT",C186="BT"),CONCATENATE(B186,"_","TR",$B$3,C186,"_",$B$11,"_",G186),AND(D186="SECF",C186="BT"),CONCATENATE(B186,"_","TR",$B$3,C186,"_",$B$10,"_",G186),AND(D186="SECC",C186="AT"),CONCATENATE(B186,"_","TR",$B$3,C186,"_",$B$5,"_",G186),AND(C186="AT",D186="TR_A"),CONCATENATE(B186,"_","TR",$B$3,C186,"_","TR",$B$3,C186,"_A","_",G186),AND(C186="AT",D186="TR_P"),CONCATENATE(B186,"_","TR",$B$3,C186,"_","TR",$B$3,C186,"_P","_",G186),AND(C186="BT",D186="TR_A"),CONCATENATE(B186,"_","TR",$B$3,C186,"_","TR",$B$3,C186,"_A","_",G186),AND(C186="BT",D186="TR_P"),CONCATENATE(B186,"_","TR",$B$3,C186,"_","TR",$B$3,C186,"_P","_",G186),AND(C186="TR",D186="TR_P"),CONCATENATE(B186,"_","TR",$B$3,"_","TR",$B$3,"_P","_",G186),AND(C186="TR",D186="TR_A"),CONCATENATE(B186,"_","TR",$B$3,"_","TR",$B$3,"_A","_",G186))</f>
        <v>IMA_TR6AT_TR6AT_A_FA</v>
      </c>
      <c r="I186" s="6"/>
      <c r="J186" s="6" t="s">
        <v>182</v>
      </c>
      <c r="K186" s="6" t="s">
        <v>179</v>
      </c>
      <c r="L186" s="6" t="s">
        <v>188</v>
      </c>
      <c r="M186" s="6" t="s">
        <v>188</v>
      </c>
      <c r="N186" s="95">
        <f t="shared" si="5"/>
        <v>950</v>
      </c>
    </row>
    <row r="187" spans="1:14" x14ac:dyDescent="0.25">
      <c r="A187" s="95" t="s">
        <v>190</v>
      </c>
      <c r="B187" s="95" t="str">
        <f>Informações!$C$3</f>
        <v>IMA</v>
      </c>
      <c r="C187" s="95" t="s">
        <v>100</v>
      </c>
      <c r="D187" s="95" t="s">
        <v>211</v>
      </c>
      <c r="E187" s="2" t="s">
        <v>25</v>
      </c>
      <c r="F187" s="95" t="str">
        <f>VLOOKUP(G187,[1]Discrete!$A:$B,2,FALSE)</f>
        <v>FASE B</v>
      </c>
      <c r="G187" s="6" t="s">
        <v>55</v>
      </c>
      <c r="H187" s="6" t="str" cm="1">
        <f t="array" ref="H187">_xlfn.IFS(OR(D187="TC",D187="TP",AND(D187="TR",C187="AT"),AND(D187="TR",C187="BT")),CONCATENATE(B187,"_","TR",$B$3,C187,"_","TR",$B$3,C187,"_",G187),AND(D187="SECC",C187="BT"),CONCATENATE(B187,"_","TR",$B$3,C187,"_",$B$9,"_",G187),AND(D187="SECF",C187="AT"),CONCATENATE(B187,"_","TR",$B$3,C187,"_",$B$6,"_",G187),AND(D187="SECT",C187="AT"),CONCATENATE(B187,"_","TR",$B$3,C187,"_",$B$7,"_",G187),AND(D187="DJ",C187="AT"),CONCATENATE(B187,"_","TR",$B$3,C187,"_",$B$4,"_",G187),AND(D187="DJ",C187="BT"),CONCATENATE(B187,"_","TR",$B$3,C187,"_",$B$8,"_",G187),AND(C187="TR",D187="TR"),CONCATENATE(B187,"_","TR",$B$3,"_","TR",$B$3,"_",G187),AND(D187="SECT",C187="BT"),CONCATENATE(B187,"_","TR",$B$3,C187,"_",$B$11,"_",G187),AND(D187="SECF",C187="BT"),CONCATENATE(B187,"_","TR",$B$3,C187,"_",$B$10,"_",G187),AND(D187="SECC",C187="AT"),CONCATENATE(B187,"_","TR",$B$3,C187,"_",$B$5,"_",G187),AND(C187="AT",D187="TR_A"),CONCATENATE(B187,"_","TR",$B$3,C187,"_","TR",$B$3,C187,"_A","_",G187),AND(C187="AT",D187="TR_P"),CONCATENATE(B187,"_","TR",$B$3,C187,"_","TR",$B$3,C187,"_P","_",G187),AND(C187="BT",D187="TR_A"),CONCATENATE(B187,"_","TR",$B$3,C187,"_","TR",$B$3,C187,"_A","_",G187),AND(C187="BT",D187="TR_P"),CONCATENATE(B187,"_","TR",$B$3,C187,"_","TR",$B$3,C187,"_P","_",G187),AND(C187="TR",D187="TR_P"),CONCATENATE(B187,"_","TR",$B$3,"_","TR",$B$3,"_P","_",G187),AND(C187="TR",D187="TR_A"),CONCATENATE(B187,"_","TR",$B$3,"_","TR",$B$3,"_A","_",G187))</f>
        <v>IMA_TR6AT_TR6AT_A_FB</v>
      </c>
      <c r="I187" s="6"/>
      <c r="J187" s="6" t="s">
        <v>182</v>
      </c>
      <c r="K187" s="6" t="s">
        <v>179</v>
      </c>
      <c r="L187" s="6" t="s">
        <v>188</v>
      </c>
      <c r="M187" s="6" t="s">
        <v>188</v>
      </c>
      <c r="N187" s="95">
        <f t="shared" si="5"/>
        <v>951</v>
      </c>
    </row>
    <row r="188" spans="1:14" x14ac:dyDescent="0.25">
      <c r="A188" s="95" t="s">
        <v>190</v>
      </c>
      <c r="B188" s="95" t="str">
        <f>Informações!$C$3</f>
        <v>IMA</v>
      </c>
      <c r="C188" s="95" t="s">
        <v>100</v>
      </c>
      <c r="D188" s="95" t="s">
        <v>211</v>
      </c>
      <c r="E188" s="2" t="s">
        <v>25</v>
      </c>
      <c r="F188" s="95" t="str">
        <f>VLOOKUP(G188,[1]Discrete!$A:$B,2,FALSE)</f>
        <v>FASE C</v>
      </c>
      <c r="G188" s="6" t="s">
        <v>56</v>
      </c>
      <c r="H188" s="6" t="str" cm="1">
        <f t="array" ref="H188">_xlfn.IFS(OR(D188="TC",D188="TP",AND(D188="TR",C188="AT"),AND(D188="TR",C188="BT")),CONCATENATE(B188,"_","TR",$B$3,C188,"_","TR",$B$3,C188,"_",G188),AND(D188="SECC",C188="BT"),CONCATENATE(B188,"_","TR",$B$3,C188,"_",$B$9,"_",G188),AND(D188="SECF",C188="AT"),CONCATENATE(B188,"_","TR",$B$3,C188,"_",$B$6,"_",G188),AND(D188="SECT",C188="AT"),CONCATENATE(B188,"_","TR",$B$3,C188,"_",$B$7,"_",G188),AND(D188="DJ",C188="AT"),CONCATENATE(B188,"_","TR",$B$3,C188,"_",$B$4,"_",G188),AND(D188="DJ",C188="BT"),CONCATENATE(B188,"_","TR",$B$3,C188,"_",$B$8,"_",G188),AND(C188="TR",D188="TR"),CONCATENATE(B188,"_","TR",$B$3,"_","TR",$B$3,"_",G188),AND(D188="SECT",C188="BT"),CONCATENATE(B188,"_","TR",$B$3,C188,"_",$B$11,"_",G188),AND(D188="SECF",C188="BT"),CONCATENATE(B188,"_","TR",$B$3,C188,"_",$B$10,"_",G188),AND(D188="SECC",C188="AT"),CONCATENATE(B188,"_","TR",$B$3,C188,"_",$B$5,"_",G188),AND(C188="AT",D188="TR_A"),CONCATENATE(B188,"_","TR",$B$3,C188,"_","TR",$B$3,C188,"_A","_",G188),AND(C188="AT",D188="TR_P"),CONCATENATE(B188,"_","TR",$B$3,C188,"_","TR",$B$3,C188,"_P","_",G188),AND(C188="BT",D188="TR_A"),CONCATENATE(B188,"_","TR",$B$3,C188,"_","TR",$B$3,C188,"_A","_",G188),AND(C188="BT",D188="TR_P"),CONCATENATE(B188,"_","TR",$B$3,C188,"_","TR",$B$3,C188,"_P","_",G188),AND(C188="TR",D188="TR_P"),CONCATENATE(B188,"_","TR",$B$3,"_","TR",$B$3,"_P","_",G188),AND(C188="TR",D188="TR_A"),CONCATENATE(B188,"_","TR",$B$3,"_","TR",$B$3,"_A","_",G188))</f>
        <v>IMA_TR6AT_TR6AT_A_FC</v>
      </c>
      <c r="I188" s="6"/>
      <c r="J188" s="6" t="s">
        <v>182</v>
      </c>
      <c r="K188" s="6" t="s">
        <v>179</v>
      </c>
      <c r="L188" s="6" t="s">
        <v>188</v>
      </c>
      <c r="M188" s="6" t="s">
        <v>188</v>
      </c>
      <c r="N188" s="95">
        <f t="shared" si="5"/>
        <v>952</v>
      </c>
    </row>
    <row r="189" spans="1:14" x14ac:dyDescent="0.25">
      <c r="A189" s="95" t="s">
        <v>190</v>
      </c>
      <c r="B189" s="95" t="str">
        <f>Informações!$C$3</f>
        <v>IMA</v>
      </c>
      <c r="C189" s="95" t="s">
        <v>100</v>
      </c>
      <c r="D189" s="95" t="s">
        <v>211</v>
      </c>
      <c r="E189" s="2" t="s">
        <v>25</v>
      </c>
      <c r="F189" s="95" t="str">
        <f>VLOOKUP(G189,[1]Discrete!$A:$B,2,FALSE)</f>
        <v>NEUTRO</v>
      </c>
      <c r="G189" s="6" t="s">
        <v>420</v>
      </c>
      <c r="H189" s="6" t="str" cm="1">
        <f t="array" ref="H189">_xlfn.IFS(OR(D189="TC",D189="TP",AND(D189="TR",C189="AT"),AND(D189="TR",C189="BT")),CONCATENATE(B189,"_","TR",$B$3,C189,"_","TR",$B$3,C189,"_",G189),AND(D189="SECC",C189="BT"),CONCATENATE(B189,"_","TR",$B$3,C189,"_",$B$9,"_",G189),AND(D189="SECF",C189="AT"),CONCATENATE(B189,"_","TR",$B$3,C189,"_",$B$6,"_",G189),AND(D189="SECT",C189="AT"),CONCATENATE(B189,"_","TR",$B$3,C189,"_",$B$7,"_",G189),AND(D189="DJ",C189="AT"),CONCATENATE(B189,"_","TR",$B$3,C189,"_",$B$4,"_",G189),AND(D189="DJ",C189="BT"),CONCATENATE(B189,"_","TR",$B$3,C189,"_",$B$8,"_",G189),AND(C189="TR",D189="TR"),CONCATENATE(B189,"_","TR",$B$3,"_","TR",$B$3,"_",G189),AND(D189="SECT",C189="BT"),CONCATENATE(B189,"_","TR",$B$3,C189,"_",$B$11,"_",G189),AND(D189="SECF",C189="BT"),CONCATENATE(B189,"_","TR",$B$3,C189,"_",$B$10,"_",G189),AND(D189="SECC",C189="AT"),CONCATENATE(B189,"_","TR",$B$3,C189,"_",$B$5,"_",G189),AND(C189="AT",D189="TR_A"),CONCATENATE(B189,"_","TR",$B$3,C189,"_","TR",$B$3,C189,"_A","_",G189),AND(C189="AT",D189="TR_P"),CONCATENATE(B189,"_","TR",$B$3,C189,"_","TR",$B$3,C189,"_P","_",G189),AND(C189="BT",D189="TR_A"),CONCATENATE(B189,"_","TR",$B$3,C189,"_","TR",$B$3,C189,"_A","_",G189),AND(C189="BT",D189="TR_P"),CONCATENATE(B189,"_","TR",$B$3,C189,"_","TR",$B$3,C189,"_P","_",G189),AND(C189="TR",D189="TR_P"),CONCATENATE(B189,"_","TR",$B$3,"_","TR",$B$3,"_P","_",G189),AND(C189="TR",D189="TR_A"),CONCATENATE(B189,"_","TR",$B$3,"_","TR",$B$3,"_A","_",G189))</f>
        <v>IMA_TR6AT_TR6AT_A_N</v>
      </c>
      <c r="I189" s="6"/>
      <c r="J189" s="6" t="s">
        <v>182</v>
      </c>
      <c r="K189" s="6" t="s">
        <v>179</v>
      </c>
      <c r="L189" s="6" t="s">
        <v>188</v>
      </c>
      <c r="M189" s="6" t="s">
        <v>188</v>
      </c>
      <c r="N189" s="95">
        <f t="shared" si="5"/>
        <v>953</v>
      </c>
    </row>
    <row r="190" spans="1:14" x14ac:dyDescent="0.25">
      <c r="A190" s="95" t="s">
        <v>190</v>
      </c>
      <c r="B190" s="95" t="str">
        <f>Informações!$C$3</f>
        <v>IMA</v>
      </c>
      <c r="C190" s="95" t="s">
        <v>100</v>
      </c>
      <c r="D190" s="95" t="s">
        <v>211</v>
      </c>
      <c r="E190" s="2" t="s">
        <v>25</v>
      </c>
      <c r="F190" s="95" t="str">
        <f>VLOOKUP(G190,[1]Discrete!$A:$B,2,FALSE)</f>
        <v>67 - DIRECIONAL SOBRECORRENTE FASE TEMPORIZADO</v>
      </c>
      <c r="G190" s="6" t="s">
        <v>60</v>
      </c>
      <c r="H190" s="6" t="str" cm="1">
        <f t="array" ref="H190">_xlfn.IFS(OR(D190="TC",D190="TP",AND(D190="TR",C190="AT"),AND(D190="TR",C190="BT")),CONCATENATE(B190,"_","TR",$B$3,C190,"_","TR",$B$3,C190,"_",G190),AND(D190="SECC",C190="BT"),CONCATENATE(B190,"_","TR",$B$3,C190,"_",$B$9,"_",G190),AND(D190="SECF",C190="AT"),CONCATENATE(B190,"_","TR",$B$3,C190,"_",$B$6,"_",G190),AND(D190="SECT",C190="AT"),CONCATENATE(B190,"_","TR",$B$3,C190,"_",$B$7,"_",G190),AND(D190="DJ",C190="AT"),CONCATENATE(B190,"_","TR",$B$3,C190,"_",$B$4,"_",G190),AND(D190="DJ",C190="BT"),CONCATENATE(B190,"_","TR",$B$3,C190,"_",$B$8,"_",G190),AND(C190="TR",D190="TR"),CONCATENATE(B190,"_","TR",$B$3,"_","TR",$B$3,"_",G190),AND(D190="SECT",C190="BT"),CONCATENATE(B190,"_","TR",$B$3,C190,"_",$B$11,"_",G190),AND(D190="SECF",C190="BT"),CONCATENATE(B190,"_","TR",$B$3,C190,"_",$B$10,"_",G190),AND(D190="SECC",C190="AT"),CONCATENATE(B190,"_","TR",$B$3,C190,"_",$B$5,"_",G190),AND(C190="AT",D190="TR_A"),CONCATENATE(B190,"_","TR",$B$3,C190,"_","TR",$B$3,C190,"_A","_",G190),AND(C190="AT",D190="TR_P"),CONCATENATE(B190,"_","TR",$B$3,C190,"_","TR",$B$3,C190,"_P","_",G190),AND(C190="BT",D190="TR_A"),CONCATENATE(B190,"_","TR",$B$3,C190,"_","TR",$B$3,C190,"_A","_",G190),AND(C190="BT",D190="TR_P"),CONCATENATE(B190,"_","TR",$B$3,C190,"_","TR",$B$3,C190,"_P","_",G190),AND(C190="TR",D190="TR_P"),CONCATENATE(B190,"_","TR",$B$3,"_","TR",$B$3,"_P","_",G190),AND(C190="TR",D190="TR_A"),CONCATENATE(B190,"_","TR",$B$3,"_","TR",$B$3,"_A","_",G190))</f>
        <v>IMA_TR6AT_TR6AT_A_67FT</v>
      </c>
      <c r="I190" s="6"/>
      <c r="J190" s="6" t="s">
        <v>182</v>
      </c>
      <c r="K190" s="6" t="s">
        <v>179</v>
      </c>
      <c r="L190" s="6" t="s">
        <v>188</v>
      </c>
      <c r="M190" s="6" t="s">
        <v>188</v>
      </c>
      <c r="N190" s="95">
        <f t="shared" si="5"/>
        <v>954</v>
      </c>
    </row>
    <row r="191" spans="1:14" x14ac:dyDescent="0.25">
      <c r="A191" s="95" t="s">
        <v>190</v>
      </c>
      <c r="B191" s="95" t="str">
        <f>Informações!$C$3</f>
        <v>IMA</v>
      </c>
      <c r="C191" s="95" t="s">
        <v>100</v>
      </c>
      <c r="D191" s="95" t="s">
        <v>211</v>
      </c>
      <c r="E191" s="2" t="s">
        <v>25</v>
      </c>
      <c r="F191" s="95" t="str">
        <f>VLOOKUP(G191,[1]Discrete!$A:$B,2,FALSE)</f>
        <v>67 - DIRECIONAL SOBRECORRENTE NEUTRO TEMPORIZADO</v>
      </c>
      <c r="G191" s="6" t="s">
        <v>63</v>
      </c>
      <c r="H191" s="6" t="str" cm="1">
        <f t="array" ref="H191">_xlfn.IFS(OR(D191="TC",D191="TP",AND(D191="TR",C191="AT"),AND(D191="TR",C191="BT")),CONCATENATE(B191,"_","TR",$B$3,C191,"_","TR",$B$3,C191,"_",G191),AND(D191="SECC",C191="BT"),CONCATENATE(B191,"_","TR",$B$3,C191,"_",$B$9,"_",G191),AND(D191="SECF",C191="AT"),CONCATENATE(B191,"_","TR",$B$3,C191,"_",$B$6,"_",G191),AND(D191="SECT",C191="AT"),CONCATENATE(B191,"_","TR",$B$3,C191,"_",$B$7,"_",G191),AND(D191="DJ",C191="AT"),CONCATENATE(B191,"_","TR",$B$3,C191,"_",$B$4,"_",G191),AND(D191="DJ",C191="BT"),CONCATENATE(B191,"_","TR",$B$3,C191,"_",$B$8,"_",G191),AND(C191="TR",D191="TR"),CONCATENATE(B191,"_","TR",$B$3,"_","TR",$B$3,"_",G191),AND(D191="SECT",C191="BT"),CONCATENATE(B191,"_","TR",$B$3,C191,"_",$B$11,"_",G191),AND(D191="SECF",C191="BT"),CONCATENATE(B191,"_","TR",$B$3,C191,"_",$B$10,"_",G191),AND(D191="SECC",C191="AT"),CONCATENATE(B191,"_","TR",$B$3,C191,"_",$B$5,"_",G191),AND(C191="AT",D191="TR_A"),CONCATENATE(B191,"_","TR",$B$3,C191,"_","TR",$B$3,C191,"_A","_",G191),AND(C191="AT",D191="TR_P"),CONCATENATE(B191,"_","TR",$B$3,C191,"_","TR",$B$3,C191,"_P","_",G191),AND(C191="BT",D191="TR_A"),CONCATENATE(B191,"_","TR",$B$3,C191,"_","TR",$B$3,C191,"_A","_",G191),AND(C191="BT",D191="TR_P"),CONCATENATE(B191,"_","TR",$B$3,C191,"_","TR",$B$3,C191,"_P","_",G191),AND(C191="TR",D191="TR_P"),CONCATENATE(B191,"_","TR",$B$3,"_","TR",$B$3,"_P","_",G191),AND(C191="TR",D191="TR_A"),CONCATENATE(B191,"_","TR",$B$3,"_","TR",$B$3,"_A","_",G191))</f>
        <v>IMA_TR6AT_TR6AT_A_67NT</v>
      </c>
      <c r="I191" s="6"/>
      <c r="J191" s="6" t="s">
        <v>182</v>
      </c>
      <c r="K191" s="6" t="s">
        <v>179</v>
      </c>
      <c r="L191" s="6" t="s">
        <v>188</v>
      </c>
      <c r="M191" s="6" t="s">
        <v>188</v>
      </c>
      <c r="N191" s="95">
        <f t="shared" si="5"/>
        <v>955</v>
      </c>
    </row>
    <row r="192" spans="1:14" x14ac:dyDescent="0.25">
      <c r="A192" s="95" t="s">
        <v>190</v>
      </c>
      <c r="B192" s="95" t="str">
        <f>Informações!$C$3</f>
        <v>IMA</v>
      </c>
      <c r="C192" s="95" t="s">
        <v>100</v>
      </c>
      <c r="D192" s="95" t="s">
        <v>211</v>
      </c>
      <c r="E192" s="2" t="s">
        <v>25</v>
      </c>
      <c r="F192" s="95" t="str">
        <f>VLOOKUP(G192,[1]Discrete!$A:$B,2,FALSE)</f>
        <v>50 - SOBRECORRENTE INSTANTANEA FASE</v>
      </c>
      <c r="G192" s="6" t="s">
        <v>416</v>
      </c>
      <c r="H192" s="6" t="str" cm="1">
        <f t="array" ref="H192">_xlfn.IFS(OR(D192="TC",D192="TP",AND(D192="TR",C192="AT"),AND(D192="TR",C192="BT")),CONCATENATE(B192,"_","TR",$B$3,C192,"_","TR",$B$3,C192,"_",G192),AND(D192="SECC",C192="BT"),CONCATENATE(B192,"_","TR",$B$3,C192,"_",$B$9,"_",G192),AND(D192="SECF",C192="AT"),CONCATENATE(B192,"_","TR",$B$3,C192,"_",$B$6,"_",G192),AND(D192="SECT",C192="AT"),CONCATENATE(B192,"_","TR",$B$3,C192,"_",$B$7,"_",G192),AND(D192="DJ",C192="AT"),CONCATENATE(B192,"_","TR",$B$3,C192,"_",$B$4,"_",G192),AND(D192="DJ",C192="BT"),CONCATENATE(B192,"_","TR",$B$3,C192,"_",$B$8,"_",G192),AND(C192="TR",D192="TR"),CONCATENATE(B192,"_","TR",$B$3,"_","TR",$B$3,"_",G192),AND(D192="SECT",C192="BT"),CONCATENATE(B192,"_","TR",$B$3,C192,"_",$B$11,"_",G192),AND(D192="SECF",C192="BT"),CONCATENATE(B192,"_","TR",$B$3,C192,"_",$B$10,"_",G192),AND(D192="SECC",C192="AT"),CONCATENATE(B192,"_","TR",$B$3,C192,"_",$B$5,"_",G192),AND(C192="AT",D192="TR_A"),CONCATENATE(B192,"_","TR",$B$3,C192,"_","TR",$B$3,C192,"_A","_",G192),AND(C192="AT",D192="TR_P"),CONCATENATE(B192,"_","TR",$B$3,C192,"_","TR",$B$3,C192,"_P","_",G192),AND(C192="BT",D192="TR_A"),CONCATENATE(B192,"_","TR",$B$3,C192,"_","TR",$B$3,C192,"_A","_",G192),AND(C192="BT",D192="TR_P"),CONCATENATE(B192,"_","TR",$B$3,C192,"_","TR",$B$3,C192,"_P","_",G192),AND(C192="TR",D192="TR_P"),CONCATENATE(B192,"_","TR",$B$3,"_","TR",$B$3,"_P","_",G192),AND(C192="TR",D192="TR_A"),CONCATENATE(B192,"_","TR",$B$3,"_","TR",$B$3,"_A","_",G192))</f>
        <v>IMA_TR6AT_TR6AT_A_50F</v>
      </c>
      <c r="I192" s="6"/>
      <c r="J192" s="6" t="s">
        <v>182</v>
      </c>
      <c r="K192" s="6" t="s">
        <v>179</v>
      </c>
      <c r="L192" s="6" t="s">
        <v>188</v>
      </c>
      <c r="M192" s="6" t="s">
        <v>188</v>
      </c>
      <c r="N192" s="95">
        <f t="shared" si="5"/>
        <v>956</v>
      </c>
    </row>
    <row r="193" spans="1:14" x14ac:dyDescent="0.25">
      <c r="A193" s="95" t="s">
        <v>190</v>
      </c>
      <c r="B193" s="95" t="str">
        <f>Informações!$C$3</f>
        <v>IMA</v>
      </c>
      <c r="C193" s="95" t="s">
        <v>100</v>
      </c>
      <c r="D193" s="95" t="s">
        <v>211</v>
      </c>
      <c r="E193" s="2" t="s">
        <v>25</v>
      </c>
      <c r="F193" s="95" t="str">
        <f>VLOOKUP(G193,[1]Discrete!$A:$B,2,FALSE)</f>
        <v>50 - SOBRECORRENTE INSTANTANEA FASE NEUTRO</v>
      </c>
      <c r="G193" s="6" t="s">
        <v>428</v>
      </c>
      <c r="H193" s="6" t="str" cm="1">
        <f t="array" ref="H193">_xlfn.IFS(OR(D193="TC",D193="TP",AND(D193="TR",C193="AT"),AND(D193="TR",C193="BT")),CONCATENATE(B193,"_","TR",$B$3,C193,"_","TR",$B$3,C193,"_",G193),AND(D193="SECC",C193="BT"),CONCATENATE(B193,"_","TR",$B$3,C193,"_",$B$9,"_",G193),AND(D193="SECF",C193="AT"),CONCATENATE(B193,"_","TR",$B$3,C193,"_",$B$6,"_",G193),AND(D193="SECT",C193="AT"),CONCATENATE(B193,"_","TR",$B$3,C193,"_",$B$7,"_",G193),AND(D193="DJ",C193="AT"),CONCATENATE(B193,"_","TR",$B$3,C193,"_",$B$4,"_",G193),AND(D193="DJ",C193="BT"),CONCATENATE(B193,"_","TR",$B$3,C193,"_",$B$8,"_",G193),AND(C193="TR",D193="TR"),CONCATENATE(B193,"_","TR",$B$3,"_","TR",$B$3,"_",G193),AND(D193="SECT",C193="BT"),CONCATENATE(B193,"_","TR",$B$3,C193,"_",$B$11,"_",G193),AND(D193="SECF",C193="BT"),CONCATENATE(B193,"_","TR",$B$3,C193,"_",$B$10,"_",G193),AND(D193="SECC",C193="AT"),CONCATENATE(B193,"_","TR",$B$3,C193,"_",$B$5,"_",G193),AND(C193="AT",D193="TR_A"),CONCATENATE(B193,"_","TR",$B$3,C193,"_","TR",$B$3,C193,"_A","_",G193),AND(C193="AT",D193="TR_P"),CONCATENATE(B193,"_","TR",$B$3,C193,"_","TR",$B$3,C193,"_P","_",G193),AND(C193="BT",D193="TR_A"),CONCATENATE(B193,"_","TR",$B$3,C193,"_","TR",$B$3,C193,"_A","_",G193),AND(C193="BT",D193="TR_P"),CONCATENATE(B193,"_","TR",$B$3,C193,"_","TR",$B$3,C193,"_P","_",G193),AND(C193="TR",D193="TR_P"),CONCATENATE(B193,"_","TR",$B$3,"_","TR",$B$3,"_P","_",G193),AND(C193="TR",D193="TR_A"),CONCATENATE(B193,"_","TR",$B$3,"_","TR",$B$3,"_A","_",G193))</f>
        <v>IMA_TR6AT_TR6AT_A_50FN</v>
      </c>
      <c r="I193" s="6"/>
      <c r="J193" s="6" t="s">
        <v>182</v>
      </c>
      <c r="K193" s="6" t="s">
        <v>179</v>
      </c>
      <c r="L193" s="6" t="s">
        <v>188</v>
      </c>
      <c r="M193" s="6" t="s">
        <v>188</v>
      </c>
      <c r="N193" s="95">
        <f t="shared" si="5"/>
        <v>957</v>
      </c>
    </row>
    <row r="194" spans="1:14" x14ac:dyDescent="0.25">
      <c r="A194" s="95" t="s">
        <v>190</v>
      </c>
      <c r="B194" s="95" t="str">
        <f>Informações!$C$3</f>
        <v>IMA</v>
      </c>
      <c r="C194" s="95" t="s">
        <v>100</v>
      </c>
      <c r="D194" s="95" t="s">
        <v>211</v>
      </c>
      <c r="E194" s="2" t="s">
        <v>25</v>
      </c>
      <c r="F194" s="95" t="str">
        <f>VLOOKUP(G194,[1]Discrete!$A:$B,2,FALSE)</f>
        <v>51 - SOBRECORRENTE TEMPORIZADA FASE</v>
      </c>
      <c r="G194" s="6" t="s">
        <v>98</v>
      </c>
      <c r="H194" s="6" t="str" cm="1">
        <f t="array" ref="H194">_xlfn.IFS(OR(D194="TC",D194="TP",AND(D194="TR",C194="AT"),AND(D194="TR",C194="BT")),CONCATENATE(B194,"_","TR",$B$3,C194,"_","TR",$B$3,C194,"_",G194),AND(D194="SECC",C194="BT"),CONCATENATE(B194,"_","TR",$B$3,C194,"_",$B$9,"_",G194),AND(D194="SECF",C194="AT"),CONCATENATE(B194,"_","TR",$B$3,C194,"_",$B$6,"_",G194),AND(D194="SECT",C194="AT"),CONCATENATE(B194,"_","TR",$B$3,C194,"_",$B$7,"_",G194),AND(D194="DJ",C194="AT"),CONCATENATE(B194,"_","TR",$B$3,C194,"_",$B$4,"_",G194),AND(D194="DJ",C194="BT"),CONCATENATE(B194,"_","TR",$B$3,C194,"_",$B$8,"_",G194),AND(C194="TR",D194="TR"),CONCATENATE(B194,"_","TR",$B$3,"_","TR",$B$3,"_",G194),AND(D194="SECT",C194="BT"),CONCATENATE(B194,"_","TR",$B$3,C194,"_",$B$11,"_",G194),AND(D194="SECF",C194="BT"),CONCATENATE(B194,"_","TR",$B$3,C194,"_",$B$10,"_",G194),AND(D194="SECC",C194="AT"),CONCATENATE(B194,"_","TR",$B$3,C194,"_",$B$5,"_",G194),AND(C194="AT",D194="TR_A"),CONCATENATE(B194,"_","TR",$B$3,C194,"_","TR",$B$3,C194,"_A","_",G194),AND(C194="AT",D194="TR_P"),CONCATENATE(B194,"_","TR",$B$3,C194,"_","TR",$B$3,C194,"_P","_",G194),AND(C194="BT",D194="TR_A"),CONCATENATE(B194,"_","TR",$B$3,C194,"_","TR",$B$3,C194,"_A","_",G194),AND(C194="BT",D194="TR_P"),CONCATENATE(B194,"_","TR",$B$3,C194,"_","TR",$B$3,C194,"_P","_",G194),AND(C194="TR",D194="TR_P"),CONCATENATE(B194,"_","TR",$B$3,"_","TR",$B$3,"_P","_",G194),AND(C194="TR",D194="TR_A"),CONCATENATE(B194,"_","TR",$B$3,"_","TR",$B$3,"_A","_",G194))</f>
        <v>IMA_TR6AT_TR6AT_A_51F</v>
      </c>
      <c r="I194" s="6"/>
      <c r="J194" s="6" t="s">
        <v>182</v>
      </c>
      <c r="K194" s="6" t="s">
        <v>179</v>
      </c>
      <c r="L194" s="6" t="s">
        <v>188</v>
      </c>
      <c r="M194" s="6" t="s">
        <v>188</v>
      </c>
      <c r="N194" s="95">
        <f t="shared" si="5"/>
        <v>958</v>
      </c>
    </row>
    <row r="195" spans="1:14" x14ac:dyDescent="0.25">
      <c r="A195" s="95" t="s">
        <v>190</v>
      </c>
      <c r="B195" s="95" t="str">
        <f>Informações!$C$3</f>
        <v>IMA</v>
      </c>
      <c r="C195" s="95" t="s">
        <v>100</v>
      </c>
      <c r="D195" s="95" t="s">
        <v>211</v>
      </c>
      <c r="E195" s="2" t="s">
        <v>25</v>
      </c>
      <c r="F195" s="95" t="str">
        <f>VLOOKUP(G195,[1]Discrete!$A:$B,2,FALSE)</f>
        <v>51 - SOBRECORRENTE TEMPORIZADA FASE NEUTRO</v>
      </c>
      <c r="G195" s="6" t="s">
        <v>427</v>
      </c>
      <c r="H195" s="6" t="str" cm="1">
        <f t="array" ref="H195">_xlfn.IFS(OR(D195="TC",D195="TP",AND(D195="TR",C195="AT"),AND(D195="TR",C195="BT")),CONCATENATE(B195,"_","TR",$B$3,C195,"_","TR",$B$3,C195,"_",G195),AND(D195="SECC",C195="BT"),CONCATENATE(B195,"_","TR",$B$3,C195,"_",$B$9,"_",G195),AND(D195="SECF",C195="AT"),CONCATENATE(B195,"_","TR",$B$3,C195,"_",$B$6,"_",G195),AND(D195="SECT",C195="AT"),CONCATENATE(B195,"_","TR",$B$3,C195,"_",$B$7,"_",G195),AND(D195="DJ",C195="AT"),CONCATENATE(B195,"_","TR",$B$3,C195,"_",$B$4,"_",G195),AND(D195="DJ",C195="BT"),CONCATENATE(B195,"_","TR",$B$3,C195,"_",$B$8,"_",G195),AND(C195="TR",D195="TR"),CONCATENATE(B195,"_","TR",$B$3,"_","TR",$B$3,"_",G195),AND(D195="SECT",C195="BT"),CONCATENATE(B195,"_","TR",$B$3,C195,"_",$B$11,"_",G195),AND(D195="SECF",C195="BT"),CONCATENATE(B195,"_","TR",$B$3,C195,"_",$B$10,"_",G195),AND(D195="SECC",C195="AT"),CONCATENATE(B195,"_","TR",$B$3,C195,"_",$B$5,"_",G195),AND(C195="AT",D195="TR_A"),CONCATENATE(B195,"_","TR",$B$3,C195,"_","TR",$B$3,C195,"_A","_",G195),AND(C195="AT",D195="TR_P"),CONCATENATE(B195,"_","TR",$B$3,C195,"_","TR",$B$3,C195,"_P","_",G195),AND(C195="BT",D195="TR_A"),CONCATENATE(B195,"_","TR",$B$3,C195,"_","TR",$B$3,C195,"_A","_",G195),AND(C195="BT",D195="TR_P"),CONCATENATE(B195,"_","TR",$B$3,C195,"_","TR",$B$3,C195,"_P","_",G195),AND(C195="TR",D195="TR_P"),CONCATENATE(B195,"_","TR",$B$3,"_","TR",$B$3,"_P","_",G195),AND(C195="TR",D195="TR_A"),CONCATENATE(B195,"_","TR",$B$3,"_","TR",$B$3,"_A","_",G195))</f>
        <v>IMA_TR6AT_TR6AT_A_51FN</v>
      </c>
      <c r="I195" s="6"/>
      <c r="J195" s="6" t="s">
        <v>182</v>
      </c>
      <c r="K195" s="6" t="s">
        <v>179</v>
      </c>
      <c r="L195" s="6" t="s">
        <v>188</v>
      </c>
      <c r="M195" s="6" t="s">
        <v>188</v>
      </c>
      <c r="N195" s="95">
        <f t="shared" si="5"/>
        <v>959</v>
      </c>
    </row>
    <row r="196" spans="1:14" x14ac:dyDescent="0.25">
      <c r="A196" s="95" t="s">
        <v>190</v>
      </c>
      <c r="B196" s="95" t="str">
        <f>Informações!$C$3</f>
        <v>IMA</v>
      </c>
      <c r="C196" s="95" t="s">
        <v>101</v>
      </c>
      <c r="D196" s="95" t="s">
        <v>211</v>
      </c>
      <c r="E196" s="2" t="s">
        <v>25</v>
      </c>
      <c r="F196" s="95" t="str">
        <f>VLOOKUP(G196,[1]Discrete!$A:$B,2,FALSE)</f>
        <v>FASE A</v>
      </c>
      <c r="G196" s="6" t="s">
        <v>54</v>
      </c>
      <c r="H196" s="6" t="str" cm="1">
        <f t="array" ref="H196">_xlfn.IFS(OR(D196="TC",D196="TP",AND(D196="TR",C196="AT"),AND(D196="TR",C196="BT")),CONCATENATE(B196,"_","TR",$B$3,C196,"_","TR",$B$3,C196,"_",G196),AND(D196="SECC",C196="BT"),CONCATENATE(B196,"_","TR",$B$3,C196,"_",$B$9,"_",G196),AND(D196="SECF",C196="AT"),CONCATENATE(B196,"_","TR",$B$3,C196,"_",$B$6,"_",G196),AND(D196="SECT",C196="AT"),CONCATENATE(B196,"_","TR",$B$3,C196,"_",$B$7,"_",G196),AND(D196="DJ",C196="AT"),CONCATENATE(B196,"_","TR",$B$3,C196,"_",$B$4,"_",G196),AND(D196="DJ",C196="BT"),CONCATENATE(B196,"_","TR",$B$3,C196,"_",$B$8,"_",G196),AND(C196="TR",D196="TR"),CONCATENATE(B196,"_","TR",$B$3,"_","TR",$B$3,"_",G196),AND(D196="SECT",C196="BT"),CONCATENATE(B196,"_","TR",$B$3,C196,"_",$B$11,"_",G196),AND(D196="SECF",C196="BT"),CONCATENATE(B196,"_","TR",$B$3,C196,"_",$B$10,"_",G196),AND(D196="SECC",C196="AT"),CONCATENATE(B196,"_","TR",$B$3,C196,"_",$B$5,"_",G196),AND(C196="AT",D196="TR_A"),CONCATENATE(B196,"_","TR",$B$3,C196,"_","TR",$B$3,C196,"_A","_",G196),AND(C196="AT",D196="TR_P"),CONCATENATE(B196,"_","TR",$B$3,C196,"_","TR",$B$3,C196,"_P","_",G196),AND(C196="BT",D196="TR_A"),CONCATENATE(B196,"_","TR",$B$3,C196,"_","TR",$B$3,C196,"_A","_",G196),AND(C196="BT",D196="TR_P"),CONCATENATE(B196,"_","TR",$B$3,C196,"_","TR",$B$3,C196,"_P","_",G196),AND(C196="TR",D196="TR_P"),CONCATENATE(B196,"_","TR",$B$3,"_","TR",$B$3,"_P","_",G196),AND(C196="TR",D196="TR_A"),CONCATENATE(B196,"_","TR",$B$3,"_","TR",$B$3,"_A","_",G196))</f>
        <v>IMA_TR6BT_TR6BT_A_FA</v>
      </c>
      <c r="I196" s="6"/>
      <c r="J196" s="6" t="s">
        <v>182</v>
      </c>
      <c r="K196" s="6" t="s">
        <v>179</v>
      </c>
      <c r="L196" s="6" t="s">
        <v>188</v>
      </c>
      <c r="M196" s="6" t="s">
        <v>188</v>
      </c>
      <c r="N196" s="95">
        <f t="shared" si="5"/>
        <v>960</v>
      </c>
    </row>
    <row r="197" spans="1:14" x14ac:dyDescent="0.25">
      <c r="A197" s="95" t="s">
        <v>190</v>
      </c>
      <c r="B197" s="95" t="str">
        <f>Informações!$C$3</f>
        <v>IMA</v>
      </c>
      <c r="C197" s="95" t="s">
        <v>101</v>
      </c>
      <c r="D197" s="95" t="s">
        <v>211</v>
      </c>
      <c r="E197" s="2" t="s">
        <v>25</v>
      </c>
      <c r="F197" s="95" t="str">
        <f>VLOOKUP(G197,[1]Discrete!$A:$B,2,FALSE)</f>
        <v>FASE B</v>
      </c>
      <c r="G197" s="6" t="s">
        <v>55</v>
      </c>
      <c r="H197" s="6" t="str" cm="1">
        <f t="array" ref="H197">_xlfn.IFS(OR(D197="TC",D197="TP",AND(D197="TR",C197="AT"),AND(D197="TR",C197="BT")),CONCATENATE(B197,"_","TR",$B$3,C197,"_","TR",$B$3,C197,"_",G197),AND(D197="SECC",C197="BT"),CONCATENATE(B197,"_","TR",$B$3,C197,"_",$B$9,"_",G197),AND(D197="SECF",C197="AT"),CONCATENATE(B197,"_","TR",$B$3,C197,"_",$B$6,"_",G197),AND(D197="SECT",C197="AT"),CONCATENATE(B197,"_","TR",$B$3,C197,"_",$B$7,"_",G197),AND(D197="DJ",C197="AT"),CONCATENATE(B197,"_","TR",$B$3,C197,"_",$B$4,"_",G197),AND(D197="DJ",C197="BT"),CONCATENATE(B197,"_","TR",$B$3,C197,"_",$B$8,"_",G197),AND(C197="TR",D197="TR"),CONCATENATE(B197,"_","TR",$B$3,"_","TR",$B$3,"_",G197),AND(D197="SECT",C197="BT"),CONCATENATE(B197,"_","TR",$B$3,C197,"_",$B$11,"_",G197),AND(D197="SECF",C197="BT"),CONCATENATE(B197,"_","TR",$B$3,C197,"_",$B$10,"_",G197),AND(D197="SECC",C197="AT"),CONCATENATE(B197,"_","TR",$B$3,C197,"_",$B$5,"_",G197),AND(C197="AT",D197="TR_A"),CONCATENATE(B197,"_","TR",$B$3,C197,"_","TR",$B$3,C197,"_A","_",G197),AND(C197="AT",D197="TR_P"),CONCATENATE(B197,"_","TR",$B$3,C197,"_","TR",$B$3,C197,"_P","_",G197),AND(C197="BT",D197="TR_A"),CONCATENATE(B197,"_","TR",$B$3,C197,"_","TR",$B$3,C197,"_A","_",G197),AND(C197="BT",D197="TR_P"),CONCATENATE(B197,"_","TR",$B$3,C197,"_","TR",$B$3,C197,"_P","_",G197),AND(C197="TR",D197="TR_P"),CONCATENATE(B197,"_","TR",$B$3,"_","TR",$B$3,"_P","_",G197),AND(C197="TR",D197="TR_A"),CONCATENATE(B197,"_","TR",$B$3,"_","TR",$B$3,"_A","_",G197))</f>
        <v>IMA_TR6BT_TR6BT_A_FB</v>
      </c>
      <c r="I197" s="6"/>
      <c r="J197" s="6" t="s">
        <v>182</v>
      </c>
      <c r="K197" s="6" t="s">
        <v>179</v>
      </c>
      <c r="L197" s="6" t="s">
        <v>188</v>
      </c>
      <c r="M197" s="6" t="s">
        <v>188</v>
      </c>
      <c r="N197" s="95">
        <f t="shared" si="5"/>
        <v>961</v>
      </c>
    </row>
    <row r="198" spans="1:14" x14ac:dyDescent="0.25">
      <c r="A198" s="95" t="s">
        <v>190</v>
      </c>
      <c r="B198" s="95" t="str">
        <f>Informações!$C$3</f>
        <v>IMA</v>
      </c>
      <c r="C198" s="95" t="s">
        <v>101</v>
      </c>
      <c r="D198" s="95" t="s">
        <v>211</v>
      </c>
      <c r="E198" s="2" t="s">
        <v>25</v>
      </c>
      <c r="F198" s="95" t="str">
        <f>VLOOKUP(G198,[1]Discrete!$A:$B,2,FALSE)</f>
        <v>FASE C</v>
      </c>
      <c r="G198" s="6" t="s">
        <v>56</v>
      </c>
      <c r="H198" s="6" t="str" cm="1">
        <f t="array" ref="H198">_xlfn.IFS(OR(D198="TC",D198="TP",AND(D198="TR",C198="AT"),AND(D198="TR",C198="BT")),CONCATENATE(B198,"_","TR",$B$3,C198,"_","TR",$B$3,C198,"_",G198),AND(D198="SECC",C198="BT"),CONCATENATE(B198,"_","TR",$B$3,C198,"_",$B$9,"_",G198),AND(D198="SECF",C198="AT"),CONCATENATE(B198,"_","TR",$B$3,C198,"_",$B$6,"_",G198),AND(D198="SECT",C198="AT"),CONCATENATE(B198,"_","TR",$B$3,C198,"_",$B$7,"_",G198),AND(D198="DJ",C198="AT"),CONCATENATE(B198,"_","TR",$B$3,C198,"_",$B$4,"_",G198),AND(D198="DJ",C198="BT"),CONCATENATE(B198,"_","TR",$B$3,C198,"_",$B$8,"_",G198),AND(C198="TR",D198="TR"),CONCATENATE(B198,"_","TR",$B$3,"_","TR",$B$3,"_",G198),AND(D198="SECT",C198="BT"),CONCATENATE(B198,"_","TR",$B$3,C198,"_",$B$11,"_",G198),AND(D198="SECF",C198="BT"),CONCATENATE(B198,"_","TR",$B$3,C198,"_",$B$10,"_",G198),AND(D198="SECC",C198="AT"),CONCATENATE(B198,"_","TR",$B$3,C198,"_",$B$5,"_",G198),AND(C198="AT",D198="TR_A"),CONCATENATE(B198,"_","TR",$B$3,C198,"_","TR",$B$3,C198,"_A","_",G198),AND(C198="AT",D198="TR_P"),CONCATENATE(B198,"_","TR",$B$3,C198,"_","TR",$B$3,C198,"_P","_",G198),AND(C198="BT",D198="TR_A"),CONCATENATE(B198,"_","TR",$B$3,C198,"_","TR",$B$3,C198,"_A","_",G198),AND(C198="BT",D198="TR_P"),CONCATENATE(B198,"_","TR",$B$3,C198,"_","TR",$B$3,C198,"_P","_",G198),AND(C198="TR",D198="TR_P"),CONCATENATE(B198,"_","TR",$B$3,"_","TR",$B$3,"_P","_",G198),AND(C198="TR",D198="TR_A"),CONCATENATE(B198,"_","TR",$B$3,"_","TR",$B$3,"_A","_",G198))</f>
        <v>IMA_TR6BT_TR6BT_A_FC</v>
      </c>
      <c r="I198" s="6"/>
      <c r="J198" s="6" t="s">
        <v>182</v>
      </c>
      <c r="K198" s="6" t="s">
        <v>179</v>
      </c>
      <c r="L198" s="6" t="s">
        <v>188</v>
      </c>
      <c r="M198" s="6" t="s">
        <v>188</v>
      </c>
      <c r="N198" s="95">
        <f t="shared" si="5"/>
        <v>962</v>
      </c>
    </row>
    <row r="199" spans="1:14" x14ac:dyDescent="0.25">
      <c r="A199" s="95" t="s">
        <v>190</v>
      </c>
      <c r="B199" s="95" t="str">
        <f>Informações!$C$3</f>
        <v>IMA</v>
      </c>
      <c r="C199" s="95" t="s">
        <v>101</v>
      </c>
      <c r="D199" s="95" t="s">
        <v>211</v>
      </c>
      <c r="E199" s="2" t="s">
        <v>25</v>
      </c>
      <c r="F199" s="95" t="str">
        <f>VLOOKUP(G199,[1]Discrete!$A:$B,2,FALSE)</f>
        <v>NEUTRO</v>
      </c>
      <c r="G199" s="6" t="s">
        <v>420</v>
      </c>
      <c r="H199" s="6" t="str" cm="1">
        <f t="array" ref="H199">_xlfn.IFS(OR(D199="TC",D199="TP",AND(D199="TR",C199="AT"),AND(D199="TR",C199="BT")),CONCATENATE(B199,"_","TR",$B$3,C199,"_","TR",$B$3,C199,"_",G199),AND(D199="SECC",C199="BT"),CONCATENATE(B199,"_","TR",$B$3,C199,"_",$B$9,"_",G199),AND(D199="SECF",C199="AT"),CONCATENATE(B199,"_","TR",$B$3,C199,"_",$B$6,"_",G199),AND(D199="SECT",C199="AT"),CONCATENATE(B199,"_","TR",$B$3,C199,"_",$B$7,"_",G199),AND(D199="DJ",C199="AT"),CONCATENATE(B199,"_","TR",$B$3,C199,"_",$B$4,"_",G199),AND(D199="DJ",C199="BT"),CONCATENATE(B199,"_","TR",$B$3,C199,"_",$B$8,"_",G199),AND(C199="TR",D199="TR"),CONCATENATE(B199,"_","TR",$B$3,"_","TR",$B$3,"_",G199),AND(D199="SECT",C199="BT"),CONCATENATE(B199,"_","TR",$B$3,C199,"_",$B$11,"_",G199),AND(D199="SECF",C199="BT"),CONCATENATE(B199,"_","TR",$B$3,C199,"_",$B$10,"_",G199),AND(D199="SECC",C199="AT"),CONCATENATE(B199,"_","TR",$B$3,C199,"_",$B$5,"_",G199),AND(C199="AT",D199="TR_A"),CONCATENATE(B199,"_","TR",$B$3,C199,"_","TR",$B$3,C199,"_A","_",G199),AND(C199="AT",D199="TR_P"),CONCATENATE(B199,"_","TR",$B$3,C199,"_","TR",$B$3,C199,"_P","_",G199),AND(C199="BT",D199="TR_A"),CONCATENATE(B199,"_","TR",$B$3,C199,"_","TR",$B$3,C199,"_A","_",G199),AND(C199="BT",D199="TR_P"),CONCATENATE(B199,"_","TR",$B$3,C199,"_","TR",$B$3,C199,"_P","_",G199),AND(C199="TR",D199="TR_P"),CONCATENATE(B199,"_","TR",$B$3,"_","TR",$B$3,"_P","_",G199),AND(C199="TR",D199="TR_A"),CONCATENATE(B199,"_","TR",$B$3,"_","TR",$B$3,"_A","_",G199))</f>
        <v>IMA_TR6BT_TR6BT_A_N</v>
      </c>
      <c r="I199" s="6"/>
      <c r="J199" s="6" t="s">
        <v>182</v>
      </c>
      <c r="K199" s="6" t="s">
        <v>179</v>
      </c>
      <c r="L199" s="6" t="s">
        <v>188</v>
      </c>
      <c r="M199" s="6" t="s">
        <v>188</v>
      </c>
      <c r="N199" s="95">
        <f t="shared" si="5"/>
        <v>963</v>
      </c>
    </row>
    <row r="200" spans="1:14" x14ac:dyDescent="0.25">
      <c r="A200" s="95" t="s">
        <v>190</v>
      </c>
      <c r="B200" s="95" t="str">
        <f>Informações!$C$3</f>
        <v>IMA</v>
      </c>
      <c r="C200" s="95" t="s">
        <v>100</v>
      </c>
      <c r="D200" s="98" t="s">
        <v>211</v>
      </c>
      <c r="E200" s="2" t="s">
        <v>25</v>
      </c>
      <c r="F200" s="95" t="str">
        <f>VLOOKUP(G200,[1]Discrete!$A:$B,2,FALSE)</f>
        <v>81 - TRIP SUB FREQUENCIA</v>
      </c>
      <c r="G200" s="6" t="s">
        <v>71</v>
      </c>
      <c r="H200" s="6" t="str" cm="1">
        <f t="array" ref="H200">_xlfn.IFS(OR(D200="TC",D200="TP",AND(D200="TR",C200="AT"),AND(D200="TR",C200="BT")),CONCATENATE(B200,"_","TR",$B$3,C200,"_","TR",$B$3,C200,"_",G200),AND(D200="SECC",C200="BT"),CONCATENATE(B200,"_","TR",$B$3,C200,"_",$B$9,"_",G200),AND(D200="SECF",C200="AT"),CONCATENATE(B200,"_","TR",$B$3,C200,"_",$B$6,"_",G200),AND(D200="SECT",C200="AT"),CONCATENATE(B200,"_","TR",$B$3,C200,"_",$B$7,"_",G200),AND(D200="DJ",C200="AT"),CONCATENATE(B200,"_","TR",$B$3,C200,"_",$B$4,"_",G200),AND(D200="DJ",C200="BT"),CONCATENATE(B200,"_","TR",$B$3,C200,"_",$B$8,"_",G200),AND(C200="TR",D200="TR"),CONCATENATE(B200,"_","TR",$B$3,"_","TR",$B$3,"_",G200),AND(D200="SECT",C200="BT"),CONCATENATE(B200,"_","TR",$B$3,C200,"_",$B$11,"_",G200),AND(D200="SECF",C200="BT"),CONCATENATE(B200,"_","TR",$B$3,C200,"_",$B$10,"_",G200),AND(D200="SECC",C200="AT"),CONCATENATE(B200,"_","TR",$B$3,C200,"_",$B$5,"_",G200),AND(C200="AT",D200="TR_A"),CONCATENATE(B200,"_","TR",$B$3,C200,"_","TR",$B$3,C200,"_A","_",G200),AND(C200="AT",D200="TR_P"),CONCATENATE(B200,"_","TR",$B$3,C200,"_","TR",$B$3,C200,"_P","_",G200),AND(C200="BT",D200="TR_A"),CONCATENATE(B200,"_","TR",$B$3,C200,"_","TR",$B$3,C200,"_A","_",G200),AND(C200="BT",D200="TR_P"),CONCATENATE(B200,"_","TR",$B$3,C200,"_","TR",$B$3,C200,"_P","_",G200),AND(C200="TR",D200="TR_P"),CONCATENATE(B200,"_","TR",$B$3,"_","TR",$B$3,"_P","_",G200),AND(C200="TR",D200="TR_A"),CONCATENATE(B200,"_","TR",$B$3,"_","TR",$B$3,"_A","_",G200))</f>
        <v>IMA_TR6AT_TR6AT_A_81SU</v>
      </c>
      <c r="I200" s="6"/>
      <c r="J200" s="6" t="s">
        <v>182</v>
      </c>
      <c r="K200" s="6" t="s">
        <v>179</v>
      </c>
      <c r="L200" s="6" t="s">
        <v>188</v>
      </c>
      <c r="M200" s="6" t="s">
        <v>188</v>
      </c>
      <c r="N200" s="95">
        <f t="shared" si="5"/>
        <v>964</v>
      </c>
    </row>
    <row r="201" spans="1:14" x14ac:dyDescent="0.25">
      <c r="A201" s="95" t="s">
        <v>190</v>
      </c>
      <c r="B201" s="95" t="str">
        <f>Informações!$C$3</f>
        <v>IMA</v>
      </c>
      <c r="C201" s="95" t="s">
        <v>100</v>
      </c>
      <c r="D201" s="98" t="s">
        <v>211</v>
      </c>
      <c r="E201" s="2" t="s">
        <v>25</v>
      </c>
      <c r="F201" s="95" t="str">
        <f>VLOOKUP(G201,[1]Discrete!$A:$B,2,FALSE)</f>
        <v>81 - TRIP SUB/SOBRE FREQUENCIA E1</v>
      </c>
      <c r="G201" s="17" t="s">
        <v>353</v>
      </c>
      <c r="H201" s="6" t="str" cm="1">
        <f t="array" ref="H201">_xlfn.IFS(OR(D201="TC",D201="TP",AND(D201="TR",C201="AT"),AND(D201="TR",C201="BT")),CONCATENATE(B201,"_","TR",$B$3,C201,"_","TR",$B$3,C201,"_",G201),AND(D201="SECC",C201="BT"),CONCATENATE(B201,"_","TR",$B$3,C201,"_",$B$9,"_",G201),AND(D201="SECF",C201="AT"),CONCATENATE(B201,"_","TR",$B$3,C201,"_",$B$6,"_",G201),AND(D201="SECT",C201="AT"),CONCATENATE(B201,"_","TR",$B$3,C201,"_",$B$7,"_",G201),AND(D201="DJ",C201="AT"),CONCATENATE(B201,"_","TR",$B$3,C201,"_",$B$4,"_",G201),AND(D201="DJ",C201="BT"),CONCATENATE(B201,"_","TR",$B$3,C201,"_",$B$8,"_",G201),AND(C201="TR",D201="TR"),CONCATENATE(B201,"_","TR",$B$3,"_","TR",$B$3,"_",G201),AND(D201="SECT",C201="BT"),CONCATENATE(B201,"_","TR",$B$3,C201,"_",$B$11,"_",G201),AND(D201="SECF",C201="BT"),CONCATENATE(B201,"_","TR",$B$3,C201,"_",$B$10,"_",G201),AND(D201="SECC",C201="AT"),CONCATENATE(B201,"_","TR",$B$3,C201,"_",$B$5,"_",G201),AND(C201="AT",D201="TR_A"),CONCATENATE(B201,"_","TR",$B$3,C201,"_","TR",$B$3,C201,"_A","_",G201),AND(C201="AT",D201="TR_P"),CONCATENATE(B201,"_","TR",$B$3,C201,"_","TR",$B$3,C201,"_P","_",G201),AND(C201="BT",D201="TR_A"),CONCATENATE(B201,"_","TR",$B$3,C201,"_","TR",$B$3,C201,"_A","_",G201),AND(C201="BT",D201="TR_P"),CONCATENATE(B201,"_","TR",$B$3,C201,"_","TR",$B$3,C201,"_P","_",G201),AND(C201="TR",D201="TR_P"),CONCATENATE(B201,"_","TR",$B$3,"_","TR",$B$3,"_P","_",G201),AND(C201="TR",D201="TR_A"),CONCATENATE(B201,"_","TR",$B$3,"_","TR",$B$3,"_A","_",G201))</f>
        <v>IMA_TR6AT_TR6AT_A_81E1</v>
      </c>
      <c r="I201" s="6"/>
      <c r="J201" s="6" t="s">
        <v>182</v>
      </c>
      <c r="K201" s="6" t="s">
        <v>179</v>
      </c>
      <c r="L201" s="6" t="s">
        <v>188</v>
      </c>
      <c r="M201" s="6" t="s">
        <v>188</v>
      </c>
      <c r="N201" s="95">
        <f t="shared" si="5"/>
        <v>965</v>
      </c>
    </row>
    <row r="202" spans="1:14" x14ac:dyDescent="0.25">
      <c r="A202" s="95" t="s">
        <v>190</v>
      </c>
      <c r="B202" s="95" t="str">
        <f>Informações!$C$3</f>
        <v>IMA</v>
      </c>
      <c r="C202" s="95" t="s">
        <v>100</v>
      </c>
      <c r="D202" s="98" t="s">
        <v>211</v>
      </c>
      <c r="E202" s="2" t="s">
        <v>25</v>
      </c>
      <c r="F202" s="95" t="str">
        <f>VLOOKUP(G202,[1]Discrete!$A:$B,2,FALSE)</f>
        <v>81 - TRIP SUB/SOBRE FREQUENCIA E2</v>
      </c>
      <c r="G202" s="17" t="s">
        <v>354</v>
      </c>
      <c r="H202" s="6" t="str" cm="1">
        <f t="array" ref="H202">_xlfn.IFS(OR(D202="TC",D202="TP",AND(D202="TR",C202="AT"),AND(D202="TR",C202="BT")),CONCATENATE(B202,"_","TR",$B$3,C202,"_","TR",$B$3,C202,"_",G202),AND(D202="SECC",C202="BT"),CONCATENATE(B202,"_","TR",$B$3,C202,"_",$B$9,"_",G202),AND(D202="SECF",C202="AT"),CONCATENATE(B202,"_","TR",$B$3,C202,"_",$B$6,"_",G202),AND(D202="SECT",C202="AT"),CONCATENATE(B202,"_","TR",$B$3,C202,"_",$B$7,"_",G202),AND(D202="DJ",C202="AT"),CONCATENATE(B202,"_","TR",$B$3,C202,"_",$B$4,"_",G202),AND(D202="DJ",C202="BT"),CONCATENATE(B202,"_","TR",$B$3,C202,"_",$B$8,"_",G202),AND(C202="TR",D202="TR"),CONCATENATE(B202,"_","TR",$B$3,"_","TR",$B$3,"_",G202),AND(D202="SECT",C202="BT"),CONCATENATE(B202,"_","TR",$B$3,C202,"_",$B$11,"_",G202),AND(D202="SECF",C202="BT"),CONCATENATE(B202,"_","TR",$B$3,C202,"_",$B$10,"_",G202),AND(D202="SECC",C202="AT"),CONCATENATE(B202,"_","TR",$B$3,C202,"_",$B$5,"_",G202),AND(C202="AT",D202="TR_A"),CONCATENATE(B202,"_","TR",$B$3,C202,"_","TR",$B$3,C202,"_A","_",G202),AND(C202="AT",D202="TR_P"),CONCATENATE(B202,"_","TR",$B$3,C202,"_","TR",$B$3,C202,"_P","_",G202),AND(C202="BT",D202="TR_A"),CONCATENATE(B202,"_","TR",$B$3,C202,"_","TR",$B$3,C202,"_A","_",G202),AND(C202="BT",D202="TR_P"),CONCATENATE(B202,"_","TR",$B$3,C202,"_","TR",$B$3,C202,"_P","_",G202),AND(C202="TR",D202="TR_P"),CONCATENATE(B202,"_","TR",$B$3,"_","TR",$B$3,"_P","_",G202),AND(C202="TR",D202="TR_A"),CONCATENATE(B202,"_","TR",$B$3,"_","TR",$B$3,"_A","_",G202))</f>
        <v>IMA_TR6AT_TR6AT_A_81E2</v>
      </c>
      <c r="I202" s="6"/>
      <c r="J202" s="6" t="s">
        <v>182</v>
      </c>
      <c r="K202" s="6" t="s">
        <v>179</v>
      </c>
      <c r="L202" s="6" t="s">
        <v>188</v>
      </c>
      <c r="M202" s="6" t="s">
        <v>188</v>
      </c>
      <c r="N202" s="95">
        <f t="shared" si="5"/>
        <v>966</v>
      </c>
    </row>
    <row r="203" spans="1:14" x14ac:dyDescent="0.25">
      <c r="A203" s="95" t="s">
        <v>190</v>
      </c>
      <c r="B203" s="95" t="str">
        <f>Informações!$C$3</f>
        <v>IMA</v>
      </c>
      <c r="C203" s="95" t="s">
        <v>100</v>
      </c>
      <c r="D203" s="98" t="s">
        <v>211</v>
      </c>
      <c r="E203" s="2" t="s">
        <v>25</v>
      </c>
      <c r="F203" s="95" t="str">
        <f>VLOOKUP(G203,[1]Discrete!$A:$B,2,FALSE)</f>
        <v>81 - TRIP SUB/SOBRE FREQUENCIA E3</v>
      </c>
      <c r="G203" s="17" t="s">
        <v>355</v>
      </c>
      <c r="H203" s="6" t="str" cm="1">
        <f t="array" ref="H203">_xlfn.IFS(OR(D203="TC",D203="TP",AND(D203="TR",C203="AT"),AND(D203="TR",C203="BT")),CONCATENATE(B203,"_","TR",$B$3,C203,"_","TR",$B$3,C203,"_",G203),AND(D203="SECC",C203="BT"),CONCATENATE(B203,"_","TR",$B$3,C203,"_",$B$9,"_",G203),AND(D203="SECF",C203="AT"),CONCATENATE(B203,"_","TR",$B$3,C203,"_",$B$6,"_",G203),AND(D203="SECT",C203="AT"),CONCATENATE(B203,"_","TR",$B$3,C203,"_",$B$7,"_",G203),AND(D203="DJ",C203="AT"),CONCATENATE(B203,"_","TR",$B$3,C203,"_",$B$4,"_",G203),AND(D203="DJ",C203="BT"),CONCATENATE(B203,"_","TR",$B$3,C203,"_",$B$8,"_",G203),AND(C203="TR",D203="TR"),CONCATENATE(B203,"_","TR",$B$3,"_","TR",$B$3,"_",G203),AND(D203="SECT",C203="BT"),CONCATENATE(B203,"_","TR",$B$3,C203,"_",$B$11,"_",G203),AND(D203="SECF",C203="BT"),CONCATENATE(B203,"_","TR",$B$3,C203,"_",$B$10,"_",G203),AND(D203="SECC",C203="AT"),CONCATENATE(B203,"_","TR",$B$3,C203,"_",$B$5,"_",G203),AND(C203="AT",D203="TR_A"),CONCATENATE(B203,"_","TR",$B$3,C203,"_","TR",$B$3,C203,"_A","_",G203),AND(C203="AT",D203="TR_P"),CONCATENATE(B203,"_","TR",$B$3,C203,"_","TR",$B$3,C203,"_P","_",G203),AND(C203="BT",D203="TR_A"),CONCATENATE(B203,"_","TR",$B$3,C203,"_","TR",$B$3,C203,"_A","_",G203),AND(C203="BT",D203="TR_P"),CONCATENATE(B203,"_","TR",$B$3,C203,"_","TR",$B$3,C203,"_P","_",G203),AND(C203="TR",D203="TR_P"),CONCATENATE(B203,"_","TR",$B$3,"_","TR",$B$3,"_P","_",G203),AND(C203="TR",D203="TR_A"),CONCATENATE(B203,"_","TR",$B$3,"_","TR",$B$3,"_A","_",G203))</f>
        <v>IMA_TR6AT_TR6AT_A_81E3</v>
      </c>
      <c r="I203" s="6"/>
      <c r="J203" s="6" t="s">
        <v>182</v>
      </c>
      <c r="K203" s="6" t="s">
        <v>179</v>
      </c>
      <c r="L203" s="6" t="s">
        <v>188</v>
      </c>
      <c r="M203" s="6" t="s">
        <v>188</v>
      </c>
      <c r="N203" s="95">
        <f t="shared" si="5"/>
        <v>967</v>
      </c>
    </row>
    <row r="204" spans="1:14" x14ac:dyDescent="0.25">
      <c r="A204" s="95" t="s">
        <v>190</v>
      </c>
      <c r="B204" s="95" t="str">
        <f>Informações!$C$3</f>
        <v>IMA</v>
      </c>
      <c r="C204" s="95" t="s">
        <v>100</v>
      </c>
      <c r="D204" s="98" t="s">
        <v>211</v>
      </c>
      <c r="E204" s="2" t="s">
        <v>25</v>
      </c>
      <c r="F204" s="95" t="str">
        <f>VLOOKUP(G204,[1]Discrete!$A:$B,2,FALSE)</f>
        <v>81 - TRIP SUB/SOBRE FREQUENCIA E4</v>
      </c>
      <c r="G204" s="17" t="s">
        <v>356</v>
      </c>
      <c r="H204" s="6" t="str" cm="1">
        <f t="array" ref="H204">_xlfn.IFS(OR(D204="TC",D204="TP",AND(D204="TR",C204="AT"),AND(D204="TR",C204="BT")),CONCATENATE(B204,"_","TR",$B$3,C204,"_","TR",$B$3,C204,"_",G204),AND(D204="SECC",C204="BT"),CONCATENATE(B204,"_","TR",$B$3,C204,"_",$B$9,"_",G204),AND(D204="SECF",C204="AT"),CONCATENATE(B204,"_","TR",$B$3,C204,"_",$B$6,"_",G204),AND(D204="SECT",C204="AT"),CONCATENATE(B204,"_","TR",$B$3,C204,"_",$B$7,"_",G204),AND(D204="DJ",C204="AT"),CONCATENATE(B204,"_","TR",$B$3,C204,"_",$B$4,"_",G204),AND(D204="DJ",C204="BT"),CONCATENATE(B204,"_","TR",$B$3,C204,"_",$B$8,"_",G204),AND(C204="TR",D204="TR"),CONCATENATE(B204,"_","TR",$B$3,"_","TR",$B$3,"_",G204),AND(D204="SECT",C204="BT"),CONCATENATE(B204,"_","TR",$B$3,C204,"_",$B$11,"_",G204),AND(D204="SECF",C204="BT"),CONCATENATE(B204,"_","TR",$B$3,C204,"_",$B$10,"_",G204),AND(D204="SECC",C204="AT"),CONCATENATE(B204,"_","TR",$B$3,C204,"_",$B$5,"_",G204),AND(C204="AT",D204="TR_A"),CONCATENATE(B204,"_","TR",$B$3,C204,"_","TR",$B$3,C204,"_A","_",G204),AND(C204="AT",D204="TR_P"),CONCATENATE(B204,"_","TR",$B$3,C204,"_","TR",$B$3,C204,"_P","_",G204),AND(C204="BT",D204="TR_A"),CONCATENATE(B204,"_","TR",$B$3,C204,"_","TR",$B$3,C204,"_A","_",G204),AND(C204="BT",D204="TR_P"),CONCATENATE(B204,"_","TR",$B$3,C204,"_","TR",$B$3,C204,"_P","_",G204),AND(C204="TR",D204="TR_P"),CONCATENATE(B204,"_","TR",$B$3,"_","TR",$B$3,"_P","_",G204),AND(C204="TR",D204="TR_A"),CONCATENATE(B204,"_","TR",$B$3,"_","TR",$B$3,"_A","_",G204))</f>
        <v>IMA_TR6AT_TR6AT_A_81E4</v>
      </c>
      <c r="I204" s="6"/>
      <c r="J204" s="6" t="s">
        <v>182</v>
      </c>
      <c r="K204" s="6" t="s">
        <v>179</v>
      </c>
      <c r="L204" s="6" t="s">
        <v>188</v>
      </c>
      <c r="M204" s="6" t="s">
        <v>188</v>
      </c>
      <c r="N204" s="95">
        <f t="shared" si="5"/>
        <v>968</v>
      </c>
    </row>
    <row r="205" spans="1:14" x14ac:dyDescent="0.25">
      <c r="A205" s="95" t="s">
        <v>190</v>
      </c>
      <c r="B205" s="95" t="str">
        <f>Informações!$C$3</f>
        <v>IMA</v>
      </c>
      <c r="C205" s="95" t="s">
        <v>100</v>
      </c>
      <c r="D205" s="98" t="s">
        <v>211</v>
      </c>
      <c r="E205" s="2" t="s">
        <v>25</v>
      </c>
      <c r="F205" s="95" t="s">
        <v>358</v>
      </c>
      <c r="G205" s="17" t="s">
        <v>357</v>
      </c>
      <c r="H205" s="6" t="str" cm="1">
        <f t="array" ref="H205">_xlfn.IFS(OR(D205="TC",D205="TP",AND(D205="TR",C205="AT"),AND(D205="TR",C205="BT")),CONCATENATE(B205,"_","TR",$B$3,C205,"_","TR",$B$3,C205,"_",G205),AND(D205="SECC",C205="BT"),CONCATENATE(B205,"_","TR",$B$3,C205,"_",$B$9,"_",G205),AND(D205="SECF",C205="AT"),CONCATENATE(B205,"_","TR",$B$3,C205,"_",$B$6,"_",G205),AND(D205="SECT",C205="AT"),CONCATENATE(B205,"_","TR",$B$3,C205,"_",$B$7,"_",G205),AND(D205="DJ",C205="AT"),CONCATENATE(B205,"_","TR",$B$3,C205,"_",$B$4,"_",G205),AND(D205="DJ",C205="BT"),CONCATENATE(B205,"_","TR",$B$3,C205,"_",$B$8,"_",G205),AND(C205="TR",D205="TR"),CONCATENATE(B205,"_","TR",$B$3,"_","TR",$B$3,"_",G205),AND(D205="SECT",C205="BT"),CONCATENATE(B205,"_","TR",$B$3,C205,"_",$B$11,"_",G205),AND(D205="SECF",C205="BT"),CONCATENATE(B205,"_","TR",$B$3,C205,"_",$B$10,"_",G205),AND(D205="SECC",C205="AT"),CONCATENATE(B205,"_","TR",$B$3,C205,"_",$B$5,"_",G205),AND(C205="AT",D205="TR_A"),CONCATENATE(B205,"_","TR",$B$3,C205,"_","TR",$B$3,C205,"_A","_",G205),AND(C205="AT",D205="TR_P"),CONCATENATE(B205,"_","TR",$B$3,C205,"_","TR",$B$3,C205,"_P","_",G205),AND(C205="BT",D205="TR_A"),CONCATENATE(B205,"_","TR",$B$3,C205,"_","TR",$B$3,C205,"_A","_",G205),AND(C205="BT",D205="TR_P"),CONCATENATE(B205,"_","TR",$B$3,C205,"_","TR",$B$3,C205,"_P","_",G205),AND(C205="TR",D205="TR_P"),CONCATENATE(B205,"_","TR",$B$3,"_","TR",$B$3,"_P","_",G205),AND(C205="TR",D205="TR_A"),CONCATENATE(B205,"_","TR",$B$3,"_","TR",$B$3,"_A","_",G205))</f>
        <v>IMA_TR6AT_TR6AT_A_81E5</v>
      </c>
      <c r="I205" s="6"/>
      <c r="J205" s="6" t="s">
        <v>182</v>
      </c>
      <c r="K205" s="6" t="s">
        <v>179</v>
      </c>
      <c r="L205" s="6" t="s">
        <v>188</v>
      </c>
      <c r="M205" s="6" t="s">
        <v>188</v>
      </c>
      <c r="N205" s="95">
        <f t="shared" si="5"/>
        <v>969</v>
      </c>
    </row>
    <row r="206" spans="1:14" x14ac:dyDescent="0.25">
      <c r="A206" s="95" t="s">
        <v>190</v>
      </c>
      <c r="B206" s="95" t="str">
        <f>Informações!$C$3</f>
        <v>IMA</v>
      </c>
      <c r="C206" s="95" t="s">
        <v>102</v>
      </c>
      <c r="D206" s="95" t="s">
        <v>102</v>
      </c>
      <c r="E206" s="2" t="s">
        <v>25</v>
      </c>
      <c r="F206" s="95" t="str">
        <f>VLOOKUP(G206,[1]Discrete!$A:$B,2,FALSE)</f>
        <v>SECADOR DE AR</v>
      </c>
      <c r="G206" s="6" t="s">
        <v>714</v>
      </c>
      <c r="H206" s="6" t="str" cm="1">
        <f t="array" ref="H206">_xlfn.IFS(OR(D206="TC",D206="TP",AND(D206="TR",C206="AT"),AND(D206="TR",C206="BT")),CONCATENATE(B206,"_","TR",$B$3,C206,"_","TR",$B$3,C206,"_",G206),AND(D206="SECC",C206="BT"),CONCATENATE(B206,"_","TR",$B$3,C206,"_",$B$9,"_",G206),AND(D206="SECF",C206="AT"),CONCATENATE(B206,"_","TR",$B$3,C206,"_",$B$6,"_",G206),AND(D206="SECT",C206="AT"),CONCATENATE(B206,"_","TR",$B$3,C206,"_",$B$7,"_",G206),AND(D206="DJ",C206="AT"),CONCATENATE(B206,"_","TR",$B$3,C206,"_",$B$4,"_",G206),AND(D206="DJ",C206="BT"),CONCATENATE(B206,"_","TR",$B$3,C206,"_",$B$8,"_",G206),AND(C206="TR",D206="TR"),CONCATENATE(B206,"_","TR",$B$3,"_","TR",$B$3,"_",G206),AND(D206="SECT",C206="BT"),CONCATENATE(B206,"_","TR",$B$3,C206,"_",$B$11,"_",G206),AND(D206="SECF",C206="BT"),CONCATENATE(B206,"_","TR",$B$3,C206,"_",$B$10,"_",G206),AND(D206="SECC",C206="AT"),CONCATENATE(B206,"_","TR",$B$3,C206,"_",$B$5,"_",G206),AND(C206="AT",D206="TR_A"),CONCATENATE(B206,"_","TR",$B$3,C206,"_","TR",$B$3,C206,"_A","_",G206),AND(C206="AT",D206="TR_P"),CONCATENATE(B206,"_","TR",$B$3,C206,"_","TR",$B$3,C206,"_P","_",G206),AND(C206="BT",D206="TR_A"),CONCATENATE(B206,"_","TR",$B$3,C206,"_","TR",$B$3,C206,"_A","_",G206),AND(C206="BT",D206="TR_P"),CONCATENATE(B206,"_","TR",$B$3,C206,"_","TR",$B$3,C206,"_P","_",G206),AND(C206="TR",D206="TR_P"),CONCATENATE(B206,"_","TR",$B$3,"_","TR",$B$3,"_P","_",G206),AND(C206="TR",D206="TR_A"),CONCATENATE(B206,"_","TR",$B$3,"_","TR",$B$3,"_A","_",G206))</f>
        <v>IMA_TR6_TR6_SCAR</v>
      </c>
      <c r="I206" s="6"/>
      <c r="J206" s="6" t="s">
        <v>182</v>
      </c>
      <c r="K206" s="6" t="s">
        <v>179</v>
      </c>
      <c r="L206" s="6" t="s">
        <v>188</v>
      </c>
      <c r="M206" s="6" t="s">
        <v>188</v>
      </c>
      <c r="N206" s="95">
        <f t="shared" si="5"/>
        <v>970</v>
      </c>
    </row>
    <row r="207" spans="1:14" x14ac:dyDescent="0.25">
      <c r="A207" s="95" t="s">
        <v>190</v>
      </c>
      <c r="B207" s="95" t="str">
        <f>Informações!$C$3</f>
        <v>IMA</v>
      </c>
      <c r="C207" s="95" t="s">
        <v>102</v>
      </c>
      <c r="D207" s="95" t="s">
        <v>102</v>
      </c>
      <c r="E207" s="2" t="s">
        <v>25</v>
      </c>
      <c r="F207" s="95" t="s">
        <v>720</v>
      </c>
      <c r="G207" s="6" t="s">
        <v>719</v>
      </c>
      <c r="H207" s="6" t="str" cm="1">
        <f t="array" ref="H207">_xlfn.IFS(OR(D207="TC",D207="TP",AND(D207="TR",C207="AT"),AND(D207="TR",C207="BT")),CONCATENATE(B207,"_","TR",$B$3,C207,"_","TR",$B$3,C207,"_",G207),AND(D207="SECC",C207="BT"),CONCATENATE(B207,"_","TR",$B$3,C207,"_",$B$9,"_",G207),AND(D207="SECF",C207="AT"),CONCATENATE(B207,"_","TR",$B$3,C207,"_",$B$6,"_",G207),AND(D207="SECT",C207="AT"),CONCATENATE(B207,"_","TR",$B$3,C207,"_",$B$7,"_",G207),AND(D207="DJ",C207="AT"),CONCATENATE(B207,"_","TR",$B$3,C207,"_",$B$4,"_",G207),AND(D207="DJ",C207="BT"),CONCATENATE(B207,"_","TR",$B$3,C207,"_",$B$8,"_",G207),AND(C207="TR",D207="TR"),CONCATENATE(B207,"_","TR",$B$3,"_","TR",$B$3,"_",G207),AND(D207="SECT",C207="BT"),CONCATENATE(B207,"_","TR",$B$3,C207,"_",$B$11,"_",G207),AND(D207="SECF",C207="BT"),CONCATENATE(B207,"_","TR",$B$3,C207,"_",$B$10,"_",G207),AND(D207="SECC",C207="AT"),CONCATENATE(B207,"_","TR",$B$3,C207,"_",$B$5,"_",G207),AND(C207="AT",D207="TR_A"),CONCATENATE(B207,"_","TR",$B$3,C207,"_","TR",$B$3,C207,"_A","_",G207),AND(C207="AT",D207="TR_P"),CONCATENATE(B207,"_","TR",$B$3,C207,"_","TR",$B$3,C207,"_P","_",G207),AND(C207="BT",D207="TR_A"),CONCATENATE(B207,"_","TR",$B$3,C207,"_","TR",$B$3,C207,"_A","_",G207),AND(C207="BT",D207="TR_P"),CONCATENATE(B207,"_","TR",$B$3,C207,"_","TR",$B$3,C207,"_P","_",G207),AND(C207="TR",D207="TR_P"),CONCATENATE(B207,"_","TR",$B$3,"_","TR",$B$3,"_P","_",G207),AND(C207="TR",D207="TR_A"),CONCATENATE(B207,"_","TR",$B$3,"_","TR",$B$3,"_A","_",G207))</f>
        <v>IMA_TR6_TR6_MEMB</v>
      </c>
      <c r="I207" s="6"/>
      <c r="J207" s="6" t="s">
        <v>182</v>
      </c>
      <c r="K207" s="6" t="s">
        <v>179</v>
      </c>
      <c r="L207" s="6" t="s">
        <v>188</v>
      </c>
      <c r="M207" s="6" t="s">
        <v>188</v>
      </c>
      <c r="N207" s="95">
        <f t="shared" si="5"/>
        <v>971</v>
      </c>
    </row>
    <row r="208" spans="1:14" x14ac:dyDescent="0.25">
      <c r="A208" s="95" t="s">
        <v>190</v>
      </c>
      <c r="B208" s="95" t="str">
        <f>Informações!$C$3</f>
        <v>IMA</v>
      </c>
      <c r="C208" s="95" t="s">
        <v>102</v>
      </c>
      <c r="D208" s="95" t="s">
        <v>212</v>
      </c>
      <c r="E208" s="2" t="s">
        <v>25</v>
      </c>
      <c r="F208" s="95" t="str">
        <f>VLOOKUP(G208,[1]Discrete!$A:$B,2,FALSE)</f>
        <v>26 49 - TRIP TEMPERATURA</v>
      </c>
      <c r="G208" s="6" t="s">
        <v>93</v>
      </c>
      <c r="H208" s="6" t="str" cm="1">
        <f t="array" ref="H208">_xlfn.IFS(OR(D208="TC",D208="TP",AND(D208="TR",C208="AT"),AND(D208="TR",C208="BT")),CONCATENATE(B208,"_","TR",$B$3,C208,"_","TR",$B$3,C208,"_",G208),AND(D208="SECC",C208="BT"),CONCATENATE(B208,"_","TR",$B$3,C208,"_",$B$9,"_",G208),AND(D208="SECF",C208="AT"),CONCATENATE(B208,"_","TR",$B$3,C208,"_",$B$6,"_",G208),AND(D208="SECT",C208="AT"),CONCATENATE(B208,"_","TR",$B$3,C208,"_",$B$7,"_",G208),AND(D208="DJ",C208="AT"),CONCATENATE(B208,"_","TR",$B$3,C208,"_",$B$4,"_",G208),AND(D208="DJ",C208="BT"),CONCATENATE(B208,"_","TR",$B$3,C208,"_",$B$8,"_",G208),AND(C208="TR",D208="TR"),CONCATENATE(B208,"_","TR",$B$3,"_","TR",$B$3,"_",G208),AND(D208="SECT",C208="BT"),CONCATENATE(B208,"_","TR",$B$3,C208,"_",$B$11,"_",G208),AND(D208="SECF",C208="BT"),CONCATENATE(B208,"_","TR",$B$3,C208,"_",$B$10,"_",G208),AND(D208="SECC",C208="AT"),CONCATENATE(B208,"_","TR",$B$3,C208,"_",$B$5,"_",G208),AND(C208="AT",D208="TR_A"),CONCATENATE(B208,"_","TR",$B$3,C208,"_","TR",$B$3,C208,"_A","_",G208),AND(C208="AT",D208="TR_P"),CONCATENATE(B208,"_","TR",$B$3,C208,"_","TR",$B$3,C208,"_P","_",G208),AND(C208="BT",D208="TR_A"),CONCATENATE(B208,"_","TR",$B$3,C208,"_","TR",$B$3,C208,"_A","_",G208),AND(C208="BT",D208="TR_P"),CONCATENATE(B208,"_","TR",$B$3,C208,"_","TR",$B$3,C208,"_P","_",G208),AND(C208="TR",D208="TR_P"),CONCATENATE(B208,"_","TR",$B$3,"_","TR",$B$3,"_P","_",G208),AND(C208="TR",D208="TR_A"),CONCATENATE(B208,"_","TR",$B$3,"_","TR",$B$3,"_A","_",G208))</f>
        <v>IMA_TR6_TR6_P_TOED</v>
      </c>
      <c r="I208" s="6"/>
      <c r="J208" s="6" t="s">
        <v>182</v>
      </c>
      <c r="K208" s="6" t="s">
        <v>179</v>
      </c>
      <c r="L208" s="6" t="s">
        <v>188</v>
      </c>
      <c r="M208" s="6" t="s">
        <v>188</v>
      </c>
      <c r="N208" s="95">
        <f t="shared" si="5"/>
        <v>972</v>
      </c>
    </row>
    <row r="209" spans="1:14" x14ac:dyDescent="0.25">
      <c r="A209" s="95" t="s">
        <v>190</v>
      </c>
      <c r="B209" s="95" t="str">
        <f>Informações!$C$3</f>
        <v>IMA</v>
      </c>
      <c r="C209" s="95" t="s">
        <v>102</v>
      </c>
      <c r="D209" s="95" t="s">
        <v>211</v>
      </c>
      <c r="E209" s="2" t="s">
        <v>25</v>
      </c>
      <c r="F209" s="95" t="str">
        <f>VLOOKUP(G209,[1]Discrete!$A:$B,2,FALSE)</f>
        <v>26 49 - TRIP TEMPERATURA</v>
      </c>
      <c r="G209" s="6" t="s">
        <v>93</v>
      </c>
      <c r="H209" s="6" t="str" cm="1">
        <f t="array" ref="H209">_xlfn.IFS(OR(D209="TC",D209="TP",AND(D209="TR",C209="AT"),AND(D209="TR",C209="BT")),CONCATENATE(B209,"_","TR",$B$3,C209,"_","TR",$B$3,C209,"_",G209),AND(D209="SECC",C209="BT"),CONCATENATE(B209,"_","TR",$B$3,C209,"_",$B$9,"_",G209),AND(D209="SECF",C209="AT"),CONCATENATE(B209,"_","TR",$B$3,C209,"_",$B$6,"_",G209),AND(D209="SECT",C209="AT"),CONCATENATE(B209,"_","TR",$B$3,C209,"_",$B$7,"_",G209),AND(D209="DJ",C209="AT"),CONCATENATE(B209,"_","TR",$B$3,C209,"_",$B$4,"_",G209),AND(D209="DJ",C209="BT"),CONCATENATE(B209,"_","TR",$B$3,C209,"_",$B$8,"_",G209),AND(C209="TR",D209="TR"),CONCATENATE(B209,"_","TR",$B$3,"_","TR",$B$3,"_",G209),AND(D209="SECT",C209="BT"),CONCATENATE(B209,"_","TR",$B$3,C209,"_",$B$11,"_",G209),AND(D209="SECF",C209="BT"),CONCATENATE(B209,"_","TR",$B$3,C209,"_",$B$10,"_",G209),AND(D209="SECC",C209="AT"),CONCATENATE(B209,"_","TR",$B$3,C209,"_",$B$5,"_",G209),AND(C209="AT",D209="TR_A"),CONCATENATE(B209,"_","TR",$B$3,C209,"_","TR",$B$3,C209,"_A","_",G209),AND(C209="AT",D209="TR_P"),CONCATENATE(B209,"_","TR",$B$3,C209,"_","TR",$B$3,C209,"_P","_",G209),AND(C209="BT",D209="TR_A"),CONCATENATE(B209,"_","TR",$B$3,C209,"_","TR",$B$3,C209,"_A","_",G209),AND(C209="BT",D209="TR_P"),CONCATENATE(B209,"_","TR",$B$3,C209,"_","TR",$B$3,C209,"_P","_",G209),AND(C209="TR",D209="TR_P"),CONCATENATE(B209,"_","TR",$B$3,"_","TR",$B$3,"_P","_",G209),AND(C209="TR",D209="TR_A"),CONCATENATE(B209,"_","TR",$B$3,"_","TR",$B$3,"_A","_",G209))</f>
        <v>IMA_TR6_TR6_A_TOED</v>
      </c>
      <c r="I209" s="6"/>
      <c r="J209" s="6" t="s">
        <v>182</v>
      </c>
      <c r="K209" s="6" t="s">
        <v>179</v>
      </c>
      <c r="L209" s="6" t="s">
        <v>188</v>
      </c>
      <c r="M209" s="6" t="s">
        <v>188</v>
      </c>
      <c r="N209" s="95">
        <f t="shared" si="5"/>
        <v>973</v>
      </c>
    </row>
    <row r="210" spans="1:14" x14ac:dyDescent="0.25">
      <c r="A210" s="95" t="s">
        <v>190</v>
      </c>
      <c r="B210" s="95" t="str">
        <f>Informações!$C$3</f>
        <v>IMA</v>
      </c>
      <c r="C210" s="95" t="s">
        <v>102</v>
      </c>
      <c r="D210" s="95" t="s">
        <v>102</v>
      </c>
      <c r="E210" s="2" t="s">
        <v>25</v>
      </c>
      <c r="F210" s="95" t="str">
        <f>VLOOKUP(G210,[1]Discrete!$A:$B,2,FALSE)</f>
        <v>DEFEITO CDC</v>
      </c>
      <c r="G210" s="6" t="s">
        <v>716</v>
      </c>
      <c r="H210" s="6" t="str" cm="1">
        <f t="array" ref="H210">_xlfn.IFS(OR(D210="TC",D210="TP",AND(D210="TR",C210="AT"),AND(D210="TR",C210="BT")),CONCATENATE(B210,"_","TR",$B$3,C210,"_","TR",$B$3,C210,"_",G210),AND(D210="SECC",C210="BT"),CONCATENATE(B210,"_","TR",$B$3,C210,"_",$B$9,"_",G210),AND(D210="SECF",C210="AT"),CONCATENATE(B210,"_","TR",$B$3,C210,"_",$B$6,"_",G210),AND(D210="SECT",C210="AT"),CONCATENATE(B210,"_","TR",$B$3,C210,"_",$B$7,"_",G210),AND(D210="DJ",C210="AT"),CONCATENATE(B210,"_","TR",$B$3,C210,"_",$B$4,"_",G210),AND(D210="DJ",C210="BT"),CONCATENATE(B210,"_","TR",$B$3,C210,"_",$B$8,"_",G210),AND(C210="TR",D210="TR"),CONCATENATE(B210,"_","TR",$B$3,"_","TR",$B$3,"_",G210),AND(D210="SECT",C210="BT"),CONCATENATE(B210,"_","TR",$B$3,C210,"_",$B$11,"_",G210),AND(D210="SECF",C210="BT"),CONCATENATE(B210,"_","TR",$B$3,C210,"_",$B$10,"_",G210),AND(D210="SECC",C210="AT"),CONCATENATE(B210,"_","TR",$B$3,C210,"_",$B$5,"_",G210),AND(C210="AT",D210="TR_A"),CONCATENATE(B210,"_","TR",$B$3,C210,"_","TR",$B$3,C210,"_A","_",G210),AND(C210="AT",D210="TR_P"),CONCATENATE(B210,"_","TR",$B$3,C210,"_","TR",$B$3,C210,"_P","_",G210),AND(C210="BT",D210="TR_A"),CONCATENATE(B210,"_","TR",$B$3,C210,"_","TR",$B$3,C210,"_A","_",G210),AND(C210="BT",D210="TR_P"),CONCATENATE(B210,"_","TR",$B$3,C210,"_","TR",$B$3,C210,"_P","_",G210),AND(C210="TR",D210="TR_P"),CONCATENATE(B210,"_","TR",$B$3,"_","TR",$B$3,"_P","_",G210),AND(C210="TR",D210="TR_A"),CONCATENATE(B210,"_","TR",$B$3,"_","TR",$B$3,"_A","_",G210))</f>
        <v>IMA_TR6_TR6_DCDC</v>
      </c>
      <c r="I210" s="6"/>
      <c r="J210" s="6" t="s">
        <v>182</v>
      </c>
      <c r="K210" s="6" t="s">
        <v>179</v>
      </c>
      <c r="L210" s="6" t="s">
        <v>188</v>
      </c>
      <c r="M210" s="6" t="s">
        <v>188</v>
      </c>
      <c r="N210" s="95">
        <f t="shared" si="5"/>
        <v>974</v>
      </c>
    </row>
    <row r="211" spans="1:14" x14ac:dyDescent="0.25">
      <c r="A211" s="95" t="s">
        <v>190</v>
      </c>
      <c r="B211" s="95" t="str">
        <f>Informações!$C$3</f>
        <v>IMA</v>
      </c>
      <c r="C211" s="95" t="s">
        <v>102</v>
      </c>
      <c r="D211" s="95" t="s">
        <v>102</v>
      </c>
      <c r="E211" s="2" t="s">
        <v>25</v>
      </c>
      <c r="F211" s="95" t="str">
        <f>VLOOKUP(G211,[1]Discrete!$A:$B,2,FALSE)</f>
        <v>DEFEITO MOTOR CDC</v>
      </c>
      <c r="G211" s="6" t="s">
        <v>717</v>
      </c>
      <c r="H211" s="6" t="str" cm="1">
        <f t="array" ref="H211">_xlfn.IFS(OR(D211="TC",D211="TP",AND(D211="TR",C211="AT"),AND(D211="TR",C211="BT")),CONCATENATE(B211,"_","TR",$B$3,C211,"_","TR",$B$3,C211,"_",G211),AND(D211="SECC",C211="BT"),CONCATENATE(B211,"_","TR",$B$3,C211,"_",$B$9,"_",G211),AND(D211="SECF",C211="AT"),CONCATENATE(B211,"_","TR",$B$3,C211,"_",$B$6,"_",G211),AND(D211="SECT",C211="AT"),CONCATENATE(B211,"_","TR",$B$3,C211,"_",$B$7,"_",G211),AND(D211="DJ",C211="AT"),CONCATENATE(B211,"_","TR",$B$3,C211,"_",$B$4,"_",G211),AND(D211="DJ",C211="BT"),CONCATENATE(B211,"_","TR",$B$3,C211,"_",$B$8,"_",G211),AND(C211="TR",D211="TR"),CONCATENATE(B211,"_","TR",$B$3,"_","TR",$B$3,"_",G211),AND(D211="SECT",C211="BT"),CONCATENATE(B211,"_","TR",$B$3,C211,"_",$B$11,"_",G211),AND(D211="SECF",C211="BT"),CONCATENATE(B211,"_","TR",$B$3,C211,"_",$B$10,"_",G211),AND(D211="SECC",C211="AT"),CONCATENATE(B211,"_","TR",$B$3,C211,"_",$B$5,"_",G211),AND(C211="AT",D211="TR_A"),CONCATENATE(B211,"_","TR",$B$3,C211,"_","TR",$B$3,C211,"_A","_",G211),AND(C211="AT",D211="TR_P"),CONCATENATE(B211,"_","TR",$B$3,C211,"_","TR",$B$3,C211,"_P","_",G211),AND(C211="BT",D211="TR_A"),CONCATENATE(B211,"_","TR",$B$3,C211,"_","TR",$B$3,C211,"_A","_",G211),AND(C211="BT",D211="TR_P"),CONCATENATE(B211,"_","TR",$B$3,C211,"_","TR",$B$3,C211,"_P","_",G211),AND(C211="TR",D211="TR_P"),CONCATENATE(B211,"_","TR",$B$3,"_","TR",$B$3,"_P","_",G211),AND(C211="TR",D211="TR_A"),CONCATENATE(B211,"_","TR",$B$3,"_","TR",$B$3,"_A","_",G211))</f>
        <v>IMA_TR6_TR6_CDMT</v>
      </c>
      <c r="I211" s="6"/>
      <c r="J211" s="6" t="s">
        <v>182</v>
      </c>
      <c r="K211" s="6" t="s">
        <v>179</v>
      </c>
      <c r="L211" s="6" t="s">
        <v>188</v>
      </c>
      <c r="M211" s="6" t="s">
        <v>188</v>
      </c>
      <c r="N211" s="95">
        <f t="shared" si="5"/>
        <v>975</v>
      </c>
    </row>
    <row r="212" spans="1:14" x14ac:dyDescent="0.25">
      <c r="A212" s="95" t="s">
        <v>190</v>
      </c>
      <c r="B212" s="95" t="str">
        <f>Informações!$C$3</f>
        <v>IMA</v>
      </c>
      <c r="C212" s="95" t="s">
        <v>102</v>
      </c>
      <c r="D212" s="95" t="s">
        <v>102</v>
      </c>
      <c r="E212" s="2" t="s">
        <v>25</v>
      </c>
      <c r="F212" s="95" t="str">
        <f>VLOOKUP(G212,[1]Discrete!$A:$B,2,FALSE)</f>
        <v>TRIP EXTERNO</v>
      </c>
      <c r="G212" s="6" t="s">
        <v>718</v>
      </c>
      <c r="H212" s="6" t="str" cm="1">
        <f t="array" ref="H212">_xlfn.IFS(OR(D212="TC",D212="TP",AND(D212="TR",C212="AT"),AND(D212="TR",C212="BT")),CONCATENATE(B212,"_","TR",$B$3,C212,"_","TR",$B$3,C212,"_",G212),AND(D212="SECC",C212="BT"),CONCATENATE(B212,"_","TR",$B$3,C212,"_",$B$9,"_",G212),AND(D212="SECF",C212="AT"),CONCATENATE(B212,"_","TR",$B$3,C212,"_",$B$6,"_",G212),AND(D212="SECT",C212="AT"),CONCATENATE(B212,"_","TR",$B$3,C212,"_",$B$7,"_",G212),AND(D212="DJ",C212="AT"),CONCATENATE(B212,"_","TR",$B$3,C212,"_",$B$4,"_",G212),AND(D212="DJ",C212="BT"),CONCATENATE(B212,"_","TR",$B$3,C212,"_",$B$8,"_",G212),AND(C212="TR",D212="TR"),CONCATENATE(B212,"_","TR",$B$3,"_","TR",$B$3,"_",G212),AND(D212="SECT",C212="BT"),CONCATENATE(B212,"_","TR",$B$3,C212,"_",$B$11,"_",G212),AND(D212="SECF",C212="BT"),CONCATENATE(B212,"_","TR",$B$3,C212,"_",$B$10,"_",G212),AND(D212="SECC",C212="AT"),CONCATENATE(B212,"_","TR",$B$3,C212,"_",$B$5,"_",G212),AND(C212="AT",D212="TR_A"),CONCATENATE(B212,"_","TR",$B$3,C212,"_","TR",$B$3,C212,"_A","_",G212),AND(C212="AT",D212="TR_P"),CONCATENATE(B212,"_","TR",$B$3,C212,"_","TR",$B$3,C212,"_P","_",G212),AND(C212="BT",D212="TR_A"),CONCATENATE(B212,"_","TR",$B$3,C212,"_","TR",$B$3,C212,"_A","_",G212),AND(C212="BT",D212="TR_P"),CONCATENATE(B212,"_","TR",$B$3,C212,"_","TR",$B$3,C212,"_P","_",G212),AND(C212="TR",D212="TR_P"),CONCATENATE(B212,"_","TR",$B$3,"_","TR",$B$3,"_P","_",G212),AND(C212="TR",D212="TR_A"),CONCATENATE(B212,"_","TR",$B$3,"_","TR",$B$3,"_A","_",G212))</f>
        <v>IMA_TR6_TR6_TEXT</v>
      </c>
      <c r="I212" s="6"/>
      <c r="J212" s="6" t="s">
        <v>182</v>
      </c>
      <c r="K212" s="6" t="s">
        <v>179</v>
      </c>
      <c r="L212" s="6" t="s">
        <v>188</v>
      </c>
      <c r="M212" s="6" t="s">
        <v>188</v>
      </c>
      <c r="N212" s="95">
        <f t="shared" si="5"/>
        <v>976</v>
      </c>
    </row>
    <row r="214" spans="1:14" x14ac:dyDescent="0.25">
      <c r="A214" s="108" t="s">
        <v>215</v>
      </c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</row>
    <row r="215" spans="1:14" ht="60" x14ac:dyDescent="0.25">
      <c r="A215" s="3" t="s">
        <v>189</v>
      </c>
      <c r="B215" s="3" t="s">
        <v>1</v>
      </c>
      <c r="C215" s="3" t="s">
        <v>83</v>
      </c>
      <c r="D215" s="3" t="s">
        <v>26</v>
      </c>
      <c r="E215" s="3" t="s">
        <v>7</v>
      </c>
      <c r="F215" s="3" t="s">
        <v>84</v>
      </c>
      <c r="G215" s="3" t="s">
        <v>85</v>
      </c>
      <c r="H215" s="3" t="s">
        <v>86</v>
      </c>
      <c r="I215" s="3" t="s">
        <v>254</v>
      </c>
      <c r="J215" s="3" t="s">
        <v>177</v>
      </c>
      <c r="K215" s="3" t="s">
        <v>178</v>
      </c>
      <c r="L215" s="3" t="s">
        <v>260</v>
      </c>
      <c r="M215" s="3" t="s">
        <v>266</v>
      </c>
      <c r="N215" s="3" t="s">
        <v>192</v>
      </c>
    </row>
    <row r="216" spans="1:14" x14ac:dyDescent="0.25">
      <c r="A216" s="6" t="s">
        <v>190</v>
      </c>
      <c r="B216" s="6" t="str">
        <f>Informações!$C$3</f>
        <v>IMA</v>
      </c>
      <c r="C216" s="6" t="s">
        <v>102</v>
      </c>
      <c r="D216" s="6" t="s">
        <v>212</v>
      </c>
      <c r="E216" s="2" t="s">
        <v>25</v>
      </c>
      <c r="F216" s="6" t="s">
        <v>238</v>
      </c>
      <c r="G216" s="6" t="s">
        <v>239</v>
      </c>
      <c r="H216" s="6" t="str" cm="1">
        <f t="array" ref="H216">_xlfn.IFS(OR(D216="TC",D216="TP",AND(D216="TR",C216="AT"),AND(D216="TR",C216="BT")),CONCATENATE(B216,"_","TR",$B$3,C216,"_","TR",$B$3,C216,"_",G216),AND(D216="SECC",C216="BT"),CONCATENATE(B216,"_","TR",$B$3,C216,"_",$B$9,"_",G216),AND(D216="SECF",C216="AT"),CONCATENATE(B216,"_","TR",$B$3,C216,"_",$B$6,"_",G216),AND(D216="SECT",C216="AT"),CONCATENATE(B216,"_","TR",$B$3,C216,"_",$B$7,"_",G216),AND(D216="DJ",C216="AT"),CONCATENATE(B216,"_","TR",$B$3,C216,"_",$B$4,"_",G216),AND(D216="DJ",C216="BT"),CONCATENATE(B216,"_","TR",$B$3,C216,"_",$B$8,"_",G216),AND(C216="TR",D216="TR"),CONCATENATE(B216,"_","TR",$B$3,"_","TR",$B$3,"_",G216),AND(D216="SECT",C216="BT"),CONCATENATE(B216,"_","TR",$B$3,C216,"_",$B$11,"_",G216),AND(D216="SECF",C216="BT"),CONCATENATE(B216,"_","TR",$B$3,C216,"_",$B$10,"_",G216),AND(D216="SECC",C216="AT"),CONCATENATE(B216,"_","TR",$B$3,C216,"_",$B$5,"_",G216),AND(C216="AT",D216="TR_A"),CONCATENATE(B216,"_","TR",$B$3,C216,"_","TR",$B$3,C216,"_A","_",G216),AND(C216="AT",D216="TR_P"),CONCATENATE(B216,"_","TR",$B$3,C216,"_","TR",$B$3,C216,"_P","_",G216),AND(C216="BT",D216="TR_A"),CONCATENATE(B216,"_","TR",$B$3,C216,"_","TR",$B$3,C216,"_A","_",G216),AND(C216="BT",D216="TR_P"),CONCATENATE(B216,"_","TR",$B$3,C216,"_","TR",$B$3,C216,"_P","_",G216),AND(C216="TR",D216="TR_P"),CONCATENATE(B216,"_","TR",$B$3,"_","TR",$B$3,"_P","_",G216),AND(C216="TR",D216="TR_A"),CONCATENATE(B216,"_","TR",$B$3,"_","TR",$B$3,"_A","_",G216))</f>
        <v>IMA_TR6_TR6_P_FGOO</v>
      </c>
      <c r="I216" s="6"/>
      <c r="J216" s="6" t="s">
        <v>182</v>
      </c>
      <c r="K216" s="6" t="s">
        <v>180</v>
      </c>
      <c r="L216" s="6" t="s">
        <v>188</v>
      </c>
      <c r="M216" s="6" t="s">
        <v>188</v>
      </c>
      <c r="N216" s="6">
        <f>N172+1</f>
        <v>266</v>
      </c>
    </row>
    <row r="217" spans="1:14" x14ac:dyDescent="0.25">
      <c r="A217" s="6" t="s">
        <v>190</v>
      </c>
      <c r="B217" s="6" t="str">
        <f>Informações!$C$3</f>
        <v>IMA</v>
      </c>
      <c r="C217" s="6" t="s">
        <v>102</v>
      </c>
      <c r="D217" s="6" t="s">
        <v>211</v>
      </c>
      <c r="E217" s="2" t="s">
        <v>25</v>
      </c>
      <c r="F217" s="6" t="s">
        <v>238</v>
      </c>
      <c r="G217" s="6" t="s">
        <v>239</v>
      </c>
      <c r="H217" s="6" t="str" cm="1">
        <f t="array" ref="H217">_xlfn.IFS(OR(D217="TC",D217="TP",AND(D217="TR",C217="AT"),AND(D217="TR",C217="BT")),CONCATENATE(B217,"_","TR",$B$3,C217,"_","TR",$B$3,C217,"_",G217),AND(D217="SECC",C217="BT"),CONCATENATE(B217,"_","TR",$B$3,C217,"_",$B$9,"_",G217),AND(D217="SECF",C217="AT"),CONCATENATE(B217,"_","TR",$B$3,C217,"_",$B$6,"_",G217),AND(D217="SECT",C217="AT"),CONCATENATE(B217,"_","TR",$B$3,C217,"_",$B$7,"_",G217),AND(D217="DJ",C217="AT"),CONCATENATE(B217,"_","TR",$B$3,C217,"_",$B$4,"_",G217),AND(D217="DJ",C217="BT"),CONCATENATE(B217,"_","TR",$B$3,C217,"_",$B$8,"_",G217),AND(C217="TR",D217="TR"),CONCATENATE(B217,"_","TR",$B$3,"_","TR",$B$3,"_",G217),AND(D217="SECT",C217="BT"),CONCATENATE(B217,"_","TR",$B$3,C217,"_",$B$11,"_",G217),AND(D217="SECF",C217="BT"),CONCATENATE(B217,"_","TR",$B$3,C217,"_",$B$10,"_",G217),AND(D217="SECC",C217="AT"),CONCATENATE(B217,"_","TR",$B$3,C217,"_",$B$5,"_",G217),AND(C217="AT",D217="TR_A"),CONCATENATE(B217,"_","TR",$B$3,C217,"_","TR",$B$3,C217,"_A","_",G217),AND(C217="AT",D217="TR_P"),CONCATENATE(B217,"_","TR",$B$3,C217,"_","TR",$B$3,C217,"_P","_",G217),AND(C217="BT",D217="TR_A"),CONCATENATE(B217,"_","TR",$B$3,C217,"_","TR",$B$3,C217,"_A","_",G217),AND(C217="BT",D217="TR_P"),CONCATENATE(B217,"_","TR",$B$3,C217,"_","TR",$B$3,C217,"_P","_",G217),AND(C217="TR",D217="TR_P"),CONCATENATE(B217,"_","TR",$B$3,"_","TR",$B$3,"_P","_",G217),AND(C217="TR",D217="TR_A"),CONCATENATE(B217,"_","TR",$B$3,"_","TR",$B$3,"_A","_",G217))</f>
        <v>IMA_TR6_TR6_A_FGOO</v>
      </c>
      <c r="I217" s="6"/>
      <c r="J217" s="6" t="s">
        <v>182</v>
      </c>
      <c r="K217" s="6" t="s">
        <v>180</v>
      </c>
      <c r="L217" s="6" t="s">
        <v>188</v>
      </c>
      <c r="M217" s="6" t="s">
        <v>188</v>
      </c>
      <c r="N217" s="6">
        <f>N216+1</f>
        <v>267</v>
      </c>
    </row>
    <row r="219" spans="1:14" x14ac:dyDescent="0.25">
      <c r="A219" s="116" t="s">
        <v>214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8"/>
    </row>
    <row r="220" spans="1:14" ht="60" x14ac:dyDescent="0.25">
      <c r="A220" s="3" t="s">
        <v>189</v>
      </c>
      <c r="B220" s="3" t="s">
        <v>1</v>
      </c>
      <c r="C220" s="3" t="s">
        <v>83</v>
      </c>
      <c r="D220" s="3" t="s">
        <v>26</v>
      </c>
      <c r="E220" s="3" t="s">
        <v>7</v>
      </c>
      <c r="F220" s="3" t="s">
        <v>84</v>
      </c>
      <c r="G220" s="3" t="s">
        <v>85</v>
      </c>
      <c r="H220" s="3" t="s">
        <v>86</v>
      </c>
      <c r="I220" s="3" t="s">
        <v>254</v>
      </c>
      <c r="J220" s="3" t="s">
        <v>177</v>
      </c>
      <c r="K220" s="3" t="s">
        <v>178</v>
      </c>
      <c r="L220" s="3" t="s">
        <v>260</v>
      </c>
      <c r="M220" s="3" t="s">
        <v>266</v>
      </c>
      <c r="N220" s="3" t="s">
        <v>192</v>
      </c>
    </row>
    <row r="221" spans="1:14" x14ac:dyDescent="0.25">
      <c r="A221" s="6" t="s">
        <v>190</v>
      </c>
      <c r="B221" s="6" t="str">
        <f>Informações!$C$3</f>
        <v>IMA</v>
      </c>
      <c r="C221" s="6" t="s">
        <v>102</v>
      </c>
      <c r="D221" s="6" t="s">
        <v>102</v>
      </c>
      <c r="E221" s="2" t="s">
        <v>24</v>
      </c>
      <c r="F221" s="6" t="s">
        <v>220</v>
      </c>
      <c r="G221" s="6" t="s">
        <v>195</v>
      </c>
      <c r="H221" s="6" t="str" cm="1">
        <f t="array" ref="H221">_xlfn.IFS(OR(D221="TC",D221="TP",AND(D221="TR",C221="AT"),AND(D221="TR",C221="BT")),CONCATENATE(B221,"_","TR",$B$3,C221,"_","TR",$B$3,C221,"_",G221),AND(D221="SECC",C221="BT"),CONCATENATE(B221,"_","TR",$B$3,C221,"_",$B$9,"_",G221),AND(D221="SECF",C221="AT"),CONCATENATE(B221,"_","TR",$B$3,C221,"_",$B$6,"_",G221),AND(D221="SECT",C221="AT"),CONCATENATE(B221,"_","TR",$B$3,C221,"_",$B$7,"_",G221),AND(D221="DJ",C221="AT"),CONCATENATE(B221,"_","TR",$B$3,C221,"_",$B$4,"_",G221),AND(D221="DJ",C221="BT"),CONCATENATE(B221,"_","TR",$B$3,C221,"_",$B$8,"_",G221),AND(C221="TR",D221="TR"),CONCATENATE(B221,"_","TR",$B$3,"_","TR",$B$3,"_",G221),AND(D221="SECT",C221="BT"),CONCATENATE(B221,"_","TR",$B$3,C221,"_",$B$11,"_",G221),AND(D221="SECF",C221="BT"),CONCATENATE(B221,"_","TR",$B$3,C221,"_",$B$10,"_",G221),AND(D221="SECC",C221="AT"),CONCATENATE(B221,"_","TR",$B$3,C221,"_",$B$5,"_",G221),AND(C221="AT",D221="TR_A"),CONCATENATE(B221,"_","TR",$B$3,C221,"_","TR",$B$3,C221,"_A","_",G221),AND(C221="AT",D221="TR_P"),CONCATENATE(B221,"_","TR",$B$3,C221,"_","TR",$B$3,C221,"_P","_",G221),AND(C221="BT",D221="TR_A"),CONCATENATE(B221,"_","TR",$B$3,C221,"_","TR",$B$3,C221,"_A","_",G221),AND(C221="BT",D221="TR_P"),CONCATENATE(B221,"_","TR",$B$3,C221,"_","TR",$B$3,C221,"_P","_",G221),AND(C221="TR",D221="TR_P"),CONCATENATE(B221,"_","TR",$B$3,"_","TR",$B$3,"_P","_",G221),AND(C221="TR",D221="TR_A"),CONCATENATE(B221,"_","TR",$B$3,"_","TR",$B$3,"_A","_",G221))</f>
        <v>IMA_TR6_TR6_TCT</v>
      </c>
      <c r="I221" s="6" t="s">
        <v>188</v>
      </c>
      <c r="J221" s="6" t="s">
        <v>188</v>
      </c>
      <c r="K221" s="6" t="s">
        <v>188</v>
      </c>
      <c r="L221" s="6" t="s">
        <v>188</v>
      </c>
      <c r="M221" s="6"/>
      <c r="N221" s="6" t="str">
        <f>VALUE(LEFT('LT 3'!N116, FIND(";",'LT 3'!N116)-1)) + 1 &amp; ";" &amp; VALUE(LEFT('LT 3'!N116, FIND(";",'LT 3'!N116)-1)) + 1</f>
        <v>203;203</v>
      </c>
    </row>
    <row r="222" spans="1:14" x14ac:dyDescent="0.25">
      <c r="A222" s="6" t="s">
        <v>190</v>
      </c>
      <c r="B222" s="6" t="str">
        <f>Informações!$C$3</f>
        <v>IMA</v>
      </c>
      <c r="C222" s="6" t="s">
        <v>101</v>
      </c>
      <c r="D222" s="6" t="s">
        <v>102</v>
      </c>
      <c r="E222" s="2" t="s">
        <v>24</v>
      </c>
      <c r="F222" s="6" t="s">
        <v>227</v>
      </c>
      <c r="G222" s="6" t="s">
        <v>201</v>
      </c>
      <c r="H222" s="6" t="str" cm="1">
        <f t="array" ref="H222">_xlfn.IFS(OR(D222="TC",D222="TP",AND(D222="TR",C222="AT"),AND(D222="TR",C222="BT")),CONCATENATE(B222,"_","TR",$B$3,C222,"_","TR",$B$3,C222,"_",G222),AND(D222="SECC",C222="BT"),CONCATENATE(B222,"_","TR",$B$3,C222,"_",$B$9,"_",G222),AND(D222="SECF",C222="AT"),CONCATENATE(B222,"_","TR",$B$3,C222,"_",$B$6,"_",G222),AND(D222="SECT",C222="AT"),CONCATENATE(B222,"_","TR",$B$3,C222,"_",$B$7,"_",G222),AND(D222="DJ",C222="AT"),CONCATENATE(B222,"_","TR",$B$3,C222,"_",$B$4,"_",G222),AND(D222="DJ",C222="BT"),CONCATENATE(B222,"_","TR",$B$3,C222,"_",$B$8,"_",G222),AND(C222="TR",D222="TR"),CONCATENATE(B222,"_","TR",$B$3,"_","TR",$B$3,"_",G222),AND(D222="SECT",C222="BT"),CONCATENATE(B222,"_","TR",$B$3,C222,"_",$B$11,"_",G222),AND(D222="SECF",C222="BT"),CONCATENATE(B222,"_","TR",$B$3,C222,"_",$B$10,"_",G222),AND(D222="SECC",C222="AT"),CONCATENATE(B222,"_","TR",$B$3,C222,"_",$B$5,"_",G222),AND(C222="AT",D222="TR_A"),CONCATENATE(B222,"_","TR",$B$3,C222,"_","TR",$B$3,C222,"_A","_",G222),AND(C222="AT",D222="TR_P"),CONCATENATE(B222,"_","TR",$B$3,C222,"_","TR",$B$3,C222,"_P","_",G222),AND(C222="BT",D222="TR_A"),CONCATENATE(B222,"_","TR",$B$3,C222,"_","TR",$B$3,C222,"_A","_",G222),AND(C222="BT",D222="TR_P"),CONCATENATE(B222,"_","TR",$B$3,C222,"_","TR",$B$3,C222,"_P","_",G222),AND(C222="TR",D222="TR_P"),CONCATENATE(B222,"_","TR",$B$3,"_","TR",$B$3,"_P","_",G222),AND(C222="TR",D222="TR_A"),CONCATENATE(B222,"_","TR",$B$3,"_","TR",$B$3,"_A","_",G222))</f>
        <v>IMA_TR6BT_TR6BT_81A</v>
      </c>
      <c r="I222" s="6" t="s">
        <v>188</v>
      </c>
      <c r="J222" s="6" t="s">
        <v>188</v>
      </c>
      <c r="K222" s="6" t="s">
        <v>188</v>
      </c>
      <c r="L222" s="6" t="s">
        <v>188</v>
      </c>
      <c r="M222" s="6"/>
      <c r="N222" s="6" t="str">
        <f>VALUE(LEFT(N221, FIND(";",N221)-1)) + 1 &amp; ";" &amp; VALUE(LEFT(N221, FIND(";",N221)-1)) + 1</f>
        <v>204;204</v>
      </c>
    </row>
    <row r="223" spans="1:14" x14ac:dyDescent="0.25">
      <c r="A223" s="6" t="s">
        <v>190</v>
      </c>
      <c r="B223" s="6" t="str">
        <f>Informações!$C$3</f>
        <v>IMA</v>
      </c>
      <c r="C223" s="6" t="s">
        <v>102</v>
      </c>
      <c r="D223" s="6" t="s">
        <v>102</v>
      </c>
      <c r="E223" s="2" t="s">
        <v>25</v>
      </c>
      <c r="F223" s="6" t="s">
        <v>220</v>
      </c>
      <c r="G223" s="6" t="s">
        <v>195</v>
      </c>
      <c r="H223" s="6" t="str" cm="1">
        <f t="array" ref="H223">_xlfn.IFS(OR(D223="TC",D223="TP",AND(D223="TR",C223="AT"),AND(D223="TR",C223="BT")),CONCATENATE(B223,"_","TR",$B$3,C223,"_","TR",$B$3,C223,"_",G223),AND(D223="SECC",C223="BT"),CONCATENATE(B223,"_","TR",$B$3,C223,"_",$B$9,"_",G223),AND(D223="SECF",C223="AT"),CONCATENATE(B223,"_","TR",$B$3,C223,"_",$B$6,"_",G223),AND(D223="SECT",C223="AT"),CONCATENATE(B223,"_","TR",$B$3,C223,"_",$B$7,"_",G223),AND(D223="DJ",C223="AT"),CONCATENATE(B223,"_","TR",$B$3,C223,"_",$B$4,"_",G223),AND(D223="DJ",C223="BT"),CONCATENATE(B223,"_","TR",$B$3,C223,"_",$B$8,"_",G223),AND(C223="TR",D223="TR"),CONCATENATE(B223,"_","TR",$B$3,"_","TR",$B$3,"_",G223),AND(D223="SECT",C223="BT"),CONCATENATE(B223,"_","TR",$B$3,C223,"_",$B$11,"_",G223),AND(D223="SECF",C223="BT"),CONCATENATE(B223,"_","TR",$B$3,C223,"_",$B$10,"_",G223),AND(D223="SECC",C223="AT"),CONCATENATE(B223,"_","TR",$B$3,C223,"_",$B$5,"_",G223),AND(C223="AT",D223="TR_A"),CONCATENATE(B223,"_","TR",$B$3,C223,"_","TR",$B$3,C223,"_A","_",G223),AND(C223="AT",D223="TR_P"),CONCATENATE(B223,"_","TR",$B$3,C223,"_","TR",$B$3,C223,"_P","_",G223),AND(C223="BT",D223="TR_A"),CONCATENATE(B223,"_","TR",$B$3,C223,"_","TR",$B$3,C223,"_A","_",G223),AND(C223="BT",D223="TR_P"),CONCATENATE(B223,"_","TR",$B$3,C223,"_","TR",$B$3,C223,"_P","_",G223),AND(C223="TR",D223="TR_P"),CONCATENATE(B223,"_","TR",$B$3,"_","TR",$B$3,"_P","_",G223),AND(C223="TR",D223="TR_A"),CONCATENATE(B223,"_","TR",$B$3,"_","TR",$B$3,"_A","_",G223))</f>
        <v>IMA_TR6_TR6_TCT</v>
      </c>
      <c r="I223" s="6"/>
      <c r="J223" s="6" t="s">
        <v>183</v>
      </c>
      <c r="K223" s="6" t="s">
        <v>184</v>
      </c>
      <c r="L223" s="6" t="s">
        <v>188</v>
      </c>
      <c r="M223" s="6" t="s">
        <v>188</v>
      </c>
      <c r="N223" s="6">
        <f>'LT 3'!N123+1</f>
        <v>927</v>
      </c>
    </row>
    <row r="224" spans="1:14" x14ac:dyDescent="0.25">
      <c r="A224" s="6" t="s">
        <v>190</v>
      </c>
      <c r="B224" s="6" t="str">
        <f>Informações!$C$3</f>
        <v>IMA</v>
      </c>
      <c r="C224" s="6" t="s">
        <v>102</v>
      </c>
      <c r="D224" s="6" t="s">
        <v>102</v>
      </c>
      <c r="E224" s="2" t="s">
        <v>25</v>
      </c>
      <c r="F224" s="6" t="s">
        <v>221</v>
      </c>
      <c r="G224" s="6" t="s">
        <v>193</v>
      </c>
      <c r="H224" s="6" t="str" cm="1">
        <f t="array" ref="H224">_xlfn.IFS(OR(D224="TC",D224="TP",AND(D224="TR",C224="AT"),AND(D224="TR",C224="BT")),CONCATENATE(B224,"_","TR",$B$3,C224,"_","TR",$B$3,C224,"_",G224),AND(D224="SECC",C224="BT"),CONCATENATE(B224,"_","TR",$B$3,C224,"_",$B$9,"_",G224),AND(D224="SECF",C224="AT"),CONCATENATE(B224,"_","TR",$B$3,C224,"_",$B$6,"_",G224),AND(D224="SECT",C224="AT"),CONCATENATE(B224,"_","TR",$B$3,C224,"_",$B$7,"_",G224),AND(D224="DJ",C224="AT"),CONCATENATE(B224,"_","TR",$B$3,C224,"_",$B$4,"_",G224),AND(D224="DJ",C224="BT"),CONCATENATE(B224,"_","TR",$B$3,C224,"_",$B$8,"_",G224),AND(C224="TR",D224="TR"),CONCATENATE(B224,"_","TR",$B$3,"_","TR",$B$3,"_",G224),AND(D224="SECT",C224="BT"),CONCATENATE(B224,"_","TR",$B$3,C224,"_",$B$11,"_",G224),AND(D224="SECF",C224="BT"),CONCATENATE(B224,"_","TR",$B$3,C224,"_",$B$10,"_",G224),AND(D224="SECC",C224="AT"),CONCATENATE(B224,"_","TR",$B$3,C224,"_",$B$5,"_",G224),AND(C224="AT",D224="TR_A"),CONCATENATE(B224,"_","TR",$B$3,C224,"_","TR",$B$3,C224,"_A","_",G224),AND(C224="AT",D224="TR_P"),CONCATENATE(B224,"_","TR",$B$3,C224,"_","TR",$B$3,C224,"_P","_",G224),AND(C224="BT",D224="TR_A"),CONCATENATE(B224,"_","TR",$B$3,C224,"_","TR",$B$3,C224,"_A","_",G224),AND(C224="BT",D224="TR_P"),CONCATENATE(B224,"_","TR",$B$3,C224,"_","TR",$B$3,C224,"_P","_",G224),AND(C224="TR",D224="TR_P"),CONCATENATE(B224,"_","TR",$B$3,"_","TR",$B$3,"_P","_",G224),AND(C224="TR",D224="TR_A"),CONCATENATE(B224,"_","TR",$B$3,"_","TR",$B$3,"_A","_",G224))</f>
        <v>IMA_TR6_TR6_TCTI</v>
      </c>
      <c r="I224" s="6"/>
      <c r="J224" s="6" t="s">
        <v>182</v>
      </c>
      <c r="K224" s="6" t="s">
        <v>179</v>
      </c>
      <c r="L224" s="6" t="s">
        <v>188</v>
      </c>
      <c r="M224" s="6" t="s">
        <v>188</v>
      </c>
      <c r="N224" s="6">
        <f>N223+1</f>
        <v>928</v>
      </c>
    </row>
    <row r="225" spans="1:14" x14ac:dyDescent="0.25">
      <c r="A225" s="6" t="s">
        <v>190</v>
      </c>
      <c r="B225" s="6" t="str">
        <f>Informações!$C$3</f>
        <v>IMA</v>
      </c>
      <c r="C225" s="6" t="s">
        <v>102</v>
      </c>
      <c r="D225" s="6" t="s">
        <v>102</v>
      </c>
      <c r="E225" s="2" t="s">
        <v>25</v>
      </c>
      <c r="F225" s="6" t="s">
        <v>222</v>
      </c>
      <c r="G225" s="6" t="s">
        <v>236</v>
      </c>
      <c r="H225" s="6" t="str" cm="1">
        <f t="array" ref="H225">_xlfn.IFS(OR(D225="TC",D225="TP",AND(D225="TR",C225="AT"),AND(D225="TR",C225="BT")),CONCATENATE(B225,"_","TR",$B$3,C225,"_","TR",$B$3,C225,"_",G225),AND(D225="SECC",C225="BT"),CONCATENATE(B225,"_","TR",$B$3,C225,"_",$B$9,"_",G225),AND(D225="SECF",C225="AT"),CONCATENATE(B225,"_","TR",$B$3,C225,"_",$B$6,"_",G225),AND(D225="SECT",C225="AT"),CONCATENATE(B225,"_","TR",$B$3,C225,"_",$B$7,"_",G225),AND(D225="DJ",C225="AT"),CONCATENATE(B225,"_","TR",$B$3,C225,"_",$B$4,"_",G225),AND(D225="DJ",C225="BT"),CONCATENATE(B225,"_","TR",$B$3,C225,"_",$B$8,"_",G225),AND(C225="TR",D225="TR"),CONCATENATE(B225,"_","TR",$B$3,"_","TR",$B$3,"_",G225),AND(D225="SECT",C225="BT"),CONCATENATE(B225,"_","TR",$B$3,C225,"_",$B$11,"_",G225),AND(D225="SECF",C225="BT"),CONCATENATE(B225,"_","TR",$B$3,C225,"_",$B$10,"_",G225),AND(D225="SECC",C225="AT"),CONCATENATE(B225,"_","TR",$B$3,C225,"_",$B$5,"_",G225),AND(C225="AT",D225="TR_A"),CONCATENATE(B225,"_","TR",$B$3,C225,"_","TR",$B$3,C225,"_A","_",G225),AND(C225="AT",D225="TR_P"),CONCATENATE(B225,"_","TR",$B$3,C225,"_","TR",$B$3,C225,"_P","_",G225),AND(C225="BT",D225="TR_A"),CONCATENATE(B225,"_","TR",$B$3,C225,"_","TR",$B$3,C225,"_A","_",G225),AND(C225="BT",D225="TR_P"),CONCATENATE(B225,"_","TR",$B$3,C225,"_","TR",$B$3,C225,"_P","_",G225),AND(C225="TR",D225="TR_P"),CONCATENATE(B225,"_","TR",$B$3,"_","TR",$B$3,"_P","_",G225),AND(C225="TR",D225="TR_A"),CONCATENATE(B225,"_","TR",$B$3,"_","TR",$B$3,"_A","_",G225))</f>
        <v>IMA_TR6_TR6_TCTS</v>
      </c>
      <c r="I225" s="6"/>
      <c r="J225" s="6" t="s">
        <v>182</v>
      </c>
      <c r="K225" s="6" t="s">
        <v>179</v>
      </c>
      <c r="L225" s="6" t="s">
        <v>188</v>
      </c>
      <c r="M225" s="6" t="s">
        <v>188</v>
      </c>
      <c r="N225" s="6">
        <f t="shared" ref="N225:N230" si="6">N224+1</f>
        <v>929</v>
      </c>
    </row>
    <row r="226" spans="1:14" x14ac:dyDescent="0.25">
      <c r="A226" s="6" t="s">
        <v>190</v>
      </c>
      <c r="B226" s="6" t="str">
        <f>Informações!$C$3</f>
        <v>IMA</v>
      </c>
      <c r="C226" s="6" t="s">
        <v>102</v>
      </c>
      <c r="D226" s="6" t="s">
        <v>102</v>
      </c>
      <c r="E226" s="2" t="s">
        <v>25</v>
      </c>
      <c r="F226" s="6" t="s">
        <v>223</v>
      </c>
      <c r="G226" s="6" t="s">
        <v>194</v>
      </c>
      <c r="H226" s="6" t="str" cm="1">
        <f t="array" ref="H226">_xlfn.IFS(OR(D226="TC",D226="TP",AND(D226="TR",C226="AT"),AND(D226="TR",C226="BT")),CONCATENATE(B226,"_","TR",$B$3,C226,"_","TR",$B$3,C226,"_",G226),AND(D226="SECC",C226="BT"),CONCATENATE(B226,"_","TR",$B$3,C226,"_",$B$9,"_",G226),AND(D226="SECF",C226="AT"),CONCATENATE(B226,"_","TR",$B$3,C226,"_",$B$6,"_",G226),AND(D226="SECT",C226="AT"),CONCATENATE(B226,"_","TR",$B$3,C226,"_",$B$7,"_",G226),AND(D226="DJ",C226="AT"),CONCATENATE(B226,"_","TR",$B$3,C226,"_",$B$4,"_",G226),AND(D226="DJ",C226="BT"),CONCATENATE(B226,"_","TR",$B$3,C226,"_",$B$8,"_",G226),AND(C226="TR",D226="TR"),CONCATENATE(B226,"_","TR",$B$3,"_","TR",$B$3,"_",G226),AND(D226="SECT",C226="BT"),CONCATENATE(B226,"_","TR",$B$3,C226,"_",$B$11,"_",G226),AND(D226="SECF",C226="BT"),CONCATENATE(B226,"_","TR",$B$3,C226,"_",$B$10,"_",G226),AND(D226="SECC",C226="AT"),CONCATENATE(B226,"_","TR",$B$3,C226,"_",$B$5,"_",G226),AND(C226="AT",D226="TR_A"),CONCATENATE(B226,"_","TR",$B$3,C226,"_","TR",$B$3,C226,"_A","_",G226),AND(C226="AT",D226="TR_P"),CONCATENATE(B226,"_","TR",$B$3,C226,"_","TR",$B$3,C226,"_P","_",G226),AND(C226="BT",D226="TR_A"),CONCATENATE(B226,"_","TR",$B$3,C226,"_","TR",$B$3,C226,"_A","_",G226),AND(C226="BT",D226="TR_P"),CONCATENATE(B226,"_","TR",$B$3,C226,"_","TR",$B$3,C226,"_P","_",G226),AND(C226="TR",D226="TR_P"),CONCATENATE(B226,"_","TR",$B$3,"_","TR",$B$3,"_P","_",G226),AND(C226="TR",D226="TR_A"),CONCATENATE(B226,"_","TR",$B$3,"_","TR",$B$3,"_A","_",G226))</f>
        <v>IMA_TR6_TR6_TCTF</v>
      </c>
      <c r="I226" s="6"/>
      <c r="J226" s="6" t="s">
        <v>182</v>
      </c>
      <c r="K226" s="6" t="s">
        <v>180</v>
      </c>
      <c r="L226" s="6" t="s">
        <v>188</v>
      </c>
      <c r="M226" s="6" t="s">
        <v>188</v>
      </c>
      <c r="N226" s="6">
        <f t="shared" si="6"/>
        <v>930</v>
      </c>
    </row>
    <row r="227" spans="1:14" x14ac:dyDescent="0.25">
      <c r="A227" s="6" t="s">
        <v>190</v>
      </c>
      <c r="B227" s="6" t="str">
        <f>Informações!$C$3</f>
        <v>IMA</v>
      </c>
      <c r="C227" s="6" t="s">
        <v>101</v>
      </c>
      <c r="D227" s="6" t="s">
        <v>102</v>
      </c>
      <c r="E227" s="2" t="s">
        <v>25</v>
      </c>
      <c r="F227" s="6" t="s">
        <v>226</v>
      </c>
      <c r="G227" s="6" t="s">
        <v>199</v>
      </c>
      <c r="H227" s="6" t="str" cm="1">
        <f t="array" ref="H227">_xlfn.IFS(OR(D227="TC",D227="TP",AND(D227="TR",C227="AT"),AND(D227="TR",C227="BT")),CONCATENATE(B227,"_","TR",$B$3,C227,"_","TR",$B$3,C227,"_",G227),AND(D227="SECC",C227="BT"),CONCATENATE(B227,"_","TR",$B$3,C227,"_",$B$9,"_",G227),AND(D227="SECF",C227="AT"),CONCATENATE(B227,"_","TR",$B$3,C227,"_",$B$6,"_",G227),AND(D227="SECT",C227="AT"),CONCATENATE(B227,"_","TR",$B$3,C227,"_",$B$7,"_",G227),AND(D227="DJ",C227="AT"),CONCATENATE(B227,"_","TR",$B$3,C227,"_",$B$4,"_",G227),AND(D227="DJ",C227="BT"),CONCATENATE(B227,"_","TR",$B$3,C227,"_",$B$8,"_",G227),AND(C227="TR",D227="TR"),CONCATENATE(B227,"_","TR",$B$3,"_","TR",$B$3,"_",G227),AND(D227="SECT",C227="BT"),CONCATENATE(B227,"_","TR",$B$3,C227,"_",$B$11,"_",G227),AND(D227="SECF",C227="BT"),CONCATENATE(B227,"_","TR",$B$3,C227,"_",$B$10,"_",G227),AND(D227="SECC",C227="AT"),CONCATENATE(B227,"_","TR",$B$3,C227,"_",$B$5,"_",G227),AND(C227="AT",D227="TR_A"),CONCATENATE(B227,"_","TR",$B$3,C227,"_","TR",$B$3,C227,"_A","_",G227),AND(C227="AT",D227="TR_P"),CONCATENATE(B227,"_","TR",$B$3,C227,"_","TR",$B$3,C227,"_P","_",G227),AND(C227="BT",D227="TR_A"),CONCATENATE(B227,"_","TR",$B$3,C227,"_","TR",$B$3,C227,"_A","_",G227),AND(C227="BT",D227="TR_P"),CONCATENATE(B227,"_","TR",$B$3,C227,"_","TR",$B$3,C227,"_P","_",G227),AND(C227="TR",D227="TR_P"),CONCATENATE(B227,"_","TR",$B$3,"_","TR",$B$3,"_P","_",G227),AND(C227="TR",D227="TR_A"),CONCATENATE(B227,"_","TR",$B$3,"_","TR",$B$3,"_A","_",G227))</f>
        <v>IMA_TR6BT_TR6BT_81P</v>
      </c>
      <c r="I227" s="6"/>
      <c r="J227" s="6" t="s">
        <v>182</v>
      </c>
      <c r="K227" s="6" t="s">
        <v>179</v>
      </c>
      <c r="L227" s="6" t="s">
        <v>188</v>
      </c>
      <c r="M227" s="6" t="s">
        <v>188</v>
      </c>
      <c r="N227" s="6">
        <f t="shared" si="6"/>
        <v>931</v>
      </c>
    </row>
    <row r="228" spans="1:14" x14ac:dyDescent="0.25">
      <c r="A228" s="6" t="s">
        <v>190</v>
      </c>
      <c r="B228" s="6" t="str">
        <f>Informações!$C$3</f>
        <v>IMA</v>
      </c>
      <c r="C228" s="6" t="s">
        <v>101</v>
      </c>
      <c r="D228" s="6" t="s">
        <v>102</v>
      </c>
      <c r="E228" s="2" t="s">
        <v>25</v>
      </c>
      <c r="F228" s="6" t="s">
        <v>230</v>
      </c>
      <c r="G228" s="6" t="s">
        <v>200</v>
      </c>
      <c r="H228" s="6" t="str" cm="1">
        <f t="array" ref="H228">_xlfn.IFS(OR(D228="TC",D228="TP",AND(D228="TR",C228="AT"),AND(D228="TR",C228="BT")),CONCATENATE(B228,"_","TR",$B$3,C228,"_","TR",$B$3,C228,"_",G228),AND(D228="SECC",C228="BT"),CONCATENATE(B228,"_","TR",$B$3,C228,"_",$B$9,"_",G228),AND(D228="SECF",C228="AT"),CONCATENATE(B228,"_","TR",$B$3,C228,"_",$B$6,"_",G228),AND(D228="SECT",C228="AT"),CONCATENATE(B228,"_","TR",$B$3,C228,"_",$B$7,"_",G228),AND(D228="DJ",C228="AT"),CONCATENATE(B228,"_","TR",$B$3,C228,"_",$B$4,"_",G228),AND(D228="DJ",C228="BT"),CONCATENATE(B228,"_","TR",$B$3,C228,"_",$B$8,"_",G228),AND(C228="TR",D228="TR"),CONCATENATE(B228,"_","TR",$B$3,"_","TR",$B$3,"_",G228),AND(D228="SECT",C228="BT"),CONCATENATE(B228,"_","TR",$B$3,C228,"_",$B$11,"_",G228),AND(D228="SECF",C228="BT"),CONCATENATE(B228,"_","TR",$B$3,C228,"_",$B$10,"_",G228),AND(D228="SECC",C228="AT"),CONCATENATE(B228,"_","TR",$B$3,C228,"_",$B$5,"_",G228),AND(C228="AT",D228="TR_A"),CONCATENATE(B228,"_","TR",$B$3,C228,"_","TR",$B$3,C228,"_A","_",G228),AND(C228="AT",D228="TR_P"),CONCATENATE(B228,"_","TR",$B$3,C228,"_","TR",$B$3,C228,"_P","_",G228),AND(C228="BT",D228="TR_A"),CONCATENATE(B228,"_","TR",$B$3,C228,"_","TR",$B$3,C228,"_A","_",G228),AND(C228="BT",D228="TR_P"),CONCATENATE(B228,"_","TR",$B$3,C228,"_","TR",$B$3,C228,"_P","_",G228),AND(C228="TR",D228="TR_P"),CONCATENATE(B228,"_","TR",$B$3,"_","TR",$B$3,"_P","_",G228),AND(C228="TR",D228="TR_A"),CONCATENATE(B228,"_","TR",$B$3,"_","TR",$B$3,"_A","_",G228))</f>
        <v>IMA_TR6BT_TR6BT_81F</v>
      </c>
      <c r="I228" s="6"/>
      <c r="J228" s="6" t="s">
        <v>182</v>
      </c>
      <c r="K228" s="6" t="s">
        <v>180</v>
      </c>
      <c r="L228" s="6" t="s">
        <v>188</v>
      </c>
      <c r="M228" s="6" t="s">
        <v>188</v>
      </c>
      <c r="N228" s="6">
        <f t="shared" si="6"/>
        <v>932</v>
      </c>
    </row>
    <row r="229" spans="1:14" x14ac:dyDescent="0.25">
      <c r="A229" s="6" t="s">
        <v>190</v>
      </c>
      <c r="B229" s="6" t="str">
        <f>Informações!$C$3</f>
        <v>IMA</v>
      </c>
      <c r="C229" s="6" t="s">
        <v>101</v>
      </c>
      <c r="D229" s="6" t="s">
        <v>102</v>
      </c>
      <c r="E229" s="2" t="s">
        <v>25</v>
      </c>
      <c r="F229" s="6" t="s">
        <v>227</v>
      </c>
      <c r="G229" s="6" t="s">
        <v>201</v>
      </c>
      <c r="H229" s="6" t="str" cm="1">
        <f t="array" ref="H229">_xlfn.IFS(OR(D229="TC",D229="TP",AND(D229="TR",C229="AT"),AND(D229="TR",C229="BT")),CONCATENATE(B229,"_","TR",$B$3,C229,"_","TR",$B$3,C229,"_",G229),AND(D229="SECC",C229="BT"),CONCATENATE(B229,"_","TR",$B$3,C229,"_",$B$9,"_",G229),AND(D229="SECF",C229="AT"),CONCATENATE(B229,"_","TR",$B$3,C229,"_",$B$6,"_",G229),AND(D229="SECT",C229="AT"),CONCATENATE(B229,"_","TR",$B$3,C229,"_",$B$7,"_",G229),AND(D229="DJ",C229="AT"),CONCATENATE(B229,"_","TR",$B$3,C229,"_",$B$4,"_",G229),AND(D229="DJ",C229="BT"),CONCATENATE(B229,"_","TR",$B$3,C229,"_",$B$8,"_",G229),AND(C229="TR",D229="TR"),CONCATENATE(B229,"_","TR",$B$3,"_","TR",$B$3,"_",G229),AND(D229="SECT",C229="BT"),CONCATENATE(B229,"_","TR",$B$3,C229,"_",$B$11,"_",G229),AND(D229="SECF",C229="BT"),CONCATENATE(B229,"_","TR",$B$3,C229,"_",$B$10,"_",G229),AND(D229="SECC",C229="AT"),CONCATENATE(B229,"_","TR",$B$3,C229,"_",$B$5,"_",G229),AND(C229="AT",D229="TR_A"),CONCATENATE(B229,"_","TR",$B$3,C229,"_","TR",$B$3,C229,"_A","_",G229),AND(C229="AT",D229="TR_P"),CONCATENATE(B229,"_","TR",$B$3,C229,"_","TR",$B$3,C229,"_P","_",G229),AND(C229="BT",D229="TR_A"),CONCATENATE(B229,"_","TR",$B$3,C229,"_","TR",$B$3,C229,"_A","_",G229),AND(C229="BT",D229="TR_P"),CONCATENATE(B229,"_","TR",$B$3,C229,"_","TR",$B$3,C229,"_P","_",G229),AND(C229="TR",D229="TR_P"),CONCATENATE(B229,"_","TR",$B$3,"_","TR",$B$3,"_P","_",G229),AND(C229="TR",D229="TR_A"),CONCATENATE(B229,"_","TR",$B$3,"_","TR",$B$3,"_A","_",G229))</f>
        <v>IMA_TR6BT_TR6BT_81A</v>
      </c>
      <c r="I229" s="6"/>
      <c r="J229" s="6" t="s">
        <v>182</v>
      </c>
      <c r="K229" s="6" t="s">
        <v>179</v>
      </c>
      <c r="L229" s="6" t="s">
        <v>188</v>
      </c>
      <c r="M229" s="6" t="s">
        <v>188</v>
      </c>
      <c r="N229" s="6">
        <f t="shared" si="6"/>
        <v>933</v>
      </c>
    </row>
    <row r="230" spans="1:14" x14ac:dyDescent="0.25">
      <c r="A230" s="6" t="s">
        <v>190</v>
      </c>
      <c r="B230" s="6" t="str">
        <f>Informações!$C$3</f>
        <v>IMA</v>
      </c>
      <c r="C230" s="6" t="s">
        <v>101</v>
      </c>
      <c r="D230" s="6" t="s">
        <v>102</v>
      </c>
      <c r="E230" s="2" t="s">
        <v>25</v>
      </c>
      <c r="F230" s="6" t="s">
        <v>229</v>
      </c>
      <c r="G230" s="6" t="s">
        <v>228</v>
      </c>
      <c r="H230" s="6" t="str" cm="1">
        <f t="array" ref="H230">_xlfn.IFS(OR(D230="TC",D230="TP",AND(D230="TR",C230="AT"),AND(D230="TR",C230="BT")),CONCATENATE(B230,"_","TR",$B$3,C230,"_","TR",$B$3,C230,"_",G230),AND(D230="SECC",C230="BT"),CONCATENATE(B230,"_","TR",$B$3,C230,"_",$B$9,"_",G230),AND(D230="SECF",C230="AT"),CONCATENATE(B230,"_","TR",$B$3,C230,"_",$B$6,"_",G230),AND(D230="SECT",C230="AT"),CONCATENATE(B230,"_","TR",$B$3,C230,"_",$B$7,"_",G230),AND(D230="DJ",C230="AT"),CONCATENATE(B230,"_","TR",$B$3,C230,"_",$B$4,"_",G230),AND(D230="DJ",C230="BT"),CONCATENATE(B230,"_","TR",$B$3,C230,"_",$B$8,"_",G230),AND(C230="TR",D230="TR"),CONCATENATE(B230,"_","TR",$B$3,"_","TR",$B$3,"_",G230),AND(D230="SECT",C230="BT"),CONCATENATE(B230,"_","TR",$B$3,C230,"_",$B$11,"_",G230),AND(D230="SECF",C230="BT"),CONCATENATE(B230,"_","TR",$B$3,C230,"_",$B$10,"_",G230),AND(D230="SECC",C230="AT"),CONCATENATE(B230,"_","TR",$B$3,C230,"_",$B$5,"_",G230),AND(C230="AT",D230="TR_A"),CONCATENATE(B230,"_","TR",$B$3,C230,"_","TR",$B$3,C230,"_A","_",G230),AND(C230="AT",D230="TR_P"),CONCATENATE(B230,"_","TR",$B$3,C230,"_","TR",$B$3,C230,"_P","_",G230),AND(C230="BT",D230="TR_A"),CONCATENATE(B230,"_","TR",$B$3,C230,"_","TR",$B$3,C230,"_A","_",G230),AND(C230="BT",D230="TR_P"),CONCATENATE(B230,"_","TR",$B$3,C230,"_","TR",$B$3,C230,"_P","_",G230),AND(C230="TR",D230="TR_P"),CONCATENATE(B230,"_","TR",$B$3,"_","TR",$B$3,"_P","_",G230),AND(C230="TR",D230="TR_A"),CONCATENATE(B230,"_","TR",$B$3,"_","TR",$B$3,"_A","_",G230))</f>
        <v>IMA_TR6BT_TR6BT_81C</v>
      </c>
      <c r="I230" s="6"/>
      <c r="J230" s="6" t="s">
        <v>182</v>
      </c>
      <c r="K230" s="6" t="s">
        <v>179</v>
      </c>
      <c r="L230" s="6" t="s">
        <v>188</v>
      </c>
      <c r="M230" s="6" t="s">
        <v>188</v>
      </c>
      <c r="N230" s="6">
        <f t="shared" si="6"/>
        <v>934</v>
      </c>
    </row>
  </sheetData>
  <mergeCells count="13">
    <mergeCell ref="B6:N6"/>
    <mergeCell ref="A1:N1"/>
    <mergeCell ref="B2:N2"/>
    <mergeCell ref="B3:N3"/>
    <mergeCell ref="B4:N4"/>
    <mergeCell ref="B5:N5"/>
    <mergeCell ref="A219:N219"/>
    <mergeCell ref="A214:N214"/>
    <mergeCell ref="B7:N7"/>
    <mergeCell ref="B8:N8"/>
    <mergeCell ref="B9:N9"/>
    <mergeCell ref="B10:N10"/>
    <mergeCell ref="B11:N11"/>
  </mergeCells>
  <conditionalFormatting sqref="E12:E218">
    <cfRule type="cellIs" dxfId="137" priority="1" operator="equal">
      <formula>"D"</formula>
    </cfRule>
    <cfRule type="cellIs" dxfId="136" priority="2" operator="equal">
      <formula>"C"</formula>
    </cfRule>
    <cfRule type="cellIs" dxfId="135" priority="3" operator="equal">
      <formula>"A"</formula>
    </cfRule>
  </conditionalFormatting>
  <conditionalFormatting sqref="E220:E1048576">
    <cfRule type="cellIs" dxfId="134" priority="11" operator="equal">
      <formula>"D"</formula>
    </cfRule>
    <cfRule type="cellIs" dxfId="133" priority="12" operator="equal">
      <formula>"C"</formula>
    </cfRule>
    <cfRule type="cellIs" dxfId="132" priority="1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FC6A1D-B9D9-4425-A8C8-D8080C34AB23}">
          <x14:formula1>
            <xm:f>Lista!$D$2:$D$4</xm:f>
          </x14:formula1>
          <xm:sqref>M221:M230 M14:M217</xm:sqref>
        </x14:dataValidation>
        <x14:dataValidation type="list" allowBlank="1" showInputMessage="1" showErrorMessage="1" xr:uid="{18CB3269-E2EB-4494-834E-B704E0386CAE}">
          <x14:formula1>
            <xm:f>Lista!$E$2:$E$4</xm:f>
          </x14:formula1>
          <xm:sqref>I221:I230 I14:I217</xm:sqref>
        </x14:dataValidation>
        <x14:dataValidation type="list" allowBlank="1" showInputMessage="1" showErrorMessage="1" xr:uid="{56C8A81B-A96A-476D-8B72-C6DDD15452B0}">
          <x14:formula1>
            <xm:f>Lista!$A$2:$A$19</xm:f>
          </x14:formula1>
          <xm:sqref>J221:K230 J14:K217</xm:sqref>
        </x14:dataValidation>
        <x14:dataValidation type="list" allowBlank="1" showInputMessage="1" showErrorMessage="1" xr:uid="{8A7DE066-C9B3-40C9-9C7A-D7AC12073A73}">
          <x14:formula1>
            <xm:f>Lista!$B$2:$B$3</xm:f>
          </x14:formula1>
          <xm:sqref>A221:A230 A14:A217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DD1E-8CA4-4F6C-A520-71540BF61392}">
  <sheetPr>
    <tabColor theme="6"/>
  </sheetPr>
  <dimension ref="A1:O217"/>
  <sheetViews>
    <sheetView tabSelected="1" topLeftCell="E117" zoomScale="130" zoomScaleNormal="130" workbookViewId="0">
      <selection activeCell="F122" sqref="F122:N12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5703125" style="1" customWidth="1"/>
    <col min="9" max="9" width="13.85546875" style="1" hidden="1" customWidth="1"/>
    <col min="10" max="10" width="14.7109375" style="1" hidden="1" customWidth="1"/>
    <col min="11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7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169</v>
      </c>
      <c r="B4" s="109" t="s">
        <v>315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170</v>
      </c>
      <c r="B5" s="109" t="s">
        <v>347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171</v>
      </c>
      <c r="B6" s="109" t="s">
        <v>346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172</v>
      </c>
      <c r="B7" s="109" t="s">
        <v>348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25">
      <c r="A8" s="2" t="s">
        <v>173</v>
      </c>
      <c r="B8" s="109" t="s">
        <v>349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x14ac:dyDescent="0.25">
      <c r="A9" s="2" t="s">
        <v>174</v>
      </c>
      <c r="B9" s="109" t="s">
        <v>352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x14ac:dyDescent="0.25">
      <c r="A10" s="2" t="s">
        <v>175</v>
      </c>
      <c r="B10" s="109" t="s">
        <v>351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x14ac:dyDescent="0.25">
      <c r="A11" s="2" t="s">
        <v>176</v>
      </c>
      <c r="B11" s="109" t="s">
        <v>350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s="4" customFormat="1" x14ac:dyDescent="0.25">
      <c r="B12" s="5"/>
      <c r="C12" s="5"/>
      <c r="D12" s="5"/>
      <c r="E12" s="5"/>
      <c r="F12" s="5"/>
      <c r="G12" s="5"/>
      <c r="H12" s="5"/>
    </row>
    <row r="13" spans="1:14" ht="30" x14ac:dyDescent="0.25">
      <c r="A13" s="3" t="s">
        <v>189</v>
      </c>
      <c r="B13" s="3" t="s">
        <v>1</v>
      </c>
      <c r="C13" s="3" t="s">
        <v>83</v>
      </c>
      <c r="D13" s="3" t="s">
        <v>26</v>
      </c>
      <c r="E13" s="3" t="s">
        <v>7</v>
      </c>
      <c r="F13" s="3" t="s">
        <v>84</v>
      </c>
      <c r="G13" s="3" t="s">
        <v>85</v>
      </c>
      <c r="H13" s="3" t="s">
        <v>86</v>
      </c>
      <c r="I13" s="3" t="s">
        <v>254</v>
      </c>
      <c r="J13" s="3" t="s">
        <v>177</v>
      </c>
      <c r="K13" s="3" t="s">
        <v>178</v>
      </c>
      <c r="L13" s="3" t="s">
        <v>260</v>
      </c>
      <c r="M13" s="3" t="s">
        <v>266</v>
      </c>
      <c r="N13" s="3" t="s">
        <v>192</v>
      </c>
    </row>
    <row r="14" spans="1:14" x14ac:dyDescent="0.25">
      <c r="A14" s="6" t="s">
        <v>190</v>
      </c>
      <c r="B14" s="6" t="str">
        <f>Informações!$C$3</f>
        <v>IMA</v>
      </c>
      <c r="C14" s="6" t="s">
        <v>100</v>
      </c>
      <c r="D14" s="6" t="s">
        <v>27</v>
      </c>
      <c r="E14" s="2" t="s">
        <v>8</v>
      </c>
      <c r="F14" s="6" t="str">
        <f>VLOOKUP(G14,[1]Analog!$A:$B,2,FALSE)</f>
        <v>CORRENTE FASE A</v>
      </c>
      <c r="G14" s="6" t="s">
        <v>9</v>
      </c>
      <c r="H14" s="6" t="str" cm="1">
        <f t="array" ref="H14">_xlfn.IFS(OR(D14="TC",D14="TP",AND(D14="TR",C14="AT"),AND(D14="TR",C14="BT")),CONCATENATE(B14,"_","TR",$B$3,C14,"_","TR",$B$3,C14,"_",G14),AND(D14="SECC",C14="BT"),CONCATENATE(B14,"_","TR",$B$3,C14,"_",$B$9,"_",G14),AND(D14="SECF",C14="AT"),CONCATENATE(B14,"_","TR",$B$3,C14,"_",$B$6,"_",G14),AND(D14="SECT",C14="AT"),CONCATENATE(B14,"_","TR",$B$3,C14,"_",$B$7,"_",G14),AND(D14="DJ",C14="AT"),CONCATENATE(B14,"_","TR",$B$3,C14,"_",$B$4,"_",G14),AND(D14="DJ",C14="BT"),CONCATENATE(B14,"_","TR",$B$3,C14,"_",$B$8,"_",G14),AND(C14="TR",D14="TR"),CONCATENATE(B14,"_","TR",$B$3,"_","TR",$B$3,"_",G14),AND(D14="SECT",C14="BT"),CONCATENATE(B14,"_","TR",$B$3,C14,"_",$B$11,"_",G14),AND(D14="SECF",C14="BT"),CONCATENATE(B14,"_","TR",$B$3,C14,"_",$B$10,"_",G14),AND(D14="SECC",C14="AT"),CONCATENATE(B14,"_","TR",$B$3,C14,"_",$B$5,"_",G14),AND(C14="AT",D14="TR_A"),CONCATENATE(B14,"_","TR",$B$3,C14,"_","TR",$B$3,C14,"_A","_",G14),AND(C14="AT",D14="TR_P"),CONCATENATE(B14,"_","TR",$B$3,C14,"_","TR",$B$3,C14,"_P","_",G14),AND(C14="BT",D14="TR_A"),CONCATENATE(B14,"_","TR",$B$3,C14,"_","TR",$B$3,C14,"_A","_",G14),AND(C14="BT",D14="TR_P"),CONCATENATE(B14,"_","TR",$B$3,C14,"_","TR",$B$3,C14,"_P","_",G14),AND(C14="TR",D14="TR_P"),CONCATENATE(B14,"_","TR",$B$3,"_","TR",$B$3,"_P","_",G14),AND(C14="TR",D14="TR_A"),CONCATENATE(B14,"_","TR",$B$3,"_","TR",$B$3,"_A","_",G14))</f>
        <v>IMA_TR7AT_TR7AT_IA</v>
      </c>
      <c r="I14" s="6" t="s">
        <v>188</v>
      </c>
      <c r="J14" s="6" t="s">
        <v>188</v>
      </c>
      <c r="K14" s="6" t="s">
        <v>188</v>
      </c>
      <c r="L14" s="8">
        <v>1</v>
      </c>
      <c r="M14" s="6" t="s">
        <v>188</v>
      </c>
      <c r="N14" s="6">
        <f>'TR 1'!N39+1</f>
        <v>48</v>
      </c>
    </row>
    <row r="15" spans="1:14" x14ac:dyDescent="0.25">
      <c r="A15" s="6" t="s">
        <v>190</v>
      </c>
      <c r="B15" s="6" t="str">
        <f>Informações!$C$3</f>
        <v>IMA</v>
      </c>
      <c r="C15" s="6" t="s">
        <v>100</v>
      </c>
      <c r="D15" s="6" t="s">
        <v>27</v>
      </c>
      <c r="E15" s="2" t="s">
        <v>8</v>
      </c>
      <c r="F15" s="6" t="str">
        <f>VLOOKUP(G15,[1]Analog!$A:$B,2,FALSE)</f>
        <v>CORRENTE FASE B</v>
      </c>
      <c r="G15" s="6" t="s">
        <v>10</v>
      </c>
      <c r="H15" s="6" t="str" cm="1">
        <f t="array" ref="H15">_xlfn.IFS(OR(D15="TC",D15="TP",AND(D15="TR",C15="AT"),AND(D15="TR",C15="BT")),CONCATENATE(B15,"_","TR",$B$3,C15,"_","TR",$B$3,C15,"_",G15),AND(D15="SECC",C15="BT"),CONCATENATE(B15,"_","TR",$B$3,C15,"_",$B$9,"_",G15),AND(D15="SECF",C15="AT"),CONCATENATE(B15,"_","TR",$B$3,C15,"_",$B$6,"_",G15),AND(D15="SECT",C15="AT"),CONCATENATE(B15,"_","TR",$B$3,C15,"_",$B$7,"_",G15),AND(D15="DJ",C15="AT"),CONCATENATE(B15,"_","TR",$B$3,C15,"_",$B$4,"_",G15),AND(D15="DJ",C15="BT"),CONCATENATE(B15,"_","TR",$B$3,C15,"_",$B$8,"_",G15),AND(C15="TR",D15="TR"),CONCATENATE(B15,"_","TR",$B$3,"_","TR",$B$3,"_",G15),AND(D15="SECT",C15="BT"),CONCATENATE(B15,"_","TR",$B$3,C15,"_",$B$11,"_",G15),AND(D15="SECF",C15="BT"),CONCATENATE(B15,"_","TR",$B$3,C15,"_",$B$10,"_",G15),AND(D15="SECC",C15="AT"),CONCATENATE(B15,"_","TR",$B$3,C15,"_",$B$5,"_",G15),AND(C15="AT",D15="TR_A"),CONCATENATE(B15,"_","TR",$B$3,C15,"_","TR",$B$3,C15,"_A","_",G15),AND(C15="AT",D15="TR_P"),CONCATENATE(B15,"_","TR",$B$3,C15,"_","TR",$B$3,C15,"_P","_",G15),AND(C15="BT",D15="TR_A"),CONCATENATE(B15,"_","TR",$B$3,C15,"_","TR",$B$3,C15,"_A","_",G15),AND(C15="BT",D15="TR_P"),CONCATENATE(B15,"_","TR",$B$3,C15,"_","TR",$B$3,C15,"_P","_",G15),AND(C15="TR",D15="TR_P"),CONCATENATE(B15,"_","TR",$B$3,"_","TR",$B$3,"_P","_",G15),AND(C15="TR",D15="TR_A"),CONCATENATE(B15,"_","TR",$B$3,"_","TR",$B$3,"_A","_",G15))</f>
        <v>IMA_TR7AT_TR7AT_IB</v>
      </c>
      <c r="I15" s="6" t="s">
        <v>188</v>
      </c>
      <c r="J15" s="6" t="s">
        <v>188</v>
      </c>
      <c r="K15" s="6" t="s">
        <v>188</v>
      </c>
      <c r="L15" s="8">
        <v>1</v>
      </c>
      <c r="M15" s="6" t="s">
        <v>188</v>
      </c>
      <c r="N15" s="6">
        <f>N14+1</f>
        <v>49</v>
      </c>
    </row>
    <row r="16" spans="1:14" x14ac:dyDescent="0.25">
      <c r="A16" s="6" t="s">
        <v>190</v>
      </c>
      <c r="B16" s="6" t="str">
        <f>Informações!$C$3</f>
        <v>IMA</v>
      </c>
      <c r="C16" s="6" t="s">
        <v>100</v>
      </c>
      <c r="D16" s="6" t="s">
        <v>27</v>
      </c>
      <c r="E16" s="2" t="s">
        <v>8</v>
      </c>
      <c r="F16" s="6" t="str">
        <f>VLOOKUP(G16,[1]Analog!$A:$B,2,FALSE)</f>
        <v>CORRENTE FASE C</v>
      </c>
      <c r="G16" s="6" t="s">
        <v>11</v>
      </c>
      <c r="H16" s="6" t="str" cm="1">
        <f t="array" ref="H16">_xlfn.IFS(OR(D16="TC",D16="TP",AND(D16="TR",C16="AT"),AND(D16="TR",C16="BT")),CONCATENATE(B16,"_","TR",$B$3,C16,"_","TR",$B$3,C16,"_",G16),AND(D16="SECC",C16="BT"),CONCATENATE(B16,"_","TR",$B$3,C16,"_",$B$9,"_",G16),AND(D16="SECF",C16="AT"),CONCATENATE(B16,"_","TR",$B$3,C16,"_",$B$6,"_",G16),AND(D16="SECT",C16="AT"),CONCATENATE(B16,"_","TR",$B$3,C16,"_",$B$7,"_",G16),AND(D16="DJ",C16="AT"),CONCATENATE(B16,"_","TR",$B$3,C16,"_",$B$4,"_",G16),AND(D16="DJ",C16="BT"),CONCATENATE(B16,"_","TR",$B$3,C16,"_",$B$8,"_",G16),AND(C16="TR",D16="TR"),CONCATENATE(B16,"_","TR",$B$3,"_","TR",$B$3,"_",G16),AND(D16="SECT",C16="BT"),CONCATENATE(B16,"_","TR",$B$3,C16,"_",$B$11,"_",G16),AND(D16="SECF",C16="BT"),CONCATENATE(B16,"_","TR",$B$3,C16,"_",$B$10,"_",G16),AND(D16="SECC",C16="AT"),CONCATENATE(B16,"_","TR",$B$3,C16,"_",$B$5,"_",G16),AND(C16="AT",D16="TR_A"),CONCATENATE(B16,"_","TR",$B$3,C16,"_","TR",$B$3,C16,"_A","_",G16),AND(C16="AT",D16="TR_P"),CONCATENATE(B16,"_","TR",$B$3,C16,"_","TR",$B$3,C16,"_P","_",G16),AND(C16="BT",D16="TR_A"),CONCATENATE(B16,"_","TR",$B$3,C16,"_","TR",$B$3,C16,"_A","_",G16),AND(C16="BT",D16="TR_P"),CONCATENATE(B16,"_","TR",$B$3,C16,"_","TR",$B$3,C16,"_P","_",G16),AND(C16="TR",D16="TR_P"),CONCATENATE(B16,"_","TR",$B$3,"_","TR",$B$3,"_P","_",G16),AND(C16="TR",D16="TR_A"),CONCATENATE(B16,"_","TR",$B$3,"_","TR",$B$3,"_A","_",G16))</f>
        <v>IMA_TR7AT_TR7AT_IC</v>
      </c>
      <c r="I16" s="6" t="s">
        <v>188</v>
      </c>
      <c r="J16" s="6" t="s">
        <v>188</v>
      </c>
      <c r="K16" s="6" t="s">
        <v>188</v>
      </c>
      <c r="L16" s="8">
        <v>1</v>
      </c>
      <c r="M16" s="6" t="s">
        <v>188</v>
      </c>
      <c r="N16" s="6">
        <f t="shared" ref="N16:N34" si="0">N15+1</f>
        <v>50</v>
      </c>
    </row>
    <row r="17" spans="1:14" x14ac:dyDescent="0.25">
      <c r="A17" s="6" t="s">
        <v>190</v>
      </c>
      <c r="B17" s="6" t="str">
        <f>Informações!$C$3</f>
        <v>IMA</v>
      </c>
      <c r="C17" s="6" t="s">
        <v>100</v>
      </c>
      <c r="D17" s="6" t="s">
        <v>27</v>
      </c>
      <c r="E17" s="2" t="s">
        <v>8</v>
      </c>
      <c r="F17" s="6" t="str">
        <f>VLOOKUP(G17,[1]Analog!$A:$B,2,FALSE)</f>
        <v>CORRENTE NEUTRO</v>
      </c>
      <c r="G17" s="6" t="s">
        <v>91</v>
      </c>
      <c r="H17" s="6" t="str" cm="1">
        <f t="array" ref="H17">_xlfn.IFS(OR(D17="TC",D17="TP",AND(D17="TR",C17="AT"),AND(D17="TR",C17="BT")),CONCATENATE(B17,"_","TR",$B$3,C17,"_","TR",$B$3,C17,"_",G17),AND(D17="SECC",C17="BT"),CONCATENATE(B17,"_","TR",$B$3,C17,"_",$B$9,"_",G17),AND(D17="SECF",C17="AT"),CONCATENATE(B17,"_","TR",$B$3,C17,"_",$B$6,"_",G17),AND(D17="SECT",C17="AT"),CONCATENATE(B17,"_","TR",$B$3,C17,"_",$B$7,"_",G17),AND(D17="DJ",C17="AT"),CONCATENATE(B17,"_","TR",$B$3,C17,"_",$B$4,"_",G17),AND(D17="DJ",C17="BT"),CONCATENATE(B17,"_","TR",$B$3,C17,"_",$B$8,"_",G17),AND(C17="TR",D17="TR"),CONCATENATE(B17,"_","TR",$B$3,"_","TR",$B$3,"_",G17),AND(D17="SECT",C17="BT"),CONCATENATE(B17,"_","TR",$B$3,C17,"_",$B$11,"_",G17),AND(D17="SECF",C17="BT"),CONCATENATE(B17,"_","TR",$B$3,C17,"_",$B$10,"_",G17),AND(D17="SECC",C17="AT"),CONCATENATE(B17,"_","TR",$B$3,C17,"_",$B$5,"_",G17),AND(C17="AT",D17="TR_A"),CONCATENATE(B17,"_","TR",$B$3,C17,"_","TR",$B$3,C17,"_A","_",G17),AND(C17="AT",D17="TR_P"),CONCATENATE(B17,"_","TR",$B$3,C17,"_","TR",$B$3,C17,"_P","_",G17),AND(C17="BT",D17="TR_A"),CONCATENATE(B17,"_","TR",$B$3,C17,"_","TR",$B$3,C17,"_A","_",G17),AND(C17="BT",D17="TR_P"),CONCATENATE(B17,"_","TR",$B$3,C17,"_","TR",$B$3,C17,"_P","_",G17),AND(C17="TR",D17="TR_P"),CONCATENATE(B17,"_","TR",$B$3,"_","TR",$B$3,"_P","_",G17),AND(C17="TR",D17="TR_A"),CONCATENATE(B17,"_","TR",$B$3,"_","TR",$B$3,"_A","_",G17))</f>
        <v>IMA_TR7AT_TR7AT_IN</v>
      </c>
      <c r="I17" s="6" t="s">
        <v>188</v>
      </c>
      <c r="J17" s="6" t="s">
        <v>188</v>
      </c>
      <c r="K17" s="6" t="s">
        <v>188</v>
      </c>
      <c r="L17" s="8">
        <v>0.01</v>
      </c>
      <c r="M17" s="6" t="s">
        <v>188</v>
      </c>
      <c r="N17" s="6">
        <f t="shared" si="0"/>
        <v>51</v>
      </c>
    </row>
    <row r="18" spans="1:14" x14ac:dyDescent="0.25">
      <c r="A18" s="6" t="s">
        <v>190</v>
      </c>
      <c r="B18" s="6" t="str">
        <f>Informações!$C$3</f>
        <v>IMA</v>
      </c>
      <c r="C18" s="6" t="s">
        <v>100</v>
      </c>
      <c r="D18" s="6" t="s">
        <v>28</v>
      </c>
      <c r="E18" s="2" t="s">
        <v>8</v>
      </c>
      <c r="F18" s="6" t="str">
        <f>VLOOKUP(G18,[1]Analog!$A:$B,2,FALSE)</f>
        <v>TENSAO</v>
      </c>
      <c r="G18" s="6" t="s">
        <v>90</v>
      </c>
      <c r="H18" s="6" t="str" cm="1">
        <f t="array" ref="H18">_xlfn.IFS(OR(D18="TC",D18="TP",AND(D18="TR",C18="AT"),AND(D18="TR",C18="BT")),CONCATENATE(B18,"_","TR",$B$3,C18,"_","TR",$B$3,C18,"_",G18),AND(D18="SECC",C18="BT"),CONCATENATE(B18,"_","TR",$B$3,C18,"_",$B$9,"_",G18),AND(D18="SECF",C18="AT"),CONCATENATE(B18,"_","TR",$B$3,C18,"_",$B$6,"_",G18),AND(D18="SECT",C18="AT"),CONCATENATE(B18,"_","TR",$B$3,C18,"_",$B$7,"_",G18),AND(D18="DJ",C18="AT"),CONCATENATE(B18,"_","TR",$B$3,C18,"_",$B$4,"_",G18),AND(D18="DJ",C18="BT"),CONCATENATE(B18,"_","TR",$B$3,C18,"_",$B$8,"_",G18),AND(C18="TR",D18="TR"),CONCATENATE(B18,"_","TR",$B$3,"_","TR",$B$3,"_",G18),AND(D18="SECT",C18="BT"),CONCATENATE(B18,"_","TR",$B$3,C18,"_",$B$11,"_",G18),AND(D18="SECF",C18="BT"),CONCATENATE(B18,"_","TR",$B$3,C18,"_",$B$10,"_",G18),AND(D18="SECC",C18="AT"),CONCATENATE(B18,"_","TR",$B$3,C18,"_",$B$5,"_",G18),AND(C18="AT",D18="TR_A"),CONCATENATE(B18,"_","TR",$B$3,C18,"_","TR",$B$3,C18,"_A","_",G18),AND(C18="AT",D18="TR_P"),CONCATENATE(B18,"_","TR",$B$3,C18,"_","TR",$B$3,C18,"_P","_",G18),AND(C18="BT",D18="TR_A"),CONCATENATE(B18,"_","TR",$B$3,C18,"_","TR",$B$3,C18,"_A","_",G18),AND(C18="BT",D18="TR_P"),CONCATENATE(B18,"_","TR",$B$3,C18,"_","TR",$B$3,C18,"_P","_",G18),AND(C18="TR",D18="TR_P"),CONCATENATE(B18,"_","TR",$B$3,"_","TR",$B$3,"_P","_",G18),AND(C18="TR",D18="TR_A"),CONCATENATE(B18,"_","TR",$B$3,"_","TR",$B$3,"_A","_",G18))</f>
        <v>IMA_TR7AT_TR7AT_V</v>
      </c>
      <c r="I18" s="6" t="s">
        <v>188</v>
      </c>
      <c r="J18" s="6" t="s">
        <v>188</v>
      </c>
      <c r="K18" s="6" t="s">
        <v>188</v>
      </c>
      <c r="L18" s="8">
        <v>0.01</v>
      </c>
      <c r="M18" s="6" t="s">
        <v>188</v>
      </c>
      <c r="N18" s="6">
        <f t="shared" si="0"/>
        <v>52</v>
      </c>
    </row>
    <row r="19" spans="1:14" x14ac:dyDescent="0.25">
      <c r="A19" s="6" t="s">
        <v>190</v>
      </c>
      <c r="B19" s="6" t="str">
        <f>Informações!$C$3</f>
        <v>IMA</v>
      </c>
      <c r="C19" s="6" t="s">
        <v>100</v>
      </c>
      <c r="D19" s="6" t="s">
        <v>27</v>
      </c>
      <c r="E19" s="2" t="s">
        <v>8</v>
      </c>
      <c r="F19" s="6" t="str">
        <f>VLOOKUP(G19,[1]Analog!$A:$B,2,FALSE)</f>
        <v>POTENCIA ATIVA</v>
      </c>
      <c r="G19" s="6" t="s">
        <v>18</v>
      </c>
      <c r="H19" s="6" t="str" cm="1">
        <f t="array" ref="H19">_xlfn.IFS(OR(D19="TC",D19="TP",AND(D19="TR",C19="AT"),AND(D19="TR",C19="BT")),CONCATENATE(B19,"_","TR",$B$3,C19,"_","TR",$B$3,C19,"_",G19),AND(D19="SECC",C19="BT"),CONCATENATE(B19,"_","TR",$B$3,C19,"_",$B$9,"_",G19),AND(D19="SECF",C19="AT"),CONCATENATE(B19,"_","TR",$B$3,C19,"_",$B$6,"_",G19),AND(D19="SECT",C19="AT"),CONCATENATE(B19,"_","TR",$B$3,C19,"_",$B$7,"_",G19),AND(D19="DJ",C19="AT"),CONCATENATE(B19,"_","TR",$B$3,C19,"_",$B$4,"_",G19),AND(D19="DJ",C19="BT"),CONCATENATE(B19,"_","TR",$B$3,C19,"_",$B$8,"_",G19),AND(C19="TR",D19="TR"),CONCATENATE(B19,"_","TR",$B$3,"_","TR",$B$3,"_",G19),AND(D19="SECT",C19="BT"),CONCATENATE(B19,"_","TR",$B$3,C19,"_",$B$11,"_",G19),AND(D19="SECF",C19="BT"),CONCATENATE(B19,"_","TR",$B$3,C19,"_",$B$10,"_",G19),AND(D19="SECC",C19="AT"),CONCATENATE(B19,"_","TR",$B$3,C19,"_",$B$5,"_",G19),AND(C19="AT",D19="TR_A"),CONCATENATE(B19,"_","TR",$B$3,C19,"_","TR",$B$3,C19,"_A","_",G19),AND(C19="AT",D19="TR_P"),CONCATENATE(B19,"_","TR",$B$3,C19,"_","TR",$B$3,C19,"_P","_",G19),AND(C19="BT",D19="TR_A"),CONCATENATE(B19,"_","TR",$B$3,C19,"_","TR",$B$3,C19,"_A","_",G19),AND(C19="BT",D19="TR_P"),CONCATENATE(B19,"_","TR",$B$3,C19,"_","TR",$B$3,C19,"_P","_",G19),AND(C19="TR",D19="TR_P"),CONCATENATE(B19,"_","TR",$B$3,"_","TR",$B$3,"_P","_",G19),AND(C19="TR",D19="TR_A"),CONCATENATE(B19,"_","TR",$B$3,"_","TR",$B$3,"_A","_",G19))</f>
        <v>IMA_TR7AT_TR7AT_P</v>
      </c>
      <c r="I19" s="6" t="s">
        <v>188</v>
      </c>
      <c r="J19" s="6" t="s">
        <v>188</v>
      </c>
      <c r="K19" s="6" t="s">
        <v>188</v>
      </c>
      <c r="L19" s="8">
        <v>0.01</v>
      </c>
      <c r="M19" s="6" t="s">
        <v>188</v>
      </c>
      <c r="N19" s="6">
        <f t="shared" si="0"/>
        <v>53</v>
      </c>
    </row>
    <row r="20" spans="1:14" x14ac:dyDescent="0.25">
      <c r="A20" s="6" t="s">
        <v>190</v>
      </c>
      <c r="B20" s="6" t="str">
        <f>Informações!$C$3</f>
        <v>IMA</v>
      </c>
      <c r="C20" s="6" t="s">
        <v>100</v>
      </c>
      <c r="D20" s="6" t="s">
        <v>27</v>
      </c>
      <c r="E20" s="2" t="s">
        <v>8</v>
      </c>
      <c r="F20" s="6" t="str">
        <f>VLOOKUP(G20,[1]Analog!$A:$B,2,FALSE)</f>
        <v>POTENCIA REATIVA</v>
      </c>
      <c r="G20" s="6" t="s">
        <v>19</v>
      </c>
      <c r="H20" s="6" t="str" cm="1">
        <f t="array" ref="H20">_xlfn.IFS(OR(D20="TC",D20="TP",AND(D20="TR",C20="AT"),AND(D20="TR",C20="BT")),CONCATENATE(B20,"_","TR",$B$3,C20,"_","TR",$B$3,C20,"_",G20),AND(D20="SECC",C20="BT"),CONCATENATE(B20,"_","TR",$B$3,C20,"_",$B$9,"_",G20),AND(D20="SECF",C20="AT"),CONCATENATE(B20,"_","TR",$B$3,C20,"_",$B$6,"_",G20),AND(D20="SECT",C20="AT"),CONCATENATE(B20,"_","TR",$B$3,C20,"_",$B$7,"_",G20),AND(D20="DJ",C20="AT"),CONCATENATE(B20,"_","TR",$B$3,C20,"_",$B$4,"_",G20),AND(D20="DJ",C20="BT"),CONCATENATE(B20,"_","TR",$B$3,C20,"_",$B$8,"_",G20),AND(C20="TR",D20="TR"),CONCATENATE(B20,"_","TR",$B$3,"_","TR",$B$3,"_",G20),AND(D20="SECT",C20="BT"),CONCATENATE(B20,"_","TR",$B$3,C20,"_",$B$11,"_",G20),AND(D20="SECF",C20="BT"),CONCATENATE(B20,"_","TR",$B$3,C20,"_",$B$10,"_",G20),AND(D20="SECC",C20="AT"),CONCATENATE(B20,"_","TR",$B$3,C20,"_",$B$5,"_",G20),AND(C20="AT",D20="TR_A"),CONCATENATE(B20,"_","TR",$B$3,C20,"_","TR",$B$3,C20,"_A","_",G20),AND(C20="AT",D20="TR_P"),CONCATENATE(B20,"_","TR",$B$3,C20,"_","TR",$B$3,C20,"_P","_",G20),AND(C20="BT",D20="TR_A"),CONCATENATE(B20,"_","TR",$B$3,C20,"_","TR",$B$3,C20,"_A","_",G20),AND(C20="BT",D20="TR_P"),CONCATENATE(B20,"_","TR",$B$3,C20,"_","TR",$B$3,C20,"_P","_",G20),AND(C20="TR",D20="TR_P"),CONCATENATE(B20,"_","TR",$B$3,"_","TR",$B$3,"_P","_",G20),AND(C20="TR",D20="TR_A"),CONCATENATE(B20,"_","TR",$B$3,"_","TR",$B$3,"_A","_",G20))</f>
        <v>IMA_TR7AT_TR7AT_Q</v>
      </c>
      <c r="I20" s="6" t="s">
        <v>188</v>
      </c>
      <c r="J20" s="6" t="s">
        <v>188</v>
      </c>
      <c r="K20" s="6" t="s">
        <v>188</v>
      </c>
      <c r="L20" s="8">
        <v>0.01</v>
      </c>
      <c r="M20" s="6" t="s">
        <v>188</v>
      </c>
      <c r="N20" s="6">
        <f t="shared" si="0"/>
        <v>54</v>
      </c>
    </row>
    <row r="21" spans="1:14" x14ac:dyDescent="0.25">
      <c r="A21" s="6" t="s">
        <v>190</v>
      </c>
      <c r="B21" s="6" t="str">
        <f>Informações!$C$3</f>
        <v>IMA</v>
      </c>
      <c r="C21" s="6" t="s">
        <v>101</v>
      </c>
      <c r="D21" s="6" t="s">
        <v>27</v>
      </c>
      <c r="E21" s="2" t="s">
        <v>8</v>
      </c>
      <c r="F21" s="6" t="str">
        <f>VLOOKUP(G21,[1]Analog!$A:$B,2,FALSE)</f>
        <v>CORRENTE FASE A</v>
      </c>
      <c r="G21" s="6" t="s">
        <v>9</v>
      </c>
      <c r="H21" s="6" t="str" cm="1">
        <f t="array" ref="H21">_xlfn.IFS(OR(D21="TC",D21="TP",AND(D21="TR",C21="AT"),AND(D21="TR",C21="BT")),CONCATENATE(B21,"_","TR",$B$3,C21,"_","TR",$B$3,C21,"_",G21),AND(D21="SECC",C21="BT"),CONCATENATE(B21,"_","TR",$B$3,C21,"_",$B$9,"_",G21),AND(D21="SECF",C21="AT"),CONCATENATE(B21,"_","TR",$B$3,C21,"_",$B$6,"_",G21),AND(D21="SECT",C21="AT"),CONCATENATE(B21,"_","TR",$B$3,C21,"_",$B$7,"_",G21),AND(D21="DJ",C21="AT"),CONCATENATE(B21,"_","TR",$B$3,C21,"_",$B$4,"_",G21),AND(D21="DJ",C21="BT"),CONCATENATE(B21,"_","TR",$B$3,C21,"_",$B$8,"_",G21),AND(C21="TR",D21="TR"),CONCATENATE(B21,"_","TR",$B$3,"_","TR",$B$3,"_",G21),AND(D21="SECT",C21="BT"),CONCATENATE(B21,"_","TR",$B$3,C21,"_",$B$11,"_",G21),AND(D21="SECF",C21="BT"),CONCATENATE(B21,"_","TR",$B$3,C21,"_",$B$10,"_",G21),AND(D21="SECC",C21="AT"),CONCATENATE(B21,"_","TR",$B$3,C21,"_",$B$5,"_",G21),AND(C21="AT",D21="TR_A"),CONCATENATE(B21,"_","TR",$B$3,C21,"_","TR",$B$3,C21,"_A","_",G21),AND(C21="AT",D21="TR_P"),CONCATENATE(B21,"_","TR",$B$3,C21,"_","TR",$B$3,C21,"_P","_",G21),AND(C21="BT",D21="TR_A"),CONCATENATE(B21,"_","TR",$B$3,C21,"_","TR",$B$3,C21,"_A","_",G21),AND(C21="BT",D21="TR_P"),CONCATENATE(B21,"_","TR",$B$3,C21,"_","TR",$B$3,C21,"_P","_",G21),AND(C21="TR",D21="TR_P"),CONCATENATE(B21,"_","TR",$B$3,"_","TR",$B$3,"_P","_",G21),AND(C21="TR",D21="TR_A"),CONCATENATE(B21,"_","TR",$B$3,"_","TR",$B$3,"_A","_",G21))</f>
        <v>IMA_TR7BT_TR7BT_IA</v>
      </c>
      <c r="I21" s="6" t="s">
        <v>188</v>
      </c>
      <c r="J21" s="6" t="s">
        <v>188</v>
      </c>
      <c r="K21" s="6" t="s">
        <v>188</v>
      </c>
      <c r="L21" s="8">
        <v>0.01</v>
      </c>
      <c r="M21" s="6" t="s">
        <v>188</v>
      </c>
      <c r="N21" s="6">
        <f t="shared" si="0"/>
        <v>55</v>
      </c>
    </row>
    <row r="22" spans="1:14" x14ac:dyDescent="0.25">
      <c r="A22" s="6" t="s">
        <v>190</v>
      </c>
      <c r="B22" s="6" t="str">
        <f>Informações!$C$3</f>
        <v>IMA</v>
      </c>
      <c r="C22" s="6" t="s">
        <v>101</v>
      </c>
      <c r="D22" s="6" t="s">
        <v>27</v>
      </c>
      <c r="E22" s="2" t="s">
        <v>8</v>
      </c>
      <c r="F22" s="6" t="str">
        <f>VLOOKUP(G22,[1]Analog!$A:$B,2,FALSE)</f>
        <v>CORRENTE FASE B</v>
      </c>
      <c r="G22" s="6" t="s">
        <v>10</v>
      </c>
      <c r="H22" s="6" t="str" cm="1">
        <f t="array" ref="H22">_xlfn.IFS(OR(D22="TC",D22="TP",AND(D22="TR",C22="AT"),AND(D22="TR",C22="BT")),CONCATENATE(B22,"_","TR",$B$3,C22,"_","TR",$B$3,C22,"_",G22),AND(D22="SECC",C22="BT"),CONCATENATE(B22,"_","TR",$B$3,C22,"_",$B$9,"_",G22),AND(D22="SECF",C22="AT"),CONCATENATE(B22,"_","TR",$B$3,C22,"_",$B$6,"_",G22),AND(D22="SECT",C22="AT"),CONCATENATE(B22,"_","TR",$B$3,C22,"_",$B$7,"_",G22),AND(D22="DJ",C22="AT"),CONCATENATE(B22,"_","TR",$B$3,C22,"_",$B$4,"_",G22),AND(D22="DJ",C22="BT"),CONCATENATE(B22,"_","TR",$B$3,C22,"_",$B$8,"_",G22),AND(C22="TR",D22="TR"),CONCATENATE(B22,"_","TR",$B$3,"_","TR",$B$3,"_",G22),AND(D22="SECT",C22="BT"),CONCATENATE(B22,"_","TR",$B$3,C22,"_",$B$11,"_",G22),AND(D22="SECF",C22="BT"),CONCATENATE(B22,"_","TR",$B$3,C22,"_",$B$10,"_",G22),AND(D22="SECC",C22="AT"),CONCATENATE(B22,"_","TR",$B$3,C22,"_",$B$5,"_",G22),AND(C22="AT",D22="TR_A"),CONCATENATE(B22,"_","TR",$B$3,C22,"_","TR",$B$3,C22,"_A","_",G22),AND(C22="AT",D22="TR_P"),CONCATENATE(B22,"_","TR",$B$3,C22,"_","TR",$B$3,C22,"_P","_",G22),AND(C22="BT",D22="TR_A"),CONCATENATE(B22,"_","TR",$B$3,C22,"_","TR",$B$3,C22,"_A","_",G22),AND(C22="BT",D22="TR_P"),CONCATENATE(B22,"_","TR",$B$3,C22,"_","TR",$B$3,C22,"_P","_",G22),AND(C22="TR",D22="TR_P"),CONCATENATE(B22,"_","TR",$B$3,"_","TR",$B$3,"_P","_",G22),AND(C22="TR",D22="TR_A"),CONCATENATE(B22,"_","TR",$B$3,"_","TR",$B$3,"_A","_",G22))</f>
        <v>IMA_TR7BT_TR7BT_IB</v>
      </c>
      <c r="I22" s="6" t="s">
        <v>188</v>
      </c>
      <c r="J22" s="6" t="s">
        <v>188</v>
      </c>
      <c r="K22" s="6" t="s">
        <v>188</v>
      </c>
      <c r="L22" s="8">
        <v>0.01</v>
      </c>
      <c r="M22" s="6" t="s">
        <v>188</v>
      </c>
      <c r="N22" s="6">
        <f t="shared" si="0"/>
        <v>56</v>
      </c>
    </row>
    <row r="23" spans="1:14" x14ac:dyDescent="0.25">
      <c r="A23" s="6" t="s">
        <v>190</v>
      </c>
      <c r="B23" s="6" t="str">
        <f>Informações!$C$3</f>
        <v>IMA</v>
      </c>
      <c r="C23" s="6" t="s">
        <v>101</v>
      </c>
      <c r="D23" s="6" t="s">
        <v>27</v>
      </c>
      <c r="E23" s="2" t="s">
        <v>8</v>
      </c>
      <c r="F23" s="6" t="str">
        <f>VLOOKUP(G23,[1]Analog!$A:$B,2,FALSE)</f>
        <v>CORRENTE FASE C</v>
      </c>
      <c r="G23" s="6" t="s">
        <v>11</v>
      </c>
      <c r="H23" s="6" t="str" cm="1">
        <f t="array" ref="H23">_xlfn.IFS(OR(D23="TC",D23="TP",AND(D23="TR",C23="AT"),AND(D23="TR",C23="BT")),CONCATENATE(B23,"_","TR",$B$3,C23,"_","TR",$B$3,C23,"_",G23),AND(D23="SECC",C23="BT"),CONCATENATE(B23,"_","TR",$B$3,C23,"_",$B$9,"_",G23),AND(D23="SECF",C23="AT"),CONCATENATE(B23,"_","TR",$B$3,C23,"_",$B$6,"_",G23),AND(D23="SECT",C23="AT"),CONCATENATE(B23,"_","TR",$B$3,C23,"_",$B$7,"_",G23),AND(D23="DJ",C23="AT"),CONCATENATE(B23,"_","TR",$B$3,C23,"_",$B$4,"_",G23),AND(D23="DJ",C23="BT"),CONCATENATE(B23,"_","TR",$B$3,C23,"_",$B$8,"_",G23),AND(C23="TR",D23="TR"),CONCATENATE(B23,"_","TR",$B$3,"_","TR",$B$3,"_",G23),AND(D23="SECT",C23="BT"),CONCATENATE(B23,"_","TR",$B$3,C23,"_",$B$11,"_",G23),AND(D23="SECF",C23="BT"),CONCATENATE(B23,"_","TR",$B$3,C23,"_",$B$10,"_",G23),AND(D23="SECC",C23="AT"),CONCATENATE(B23,"_","TR",$B$3,C23,"_",$B$5,"_",G23),AND(C23="AT",D23="TR_A"),CONCATENATE(B23,"_","TR",$B$3,C23,"_","TR",$B$3,C23,"_A","_",G23),AND(C23="AT",D23="TR_P"),CONCATENATE(B23,"_","TR",$B$3,C23,"_","TR",$B$3,C23,"_P","_",G23),AND(C23="BT",D23="TR_A"),CONCATENATE(B23,"_","TR",$B$3,C23,"_","TR",$B$3,C23,"_A","_",G23),AND(C23="BT",D23="TR_P"),CONCATENATE(B23,"_","TR",$B$3,C23,"_","TR",$B$3,C23,"_P","_",G23),AND(C23="TR",D23="TR_P"),CONCATENATE(B23,"_","TR",$B$3,"_","TR",$B$3,"_P","_",G23),AND(C23="TR",D23="TR_A"),CONCATENATE(B23,"_","TR",$B$3,"_","TR",$B$3,"_A","_",G23))</f>
        <v>IMA_TR7BT_TR7BT_IC</v>
      </c>
      <c r="I23" s="6" t="s">
        <v>188</v>
      </c>
      <c r="J23" s="6" t="s">
        <v>188</v>
      </c>
      <c r="K23" s="6" t="s">
        <v>188</v>
      </c>
      <c r="L23" s="8">
        <v>10</v>
      </c>
      <c r="M23" s="6" t="s">
        <v>188</v>
      </c>
      <c r="N23" s="6">
        <f t="shared" si="0"/>
        <v>57</v>
      </c>
    </row>
    <row r="24" spans="1:14" x14ac:dyDescent="0.25">
      <c r="A24" s="6" t="s">
        <v>190</v>
      </c>
      <c r="B24" s="6" t="str">
        <f>Informações!$C$3</f>
        <v>IMA</v>
      </c>
      <c r="C24" s="6" t="s">
        <v>101</v>
      </c>
      <c r="D24" s="6" t="s">
        <v>27</v>
      </c>
      <c r="E24" s="2" t="s">
        <v>8</v>
      </c>
      <c r="F24" s="6" t="str">
        <f>VLOOKUP(G24,[1]Analog!$A:$B,2,FALSE)</f>
        <v>CORRENTE NEUTRO</v>
      </c>
      <c r="G24" s="6" t="s">
        <v>91</v>
      </c>
      <c r="H24" s="6" t="str" cm="1">
        <f t="array" ref="H24">_xlfn.IFS(OR(D24="TC",D24="TP",AND(D24="TR",C24="AT"),AND(D24="TR",C24="BT")),CONCATENATE(B24,"_","TR",$B$3,C24,"_","TR",$B$3,C24,"_",G24),AND(D24="SECC",C24="BT"),CONCATENATE(B24,"_","TR",$B$3,C24,"_",$B$9,"_",G24),AND(D24="SECF",C24="AT"),CONCATENATE(B24,"_","TR",$B$3,C24,"_",$B$6,"_",G24),AND(D24="SECT",C24="AT"),CONCATENATE(B24,"_","TR",$B$3,C24,"_",$B$7,"_",G24),AND(D24="DJ",C24="AT"),CONCATENATE(B24,"_","TR",$B$3,C24,"_",$B$4,"_",G24),AND(D24="DJ",C24="BT"),CONCATENATE(B24,"_","TR",$B$3,C24,"_",$B$8,"_",G24),AND(C24="TR",D24="TR"),CONCATENATE(B24,"_","TR",$B$3,"_","TR",$B$3,"_",G24),AND(D24="SECT",C24="BT"),CONCATENATE(B24,"_","TR",$B$3,C24,"_",$B$11,"_",G24),AND(D24="SECF",C24="BT"),CONCATENATE(B24,"_","TR",$B$3,C24,"_",$B$10,"_",G24),AND(D24="SECC",C24="AT"),CONCATENATE(B24,"_","TR",$B$3,C24,"_",$B$5,"_",G24),AND(C24="AT",D24="TR_A"),CONCATENATE(B24,"_","TR",$B$3,C24,"_","TR",$B$3,C24,"_A","_",G24),AND(C24="AT",D24="TR_P"),CONCATENATE(B24,"_","TR",$B$3,C24,"_","TR",$B$3,C24,"_P","_",G24),AND(C24="BT",D24="TR_A"),CONCATENATE(B24,"_","TR",$B$3,C24,"_","TR",$B$3,C24,"_A","_",G24),AND(C24="BT",D24="TR_P"),CONCATENATE(B24,"_","TR",$B$3,C24,"_","TR",$B$3,C24,"_P","_",G24),AND(C24="TR",D24="TR_P"),CONCATENATE(B24,"_","TR",$B$3,"_","TR",$B$3,"_P","_",G24),AND(C24="TR",D24="TR_A"),CONCATENATE(B24,"_","TR",$B$3,"_","TR",$B$3,"_A","_",G24))</f>
        <v>IMA_TR7BT_TR7BT_IN</v>
      </c>
      <c r="I24" s="6" t="s">
        <v>188</v>
      </c>
      <c r="J24" s="6" t="s">
        <v>188</v>
      </c>
      <c r="K24" s="6" t="s">
        <v>188</v>
      </c>
      <c r="L24" s="8">
        <v>10</v>
      </c>
      <c r="M24" s="6" t="s">
        <v>188</v>
      </c>
      <c r="N24" s="6">
        <f t="shared" si="0"/>
        <v>58</v>
      </c>
    </row>
    <row r="25" spans="1:14" x14ac:dyDescent="0.25">
      <c r="A25" s="6" t="s">
        <v>190</v>
      </c>
      <c r="B25" s="6" t="str">
        <f>Informações!$C$3</f>
        <v>IMA</v>
      </c>
      <c r="C25" s="6" t="s">
        <v>101</v>
      </c>
      <c r="D25" s="6" t="s">
        <v>27</v>
      </c>
      <c r="E25" s="2" t="s">
        <v>8</v>
      </c>
      <c r="F25" s="6" t="str">
        <f>VLOOKUP(G25,[1]Analog!$A:$B,2,FALSE)</f>
        <v>TENSAO</v>
      </c>
      <c r="G25" s="6" t="s">
        <v>90</v>
      </c>
      <c r="H25" s="6" t="str" cm="1">
        <f t="array" ref="H25">_xlfn.IFS(OR(D25="TC",D25="TP",AND(D25="TR",C25="AT"),AND(D25="TR",C25="BT")),CONCATENATE(B25,"_","TR",$B$3,C25,"_","TR",$B$3,C25,"_",G25),AND(D25="SECC",C25="BT"),CONCATENATE(B25,"_","TR",$B$3,C25,"_",$B$9,"_",G25),AND(D25="SECF",C25="AT"),CONCATENATE(B25,"_","TR",$B$3,C25,"_",$B$6,"_",G25),AND(D25="SECT",C25="AT"),CONCATENATE(B25,"_","TR",$B$3,C25,"_",$B$7,"_",G25),AND(D25="DJ",C25="AT"),CONCATENATE(B25,"_","TR",$B$3,C25,"_",$B$4,"_",G25),AND(D25="DJ",C25="BT"),CONCATENATE(B25,"_","TR",$B$3,C25,"_",$B$8,"_",G25),AND(C25="TR",D25="TR"),CONCATENATE(B25,"_","TR",$B$3,"_","TR",$B$3,"_",G25),AND(D25="SECT",C25="BT"),CONCATENATE(B25,"_","TR",$B$3,C25,"_",$B$11,"_",G25),AND(D25="SECF",C25="BT"),CONCATENATE(B25,"_","TR",$B$3,C25,"_",$B$10,"_",G25),AND(D25="SECC",C25="AT"),CONCATENATE(B25,"_","TR",$B$3,C25,"_",$B$5,"_",G25),AND(C25="AT",D25="TR_A"),CONCATENATE(B25,"_","TR",$B$3,C25,"_","TR",$B$3,C25,"_A","_",G25),AND(C25="AT",D25="TR_P"),CONCATENATE(B25,"_","TR",$B$3,C25,"_","TR",$B$3,C25,"_P","_",G25),AND(C25="BT",D25="TR_A"),CONCATENATE(B25,"_","TR",$B$3,C25,"_","TR",$B$3,C25,"_A","_",G25),AND(C25="BT",D25="TR_P"),CONCATENATE(B25,"_","TR",$B$3,C25,"_","TR",$B$3,C25,"_P","_",G25),AND(C25="TR",D25="TR_P"),CONCATENATE(B25,"_","TR",$B$3,"_","TR",$B$3,"_P","_",G25),AND(C25="TR",D25="TR_A"),CONCATENATE(B25,"_","TR",$B$3,"_","TR",$B$3,"_A","_",G25))</f>
        <v>IMA_TR7BT_TR7BT_V</v>
      </c>
      <c r="I25" s="6" t="s">
        <v>188</v>
      </c>
      <c r="J25" s="6" t="s">
        <v>188</v>
      </c>
      <c r="K25" s="6" t="s">
        <v>188</v>
      </c>
      <c r="L25" s="8">
        <v>0.01</v>
      </c>
      <c r="M25" s="6" t="s">
        <v>188</v>
      </c>
      <c r="N25" s="6">
        <f t="shared" si="0"/>
        <v>59</v>
      </c>
    </row>
    <row r="26" spans="1:14" x14ac:dyDescent="0.25">
      <c r="A26" s="6" t="s">
        <v>190</v>
      </c>
      <c r="B26" s="6" t="str">
        <f>Informações!$C$3</f>
        <v>IMA</v>
      </c>
      <c r="C26" s="6" t="s">
        <v>101</v>
      </c>
      <c r="D26" s="6" t="s">
        <v>27</v>
      </c>
      <c r="E26" s="2" t="s">
        <v>8</v>
      </c>
      <c r="F26" s="6" t="str">
        <f>VLOOKUP(G26,[1]Analog!$A:$B,2,FALSE)</f>
        <v>POTENCIA ATIVA</v>
      </c>
      <c r="G26" s="6" t="s">
        <v>18</v>
      </c>
      <c r="H26" s="6" t="str" cm="1">
        <f t="array" ref="H26">_xlfn.IFS(OR(D26="TC",D26="TP",AND(D26="TR",C26="AT"),AND(D26="TR",C26="BT")),CONCATENATE(B26,"_","TR",$B$3,C26,"_","TR",$B$3,C26,"_",G26),AND(D26="SECC",C26="BT"),CONCATENATE(B26,"_","TR",$B$3,C26,"_",$B$9,"_",G26),AND(D26="SECF",C26="AT"),CONCATENATE(B26,"_","TR",$B$3,C26,"_",$B$6,"_",G26),AND(D26="SECT",C26="AT"),CONCATENATE(B26,"_","TR",$B$3,C26,"_",$B$7,"_",G26),AND(D26="DJ",C26="AT"),CONCATENATE(B26,"_","TR",$B$3,C26,"_",$B$4,"_",G26),AND(D26="DJ",C26="BT"),CONCATENATE(B26,"_","TR",$B$3,C26,"_",$B$8,"_",G26),AND(C26="TR",D26="TR"),CONCATENATE(B26,"_","TR",$B$3,"_","TR",$B$3,"_",G26),AND(D26="SECT",C26="BT"),CONCATENATE(B26,"_","TR",$B$3,C26,"_",$B$11,"_",G26),AND(D26="SECF",C26="BT"),CONCATENATE(B26,"_","TR",$B$3,C26,"_",$B$10,"_",G26),AND(D26="SECC",C26="AT"),CONCATENATE(B26,"_","TR",$B$3,C26,"_",$B$5,"_",G26),AND(C26="AT",D26="TR_A"),CONCATENATE(B26,"_","TR",$B$3,C26,"_","TR",$B$3,C26,"_A","_",G26),AND(C26="AT",D26="TR_P"),CONCATENATE(B26,"_","TR",$B$3,C26,"_","TR",$B$3,C26,"_P","_",G26),AND(C26="BT",D26="TR_A"),CONCATENATE(B26,"_","TR",$B$3,C26,"_","TR",$B$3,C26,"_A","_",G26),AND(C26="BT",D26="TR_P"),CONCATENATE(B26,"_","TR",$B$3,C26,"_","TR",$B$3,C26,"_P","_",G26),AND(C26="TR",D26="TR_P"),CONCATENATE(B26,"_","TR",$B$3,"_","TR",$B$3,"_P","_",G26),AND(C26="TR",D26="TR_A"),CONCATENATE(B26,"_","TR",$B$3,"_","TR",$B$3,"_A","_",G26))</f>
        <v>IMA_TR7BT_TR7BT_P</v>
      </c>
      <c r="I26" s="6" t="s">
        <v>188</v>
      </c>
      <c r="J26" s="6" t="s">
        <v>188</v>
      </c>
      <c r="K26" s="6" t="s">
        <v>188</v>
      </c>
      <c r="L26" s="8">
        <v>1</v>
      </c>
      <c r="M26" s="6" t="s">
        <v>188</v>
      </c>
      <c r="N26" s="6">
        <f t="shared" si="0"/>
        <v>60</v>
      </c>
    </row>
    <row r="27" spans="1:14" x14ac:dyDescent="0.25">
      <c r="A27" s="6" t="s">
        <v>190</v>
      </c>
      <c r="B27" s="6" t="str">
        <f>Informações!$C$3</f>
        <v>IMA</v>
      </c>
      <c r="C27" s="6" t="s">
        <v>101</v>
      </c>
      <c r="D27" s="6" t="s">
        <v>27</v>
      </c>
      <c r="E27" s="2" t="s">
        <v>8</v>
      </c>
      <c r="F27" s="6" t="str">
        <f>VLOOKUP(G27,[1]Analog!$A:$B,2,FALSE)</f>
        <v>POTENCIA REATIVA</v>
      </c>
      <c r="G27" s="6" t="s">
        <v>19</v>
      </c>
      <c r="H27" s="6" t="str" cm="1">
        <f t="array" ref="H27">_xlfn.IFS(OR(D27="TC",D27="TP",AND(D27="TR",C27="AT"),AND(D27="TR",C27="BT")),CONCATENATE(B27,"_","TR",$B$3,C27,"_","TR",$B$3,C27,"_",G27),AND(D27="SECC",C27="BT"),CONCATENATE(B27,"_","TR",$B$3,C27,"_",$B$9,"_",G27),AND(D27="SECF",C27="AT"),CONCATENATE(B27,"_","TR",$B$3,C27,"_",$B$6,"_",G27),AND(D27="SECT",C27="AT"),CONCATENATE(B27,"_","TR",$B$3,C27,"_",$B$7,"_",G27),AND(D27="DJ",C27="AT"),CONCATENATE(B27,"_","TR",$B$3,C27,"_",$B$4,"_",G27),AND(D27="DJ",C27="BT"),CONCATENATE(B27,"_","TR",$B$3,C27,"_",$B$8,"_",G27),AND(C27="TR",D27="TR"),CONCATENATE(B27,"_","TR",$B$3,"_","TR",$B$3,"_",G27),AND(D27="SECT",C27="BT"),CONCATENATE(B27,"_","TR",$B$3,C27,"_",$B$11,"_",G27),AND(D27="SECF",C27="BT"),CONCATENATE(B27,"_","TR",$B$3,C27,"_",$B$10,"_",G27),AND(D27="SECC",C27="AT"),CONCATENATE(B27,"_","TR",$B$3,C27,"_",$B$5,"_",G27),AND(C27="AT",D27="TR_A"),CONCATENATE(B27,"_","TR",$B$3,C27,"_","TR",$B$3,C27,"_A","_",G27),AND(C27="AT",D27="TR_P"),CONCATENATE(B27,"_","TR",$B$3,C27,"_","TR",$B$3,C27,"_P","_",G27),AND(C27="BT",D27="TR_A"),CONCATENATE(B27,"_","TR",$B$3,C27,"_","TR",$B$3,C27,"_A","_",G27),AND(C27="BT",D27="TR_P"),CONCATENATE(B27,"_","TR",$B$3,C27,"_","TR",$B$3,C27,"_P","_",G27),AND(C27="TR",D27="TR_P"),CONCATENATE(B27,"_","TR",$B$3,"_","TR",$B$3,"_P","_",G27),AND(C27="TR",D27="TR_A"),CONCATENATE(B27,"_","TR",$B$3,"_","TR",$B$3,"_A","_",G27))</f>
        <v>IMA_TR7BT_TR7BT_Q</v>
      </c>
      <c r="I27" s="6" t="s">
        <v>188</v>
      </c>
      <c r="J27" s="6" t="s">
        <v>188</v>
      </c>
      <c r="K27" s="6" t="s">
        <v>188</v>
      </c>
      <c r="L27" s="8">
        <v>1</v>
      </c>
      <c r="M27" s="6" t="s">
        <v>188</v>
      </c>
      <c r="N27" s="6">
        <f t="shared" si="0"/>
        <v>61</v>
      </c>
    </row>
    <row r="28" spans="1:14" x14ac:dyDescent="0.25">
      <c r="A28" s="6" t="s">
        <v>190</v>
      </c>
      <c r="B28" s="6" t="str">
        <f>Informações!$C$3</f>
        <v>IMA</v>
      </c>
      <c r="C28" s="6" t="s">
        <v>102</v>
      </c>
      <c r="D28" s="6" t="s">
        <v>102</v>
      </c>
      <c r="E28" s="2" t="s">
        <v>8</v>
      </c>
      <c r="F28" s="6" t="str">
        <f>VLOOKUP(G28,[1]Analog!$A:$B,2,FALSE)</f>
        <v>TEMPERATURA OLEO</v>
      </c>
      <c r="G28" s="6" t="s">
        <v>106</v>
      </c>
      <c r="H28" s="6" t="str" cm="1">
        <f t="array" ref="H28">_xlfn.IFS(OR(D28="TC",D28="TP",AND(D28="TR",C28="AT"),AND(D28="TR",C28="BT")),CONCATENATE(B28,"_","TR",$B$3,C28,"_","TR",$B$3,C28,"_",G28),AND(D28="SECC",C28="BT"),CONCATENATE(B28,"_","TR",$B$3,C28,"_",$B$9,"_",G28),AND(D28="SECF",C28="AT"),CONCATENATE(B28,"_","TR",$B$3,C28,"_",$B$6,"_",G28),AND(D28="SECT",C28="AT"),CONCATENATE(B28,"_","TR",$B$3,C28,"_",$B$7,"_",G28),AND(D28="DJ",C28="AT"),CONCATENATE(B28,"_","TR",$B$3,C28,"_",$B$4,"_",G28),AND(D28="DJ",C28="BT"),CONCATENATE(B28,"_","TR",$B$3,C28,"_",$B$8,"_",G28),AND(C28="TR",D28="TR"),CONCATENATE(B28,"_","TR",$B$3,"_","TR",$B$3,"_",G28),AND(D28="SECT",C28="BT"),CONCATENATE(B28,"_","TR",$B$3,C28,"_",$B$11,"_",G28),AND(D28="SECF",C28="BT"),CONCATENATE(B28,"_","TR",$B$3,C28,"_",$B$10,"_",G28),AND(D28="SECC",C28="AT"),CONCATENATE(B28,"_","TR",$B$3,C28,"_",$B$5,"_",G28),AND(C28="AT",D28="TR_A"),CONCATENATE(B28,"_","TR",$B$3,C28,"_","TR",$B$3,C28,"_A","_",G28),AND(C28="AT",D28="TR_P"),CONCATENATE(B28,"_","TR",$B$3,C28,"_","TR",$B$3,C28,"_P","_",G28),AND(C28="BT",D28="TR_A"),CONCATENATE(B28,"_","TR",$B$3,C28,"_","TR",$B$3,C28,"_A","_",G28),AND(C28="BT",D28="TR_P"),CONCATENATE(B28,"_","TR",$B$3,C28,"_","TR",$B$3,C28,"_P","_",G28),AND(C28="TR",D28="TR_P"),CONCATENATE(B28,"_","TR",$B$3,"_","TR",$B$3,"_P","_",G28),AND(C28="TR",D28="TR_A"),CONCATENATE(B28,"_","TR",$B$3,"_","TR",$B$3,"_A","_",G28))</f>
        <v>IMA_TR7_TR7_TOLE</v>
      </c>
      <c r="I28" s="6" t="s">
        <v>188</v>
      </c>
      <c r="J28" s="6" t="s">
        <v>188</v>
      </c>
      <c r="K28" s="6" t="s">
        <v>188</v>
      </c>
      <c r="L28" s="8">
        <v>1</v>
      </c>
      <c r="M28" s="6" t="s">
        <v>188</v>
      </c>
      <c r="N28" s="6">
        <f t="shared" si="0"/>
        <v>62</v>
      </c>
    </row>
    <row r="29" spans="1:14" x14ac:dyDescent="0.25">
      <c r="A29" s="6" t="s">
        <v>190</v>
      </c>
      <c r="B29" s="6" t="str">
        <f>Informações!$C$3</f>
        <v>IMA</v>
      </c>
      <c r="C29" s="6" t="s">
        <v>100</v>
      </c>
      <c r="D29" s="6" t="s">
        <v>102</v>
      </c>
      <c r="E29" s="2" t="s">
        <v>8</v>
      </c>
      <c r="F29" s="6" t="str">
        <f>VLOOKUP(G29,[1]Analog!$A:$B,2,FALSE)</f>
        <v>TEMPERATURA ENROLAMENTO</v>
      </c>
      <c r="G29" s="6" t="s">
        <v>107</v>
      </c>
      <c r="H29" s="6" t="str" cm="1">
        <f t="array" ref="H29">_xlfn.IFS(OR(D29="TC",D29="TP",AND(D29="TR",C29="AT"),AND(D29="TR",C29="BT")),CONCATENATE(B29,"_","TR",$B$3,C29,"_","TR",$B$3,C29,"_",G29),AND(D29="SECC",C29="BT"),CONCATENATE(B29,"_","TR",$B$3,C29,"_",$B$9,"_",G29),AND(D29="SECF",C29="AT"),CONCATENATE(B29,"_","TR",$B$3,C29,"_",$B$6,"_",G29),AND(D29="SECT",C29="AT"),CONCATENATE(B29,"_","TR",$B$3,C29,"_",$B$7,"_",G29),AND(D29="DJ",C29="AT"),CONCATENATE(B29,"_","TR",$B$3,C29,"_",$B$4,"_",G29),AND(D29="DJ",C29="BT"),CONCATENATE(B29,"_","TR",$B$3,C29,"_",$B$8,"_",G29),AND(C29="TR",D29="TR"),CONCATENATE(B29,"_","TR",$B$3,"_","TR",$B$3,"_",G29),AND(D29="SECT",C29="BT"),CONCATENATE(B29,"_","TR",$B$3,C29,"_",$B$11,"_",G29),AND(D29="SECF",C29="BT"),CONCATENATE(B29,"_","TR",$B$3,C29,"_",$B$10,"_",G29),AND(D29="SECC",C29="AT"),CONCATENATE(B29,"_","TR",$B$3,C29,"_",$B$5,"_",G29),AND(C29="AT",D29="TR_A"),CONCATENATE(B29,"_","TR",$B$3,C29,"_","TR",$B$3,C29,"_A","_",G29),AND(C29="AT",D29="TR_P"),CONCATENATE(B29,"_","TR",$B$3,C29,"_","TR",$B$3,C29,"_P","_",G29),AND(C29="BT",D29="TR_A"),CONCATENATE(B29,"_","TR",$B$3,C29,"_","TR",$B$3,C29,"_A","_",G29),AND(C29="BT",D29="TR_P"),CONCATENATE(B29,"_","TR",$B$3,C29,"_","TR",$B$3,C29,"_P","_",G29),AND(C29="TR",D29="TR_P"),CONCATENATE(B29,"_","TR",$B$3,"_","TR",$B$3,"_P","_",G29),AND(C29="TR",D29="TR_A"),CONCATENATE(B29,"_","TR",$B$3,"_","TR",$B$3,"_A","_",G29))</f>
        <v>IMA_TR7AT_TR7AT_TENR</v>
      </c>
      <c r="I29" s="6" t="s">
        <v>188</v>
      </c>
      <c r="J29" s="6" t="s">
        <v>188</v>
      </c>
      <c r="K29" s="6" t="s">
        <v>188</v>
      </c>
      <c r="L29" s="8">
        <v>1</v>
      </c>
      <c r="M29" s="6" t="s">
        <v>188</v>
      </c>
      <c r="N29" s="6">
        <f t="shared" si="0"/>
        <v>63</v>
      </c>
    </row>
    <row r="30" spans="1:14" x14ac:dyDescent="0.25">
      <c r="A30" s="6" t="s">
        <v>190</v>
      </c>
      <c r="B30" s="6" t="str">
        <f>Informações!$C$3</f>
        <v>IMA</v>
      </c>
      <c r="C30" s="6" t="s">
        <v>101</v>
      </c>
      <c r="D30" s="6" t="s">
        <v>102</v>
      </c>
      <c r="E30" s="2" t="s">
        <v>8</v>
      </c>
      <c r="F30" s="6" t="str">
        <f>VLOOKUP(G30,[1]Analog!$A:$B,2,FALSE)</f>
        <v>TEMPERATURA ENROLAMENTO</v>
      </c>
      <c r="G30" s="6" t="s">
        <v>107</v>
      </c>
      <c r="H30" s="6" t="str" cm="1">
        <f t="array" ref="H30">_xlfn.IFS(OR(D30="TC",D30="TP",AND(D30="TR",C30="AT"),AND(D30="TR",C30="BT")),CONCATENATE(B30,"_","TR",$B$3,C30,"_","TR",$B$3,C30,"_",G30),AND(D30="SECC",C30="BT"),CONCATENATE(B30,"_","TR",$B$3,C30,"_",$B$9,"_",G30),AND(D30="SECF",C30="AT"),CONCATENATE(B30,"_","TR",$B$3,C30,"_",$B$6,"_",G30),AND(D30="SECT",C30="AT"),CONCATENATE(B30,"_","TR",$B$3,C30,"_",$B$7,"_",G30),AND(D30="DJ",C30="AT"),CONCATENATE(B30,"_","TR",$B$3,C30,"_",$B$4,"_",G30),AND(D30="DJ",C30="BT"),CONCATENATE(B30,"_","TR",$B$3,C30,"_",$B$8,"_",G30),AND(C30="TR",D30="TR"),CONCATENATE(B30,"_","TR",$B$3,"_","TR",$B$3,"_",G30),AND(D30="SECT",C30="BT"),CONCATENATE(B30,"_","TR",$B$3,C30,"_",$B$11,"_",G30),AND(D30="SECF",C30="BT"),CONCATENATE(B30,"_","TR",$B$3,C30,"_",$B$10,"_",G30),AND(D30="SECC",C30="AT"),CONCATENATE(B30,"_","TR",$B$3,C30,"_",$B$5,"_",G30),AND(C30="AT",D30="TR_A"),CONCATENATE(B30,"_","TR",$B$3,C30,"_","TR",$B$3,C30,"_A","_",G30),AND(C30="AT",D30="TR_P"),CONCATENATE(B30,"_","TR",$B$3,C30,"_","TR",$B$3,C30,"_P","_",G30),AND(C30="BT",D30="TR_A"),CONCATENATE(B30,"_","TR",$B$3,C30,"_","TR",$B$3,C30,"_A","_",G30),AND(C30="BT",D30="TR_P"),CONCATENATE(B30,"_","TR",$B$3,C30,"_","TR",$B$3,C30,"_P","_",G30),AND(C30="TR",D30="TR_P"),CONCATENATE(B30,"_","TR",$B$3,"_","TR",$B$3,"_P","_",G30),AND(C30="TR",D30="TR_A"),CONCATENATE(B30,"_","TR",$B$3,"_","TR",$B$3,"_A","_",G30))</f>
        <v>IMA_TR7BT_TR7BT_TENR</v>
      </c>
      <c r="I30" s="6" t="s">
        <v>188</v>
      </c>
      <c r="J30" s="6" t="s">
        <v>188</v>
      </c>
      <c r="K30" s="6" t="s">
        <v>188</v>
      </c>
      <c r="L30" s="8">
        <v>1</v>
      </c>
      <c r="M30" s="6" t="s">
        <v>188</v>
      </c>
      <c r="N30" s="6">
        <f t="shared" si="0"/>
        <v>64</v>
      </c>
    </row>
    <row r="31" spans="1:14" x14ac:dyDescent="0.25">
      <c r="A31" s="6" t="s">
        <v>190</v>
      </c>
      <c r="B31" s="6" t="str">
        <f>Informações!$C$3</f>
        <v>IMA</v>
      </c>
      <c r="C31" s="6" t="s">
        <v>101</v>
      </c>
      <c r="D31" s="6" t="s">
        <v>102</v>
      </c>
      <c r="E31" s="2" t="s">
        <v>8</v>
      </c>
      <c r="F31" s="6" t="str">
        <f>VLOOKUP(G31,[1]Analog!$A:$B,2,FALSE)</f>
        <v>CORRENTE CURTO CIRCUITO FASE A</v>
      </c>
      <c r="G31" s="6" t="s">
        <v>21</v>
      </c>
      <c r="H31" s="6" t="str" cm="1">
        <f t="array" ref="H31">_xlfn.IFS(OR(D31="TC",D31="TP",AND(D31="TR",C31="AT"),AND(D31="TR",C31="BT")),CONCATENATE(B31,"_","TR",$B$3,C31,"_","TR",$B$3,C31,"_",G31),AND(D31="SECC",C31="BT"),CONCATENATE(B31,"_","TR",$B$3,C31,"_",$B$9,"_",G31),AND(D31="SECF",C31="AT"),CONCATENATE(B31,"_","TR",$B$3,C31,"_",$B$6,"_",G31),AND(D31="SECT",C31="AT"),CONCATENATE(B31,"_","TR",$B$3,C31,"_",$B$7,"_",G31),AND(D31="DJ",C31="AT"),CONCATENATE(B31,"_","TR",$B$3,C31,"_",$B$4,"_",G31),AND(D31="DJ",C31="BT"),CONCATENATE(B31,"_","TR",$B$3,C31,"_",$B$8,"_",G31),AND(C31="TR",D31="TR"),CONCATENATE(B31,"_","TR",$B$3,"_","TR",$B$3,"_",G31),AND(D31="SECT",C31="BT"),CONCATENATE(B31,"_","TR",$B$3,C31,"_",$B$11,"_",G31),AND(D31="SECF",C31="BT"),CONCATENATE(B31,"_","TR",$B$3,C31,"_",$B$10,"_",G31),AND(D31="SECC",C31="AT"),CONCATENATE(B31,"_","TR",$B$3,C31,"_",$B$5,"_",G31),AND(C31="AT",D31="TR_A"),CONCATENATE(B31,"_","TR",$B$3,C31,"_","TR",$B$3,C31,"_A","_",G31),AND(C31="AT",D31="TR_P"),CONCATENATE(B31,"_","TR",$B$3,C31,"_","TR",$B$3,C31,"_P","_",G31),AND(C31="BT",D31="TR_A"),CONCATENATE(B31,"_","TR",$B$3,C31,"_","TR",$B$3,C31,"_A","_",G31),AND(C31="BT",D31="TR_P"),CONCATENATE(B31,"_","TR",$B$3,C31,"_","TR",$B$3,C31,"_P","_",G31),AND(C31="TR",D31="TR_P"),CONCATENATE(B31,"_","TR",$B$3,"_","TR",$B$3,"_P","_",G31),AND(C31="TR",D31="TR_A"),CONCATENATE(B31,"_","TR",$B$3,"_","TR",$B$3,"_A","_",G31))</f>
        <v>IMA_TR7BT_TR7BT_IACC</v>
      </c>
      <c r="I31" s="6" t="s">
        <v>188</v>
      </c>
      <c r="J31" s="6" t="s">
        <v>188</v>
      </c>
      <c r="K31" s="6" t="s">
        <v>188</v>
      </c>
      <c r="L31" s="8">
        <v>1</v>
      </c>
      <c r="M31" s="6" t="s">
        <v>188</v>
      </c>
      <c r="N31" s="6">
        <f t="shared" si="0"/>
        <v>65</v>
      </c>
    </row>
    <row r="32" spans="1:14" x14ac:dyDescent="0.25">
      <c r="A32" s="6" t="s">
        <v>190</v>
      </c>
      <c r="B32" s="6" t="str">
        <f>Informações!$C$3</f>
        <v>IMA</v>
      </c>
      <c r="C32" s="6" t="s">
        <v>101</v>
      </c>
      <c r="D32" s="6" t="s">
        <v>102</v>
      </c>
      <c r="E32" s="2" t="s">
        <v>8</v>
      </c>
      <c r="F32" s="6" t="str">
        <f>VLOOKUP(G32,[1]Analog!$A:$B,2,FALSE)</f>
        <v>CORRENTE CURTO CIRCUITO FASE B</v>
      </c>
      <c r="G32" s="6" t="s">
        <v>22</v>
      </c>
      <c r="H32" s="6" t="str" cm="1">
        <f t="array" ref="H32">_xlfn.IFS(OR(D32="TC",D32="TP",AND(D32="TR",C32="AT"),AND(D32="TR",C32="BT")),CONCATENATE(B32,"_","TR",$B$3,C32,"_","TR",$B$3,C32,"_",G32),AND(D32="SECC",C32="BT"),CONCATENATE(B32,"_","TR",$B$3,C32,"_",$B$9,"_",G32),AND(D32="SECF",C32="AT"),CONCATENATE(B32,"_","TR",$B$3,C32,"_",$B$6,"_",G32),AND(D32="SECT",C32="AT"),CONCATENATE(B32,"_","TR",$B$3,C32,"_",$B$7,"_",G32),AND(D32="DJ",C32="AT"),CONCATENATE(B32,"_","TR",$B$3,C32,"_",$B$4,"_",G32),AND(D32="DJ",C32="BT"),CONCATENATE(B32,"_","TR",$B$3,C32,"_",$B$8,"_",G32),AND(C32="TR",D32="TR"),CONCATENATE(B32,"_","TR",$B$3,"_","TR",$B$3,"_",G32),AND(D32="SECT",C32="BT"),CONCATENATE(B32,"_","TR",$B$3,C32,"_",$B$11,"_",G32),AND(D32="SECF",C32="BT"),CONCATENATE(B32,"_","TR",$B$3,C32,"_",$B$10,"_",G32),AND(D32="SECC",C32="AT"),CONCATENATE(B32,"_","TR",$B$3,C32,"_",$B$5,"_",G32),AND(C32="AT",D32="TR_A"),CONCATENATE(B32,"_","TR",$B$3,C32,"_","TR",$B$3,C32,"_A","_",G32),AND(C32="AT",D32="TR_P"),CONCATENATE(B32,"_","TR",$B$3,C32,"_","TR",$B$3,C32,"_P","_",G32),AND(C32="BT",D32="TR_A"),CONCATENATE(B32,"_","TR",$B$3,C32,"_","TR",$B$3,C32,"_A","_",G32),AND(C32="BT",D32="TR_P"),CONCATENATE(B32,"_","TR",$B$3,C32,"_","TR",$B$3,C32,"_P","_",G32),AND(C32="TR",D32="TR_P"),CONCATENATE(B32,"_","TR",$B$3,"_","TR",$B$3,"_P","_",G32),AND(C32="TR",D32="TR_A"),CONCATENATE(B32,"_","TR",$B$3,"_","TR",$B$3,"_A","_",G32))</f>
        <v>IMA_TR7BT_TR7BT_IBCC</v>
      </c>
      <c r="I32" s="6" t="s">
        <v>188</v>
      </c>
      <c r="J32" s="6" t="s">
        <v>188</v>
      </c>
      <c r="K32" s="6" t="s">
        <v>188</v>
      </c>
      <c r="L32" s="8">
        <v>1</v>
      </c>
      <c r="M32" s="6" t="s">
        <v>188</v>
      </c>
      <c r="N32" s="6">
        <f t="shared" si="0"/>
        <v>66</v>
      </c>
    </row>
    <row r="33" spans="1:14" x14ac:dyDescent="0.25">
      <c r="A33" s="6" t="s">
        <v>190</v>
      </c>
      <c r="B33" s="6" t="str">
        <f>Informações!$C$3</f>
        <v>IMA</v>
      </c>
      <c r="C33" s="6" t="s">
        <v>101</v>
      </c>
      <c r="D33" s="6" t="s">
        <v>102</v>
      </c>
      <c r="E33" s="2" t="s">
        <v>8</v>
      </c>
      <c r="F33" s="6" t="str">
        <f>VLOOKUP(G33,[1]Analog!$A:$B,2,FALSE)</f>
        <v>CORRENTE CURTO CIRCUITO FASE C</v>
      </c>
      <c r="G33" s="6" t="s">
        <v>23</v>
      </c>
      <c r="H33" s="6" t="str" cm="1">
        <f t="array" ref="H33">_xlfn.IFS(OR(D33="TC",D33="TP",AND(D33="TR",C33="AT"),AND(D33="TR",C33="BT")),CONCATENATE(B33,"_","TR",$B$3,C33,"_","TR",$B$3,C33,"_",G33),AND(D33="SECC",C33="BT"),CONCATENATE(B33,"_","TR",$B$3,C33,"_",$B$9,"_",G33),AND(D33="SECF",C33="AT"),CONCATENATE(B33,"_","TR",$B$3,C33,"_",$B$6,"_",G33),AND(D33="SECT",C33="AT"),CONCATENATE(B33,"_","TR",$B$3,C33,"_",$B$7,"_",G33),AND(D33="DJ",C33="AT"),CONCATENATE(B33,"_","TR",$B$3,C33,"_",$B$4,"_",G33),AND(D33="DJ",C33="BT"),CONCATENATE(B33,"_","TR",$B$3,C33,"_",$B$8,"_",G33),AND(C33="TR",D33="TR"),CONCATENATE(B33,"_","TR",$B$3,"_","TR",$B$3,"_",G33),AND(D33="SECT",C33="BT"),CONCATENATE(B33,"_","TR",$B$3,C33,"_",$B$11,"_",G33),AND(D33="SECF",C33="BT"),CONCATENATE(B33,"_","TR",$B$3,C33,"_",$B$10,"_",G33),AND(D33="SECC",C33="AT"),CONCATENATE(B33,"_","TR",$B$3,C33,"_",$B$5,"_",G33),AND(C33="AT",D33="TR_A"),CONCATENATE(B33,"_","TR",$B$3,C33,"_","TR",$B$3,C33,"_A","_",G33),AND(C33="AT",D33="TR_P"),CONCATENATE(B33,"_","TR",$B$3,C33,"_","TR",$B$3,C33,"_P","_",G33),AND(C33="BT",D33="TR_A"),CONCATENATE(B33,"_","TR",$B$3,C33,"_","TR",$B$3,C33,"_A","_",G33),AND(C33="BT",D33="TR_P"),CONCATENATE(B33,"_","TR",$B$3,C33,"_","TR",$B$3,C33,"_P","_",G33),AND(C33="TR",D33="TR_P"),CONCATENATE(B33,"_","TR",$B$3,"_","TR",$B$3,"_P","_",G33),AND(C33="TR",D33="TR_A"),CONCATENATE(B33,"_","TR",$B$3,"_","TR",$B$3,"_A","_",G33))</f>
        <v>IMA_TR7BT_TR7BT_ICCC</v>
      </c>
      <c r="I33" s="6" t="s">
        <v>188</v>
      </c>
      <c r="J33" s="6" t="s">
        <v>188</v>
      </c>
      <c r="K33" s="6" t="s">
        <v>188</v>
      </c>
      <c r="L33" s="8">
        <v>1</v>
      </c>
      <c r="M33" s="6" t="s">
        <v>188</v>
      </c>
      <c r="N33" s="6">
        <f t="shared" si="0"/>
        <v>67</v>
      </c>
    </row>
    <row r="34" spans="1:14" x14ac:dyDescent="0.25">
      <c r="A34" s="6" t="s">
        <v>190</v>
      </c>
      <c r="B34" s="6" t="str">
        <f>Informações!$C$3</f>
        <v>IMA</v>
      </c>
      <c r="C34" s="6" t="s">
        <v>101</v>
      </c>
      <c r="D34" s="6" t="s">
        <v>102</v>
      </c>
      <c r="E34" s="2" t="s">
        <v>8</v>
      </c>
      <c r="F34" s="6" t="str">
        <f>VLOOKUP(G34,[1]Analog!$A:$B,2,FALSE)</f>
        <v>CORRENTE CURTO CIRCUITO NEUTRO</v>
      </c>
      <c r="G34" s="6" t="s">
        <v>92</v>
      </c>
      <c r="H34" s="6" t="str" cm="1">
        <f t="array" ref="H34">_xlfn.IFS(OR(D34="TC",D34="TP",AND(D34="TR",C34="AT"),AND(D34="TR",C34="BT")),CONCATENATE(B34,"_","TR",$B$3,C34,"_","TR",$B$3,C34,"_",G34),AND(D34="SECC",C34="BT"),CONCATENATE(B34,"_","TR",$B$3,C34,"_",$B$9,"_",G34),AND(D34="SECF",C34="AT"),CONCATENATE(B34,"_","TR",$B$3,C34,"_",$B$6,"_",G34),AND(D34="SECT",C34="AT"),CONCATENATE(B34,"_","TR",$B$3,C34,"_",$B$7,"_",G34),AND(D34="DJ",C34="AT"),CONCATENATE(B34,"_","TR",$B$3,C34,"_",$B$4,"_",G34),AND(D34="DJ",C34="BT"),CONCATENATE(B34,"_","TR",$B$3,C34,"_",$B$8,"_",G34),AND(C34="TR",D34="TR"),CONCATENATE(B34,"_","TR",$B$3,"_","TR",$B$3,"_",G34),AND(D34="SECT",C34="BT"),CONCATENATE(B34,"_","TR",$B$3,C34,"_",$B$11,"_",G34),AND(D34="SECF",C34="BT"),CONCATENATE(B34,"_","TR",$B$3,C34,"_",$B$10,"_",G34),AND(D34="SECC",C34="AT"),CONCATENATE(B34,"_","TR",$B$3,C34,"_",$B$5,"_",G34),AND(C34="AT",D34="TR_A"),CONCATENATE(B34,"_","TR",$B$3,C34,"_","TR",$B$3,C34,"_A","_",G34),AND(C34="AT",D34="TR_P"),CONCATENATE(B34,"_","TR",$B$3,C34,"_","TR",$B$3,C34,"_P","_",G34),AND(C34="BT",D34="TR_A"),CONCATENATE(B34,"_","TR",$B$3,C34,"_","TR",$B$3,C34,"_A","_",G34),AND(C34="BT",D34="TR_P"),CONCATENATE(B34,"_","TR",$B$3,C34,"_","TR",$B$3,C34,"_P","_",G34),AND(C34="TR",D34="TR_P"),CONCATENATE(B34,"_","TR",$B$3,"_","TR",$B$3,"_P","_",G34),AND(C34="TR",D34="TR_A"),CONCATENATE(B34,"_","TR",$B$3,"_","TR",$B$3,"_A","_",G34))</f>
        <v>IMA_TR7BT_TR7BT_INCC</v>
      </c>
      <c r="I34" s="6" t="s">
        <v>188</v>
      </c>
      <c r="J34" s="6" t="s">
        <v>188</v>
      </c>
      <c r="K34" s="6" t="s">
        <v>188</v>
      </c>
      <c r="L34" s="8">
        <v>1</v>
      </c>
      <c r="M34" s="6" t="s">
        <v>188</v>
      </c>
      <c r="N34" s="6">
        <f t="shared" si="0"/>
        <v>68</v>
      </c>
    </row>
    <row r="35" spans="1:14" x14ac:dyDescent="0.25">
      <c r="A35" s="95" t="s">
        <v>190</v>
      </c>
      <c r="B35" s="95" t="str">
        <f>Informações!$C$3</f>
        <v>IMA</v>
      </c>
      <c r="C35" s="95" t="s">
        <v>100</v>
      </c>
      <c r="D35" s="95" t="s">
        <v>102</v>
      </c>
      <c r="E35" s="2" t="s">
        <v>8</v>
      </c>
      <c r="F35" s="95" t="str">
        <f>VLOOKUP(G35,[1]Analog!$A:$B,2,FALSE)</f>
        <v>CORRENTE CURTO CIRCUITO FASE A</v>
      </c>
      <c r="G35" s="6" t="s">
        <v>21</v>
      </c>
      <c r="H35" s="6" t="str" cm="1">
        <f t="array" ref="H35">_xlfn.IFS(OR(D35="TC",D35="TP",AND(D35="TR",C35="AT"),AND(D35="TR",C35="BT")),CONCATENATE(B35,"_","TR",$B$3,C35,"_","TR",$B$3,C35,"_",G35),AND(D35="SECC",C35="BT"),CONCATENATE(B35,"_","TR",$B$3,C35,"_",$B$9,"_",G35),AND(D35="SECF",C35="AT"),CONCATENATE(B35,"_","TR",$B$3,C35,"_",$B$6,"_",G35),AND(D35="SECT",C35="AT"),CONCATENATE(B35,"_","TR",$B$3,C35,"_",$B$7,"_",G35),AND(D35="DJ",C35="AT"),CONCATENATE(B35,"_","TR",$B$3,C35,"_",$B$4,"_",G35),AND(D35="DJ",C35="BT"),CONCATENATE(B35,"_","TR",$B$3,C35,"_",$B$8,"_",G35),AND(C35="TR",D35="TR"),CONCATENATE(B35,"_","TR",$B$3,"_","TR",$B$3,"_",G35),AND(D35="SECT",C35="BT"),CONCATENATE(B35,"_","TR",$B$3,C35,"_",$B$11,"_",G35),AND(D35="SECF",C35="BT"),CONCATENATE(B35,"_","TR",$B$3,C35,"_",$B$10,"_",G35),AND(D35="SECC",C35="AT"),CONCATENATE(B35,"_","TR",$B$3,C35,"_",$B$5,"_",G35),AND(C35="AT",D35="TR_A"),CONCATENATE(B35,"_","TR",$B$3,C35,"_","TR",$B$3,C35,"_A","_",G35),AND(C35="AT",D35="TR_P"),CONCATENATE(B35,"_","TR",$B$3,C35,"_","TR",$B$3,C35,"_P","_",G35),AND(C35="BT",D35="TR_A"),CONCATENATE(B35,"_","TR",$B$3,C35,"_","TR",$B$3,C35,"_A","_",G35),AND(C35="BT",D35="TR_P"),CONCATENATE(B35,"_","TR",$B$3,C35,"_","TR",$B$3,C35,"_P","_",G35),AND(C35="TR",D35="TR_P"),CONCATENATE(B35,"_","TR",$B$3,"_","TR",$B$3,"_P","_",G35),AND(C35="TR",D35="TR_A"),CONCATENATE(B35,"_","TR",$B$3,"_","TR",$B$3,"_A","_",G35))</f>
        <v>IMA_TR7AT_TR7AT_IACC</v>
      </c>
      <c r="I35" s="6" t="s">
        <v>188</v>
      </c>
      <c r="J35" s="6" t="s">
        <v>188</v>
      </c>
      <c r="K35" s="6" t="s">
        <v>188</v>
      </c>
      <c r="L35" s="8">
        <v>1</v>
      </c>
      <c r="M35" s="6" t="s">
        <v>188</v>
      </c>
      <c r="N35" s="95">
        <f>'TR 1'!N38+1</f>
        <v>204</v>
      </c>
    </row>
    <row r="36" spans="1:14" x14ac:dyDescent="0.25">
      <c r="A36" s="95" t="s">
        <v>190</v>
      </c>
      <c r="B36" s="95" t="str">
        <f>Informações!$C$3</f>
        <v>IMA</v>
      </c>
      <c r="C36" s="95" t="s">
        <v>100</v>
      </c>
      <c r="D36" s="95" t="s">
        <v>102</v>
      </c>
      <c r="E36" s="2" t="s">
        <v>8</v>
      </c>
      <c r="F36" s="95" t="str">
        <f>VLOOKUP(G36,[1]Analog!$A:$B,2,FALSE)</f>
        <v>CORRENTE CURTO CIRCUITO FASE B</v>
      </c>
      <c r="G36" s="6" t="s">
        <v>22</v>
      </c>
      <c r="H36" s="6" t="str" cm="1">
        <f t="array" ref="H36">_xlfn.IFS(OR(D36="TC",D36="TP",AND(D36="TR",C36="AT"),AND(D36="TR",C36="BT")),CONCATENATE(B36,"_","TR",$B$3,C36,"_","TR",$B$3,C36,"_",G36),AND(D36="SECC",C36="BT"),CONCATENATE(B36,"_","TR",$B$3,C36,"_",$B$9,"_",G36),AND(D36="SECF",C36="AT"),CONCATENATE(B36,"_","TR",$B$3,C36,"_",$B$6,"_",G36),AND(D36="SECT",C36="AT"),CONCATENATE(B36,"_","TR",$B$3,C36,"_",$B$7,"_",G36),AND(D36="DJ",C36="AT"),CONCATENATE(B36,"_","TR",$B$3,C36,"_",$B$4,"_",G36),AND(D36="DJ",C36="BT"),CONCATENATE(B36,"_","TR",$B$3,C36,"_",$B$8,"_",G36),AND(C36="TR",D36="TR"),CONCATENATE(B36,"_","TR",$B$3,"_","TR",$B$3,"_",G36),AND(D36="SECT",C36="BT"),CONCATENATE(B36,"_","TR",$B$3,C36,"_",$B$11,"_",G36),AND(D36="SECF",C36="BT"),CONCATENATE(B36,"_","TR",$B$3,C36,"_",$B$10,"_",G36),AND(D36="SECC",C36="AT"),CONCATENATE(B36,"_","TR",$B$3,C36,"_",$B$5,"_",G36),AND(C36="AT",D36="TR_A"),CONCATENATE(B36,"_","TR",$B$3,C36,"_","TR",$B$3,C36,"_A","_",G36),AND(C36="AT",D36="TR_P"),CONCATENATE(B36,"_","TR",$B$3,C36,"_","TR",$B$3,C36,"_P","_",G36),AND(C36="BT",D36="TR_A"),CONCATENATE(B36,"_","TR",$B$3,C36,"_","TR",$B$3,C36,"_A","_",G36),AND(C36="BT",D36="TR_P"),CONCATENATE(B36,"_","TR",$B$3,C36,"_","TR",$B$3,C36,"_P","_",G36),AND(C36="TR",D36="TR_P"),CONCATENATE(B36,"_","TR",$B$3,"_","TR",$B$3,"_P","_",G36),AND(C36="TR",D36="TR_A"),CONCATENATE(B36,"_","TR",$B$3,"_","TR",$B$3,"_A","_",G36))</f>
        <v>IMA_TR7AT_TR7AT_IBCC</v>
      </c>
      <c r="I36" s="6" t="s">
        <v>188</v>
      </c>
      <c r="J36" s="6" t="s">
        <v>188</v>
      </c>
      <c r="K36" s="6" t="s">
        <v>188</v>
      </c>
      <c r="L36" s="8">
        <v>1</v>
      </c>
      <c r="M36" s="6" t="s">
        <v>188</v>
      </c>
      <c r="N36" s="95">
        <f>N35+1</f>
        <v>205</v>
      </c>
    </row>
    <row r="37" spans="1:14" x14ac:dyDescent="0.25">
      <c r="A37" s="95" t="s">
        <v>190</v>
      </c>
      <c r="B37" s="95" t="str">
        <f>Informações!$C$3</f>
        <v>IMA</v>
      </c>
      <c r="C37" s="95" t="s">
        <v>100</v>
      </c>
      <c r="D37" s="95" t="s">
        <v>102</v>
      </c>
      <c r="E37" s="2" t="s">
        <v>8</v>
      </c>
      <c r="F37" s="95" t="str">
        <f>VLOOKUP(G37,[1]Analog!$A:$B,2,FALSE)</f>
        <v>CORRENTE CURTO CIRCUITO FASE C</v>
      </c>
      <c r="G37" s="6" t="s">
        <v>23</v>
      </c>
      <c r="H37" s="6" t="str" cm="1">
        <f t="array" ref="H37">_xlfn.IFS(OR(D37="TC",D37="TP",AND(D37="TR",C37="AT"),AND(D37="TR",C37="BT")),CONCATENATE(B37,"_","TR",$B$3,C37,"_","TR",$B$3,C37,"_",G37),AND(D37="SECC",C37="BT"),CONCATENATE(B37,"_","TR",$B$3,C37,"_",$B$9,"_",G37),AND(D37="SECF",C37="AT"),CONCATENATE(B37,"_","TR",$B$3,C37,"_",$B$6,"_",G37),AND(D37="SECT",C37="AT"),CONCATENATE(B37,"_","TR",$B$3,C37,"_",$B$7,"_",G37),AND(D37="DJ",C37="AT"),CONCATENATE(B37,"_","TR",$B$3,C37,"_",$B$4,"_",G37),AND(D37="DJ",C37="BT"),CONCATENATE(B37,"_","TR",$B$3,C37,"_",$B$8,"_",G37),AND(C37="TR",D37="TR"),CONCATENATE(B37,"_","TR",$B$3,"_","TR",$B$3,"_",G37),AND(D37="SECT",C37="BT"),CONCATENATE(B37,"_","TR",$B$3,C37,"_",$B$11,"_",G37),AND(D37="SECF",C37="BT"),CONCATENATE(B37,"_","TR",$B$3,C37,"_",$B$10,"_",G37),AND(D37="SECC",C37="AT"),CONCATENATE(B37,"_","TR",$B$3,C37,"_",$B$5,"_",G37),AND(C37="AT",D37="TR_A"),CONCATENATE(B37,"_","TR",$B$3,C37,"_","TR",$B$3,C37,"_A","_",G37),AND(C37="AT",D37="TR_P"),CONCATENATE(B37,"_","TR",$B$3,C37,"_","TR",$B$3,C37,"_P","_",G37),AND(C37="BT",D37="TR_A"),CONCATENATE(B37,"_","TR",$B$3,C37,"_","TR",$B$3,C37,"_A","_",G37),AND(C37="BT",D37="TR_P"),CONCATENATE(B37,"_","TR",$B$3,C37,"_","TR",$B$3,C37,"_P","_",G37),AND(C37="TR",D37="TR_P"),CONCATENATE(B37,"_","TR",$B$3,"_","TR",$B$3,"_P","_",G37),AND(C37="TR",D37="TR_A"),CONCATENATE(B37,"_","TR",$B$3,"_","TR",$B$3,"_A","_",G37))</f>
        <v>IMA_TR7AT_TR7AT_ICCC</v>
      </c>
      <c r="I37" s="6" t="s">
        <v>188</v>
      </c>
      <c r="J37" s="6" t="s">
        <v>188</v>
      </c>
      <c r="K37" s="6" t="s">
        <v>188</v>
      </c>
      <c r="L37" s="8">
        <v>1</v>
      </c>
      <c r="M37" s="6" t="s">
        <v>188</v>
      </c>
      <c r="N37" s="95">
        <f t="shared" ref="N37:N38" si="1">N36+1</f>
        <v>206</v>
      </c>
    </row>
    <row r="38" spans="1:14" x14ac:dyDescent="0.25">
      <c r="A38" s="95" t="s">
        <v>190</v>
      </c>
      <c r="B38" s="95" t="str">
        <f>Informações!$C$3</f>
        <v>IMA</v>
      </c>
      <c r="C38" s="95" t="s">
        <v>100</v>
      </c>
      <c r="D38" s="95" t="s">
        <v>102</v>
      </c>
      <c r="E38" s="2" t="s">
        <v>8</v>
      </c>
      <c r="F38" s="95" t="str">
        <f>VLOOKUP(G38,[1]Analog!$A:$B,2,FALSE)</f>
        <v>CORRENTE CURTO CIRCUITO NEUTRO</v>
      </c>
      <c r="G38" s="6" t="s">
        <v>92</v>
      </c>
      <c r="H38" s="6" t="str" cm="1">
        <f t="array" ref="H38">_xlfn.IFS(OR(D38="TC",D38="TP",AND(D38="TR",C38="AT"),AND(D38="TR",C38="BT")),CONCATENATE(B38,"_","TR",$B$3,C38,"_","TR",$B$3,C38,"_",G38),AND(D38="SECC",C38="BT"),CONCATENATE(B38,"_","TR",$B$3,C38,"_",$B$9,"_",G38),AND(D38="SECF",C38="AT"),CONCATENATE(B38,"_","TR",$B$3,C38,"_",$B$6,"_",G38),AND(D38="SECT",C38="AT"),CONCATENATE(B38,"_","TR",$B$3,C38,"_",$B$7,"_",G38),AND(D38="DJ",C38="AT"),CONCATENATE(B38,"_","TR",$B$3,C38,"_",$B$4,"_",G38),AND(D38="DJ",C38="BT"),CONCATENATE(B38,"_","TR",$B$3,C38,"_",$B$8,"_",G38),AND(C38="TR",D38="TR"),CONCATENATE(B38,"_","TR",$B$3,"_","TR",$B$3,"_",G38),AND(D38="SECT",C38="BT"),CONCATENATE(B38,"_","TR",$B$3,C38,"_",$B$11,"_",G38),AND(D38="SECF",C38="BT"),CONCATENATE(B38,"_","TR",$B$3,C38,"_",$B$10,"_",G38),AND(D38="SECC",C38="AT"),CONCATENATE(B38,"_","TR",$B$3,C38,"_",$B$5,"_",G38),AND(C38="AT",D38="TR_A"),CONCATENATE(B38,"_","TR",$B$3,C38,"_","TR",$B$3,C38,"_A","_",G38),AND(C38="AT",D38="TR_P"),CONCATENATE(B38,"_","TR",$B$3,C38,"_","TR",$B$3,C38,"_P","_",G38),AND(C38="BT",D38="TR_A"),CONCATENATE(B38,"_","TR",$B$3,C38,"_","TR",$B$3,C38,"_A","_",G38),AND(C38="BT",D38="TR_P"),CONCATENATE(B38,"_","TR",$B$3,C38,"_","TR",$B$3,C38,"_P","_",G38),AND(C38="TR",D38="TR_P"),CONCATENATE(B38,"_","TR",$B$3,"_","TR",$B$3,"_P","_",G38),AND(C38="TR",D38="TR_A"),CONCATENATE(B38,"_","TR",$B$3,"_","TR",$B$3,"_A","_",G38))</f>
        <v>IMA_TR7AT_TR7AT_INCC</v>
      </c>
      <c r="I38" s="6" t="s">
        <v>188</v>
      </c>
      <c r="J38" s="6" t="s">
        <v>188</v>
      </c>
      <c r="K38" s="6" t="s">
        <v>188</v>
      </c>
      <c r="L38" s="8">
        <v>1</v>
      </c>
      <c r="M38" s="6" t="s">
        <v>188</v>
      </c>
      <c r="N38" s="95">
        <f t="shared" si="1"/>
        <v>207</v>
      </c>
    </row>
    <row r="39" spans="1:14" s="9" customFormat="1" x14ac:dyDescent="0.25">
      <c r="A39" s="6" t="s">
        <v>190</v>
      </c>
      <c r="B39" s="6" t="str">
        <f>Informações!$C$3</f>
        <v>IMA</v>
      </c>
      <c r="C39" s="6" t="s">
        <v>102</v>
      </c>
      <c r="D39" s="6" t="s">
        <v>102</v>
      </c>
      <c r="E39" s="2" t="s">
        <v>154</v>
      </c>
      <c r="F39" s="6" t="s">
        <v>109</v>
      </c>
      <c r="G39" s="6" t="s">
        <v>109</v>
      </c>
      <c r="H39" s="6" t="str" cm="1">
        <f t="array" ref="H39">_xlfn.IFS(OR(D39="TC",D39="TP",AND(D39="TR",C39="AT"),AND(D39="TR",C39="BT")),CONCATENATE(B39,"_","TR",$B$3,C39,"_","TR",$B$3,C39,"_",G39),AND(D39="SECC",C39="BT"),CONCATENATE(B39,"_","TR",$B$3,C39,"_",$B$9,"_",G39),AND(D39="SECF",C39="AT"),CONCATENATE(B39,"_","TR",$B$3,C39,"_",$B$6,"_",G39),AND(D39="SECT",C39="AT"),CONCATENATE(B39,"_","TR",$B$3,C39,"_",$B$7,"_",G39),AND(D39="DJ",C39="AT"),CONCATENATE(B39,"_","TR",$B$3,C39,"_",$B$4,"_",G39),AND(D39="DJ",C39="BT"),CONCATENATE(B39,"_","TR",$B$3,C39,"_",$B$8,"_",G39),AND(C39="TR",D39="TR"),CONCATENATE(B39,"_","TR",$B$3,"_","TR",$B$3,"_",G39),AND(D39="SECT",C39="BT"),CONCATENATE(B39,"_","TR",$B$3,C39,"_",$B$11,"_",G39),AND(D39="SECF",C39="BT"),CONCATENATE(B39,"_","TR",$B$3,C39,"_",$B$10,"_",G39),AND(D39="SECC",C39="AT"),CONCATENATE(B39,"_","TR",$B$3,C39,"_",$B$5,"_",G39),AND(C39="AT",D39="TR_A"),CONCATENATE(B39,"_","TR",$B$3,C39,"_","TR",$B$3,C39,"_A","_",G39),AND(C39="AT",D39="TR_P"),CONCATENATE(B39,"_","TR",$B$3,C39,"_","TR",$B$3,C39,"_P","_",G39),AND(C39="BT",D39="TR_A"),CONCATENATE(B39,"_","TR",$B$3,C39,"_","TR",$B$3,C39,"_A","_",G39),AND(C39="BT",D39="TR_P"),CONCATENATE(B39,"_","TR",$B$3,C39,"_","TR",$B$3,C39,"_P","_",G39),AND(C39="TR",D39="TR_P"),CONCATENATE(B39,"_","TR",$B$3,"_","TR",$B$3,"_P","_",G39),AND(C39="TR",D39="TR_A"),CONCATENATE(B39,"_","TR",$B$3,"_","TR",$B$3,"_A","_",G39))</f>
        <v>IMA_TR7_TR7_TAP</v>
      </c>
      <c r="I39" s="6" t="s">
        <v>188</v>
      </c>
      <c r="J39" s="6" t="s">
        <v>188</v>
      </c>
      <c r="K39" s="6" t="s">
        <v>188</v>
      </c>
      <c r="L39" s="8">
        <v>1</v>
      </c>
      <c r="M39" s="6" t="s">
        <v>188</v>
      </c>
      <c r="N39" s="6">
        <f>N34+1</f>
        <v>69</v>
      </c>
    </row>
    <row r="40" spans="1:14" x14ac:dyDescent="0.25">
      <c r="A40" s="6" t="s">
        <v>190</v>
      </c>
      <c r="B40" s="6" t="str">
        <f>Informações!$C$3</f>
        <v>IMA</v>
      </c>
      <c r="C40" s="6" t="s">
        <v>100</v>
      </c>
      <c r="D40" s="6" t="s">
        <v>31</v>
      </c>
      <c r="E40" s="2" t="s">
        <v>24</v>
      </c>
      <c r="F40" s="6" t="str">
        <f>VLOOKUP(G40,[1]Discrete!$A:$B,2,FALSE)</f>
        <v>SECCIONADORA CARGA</v>
      </c>
      <c r="G40" s="6" t="s">
        <v>31</v>
      </c>
      <c r="H40" s="6" t="str" cm="1">
        <f t="array" ref="H40">_xlfn.IFS(OR(D40="TC",D40="TP",AND(D40="TR",C40="AT"),AND(D40="TR",C40="BT")),CONCATENATE(B40,"_","TR",$B$3,C40,"_","TR",$B$3,C40,"_",G40),AND(D40="SECC",C40="BT"),CONCATENATE(B40,"_","TR",$B$3,C40,"_",$B$9,"_",G40),AND(D40="SECF",C40="AT"),CONCATENATE(B40,"_","TR",$B$3,C40,"_",$B$6,"_",G40),AND(D40="SECT",C40="AT"),CONCATENATE(B40,"_","TR",$B$3,C40,"_",$B$7,"_",G40),AND(D40="DJ",C40="AT"),CONCATENATE(B40,"_","TR",$B$3,C40,"_",$B$4,"_",G40),AND(D40="DJ",C40="BT"),CONCATENATE(B40,"_","TR",$B$3,C40,"_",$B$8,"_",G40),AND(C40="TR",D40="TR"),CONCATENATE(B40,"_","TR",$B$3,"_","TR",$B$3,"_",G40),AND(D40="SECT",C40="BT"),CONCATENATE(B40,"_","TR",$B$3,C40,"_",$B$11,"_",G40),AND(D40="SECF",C40="BT"),CONCATENATE(B40,"_","TR",$B$3,C40,"_",$B$10,"_",G40),AND(D40="SECC",C40="AT"),CONCATENATE(B40,"_","TR",$B$3,C40,"_",$B$5,"_",G40),AND(C40="AT",D40="TR_A"),CONCATENATE(B40,"_","TR",$B$3,C40,"_","TR",$B$3,C40,"_A","_",G40),AND(C40="AT",D40="TR_P"),CONCATENATE(B40,"_","TR",$B$3,C40,"_","TR",$B$3,C40,"_P","_",G40),AND(C40="BT",D40="TR_A"),CONCATENATE(B40,"_","TR",$B$3,C40,"_","TR",$B$3,C40,"_A","_",G40),AND(C40="BT",D40="TR_P"),CONCATENATE(B40,"_","TR",$B$3,C40,"_","TR",$B$3,C40,"_P","_",G40),AND(C40="TR",D40="TR_P"),CONCATENATE(B40,"_","TR",$B$3,"_","TR",$B$3,"_P","_",G40),AND(C40="TR",D40="TR_A"),CONCATENATE(B40,"_","TR",$B$3,"_","TR",$B$3,"_A","_",G40))</f>
        <v>IMA_TR7AT_89-34_SECC</v>
      </c>
      <c r="I40" s="6" t="s">
        <v>188</v>
      </c>
      <c r="J40" s="6" t="s">
        <v>188</v>
      </c>
      <c r="K40" s="6" t="s">
        <v>188</v>
      </c>
      <c r="L40" s="6" t="s">
        <v>188</v>
      </c>
      <c r="M40" s="6"/>
      <c r="N40" s="6" t="str">
        <f>VALUE(LEFT('TR 1'!N56, FIND(";",'TR 1'!N56)-1)) + 1 &amp; ";" &amp; VALUE(LEFT('TR 1'!N56, FIND(";",'TR 1'!N56)-1)) + 1</f>
        <v>31;31</v>
      </c>
    </row>
    <row r="41" spans="1:14" x14ac:dyDescent="0.25">
      <c r="A41" s="6" t="s">
        <v>190</v>
      </c>
      <c r="B41" s="6" t="str">
        <f>Informações!$C$3</f>
        <v>IMA</v>
      </c>
      <c r="C41" s="6" t="s">
        <v>100</v>
      </c>
      <c r="D41" s="6" t="s">
        <v>32</v>
      </c>
      <c r="E41" s="2" t="s">
        <v>24</v>
      </c>
      <c r="F41" s="6" t="str">
        <f>VLOOKUP(G41,[1]Discrete!$A:$B,2,FALSE)</f>
        <v>SECCIONADORA FONTE</v>
      </c>
      <c r="G41" s="6" t="s">
        <v>32</v>
      </c>
      <c r="H41" s="6" t="str" cm="1">
        <f t="array" ref="H41">_xlfn.IFS(OR(D41="TC",D41="TP",AND(D41="TR",C41="AT"),AND(D41="TR",C41="BT")),CONCATENATE(B41,"_","TR",$B$3,C41,"_","TR",$B$3,C41,"_",G41),AND(D41="SECC",C41="BT"),CONCATENATE(B41,"_","TR",$B$3,C41,"_",$B$9,"_",G41),AND(D41="SECF",C41="AT"),CONCATENATE(B41,"_","TR",$B$3,C41,"_",$B$6,"_",G41),AND(D41="SECT",C41="AT"),CONCATENATE(B41,"_","TR",$B$3,C41,"_",$B$7,"_",G41),AND(D41="DJ",C41="AT"),CONCATENATE(B41,"_","TR",$B$3,C41,"_",$B$4,"_",G41),AND(D41="DJ",C41="BT"),CONCATENATE(B41,"_","TR",$B$3,C41,"_",$B$8,"_",G41),AND(C41="TR",D41="TR"),CONCATENATE(B41,"_","TR",$B$3,"_","TR",$B$3,"_",G41),AND(D41="SECT",C41="BT"),CONCATENATE(B41,"_","TR",$B$3,C41,"_",$B$11,"_",G41),AND(D41="SECF",C41="BT"),CONCATENATE(B41,"_","TR",$B$3,C41,"_",$B$10,"_",G41),AND(D41="SECC",C41="AT"),CONCATENATE(B41,"_","TR",$B$3,C41,"_",$B$5,"_",G41),AND(C41="AT",D41="TR_A"),CONCATENATE(B41,"_","TR",$B$3,C41,"_","TR",$B$3,C41,"_A","_",G41),AND(C41="AT",D41="TR_P"),CONCATENATE(B41,"_","TR",$B$3,C41,"_","TR",$B$3,C41,"_P","_",G41),AND(C41="BT",D41="TR_A"),CONCATENATE(B41,"_","TR",$B$3,C41,"_","TR",$B$3,C41,"_A","_",G41),AND(C41="BT",D41="TR_P"),CONCATENATE(B41,"_","TR",$B$3,C41,"_","TR",$B$3,C41,"_P","_",G41),AND(C41="TR",D41="TR_P"),CONCATENATE(B41,"_","TR",$B$3,"_","TR",$B$3,"_P","_",G41),AND(C41="TR",D41="TR_A"),CONCATENATE(B41,"_","TR",$B$3,"_","TR",$B$3,"_A","_",G41))</f>
        <v>IMA_TR7AT_89-32_SECF</v>
      </c>
      <c r="I41" s="6" t="s">
        <v>188</v>
      </c>
      <c r="J41" s="6" t="s">
        <v>188</v>
      </c>
      <c r="K41" s="6" t="s">
        <v>188</v>
      </c>
      <c r="L41" s="6" t="s">
        <v>188</v>
      </c>
      <c r="M41" s="6"/>
      <c r="N41" s="6" t="str">
        <f t="shared" ref="N41:N56" si="2">VALUE(LEFT(N40, FIND(";",N40)-1)) + 1 &amp; ";" &amp; VALUE(LEFT(N40, FIND(";",N40)-1)) + 1</f>
        <v>32;32</v>
      </c>
    </row>
    <row r="42" spans="1:14" x14ac:dyDescent="0.25">
      <c r="A42" s="6" t="s">
        <v>190</v>
      </c>
      <c r="B42" s="6" t="str">
        <f>Informações!$C$3</f>
        <v>IMA</v>
      </c>
      <c r="C42" s="6" t="s">
        <v>100</v>
      </c>
      <c r="D42" s="6" t="s">
        <v>33</v>
      </c>
      <c r="E42" s="2" t="s">
        <v>24</v>
      </c>
      <c r="F42" s="6" t="str">
        <f>VLOOKUP(G42,[1]Discrete!$A:$B,2,FALSE)</f>
        <v>SECCIONADORA TRANSFERENCIA</v>
      </c>
      <c r="G42" s="6" t="s">
        <v>33</v>
      </c>
      <c r="H42" s="6" t="str" cm="1">
        <f t="array" ref="H42">_xlfn.IFS(OR(D42="TC",D42="TP",AND(D42="TR",C42="AT"),AND(D42="TR",C42="BT")),CONCATENATE(B42,"_","TR",$B$3,C42,"_","TR",$B$3,C42,"_",G42),AND(D42="SECC",C42="BT"),CONCATENATE(B42,"_","TR",$B$3,C42,"_",$B$9,"_",G42),AND(D42="SECF",C42="AT"),CONCATENATE(B42,"_","TR",$B$3,C42,"_",$B$6,"_",G42),AND(D42="SECT",C42="AT"),CONCATENATE(B42,"_","TR",$B$3,C42,"_",$B$7,"_",G42),AND(D42="DJ",C42="AT"),CONCATENATE(B42,"_","TR",$B$3,C42,"_",$B$4,"_",G42),AND(D42="DJ",C42="BT"),CONCATENATE(B42,"_","TR",$B$3,C42,"_",$B$8,"_",G42),AND(C42="TR",D42="TR"),CONCATENATE(B42,"_","TR",$B$3,"_","TR",$B$3,"_",G42),AND(D42="SECT",C42="BT"),CONCATENATE(B42,"_","TR",$B$3,C42,"_",$B$11,"_",G42),AND(D42="SECF",C42="BT"),CONCATENATE(B42,"_","TR",$B$3,C42,"_",$B$10,"_",G42),AND(D42="SECC",C42="AT"),CONCATENATE(B42,"_","TR",$B$3,C42,"_",$B$5,"_",G42),AND(C42="AT",D42="TR_A"),CONCATENATE(B42,"_","TR",$B$3,C42,"_","TR",$B$3,C42,"_A","_",G42),AND(C42="AT",D42="TR_P"),CONCATENATE(B42,"_","TR",$B$3,C42,"_","TR",$B$3,C42,"_P","_",G42),AND(C42="BT",D42="TR_A"),CONCATENATE(B42,"_","TR",$B$3,C42,"_","TR",$B$3,C42,"_A","_",G42),AND(C42="BT",D42="TR_P"),CONCATENATE(B42,"_","TR",$B$3,C42,"_","TR",$B$3,C42,"_P","_",G42),AND(C42="TR",D42="TR_P"),CONCATENATE(B42,"_","TR",$B$3,"_","TR",$B$3,"_P","_",G42),AND(C42="TR",D42="TR_A"),CONCATENATE(B42,"_","TR",$B$3,"_","TR",$B$3,"_A","_",G42))</f>
        <v>IMA_TR7AT_89-36_SECT</v>
      </c>
      <c r="I42" s="6" t="s">
        <v>188</v>
      </c>
      <c r="J42" s="6" t="s">
        <v>188</v>
      </c>
      <c r="K42" s="6" t="s">
        <v>188</v>
      </c>
      <c r="L42" s="6" t="s">
        <v>188</v>
      </c>
      <c r="M42" s="6"/>
      <c r="N42" s="6" t="str">
        <f t="shared" si="2"/>
        <v>33;33</v>
      </c>
    </row>
    <row r="43" spans="1:14" x14ac:dyDescent="0.25">
      <c r="A43" s="6" t="s">
        <v>190</v>
      </c>
      <c r="B43" s="6" t="str">
        <f>Informações!$C$3</f>
        <v>IMA</v>
      </c>
      <c r="C43" s="6" t="s">
        <v>100</v>
      </c>
      <c r="D43" s="6" t="s">
        <v>30</v>
      </c>
      <c r="E43" s="2" t="s">
        <v>24</v>
      </c>
      <c r="F43" s="6" t="str">
        <f>VLOOKUP(G43,[1]Discrete!$A:$B,2,FALSE)</f>
        <v>DISJUNTOR NF</v>
      </c>
      <c r="G43" s="6" t="s">
        <v>34</v>
      </c>
      <c r="H43" s="6" t="str" cm="1">
        <f t="array" ref="H43">_xlfn.IFS(OR(D43="TC",D43="TP",AND(D43="TR",C43="AT"),AND(D43="TR",C43="BT")),CONCATENATE(B43,"_","TR",$B$3,C43,"_","TR",$B$3,C43,"_",G43),AND(D43="SECC",C43="BT"),CONCATENATE(B43,"_","TR",$B$3,C43,"_",$B$9,"_",G43),AND(D43="SECF",C43="AT"),CONCATENATE(B43,"_","TR",$B$3,C43,"_",$B$6,"_",G43),AND(D43="SECT",C43="AT"),CONCATENATE(B43,"_","TR",$B$3,C43,"_",$B$7,"_",G43),AND(D43="DJ",C43="AT"),CONCATENATE(B43,"_","TR",$B$3,C43,"_",$B$4,"_",G43),AND(D43="DJ",C43="BT"),CONCATENATE(B43,"_","TR",$B$3,C43,"_",$B$8,"_",G43),AND(C43="TR",D43="TR"),CONCATENATE(B43,"_","TR",$B$3,"_","TR",$B$3,"_",G43),AND(D43="SECT",C43="BT"),CONCATENATE(B43,"_","TR",$B$3,C43,"_",$B$11,"_",G43),AND(D43="SECF",C43="BT"),CONCATENATE(B43,"_","TR",$B$3,C43,"_",$B$10,"_",G43),AND(D43="SECC",C43="AT"),CONCATENATE(B43,"_","TR",$B$3,C43,"_",$B$5,"_",G43),AND(C43="AT",D43="TR_A"),CONCATENATE(B43,"_","TR",$B$3,C43,"_","TR",$B$3,C43,"_A","_",G43),AND(C43="AT",D43="TR_P"),CONCATENATE(B43,"_","TR",$B$3,C43,"_","TR",$B$3,C43,"_P","_",G43),AND(C43="BT",D43="TR_A"),CONCATENATE(B43,"_","TR",$B$3,C43,"_","TR",$B$3,C43,"_A","_",G43),AND(C43="BT",D43="TR_P"),CONCATENATE(B43,"_","TR",$B$3,C43,"_","TR",$B$3,C43,"_P","_",G43),AND(C43="TR",D43="TR_P"),CONCATENATE(B43,"_","TR",$B$3,"_","TR",$B$3,"_P","_",G43),AND(C43="TR",D43="TR_A"),CONCATENATE(B43,"_","TR",$B$3,"_","TR",$B$3,"_A","_",G43))</f>
        <v>IMA_TR7AT_52-7_DJF1</v>
      </c>
      <c r="I43" s="6" t="s">
        <v>188</v>
      </c>
      <c r="J43" s="6" t="s">
        <v>188</v>
      </c>
      <c r="K43" s="6" t="s">
        <v>188</v>
      </c>
      <c r="L43" s="6" t="s">
        <v>188</v>
      </c>
      <c r="M43" s="6"/>
      <c r="N43" s="6" t="str">
        <f t="shared" si="2"/>
        <v>34;34</v>
      </c>
    </row>
    <row r="44" spans="1:14" x14ac:dyDescent="0.25">
      <c r="A44" s="6" t="s">
        <v>190</v>
      </c>
      <c r="B44" s="6" t="str">
        <f>Informações!$C$3</f>
        <v>IMA</v>
      </c>
      <c r="C44" s="6" t="s">
        <v>101</v>
      </c>
      <c r="D44" s="6" t="s">
        <v>30</v>
      </c>
      <c r="E44" s="2" t="s">
        <v>24</v>
      </c>
      <c r="F44" s="6" t="str">
        <f>VLOOKUP(G44,[1]Discrete!$A:$B,2,FALSE)</f>
        <v>DISJUNTOR NF</v>
      </c>
      <c r="G44" s="6" t="s">
        <v>34</v>
      </c>
      <c r="H44" s="6" t="str" cm="1">
        <f t="array" ref="H44">_xlfn.IFS(OR(D44="TC",D44="TP",AND(D44="TR",C44="AT"),AND(D44="TR",C44="BT")),CONCATENATE(B44,"_","TR",$B$3,C44,"_","TR",$B$3,C44,"_",G44),AND(D44="SECC",C44="BT"),CONCATENATE(B44,"_","TR",$B$3,C44,"_",$B$9,"_",G44),AND(D44="SECF",C44="AT"),CONCATENATE(B44,"_","TR",$B$3,C44,"_",$B$6,"_",G44),AND(D44="SECT",C44="AT"),CONCATENATE(B44,"_","TR",$B$3,C44,"_",$B$7,"_",G44),AND(D44="DJ",C44="AT"),CONCATENATE(B44,"_","TR",$B$3,C44,"_",$B$4,"_",G44),AND(D44="DJ",C44="BT"),CONCATENATE(B44,"_","TR",$B$3,C44,"_",$B$8,"_",G44),AND(C44="TR",D44="TR"),CONCATENATE(B44,"_","TR",$B$3,"_","TR",$B$3,"_",G44),AND(D44="SECT",C44="BT"),CONCATENATE(B44,"_","TR",$B$3,C44,"_",$B$11,"_",G44),AND(D44="SECF",C44="BT"),CONCATENATE(B44,"_","TR",$B$3,C44,"_",$B$10,"_",G44),AND(D44="SECC",C44="AT"),CONCATENATE(B44,"_","TR",$B$3,C44,"_",$B$5,"_",G44),AND(C44="AT",D44="TR_A"),CONCATENATE(B44,"_","TR",$B$3,C44,"_","TR",$B$3,C44,"_A","_",G44),AND(C44="AT",D44="TR_P"),CONCATENATE(B44,"_","TR",$B$3,C44,"_","TR",$B$3,C44,"_P","_",G44),AND(C44="BT",D44="TR_A"),CONCATENATE(B44,"_","TR",$B$3,C44,"_","TR",$B$3,C44,"_A","_",G44),AND(C44="BT",D44="TR_P"),CONCATENATE(B44,"_","TR",$B$3,C44,"_","TR",$B$3,C44,"_P","_",G44),AND(C44="TR",D44="TR_P"),CONCATENATE(B44,"_","TR",$B$3,"_","TR",$B$3,"_P","_",G44),AND(C44="TR",D44="TR_A"),CONCATENATE(B44,"_","TR",$B$3,"_","TR",$B$3,"_A","_",G44))</f>
        <v>IMA_TR7BT_52-29_DJF1</v>
      </c>
      <c r="I44" s="6" t="s">
        <v>188</v>
      </c>
      <c r="J44" s="6" t="s">
        <v>188</v>
      </c>
      <c r="K44" s="6" t="s">
        <v>188</v>
      </c>
      <c r="L44" s="6" t="s">
        <v>188</v>
      </c>
      <c r="M44" s="6"/>
      <c r="N44" s="6" t="str">
        <f t="shared" si="2"/>
        <v>35;35</v>
      </c>
    </row>
    <row r="45" spans="1:14" x14ac:dyDescent="0.25">
      <c r="A45" s="6" t="s">
        <v>190</v>
      </c>
      <c r="B45" s="6" t="str">
        <f>Informações!$C$3</f>
        <v>IMA</v>
      </c>
      <c r="C45" s="6" t="s">
        <v>102</v>
      </c>
      <c r="D45" s="6" t="s">
        <v>102</v>
      </c>
      <c r="E45" s="2" t="s">
        <v>24</v>
      </c>
      <c r="F45" s="6" t="str">
        <f>VLOOKUP(G45,[1]Discrete!$A:$B,2,FALSE)</f>
        <v>90 - FUNCAO REGULADOR</v>
      </c>
      <c r="G45" s="6" t="s">
        <v>103</v>
      </c>
      <c r="H45" s="6" t="str" cm="1">
        <f t="array" ref="H45">_xlfn.IFS(OR(D45="TC",D45="TP",AND(D45="TR",C45="AT"),AND(D45="TR",C45="BT")),CONCATENATE(B45,"_","TR",$B$3,C45,"_","TR",$B$3,C45,"_",G45),AND(D45="SECC",C45="BT"),CONCATENATE(B45,"_","TR",$B$3,C45,"_",$B$9,"_",G45),AND(D45="SECF",C45="AT"),CONCATENATE(B45,"_","TR",$B$3,C45,"_",$B$6,"_",G45),AND(D45="SECT",C45="AT"),CONCATENATE(B45,"_","TR",$B$3,C45,"_",$B$7,"_",G45),AND(D45="DJ",C45="AT"),CONCATENATE(B45,"_","TR",$B$3,C45,"_",$B$4,"_",G45),AND(D45="DJ",C45="BT"),CONCATENATE(B45,"_","TR",$B$3,C45,"_",$B$8,"_",G45),AND(C45="TR",D45="TR"),CONCATENATE(B45,"_","TR",$B$3,"_","TR",$B$3,"_",G45),AND(D45="SECT",C45="BT"),CONCATENATE(B45,"_","TR",$B$3,C45,"_",$B$11,"_",G45),AND(D45="SECF",C45="BT"),CONCATENATE(B45,"_","TR",$B$3,C45,"_",$B$10,"_",G45),AND(D45="SECC",C45="AT"),CONCATENATE(B45,"_","TR",$B$3,C45,"_",$B$5,"_",G45),AND(C45="AT",D45="TR_A"),CONCATENATE(B45,"_","TR",$B$3,C45,"_","TR",$B$3,C45,"_A","_",G45),AND(C45="AT",D45="TR_P"),CONCATENATE(B45,"_","TR",$B$3,C45,"_","TR",$B$3,C45,"_P","_",G45),AND(C45="BT",D45="TR_A"),CONCATENATE(B45,"_","TR",$B$3,C45,"_","TR",$B$3,C45,"_A","_",G45),AND(C45="BT",D45="TR_P"),CONCATENATE(B45,"_","TR",$B$3,C45,"_","TR",$B$3,C45,"_P","_",G45),AND(C45="TR",D45="TR_P"),CONCATENATE(B45,"_","TR",$B$3,"_","TR",$B$3,"_P","_",G45),AND(C45="TR",D45="TR_A"),CONCATENATE(B45,"_","TR",$B$3,"_","TR",$B$3,"_A","_",G45))</f>
        <v>IMA_TR7_TR7_R90</v>
      </c>
      <c r="I45" s="6" t="s">
        <v>188</v>
      </c>
      <c r="J45" s="6" t="s">
        <v>188</v>
      </c>
      <c r="K45" s="6" t="s">
        <v>188</v>
      </c>
      <c r="L45" s="6" t="s">
        <v>188</v>
      </c>
      <c r="M45" s="6"/>
      <c r="N45" s="6" t="str">
        <f t="shared" si="2"/>
        <v>36;36</v>
      </c>
    </row>
    <row r="46" spans="1:14" x14ac:dyDescent="0.25">
      <c r="A46" s="93" t="s">
        <v>191</v>
      </c>
      <c r="B46" s="6" t="str">
        <f>Informações!$C$3</f>
        <v>IMA</v>
      </c>
      <c r="C46" s="6" t="s">
        <v>102</v>
      </c>
      <c r="D46" s="6" t="s">
        <v>102</v>
      </c>
      <c r="E46" s="2" t="s">
        <v>24</v>
      </c>
      <c r="F46" s="93" t="str">
        <f>VLOOKUP(G46,[1]Discrete!$A:$B,2,FALSE)</f>
        <v>COMUTADOR</v>
      </c>
      <c r="G46" s="6" t="s">
        <v>104</v>
      </c>
      <c r="H46" s="6" t="str" cm="1">
        <f t="array" ref="H46">_xlfn.IFS(OR(D46="TC",D46="TP",AND(D46="TR",C46="AT"),AND(D46="TR",C46="BT")),CONCATENATE(B46,"_","TR",$B$3,C46,"_","TR",$B$3,C46,"_",G46),AND(D46="SECC",C46="BT"),CONCATENATE(B46,"_","TR",$B$3,C46,"_",$B$9,"_",G46),AND(D46="SECF",C46="AT"),CONCATENATE(B46,"_","TR",$B$3,C46,"_",$B$6,"_",G46),AND(D46="SECT",C46="AT"),CONCATENATE(B46,"_","TR",$B$3,C46,"_",$B$7,"_",G46),AND(D46="DJ",C46="AT"),CONCATENATE(B46,"_","TR",$B$3,C46,"_",$B$4,"_",G46),AND(D46="DJ",C46="BT"),CONCATENATE(B46,"_","TR",$B$3,C46,"_",$B$8,"_",G46),AND(C46="TR",D46="TR"),CONCATENATE(B46,"_","TR",$B$3,"_","TR",$B$3,"_",G46),AND(D46="SECT",C46="BT"),CONCATENATE(B46,"_","TR",$B$3,C46,"_",$B$11,"_",G46),AND(D46="SECF",C46="BT"),CONCATENATE(B46,"_","TR",$B$3,C46,"_",$B$10,"_",G46),AND(D46="SECC",C46="AT"),CONCATENATE(B46,"_","TR",$B$3,C46,"_",$B$5,"_",G46),AND(C46="AT",D46="TR_A"),CONCATENATE(B46,"_","TR",$B$3,C46,"_","TR",$B$3,C46,"_A","_",G46),AND(C46="AT",D46="TR_P"),CONCATENATE(B46,"_","TR",$B$3,C46,"_","TR",$B$3,C46,"_P","_",G46),AND(C46="BT",D46="TR_A"),CONCATENATE(B46,"_","TR",$B$3,C46,"_","TR",$B$3,C46,"_A","_",G46),AND(C46="BT",D46="TR_P"),CONCATENATE(B46,"_","TR",$B$3,C46,"_","TR",$B$3,C46,"_P","_",G46),AND(C46="TR",D46="TR_P"),CONCATENATE(B46,"_","TR",$B$3,"_","TR",$B$3,"_P","_",G46),AND(C46="TR",D46="TR_A"),CONCATENATE(B46,"_","TR",$B$3,"_","TR",$B$3,"_A","_",G46))</f>
        <v>IMA_TR7_TR7_CDC</v>
      </c>
      <c r="I46" s="6" t="s">
        <v>188</v>
      </c>
      <c r="J46" s="6" t="s">
        <v>188</v>
      </c>
      <c r="K46" s="6" t="s">
        <v>188</v>
      </c>
      <c r="L46" s="6" t="s">
        <v>188</v>
      </c>
      <c r="M46" s="6"/>
      <c r="N46" s="93" t="str">
        <f t="shared" si="2"/>
        <v>37;37</v>
      </c>
    </row>
    <row r="47" spans="1:14" x14ac:dyDescent="0.25">
      <c r="A47" s="93" t="s">
        <v>191</v>
      </c>
      <c r="B47" s="6" t="str">
        <f>Informações!$C$3</f>
        <v>IMA</v>
      </c>
      <c r="C47" s="6" t="s">
        <v>102</v>
      </c>
      <c r="D47" s="6" t="s">
        <v>102</v>
      </c>
      <c r="E47" s="2" t="s">
        <v>24</v>
      </c>
      <c r="F47" s="93" t="e">
        <f>VLOOKUP(G47,[1]Discrete!$A:$B,2,FALSE)</f>
        <v>#N/A</v>
      </c>
      <c r="G47" s="6">
        <v>86</v>
      </c>
      <c r="H47" s="6" t="str" cm="1">
        <f t="array" ref="H47">_xlfn.IFS(OR(D47="TC",D47="TP",AND(D47="TR",C47="AT"),AND(D47="TR",C47="BT")),CONCATENATE(B47,"_","TR",$B$3,C47,"_","TR",$B$3,C47,"_",G47),AND(D47="SECC",C47="BT"),CONCATENATE(B47,"_","TR",$B$3,C47,"_",$B$9,"_",G47),AND(D47="SECF",C47="AT"),CONCATENATE(B47,"_","TR",$B$3,C47,"_",$B$6,"_",G47),AND(D47="SECT",C47="AT"),CONCATENATE(B47,"_","TR",$B$3,C47,"_",$B$7,"_",G47),AND(D47="DJ",C47="AT"),CONCATENATE(B47,"_","TR",$B$3,C47,"_",$B$4,"_",G47),AND(D47="DJ",C47="BT"),CONCATENATE(B47,"_","TR",$B$3,C47,"_",$B$8,"_",G47),AND(C47="TR",D47="TR"),CONCATENATE(B47,"_","TR",$B$3,"_","TR",$B$3,"_",G47),AND(D47="SECT",C47="BT"),CONCATENATE(B47,"_","TR",$B$3,C47,"_",$B$11,"_",G47),AND(D47="SECF",C47="BT"),CONCATENATE(B47,"_","TR",$B$3,C47,"_",$B$10,"_",G47),AND(D47="SECC",C47="AT"),CONCATENATE(B47,"_","TR",$B$3,C47,"_",$B$5,"_",G47),AND(C47="AT",D47="TR_A"),CONCATENATE(B47,"_","TR",$B$3,C47,"_","TR",$B$3,C47,"_A","_",G47),AND(C47="AT",D47="TR_P"),CONCATENATE(B47,"_","TR",$B$3,C47,"_","TR",$B$3,C47,"_P","_",G47),AND(C47="BT",D47="TR_A"),CONCATENATE(B47,"_","TR",$B$3,C47,"_","TR",$B$3,C47,"_A","_",G47),AND(C47="BT",D47="TR_P"),CONCATENATE(B47,"_","TR",$B$3,C47,"_","TR",$B$3,C47,"_P","_",G47),AND(C47="TR",D47="TR_P"),CONCATENATE(B47,"_","TR",$B$3,"_","TR",$B$3,"_P","_",G47),AND(C47="TR",D47="TR_A"),CONCATENATE(B47,"_","TR",$B$3,"_","TR",$B$3,"_A","_",G47))</f>
        <v>IMA_TR7_TR7_86</v>
      </c>
      <c r="I47" s="6" t="s">
        <v>188</v>
      </c>
      <c r="J47" s="6" t="s">
        <v>188</v>
      </c>
      <c r="K47" s="6" t="s">
        <v>188</v>
      </c>
      <c r="L47" s="6" t="s">
        <v>188</v>
      </c>
      <c r="M47" s="6"/>
      <c r="N47" s="93" t="str">
        <f t="shared" si="2"/>
        <v>38;38</v>
      </c>
    </row>
    <row r="48" spans="1:14" x14ac:dyDescent="0.25">
      <c r="A48" s="6" t="s">
        <v>190</v>
      </c>
      <c r="B48" s="6" t="str">
        <f>Informações!$C$3</f>
        <v>IMA</v>
      </c>
      <c r="C48" s="6" t="s">
        <v>101</v>
      </c>
      <c r="D48" s="6" t="s">
        <v>30</v>
      </c>
      <c r="E48" s="2" t="s">
        <v>24</v>
      </c>
      <c r="F48" s="6" t="str">
        <f>VLOOKUP(G48,[1]Discrete!$A:$B,2,FALSE)</f>
        <v>51 - FUNCAO SOBRECORRENTE TEMPORIZADA NEUTRO</v>
      </c>
      <c r="G48" s="6" t="s">
        <v>35</v>
      </c>
      <c r="H48" s="6" t="str" cm="1">
        <f t="array" ref="H48">_xlfn.IFS(OR(D48="TC",D48="TP",AND(D48="TR",C48="AT"),AND(D48="TR",C48="BT")),CONCATENATE(B48,"_","TR",$B$3,C48,"_","TR",$B$3,C48,"_",G48),AND(D48="SECC",C48="BT"),CONCATENATE(B48,"_","TR",$B$3,C48,"_",$B$9,"_",G48),AND(D48="SECF",C48="AT"),CONCATENATE(B48,"_","TR",$B$3,C48,"_",$B$6,"_",G48),AND(D48="SECT",C48="AT"),CONCATENATE(B48,"_","TR",$B$3,C48,"_",$B$7,"_",G48),AND(D48="DJ",C48="AT"),CONCATENATE(B48,"_","TR",$B$3,C48,"_",$B$4,"_",G48),AND(D48="DJ",C48="BT"),CONCATENATE(B48,"_","TR",$B$3,C48,"_",$B$8,"_",G48),AND(C48="TR",D48="TR"),CONCATENATE(B48,"_","TR",$B$3,"_","TR",$B$3,"_",G48),AND(D48="SECT",C48="BT"),CONCATENATE(B48,"_","TR",$B$3,C48,"_",$B$11,"_",G48),AND(D48="SECF",C48="BT"),CONCATENATE(B48,"_","TR",$B$3,C48,"_",$B$10,"_",G48),AND(D48="SECC",C48="AT"),CONCATENATE(B48,"_","TR",$B$3,C48,"_",$B$5,"_",G48),AND(C48="AT",D48="TR_A"),CONCATENATE(B48,"_","TR",$B$3,C48,"_","TR",$B$3,C48,"_A","_",G48),AND(C48="AT",D48="TR_P"),CONCATENATE(B48,"_","TR",$B$3,C48,"_","TR",$B$3,C48,"_P","_",G48),AND(C48="BT",D48="TR_A"),CONCATENATE(B48,"_","TR",$B$3,C48,"_","TR",$B$3,C48,"_A","_",G48),AND(C48="BT",D48="TR_P"),CONCATENATE(B48,"_","TR",$B$3,C48,"_","TR",$B$3,C48,"_P","_",G48),AND(C48="TR",D48="TR_P"),CONCATENATE(B48,"_","TR",$B$3,"_","TR",$B$3,"_P","_",G48),AND(C48="TR",D48="TR_A"),CONCATENATE(B48,"_","TR",$B$3,"_","TR",$B$3,"_A","_",G48))</f>
        <v>IMA_TR7BT_52-29_51N</v>
      </c>
      <c r="I48" s="6" t="s">
        <v>188</v>
      </c>
      <c r="J48" s="6" t="s">
        <v>188</v>
      </c>
      <c r="K48" s="6" t="s">
        <v>188</v>
      </c>
      <c r="L48" s="6" t="s">
        <v>188</v>
      </c>
      <c r="M48" s="6"/>
      <c r="N48" s="6" t="str">
        <f t="shared" si="2"/>
        <v>39;39</v>
      </c>
    </row>
    <row r="49" spans="1:14" x14ac:dyDescent="0.25">
      <c r="A49" s="93" t="s">
        <v>191</v>
      </c>
      <c r="B49" s="6" t="str">
        <f>Informações!$C$3</f>
        <v>IMA</v>
      </c>
      <c r="C49" s="6" t="s">
        <v>101</v>
      </c>
      <c r="D49" s="6" t="s">
        <v>30</v>
      </c>
      <c r="E49" s="2" t="s">
        <v>24</v>
      </c>
      <c r="F49" s="93" t="str">
        <f>VLOOKUP(G49,[1]Discrete!$A:$B,2,FALSE)</f>
        <v>GRUPO DE AJUSTE FUNCAO 81</v>
      </c>
      <c r="G49" s="6" t="s">
        <v>77</v>
      </c>
      <c r="H49" s="6" t="str" cm="1">
        <f t="array" ref="H49">_xlfn.IFS(OR(D49="TC",D49="TP",AND(D49="TR",C49="AT"),AND(D49="TR",C49="BT")),CONCATENATE(B49,"_","TR",$B$3,C49,"_","TR",$B$3,C49,"_",G49),AND(D49="SECC",C49="BT"),CONCATENATE(B49,"_","TR",$B$3,C49,"_",$B$9,"_",G49),AND(D49="SECF",C49="AT"),CONCATENATE(B49,"_","TR",$B$3,C49,"_",$B$6,"_",G49),AND(D49="SECT",C49="AT"),CONCATENATE(B49,"_","TR",$B$3,C49,"_",$B$7,"_",G49),AND(D49="DJ",C49="AT"),CONCATENATE(B49,"_","TR",$B$3,C49,"_",$B$4,"_",G49),AND(D49="DJ",C49="BT"),CONCATENATE(B49,"_","TR",$B$3,C49,"_",$B$8,"_",G49),AND(C49="TR",D49="TR"),CONCATENATE(B49,"_","TR",$B$3,"_","TR",$B$3,"_",G49),AND(D49="SECT",C49="BT"),CONCATENATE(B49,"_","TR",$B$3,C49,"_",$B$11,"_",G49),AND(D49="SECF",C49="BT"),CONCATENATE(B49,"_","TR",$B$3,C49,"_",$B$10,"_",G49),AND(D49="SECC",C49="AT"),CONCATENATE(B49,"_","TR",$B$3,C49,"_",$B$5,"_",G49),AND(C49="AT",D49="TR_A"),CONCATENATE(B49,"_","TR",$B$3,C49,"_","TR",$B$3,C49,"_A","_",G49),AND(C49="AT",D49="TR_P"),CONCATENATE(B49,"_","TR",$B$3,C49,"_","TR",$B$3,C49,"_P","_",G49),AND(C49="BT",D49="TR_A"),CONCATENATE(B49,"_","TR",$B$3,C49,"_","TR",$B$3,C49,"_A","_",G49),AND(C49="BT",D49="TR_P"),CONCATENATE(B49,"_","TR",$B$3,C49,"_","TR",$B$3,C49,"_P","_",G49),AND(C49="TR",D49="TR_P"),CONCATENATE(B49,"_","TR",$B$3,"_","TR",$B$3,"_P","_",G49),AND(C49="TR",D49="TR_A"),CONCATENATE(B49,"_","TR",$B$3,"_","TR",$B$3,"_A","_",G49))</f>
        <v>IMA_TR7BT_52-29_81AJST</v>
      </c>
      <c r="I49" s="6" t="s">
        <v>188</v>
      </c>
      <c r="J49" s="6" t="s">
        <v>188</v>
      </c>
      <c r="K49" s="6" t="s">
        <v>188</v>
      </c>
      <c r="L49" s="6" t="s">
        <v>188</v>
      </c>
      <c r="M49" s="6"/>
      <c r="N49" s="93" t="str">
        <f t="shared" si="2"/>
        <v>40;40</v>
      </c>
    </row>
    <row r="50" spans="1:14" x14ac:dyDescent="0.25">
      <c r="A50" s="6" t="s">
        <v>190</v>
      </c>
      <c r="B50" s="6" t="str">
        <f>Informações!$C$3</f>
        <v>IMA</v>
      </c>
      <c r="C50" s="94" t="s">
        <v>100</v>
      </c>
      <c r="D50" s="6" t="s">
        <v>30</v>
      </c>
      <c r="E50" s="2" t="s">
        <v>24</v>
      </c>
      <c r="F50" s="6" t="e">
        <f>VLOOKUP(G50,[1]Discrete!$A:$B,2,FALSE)</f>
        <v>#N/A</v>
      </c>
      <c r="G50" s="6">
        <v>81</v>
      </c>
      <c r="H50" s="6" t="str" cm="1">
        <f t="array" ref="H50">_xlfn.IFS(OR(D50="TC",D50="TP",AND(D50="TR",C50="AT"),AND(D50="TR",C50="BT")),CONCATENATE(B50,"_","TR",$B$3,C50,"_","TR",$B$3,C50,"_",G50),AND(D50="SECC",C50="BT"),CONCATENATE(B50,"_","TR",$B$3,C50,"_",$B$9,"_",G50),AND(D50="SECF",C50="AT"),CONCATENATE(B50,"_","TR",$B$3,C50,"_",$B$6,"_",G50),AND(D50="SECT",C50="AT"),CONCATENATE(B50,"_","TR",$B$3,C50,"_",$B$7,"_",G50),AND(D50="DJ",C50="AT"),CONCATENATE(B50,"_","TR",$B$3,C50,"_",$B$4,"_",G50),AND(D50="DJ",C50="BT"),CONCATENATE(B50,"_","TR",$B$3,C50,"_",$B$8,"_",G50),AND(C50="TR",D50="TR"),CONCATENATE(B50,"_","TR",$B$3,"_","TR",$B$3,"_",G50),AND(D50="SECT",C50="BT"),CONCATENATE(B50,"_","TR",$B$3,C50,"_",$B$11,"_",G50),AND(D50="SECF",C50="BT"),CONCATENATE(B50,"_","TR",$B$3,C50,"_",$B$10,"_",G50),AND(D50="SECC",C50="AT"),CONCATENATE(B50,"_","TR",$B$3,C50,"_",$B$5,"_",G50),AND(C50="AT",D50="TR_A"),CONCATENATE(B50,"_","TR",$B$3,C50,"_","TR",$B$3,C50,"_A","_",G50),AND(C50="AT",D50="TR_P"),CONCATENATE(B50,"_","TR",$B$3,C50,"_","TR",$B$3,C50,"_P","_",G50),AND(C50="BT",D50="TR_A"),CONCATENATE(B50,"_","TR",$B$3,C50,"_","TR",$B$3,C50,"_A","_",G50),AND(C50="BT",D50="TR_P"),CONCATENATE(B50,"_","TR",$B$3,C50,"_","TR",$B$3,C50,"_P","_",G50),AND(C50="TR",D50="TR_P"),CONCATENATE(B50,"_","TR",$B$3,"_","TR",$B$3,"_P","_",G50),AND(C50="TR",D50="TR_A"),CONCATENATE(B50,"_","TR",$B$3,"_","TR",$B$3,"_A","_",G50))</f>
        <v>IMA_TR7AT_52-7_81</v>
      </c>
      <c r="I50" s="6" t="s">
        <v>188</v>
      </c>
      <c r="J50" s="6" t="s">
        <v>188</v>
      </c>
      <c r="K50" s="6" t="s">
        <v>188</v>
      </c>
      <c r="L50" s="6" t="s">
        <v>188</v>
      </c>
      <c r="M50" s="6"/>
      <c r="N50" s="6" t="str">
        <f t="shared" si="2"/>
        <v>41;41</v>
      </c>
    </row>
    <row r="51" spans="1:14" x14ac:dyDescent="0.25">
      <c r="A51" s="6" t="s">
        <v>190</v>
      </c>
      <c r="B51" s="6" t="str">
        <f>Informações!$C$3</f>
        <v>IMA</v>
      </c>
      <c r="C51" s="94" t="s">
        <v>100</v>
      </c>
      <c r="D51" s="6" t="s">
        <v>30</v>
      </c>
      <c r="E51" s="2" t="s">
        <v>24</v>
      </c>
      <c r="F51" s="6" t="str">
        <f>VLOOKUP(G51,[1]Discrete!$A:$B,2,FALSE)</f>
        <v>AJUSTE PARA 81 E1</v>
      </c>
      <c r="G51" s="6" t="s">
        <v>72</v>
      </c>
      <c r="H51" s="6" t="str" cm="1">
        <f t="array" ref="H51">_xlfn.IFS(OR(D51="TC",D51="TP",AND(D51="TR",C51="AT"),AND(D51="TR",C51="BT")),CONCATENATE(B51,"_","TR",$B$3,C51,"_","TR",$B$3,C51,"_",G51),AND(D51="SECC",C51="BT"),CONCATENATE(B51,"_","TR",$B$3,C51,"_",$B$9,"_",G51),AND(D51="SECF",C51="AT"),CONCATENATE(B51,"_","TR",$B$3,C51,"_",$B$6,"_",G51),AND(D51="SECT",C51="AT"),CONCATENATE(B51,"_","TR",$B$3,C51,"_",$B$7,"_",G51),AND(D51="DJ",C51="AT"),CONCATENATE(B51,"_","TR",$B$3,C51,"_",$B$4,"_",G51),AND(D51="DJ",C51="BT"),CONCATENATE(B51,"_","TR",$B$3,C51,"_",$B$8,"_",G51),AND(C51="TR",D51="TR"),CONCATENATE(B51,"_","TR",$B$3,"_","TR",$B$3,"_",G51),AND(D51="SECT",C51="BT"),CONCATENATE(B51,"_","TR",$B$3,C51,"_",$B$11,"_",G51),AND(D51="SECF",C51="BT"),CONCATENATE(B51,"_","TR",$B$3,C51,"_",$B$10,"_",G51),AND(D51="SECC",C51="AT"),CONCATENATE(B51,"_","TR",$B$3,C51,"_",$B$5,"_",G51),AND(C51="AT",D51="TR_A"),CONCATENATE(B51,"_","TR",$B$3,C51,"_","TR",$B$3,C51,"_A","_",G51),AND(C51="AT",D51="TR_P"),CONCATENATE(B51,"_","TR",$B$3,C51,"_","TR",$B$3,C51,"_P","_",G51),AND(C51="BT",D51="TR_A"),CONCATENATE(B51,"_","TR",$B$3,C51,"_","TR",$B$3,C51,"_A","_",G51),AND(C51="BT",D51="TR_P"),CONCATENATE(B51,"_","TR",$B$3,C51,"_","TR",$B$3,C51,"_P","_",G51),AND(C51="TR",D51="TR_P"),CONCATENATE(B51,"_","TR",$B$3,"_","TR",$B$3,"_P","_",G51),AND(C51="TR",D51="TR_A"),CONCATENATE(B51,"_","TR",$B$3,"_","TR",$B$3,"_A","_",G51))</f>
        <v>IMA_TR7AT_52-7_81U1</v>
      </c>
      <c r="I51" s="6" t="s">
        <v>188</v>
      </c>
      <c r="J51" s="6" t="s">
        <v>188</v>
      </c>
      <c r="K51" s="6" t="s">
        <v>188</v>
      </c>
      <c r="L51" s="6" t="s">
        <v>188</v>
      </c>
      <c r="M51" s="6" t="s">
        <v>188</v>
      </c>
      <c r="N51" s="6" t="str">
        <f t="shared" si="2"/>
        <v>42;42</v>
      </c>
    </row>
    <row r="52" spans="1:14" x14ac:dyDescent="0.25">
      <c r="A52" s="6" t="s">
        <v>190</v>
      </c>
      <c r="B52" s="6" t="str">
        <f>Informações!$C$3</f>
        <v>IMA</v>
      </c>
      <c r="C52" s="94" t="s">
        <v>100</v>
      </c>
      <c r="D52" s="6" t="s">
        <v>30</v>
      </c>
      <c r="E52" s="2" t="s">
        <v>24</v>
      </c>
      <c r="F52" s="6" t="str">
        <f>VLOOKUP(G52,[1]Discrete!$A:$B,2,FALSE)</f>
        <v>AJUSTE PARA 81 E2</v>
      </c>
      <c r="G52" s="6" t="s">
        <v>73</v>
      </c>
      <c r="H52" s="6" t="str" cm="1">
        <f t="array" ref="H52">_xlfn.IFS(OR(D52="TC",D52="TP",AND(D52="TR",C52="AT"),AND(D52="TR",C52="BT")),CONCATENATE(B52,"_","TR",$B$3,C52,"_","TR",$B$3,C52,"_",G52),AND(D52="SECC",C52="BT"),CONCATENATE(B52,"_","TR",$B$3,C52,"_",$B$9,"_",G52),AND(D52="SECF",C52="AT"),CONCATENATE(B52,"_","TR",$B$3,C52,"_",$B$6,"_",G52),AND(D52="SECT",C52="AT"),CONCATENATE(B52,"_","TR",$B$3,C52,"_",$B$7,"_",G52),AND(D52="DJ",C52="AT"),CONCATENATE(B52,"_","TR",$B$3,C52,"_",$B$4,"_",G52),AND(D52="DJ",C52="BT"),CONCATENATE(B52,"_","TR",$B$3,C52,"_",$B$8,"_",G52),AND(C52="TR",D52="TR"),CONCATENATE(B52,"_","TR",$B$3,"_","TR",$B$3,"_",G52),AND(D52="SECT",C52="BT"),CONCATENATE(B52,"_","TR",$B$3,C52,"_",$B$11,"_",G52),AND(D52="SECF",C52="BT"),CONCATENATE(B52,"_","TR",$B$3,C52,"_",$B$10,"_",G52),AND(D52="SECC",C52="AT"),CONCATENATE(B52,"_","TR",$B$3,C52,"_",$B$5,"_",G52),AND(C52="AT",D52="TR_A"),CONCATENATE(B52,"_","TR",$B$3,C52,"_","TR",$B$3,C52,"_A","_",G52),AND(C52="AT",D52="TR_P"),CONCATENATE(B52,"_","TR",$B$3,C52,"_","TR",$B$3,C52,"_P","_",G52),AND(C52="BT",D52="TR_A"),CONCATENATE(B52,"_","TR",$B$3,C52,"_","TR",$B$3,C52,"_A","_",G52),AND(C52="BT",D52="TR_P"),CONCATENATE(B52,"_","TR",$B$3,C52,"_","TR",$B$3,C52,"_P","_",G52),AND(C52="TR",D52="TR_P"),CONCATENATE(B52,"_","TR",$B$3,"_","TR",$B$3,"_P","_",G52),AND(C52="TR",D52="TR_A"),CONCATENATE(B52,"_","TR",$B$3,"_","TR",$B$3,"_A","_",G52))</f>
        <v>IMA_TR7AT_52-7_81U2</v>
      </c>
      <c r="I52" s="6" t="s">
        <v>188</v>
      </c>
      <c r="J52" s="6" t="s">
        <v>188</v>
      </c>
      <c r="K52" s="6" t="s">
        <v>188</v>
      </c>
      <c r="L52" s="6" t="s">
        <v>188</v>
      </c>
      <c r="M52" s="6" t="s">
        <v>188</v>
      </c>
      <c r="N52" s="6" t="str">
        <f t="shared" si="2"/>
        <v>43;43</v>
      </c>
    </row>
    <row r="53" spans="1:14" x14ac:dyDescent="0.25">
      <c r="A53" s="6" t="s">
        <v>190</v>
      </c>
      <c r="B53" s="6" t="str">
        <f>Informações!$C$3</f>
        <v>IMA</v>
      </c>
      <c r="C53" s="94" t="s">
        <v>100</v>
      </c>
      <c r="D53" s="6" t="s">
        <v>30</v>
      </c>
      <c r="E53" s="2" t="s">
        <v>24</v>
      </c>
      <c r="F53" s="6" t="str">
        <f>VLOOKUP(G53,[1]Discrete!$A:$B,2,FALSE)</f>
        <v>AJUSTE PARA 81 E3</v>
      </c>
      <c r="G53" s="6" t="s">
        <v>74</v>
      </c>
      <c r="H53" s="6" t="str" cm="1">
        <f t="array" ref="H53">_xlfn.IFS(OR(D53="TC",D53="TP",AND(D53="TR",C53="AT"),AND(D53="TR",C53="BT")),CONCATENATE(B53,"_","TR",$B$3,C53,"_","TR",$B$3,C53,"_",G53),AND(D53="SECC",C53="BT"),CONCATENATE(B53,"_","TR",$B$3,C53,"_",$B$9,"_",G53),AND(D53="SECF",C53="AT"),CONCATENATE(B53,"_","TR",$B$3,C53,"_",$B$6,"_",G53),AND(D53="SECT",C53="AT"),CONCATENATE(B53,"_","TR",$B$3,C53,"_",$B$7,"_",G53),AND(D53="DJ",C53="AT"),CONCATENATE(B53,"_","TR",$B$3,C53,"_",$B$4,"_",G53),AND(D53="DJ",C53="BT"),CONCATENATE(B53,"_","TR",$B$3,C53,"_",$B$8,"_",G53),AND(C53="TR",D53="TR"),CONCATENATE(B53,"_","TR",$B$3,"_","TR",$B$3,"_",G53),AND(D53="SECT",C53="BT"),CONCATENATE(B53,"_","TR",$B$3,C53,"_",$B$11,"_",G53),AND(D53="SECF",C53="BT"),CONCATENATE(B53,"_","TR",$B$3,C53,"_",$B$10,"_",G53),AND(D53="SECC",C53="AT"),CONCATENATE(B53,"_","TR",$B$3,C53,"_",$B$5,"_",G53),AND(C53="AT",D53="TR_A"),CONCATENATE(B53,"_","TR",$B$3,C53,"_","TR",$B$3,C53,"_A","_",G53),AND(C53="AT",D53="TR_P"),CONCATENATE(B53,"_","TR",$B$3,C53,"_","TR",$B$3,C53,"_P","_",G53),AND(C53="BT",D53="TR_A"),CONCATENATE(B53,"_","TR",$B$3,C53,"_","TR",$B$3,C53,"_A","_",G53),AND(C53="BT",D53="TR_P"),CONCATENATE(B53,"_","TR",$B$3,C53,"_","TR",$B$3,C53,"_P","_",G53),AND(C53="TR",D53="TR_P"),CONCATENATE(B53,"_","TR",$B$3,"_","TR",$B$3,"_P","_",G53),AND(C53="TR",D53="TR_A"),CONCATENATE(B53,"_","TR",$B$3,"_","TR",$B$3,"_A","_",G53))</f>
        <v>IMA_TR7AT_52-7_81U3</v>
      </c>
      <c r="I53" s="6" t="s">
        <v>188</v>
      </c>
      <c r="J53" s="6" t="s">
        <v>188</v>
      </c>
      <c r="K53" s="6" t="s">
        <v>188</v>
      </c>
      <c r="L53" s="6" t="s">
        <v>188</v>
      </c>
      <c r="M53" s="6" t="s">
        <v>188</v>
      </c>
      <c r="N53" s="6" t="str">
        <f t="shared" si="2"/>
        <v>44;44</v>
      </c>
    </row>
    <row r="54" spans="1:14" x14ac:dyDescent="0.25">
      <c r="A54" s="6" t="s">
        <v>190</v>
      </c>
      <c r="B54" s="6" t="str">
        <f>Informações!$C$3</f>
        <v>IMA</v>
      </c>
      <c r="C54" s="94" t="s">
        <v>100</v>
      </c>
      <c r="D54" s="6" t="s">
        <v>30</v>
      </c>
      <c r="E54" s="2" t="s">
        <v>24</v>
      </c>
      <c r="F54" s="6" t="str">
        <f>VLOOKUP(G54,[1]Discrete!$A:$B,2,FALSE)</f>
        <v>AJUSTE PARA 81 E4</v>
      </c>
      <c r="G54" s="6" t="s">
        <v>75</v>
      </c>
      <c r="H54" s="6" t="str" cm="1">
        <f t="array" ref="H54">_xlfn.IFS(OR(D54="TC",D54="TP",AND(D54="TR",C54="AT"),AND(D54="TR",C54="BT")),CONCATENATE(B54,"_","TR",$B$3,C54,"_","TR",$B$3,C54,"_",G54),AND(D54="SECC",C54="BT"),CONCATENATE(B54,"_","TR",$B$3,C54,"_",$B$9,"_",G54),AND(D54="SECF",C54="AT"),CONCATENATE(B54,"_","TR",$B$3,C54,"_",$B$6,"_",G54),AND(D54="SECT",C54="AT"),CONCATENATE(B54,"_","TR",$B$3,C54,"_",$B$7,"_",G54),AND(D54="DJ",C54="AT"),CONCATENATE(B54,"_","TR",$B$3,C54,"_",$B$4,"_",G54),AND(D54="DJ",C54="BT"),CONCATENATE(B54,"_","TR",$B$3,C54,"_",$B$8,"_",G54),AND(C54="TR",D54="TR"),CONCATENATE(B54,"_","TR",$B$3,"_","TR",$B$3,"_",G54),AND(D54="SECT",C54="BT"),CONCATENATE(B54,"_","TR",$B$3,C54,"_",$B$11,"_",G54),AND(D54="SECF",C54="BT"),CONCATENATE(B54,"_","TR",$B$3,C54,"_",$B$10,"_",G54),AND(D54="SECC",C54="AT"),CONCATENATE(B54,"_","TR",$B$3,C54,"_",$B$5,"_",G54),AND(C54="AT",D54="TR_A"),CONCATENATE(B54,"_","TR",$B$3,C54,"_","TR",$B$3,C54,"_A","_",G54),AND(C54="AT",D54="TR_P"),CONCATENATE(B54,"_","TR",$B$3,C54,"_","TR",$B$3,C54,"_P","_",G54),AND(C54="BT",D54="TR_A"),CONCATENATE(B54,"_","TR",$B$3,C54,"_","TR",$B$3,C54,"_A","_",G54),AND(C54="BT",D54="TR_P"),CONCATENATE(B54,"_","TR",$B$3,C54,"_","TR",$B$3,C54,"_P","_",G54),AND(C54="TR",D54="TR_P"),CONCATENATE(B54,"_","TR",$B$3,"_","TR",$B$3,"_P","_",G54),AND(C54="TR",D54="TR_A"),CONCATENATE(B54,"_","TR",$B$3,"_","TR",$B$3,"_A","_",G54))</f>
        <v>IMA_TR7AT_52-7_81U4</v>
      </c>
      <c r="I54" s="6" t="s">
        <v>188</v>
      </c>
      <c r="J54" s="6" t="s">
        <v>188</v>
      </c>
      <c r="K54" s="6" t="s">
        <v>188</v>
      </c>
      <c r="L54" s="6" t="s">
        <v>188</v>
      </c>
      <c r="M54" s="6" t="s">
        <v>188</v>
      </c>
      <c r="N54" s="6" t="str">
        <f t="shared" si="2"/>
        <v>45;45</v>
      </c>
    </row>
    <row r="55" spans="1:14" x14ac:dyDescent="0.25">
      <c r="A55" s="6" t="s">
        <v>190</v>
      </c>
      <c r="B55" s="6" t="str">
        <f>Informações!$C$3</f>
        <v>IMA</v>
      </c>
      <c r="C55" s="94" t="s">
        <v>100</v>
      </c>
      <c r="D55" s="6" t="s">
        <v>30</v>
      </c>
      <c r="E55" s="2" t="s">
        <v>24</v>
      </c>
      <c r="F55" s="6" t="s">
        <v>296</v>
      </c>
      <c r="G55" s="6" t="s">
        <v>76</v>
      </c>
      <c r="H55" s="6" t="str" cm="1">
        <f t="array" ref="H55">_xlfn.IFS(OR(D55="TC",D55="TP",AND(D55="TR",C55="AT"),AND(D55="TR",C55="BT")),CONCATENATE(B55,"_","TR",$B$3,C55,"_","TR",$B$3,C55,"_",G55),AND(D55="SECC",C55="BT"),CONCATENATE(B55,"_","TR",$B$3,C55,"_",$B$9,"_",G55),AND(D55="SECF",C55="AT"),CONCATENATE(B55,"_","TR",$B$3,C55,"_",$B$6,"_",G55),AND(D55="SECT",C55="AT"),CONCATENATE(B55,"_","TR",$B$3,C55,"_",$B$7,"_",G55),AND(D55="DJ",C55="AT"),CONCATENATE(B55,"_","TR",$B$3,C55,"_",$B$4,"_",G55),AND(D55="DJ",C55="BT"),CONCATENATE(B55,"_","TR",$B$3,C55,"_",$B$8,"_",G55),AND(C55="TR",D55="TR"),CONCATENATE(B55,"_","TR",$B$3,"_","TR",$B$3,"_",G55),AND(D55="SECT",C55="BT"),CONCATENATE(B55,"_","TR",$B$3,C55,"_",$B$11,"_",G55),AND(D55="SECF",C55="BT"),CONCATENATE(B55,"_","TR",$B$3,C55,"_",$B$10,"_",G55),AND(D55="SECC",C55="AT"),CONCATENATE(B55,"_","TR",$B$3,C55,"_",$B$5,"_",G55),AND(C55="AT",D55="TR_A"),CONCATENATE(B55,"_","TR",$B$3,C55,"_","TR",$B$3,C55,"_A","_",G55),AND(C55="AT",D55="TR_P"),CONCATENATE(B55,"_","TR",$B$3,C55,"_","TR",$B$3,C55,"_P","_",G55),AND(C55="BT",D55="TR_A"),CONCATENATE(B55,"_","TR",$B$3,C55,"_","TR",$B$3,C55,"_A","_",G55),AND(C55="BT",D55="TR_P"),CONCATENATE(B55,"_","TR",$B$3,C55,"_","TR",$B$3,C55,"_P","_",G55),AND(C55="TR",D55="TR_P"),CONCATENATE(B55,"_","TR",$B$3,"_","TR",$B$3,"_P","_",G55),AND(C55="TR",D55="TR_A"),CONCATENATE(B55,"_","TR",$B$3,"_","TR",$B$3,"_A","_",G55))</f>
        <v>IMA_TR7AT_52-7_81U5</v>
      </c>
      <c r="I55" s="6" t="s">
        <v>188</v>
      </c>
      <c r="J55" s="6" t="s">
        <v>188</v>
      </c>
      <c r="K55" s="6" t="s">
        <v>188</v>
      </c>
      <c r="L55" s="6" t="s">
        <v>188</v>
      </c>
      <c r="M55" s="6" t="s">
        <v>188</v>
      </c>
      <c r="N55" s="6" t="str">
        <f t="shared" si="2"/>
        <v>46;46</v>
      </c>
    </row>
    <row r="56" spans="1:14" x14ac:dyDescent="0.25">
      <c r="A56" s="6" t="s">
        <v>190</v>
      </c>
      <c r="B56" s="6" t="str">
        <f>Informações!$C$3</f>
        <v>IMA</v>
      </c>
      <c r="C56" s="6" t="s">
        <v>102</v>
      </c>
      <c r="D56" s="6" t="s">
        <v>102</v>
      </c>
      <c r="E56" s="2" t="s">
        <v>24</v>
      </c>
      <c r="F56" s="6" t="s">
        <v>426</v>
      </c>
      <c r="G56" s="6" t="s">
        <v>425</v>
      </c>
      <c r="H56" s="6" t="str" cm="1">
        <f t="array" ref="H56">_xlfn.IFS(OR(D56="TC",D56="TP",AND(D56="TR",C56="AT"),AND(D56="TR",C56="BT")),CONCATENATE(B56,"_","TR",$B$3,C56,"_","TR",$B$3,C56,"_",G56),AND(D56="SECC",C56="BT"),CONCATENATE(B56,"_","TR",$B$3,C56,"_",$B$9,"_",G56),AND(D56="SECF",C56="AT"),CONCATENATE(B56,"_","TR",$B$3,C56,"_",$B$6,"_",G56),AND(D56="SECT",C56="AT"),CONCATENATE(B56,"_","TR",$B$3,C56,"_",$B$7,"_",G56),AND(D56="DJ",C56="AT"),CONCATENATE(B56,"_","TR",$B$3,C56,"_",$B$4,"_",G56),AND(D56="DJ",C56="BT"),CONCATENATE(B56,"_","TR",$B$3,C56,"_",$B$8,"_",G56),AND(C56="TR",D56="TR"),CONCATENATE(B56,"_","TR",$B$3,"_","TR",$B$3,"_",G56),AND(D56="SECT",C56="BT"),CONCATENATE(B56,"_","TR",$B$3,C56,"_",$B$11,"_",G56),AND(D56="SECF",C56="BT"),CONCATENATE(B56,"_","TR",$B$3,C56,"_",$B$10,"_",G56),AND(D56="SECC",C56="AT"),CONCATENATE(B56,"_","TR",$B$3,C56,"_",$B$5,"_",G56),AND(C56="AT",D56="TR_A"),CONCATENATE(B56,"_","TR",$B$3,C56,"_","TR",$B$3,C56,"_A","_",G56),AND(C56="AT",D56="TR_P"),CONCATENATE(B56,"_","TR",$B$3,C56,"_","TR",$B$3,C56,"_P","_",G56),AND(C56="BT",D56="TR_A"),CONCATENATE(B56,"_","TR",$B$3,C56,"_","TR",$B$3,C56,"_A","_",G56),AND(C56="BT",D56="TR_P"),CONCATENATE(B56,"_","TR",$B$3,C56,"_","TR",$B$3,C56,"_P","_",G56),AND(C56="TR",D56="TR_P"),CONCATENATE(B56,"_","TR",$B$3,"_","TR",$B$3,"_P","_",G56),AND(C56="TR",D56="TR_A"),CONCATENATE(B56,"_","TR",$B$3,"_","TR",$B$3,"_A","_",G56))</f>
        <v>IMA_TR7_TR7_COMTAP</v>
      </c>
      <c r="I56" s="6" t="s">
        <v>188</v>
      </c>
      <c r="J56" s="6" t="s">
        <v>188</v>
      </c>
      <c r="K56" s="6" t="s">
        <v>188</v>
      </c>
      <c r="L56" s="6" t="s">
        <v>188</v>
      </c>
      <c r="M56" s="6" t="s">
        <v>188</v>
      </c>
      <c r="N56" s="6" t="str">
        <f t="shared" si="2"/>
        <v>47;47</v>
      </c>
    </row>
    <row r="57" spans="1:14" x14ac:dyDescent="0.25">
      <c r="A57" s="6" t="s">
        <v>190</v>
      </c>
      <c r="B57" s="6" t="str">
        <f>Informações!$C$3</f>
        <v>IMA</v>
      </c>
      <c r="C57" s="6" t="s">
        <v>100</v>
      </c>
      <c r="D57" s="6" t="s">
        <v>31</v>
      </c>
      <c r="E57" s="2" t="s">
        <v>25</v>
      </c>
      <c r="F57" s="104" t="str">
        <f>VLOOKUP(G57,[1]Discrete!$A:$B,2,FALSE)</f>
        <v>SECCIONADORA CARGA</v>
      </c>
      <c r="G57" s="6" t="s">
        <v>31</v>
      </c>
      <c r="H57" s="6" t="str" cm="1">
        <f t="array" ref="H57">_xlfn.IFS(OR(D57="TC",D57="TP",AND(D57="TR",C57="AT"),AND(D57="TR",C57="BT")),CONCATENATE(B57,"_","TR",$B$3,C57,"_","TR",$B$3,C57,"_",G57),AND(D57="SECC",C57="BT"),CONCATENATE(B57,"_","TR",$B$3,C57,"_",$B$9,"_",G57),AND(D57="SECF",C57="AT"),CONCATENATE(B57,"_","TR",$B$3,C57,"_",$B$6,"_",G57),AND(D57="SECT",C57="AT"),CONCATENATE(B57,"_","TR",$B$3,C57,"_",$B$7,"_",G57),AND(D57="DJ",C57="AT"),CONCATENATE(B57,"_","TR",$B$3,C57,"_",$B$4,"_",G57),AND(D57="DJ",C57="BT"),CONCATENATE(B57,"_","TR",$B$3,C57,"_",$B$8,"_",G57),AND(C57="TR",D57="TR"),CONCATENATE(B57,"_","TR",$B$3,"_","TR",$B$3,"_",G57),AND(D57="SECT",C57="BT"),CONCATENATE(B57,"_","TR",$B$3,C57,"_",$B$11,"_",G57),AND(D57="SECF",C57="BT"),CONCATENATE(B57,"_","TR",$B$3,C57,"_",$B$10,"_",G57),AND(D57="SECC",C57="AT"),CONCATENATE(B57,"_","TR",$B$3,C57,"_",$B$5,"_",G57),AND(C57="AT",D57="TR_A"),CONCATENATE(B57,"_","TR",$B$3,C57,"_","TR",$B$3,C57,"_A","_",G57),AND(C57="AT",D57="TR_P"),CONCATENATE(B57,"_","TR",$B$3,C57,"_","TR",$B$3,C57,"_P","_",G57),AND(C57="BT",D57="TR_A"),CONCATENATE(B57,"_","TR",$B$3,C57,"_","TR",$B$3,C57,"_A","_",G57),AND(C57="BT",D57="TR_P"),CONCATENATE(B57,"_","TR",$B$3,C57,"_","TR",$B$3,C57,"_P","_",G57),AND(C57="TR",D57="TR_P"),CONCATENATE(B57,"_","TR",$B$3,"_","TR",$B$3,"_P","_",G57),AND(C57="TR",D57="TR_A"),CONCATENATE(B57,"_","TR",$B$3,"_","TR",$B$3,"_A","_",G57))</f>
        <v>IMA_TR7AT_89-34_SECC</v>
      </c>
      <c r="I57" s="6"/>
      <c r="J57" s="104" t="s">
        <v>281</v>
      </c>
      <c r="K57" s="104" t="s">
        <v>285</v>
      </c>
      <c r="L57" s="6" t="s">
        <v>188</v>
      </c>
      <c r="M57" s="6" t="s">
        <v>188</v>
      </c>
      <c r="N57" s="104" t="str">
        <f>VALUE(LEFT('TR 1'!N73, FIND(";",'TR 1'!N73)-1)) + 2 &amp; ";" &amp; VALUE(LEFT('TR 1'!N73, FIND(";",'TR 1'!N73)-1)) + 3</f>
        <v>1132;1133</v>
      </c>
    </row>
    <row r="58" spans="1:14" x14ac:dyDescent="0.25">
      <c r="A58" s="6" t="s">
        <v>190</v>
      </c>
      <c r="B58" s="6" t="str">
        <f>Informações!$C$3</f>
        <v>IMA</v>
      </c>
      <c r="C58" s="6" t="s">
        <v>100</v>
      </c>
      <c r="D58" s="6" t="s">
        <v>31</v>
      </c>
      <c r="E58" s="2" t="s">
        <v>25</v>
      </c>
      <c r="F58" s="6" t="str">
        <f>VLOOKUP(G58,[1]Discrete!$A:$B,2,FALSE)</f>
        <v>43 - CHAVE LOCAL REMOTO</v>
      </c>
      <c r="G58" s="6" t="s">
        <v>39</v>
      </c>
      <c r="H58" s="6" t="str" cm="1">
        <f t="array" ref="H58">_xlfn.IFS(OR(D58="TC",D58="TP",AND(D58="TR",C58="AT"),AND(D58="TR",C58="BT")),CONCATENATE(B58,"_","TR",$B$3,C58,"_","TR",$B$3,C58,"_",G58),AND(D58="SECC",C58="BT"),CONCATENATE(B58,"_","TR",$B$3,C58,"_",$B$9,"_",G58),AND(D58="SECF",C58="AT"),CONCATENATE(B58,"_","TR",$B$3,C58,"_",$B$6,"_",G58),AND(D58="SECT",C58="AT"),CONCATENATE(B58,"_","TR",$B$3,C58,"_",$B$7,"_",G58),AND(D58="DJ",C58="AT"),CONCATENATE(B58,"_","TR",$B$3,C58,"_",$B$4,"_",G58),AND(D58="DJ",C58="BT"),CONCATENATE(B58,"_","TR",$B$3,C58,"_",$B$8,"_",G58),AND(C58="TR",D58="TR"),CONCATENATE(B58,"_","TR",$B$3,"_","TR",$B$3,"_",G58),AND(D58="SECT",C58="BT"),CONCATENATE(B58,"_","TR",$B$3,C58,"_",$B$11,"_",G58),AND(D58="SECF",C58="BT"),CONCATENATE(B58,"_","TR",$B$3,C58,"_",$B$10,"_",G58),AND(D58="SECC",C58="AT"),CONCATENATE(B58,"_","TR",$B$3,C58,"_",$B$5,"_",G58),AND(C58="AT",D58="TR_A"),CONCATENATE(B58,"_","TR",$B$3,C58,"_","TR",$B$3,C58,"_A","_",G58),AND(C58="AT",D58="TR_P"),CONCATENATE(B58,"_","TR",$B$3,C58,"_","TR",$B$3,C58,"_P","_",G58),AND(C58="BT",D58="TR_A"),CONCATENATE(B58,"_","TR",$B$3,C58,"_","TR",$B$3,C58,"_A","_",G58),AND(C58="BT",D58="TR_P"),CONCATENATE(B58,"_","TR",$B$3,C58,"_","TR",$B$3,C58,"_P","_",G58),AND(C58="TR",D58="TR_P"),CONCATENATE(B58,"_","TR",$B$3,"_","TR",$B$3,"_P","_",G58),AND(C58="TR",D58="TR_A"),CONCATENATE(B58,"_","TR",$B$3,"_","TR",$B$3,"_A","_",G58))</f>
        <v>IMA_TR7AT_89-34_43LR</v>
      </c>
      <c r="I58" s="6"/>
      <c r="J58" s="6" t="s">
        <v>186</v>
      </c>
      <c r="K58" s="6" t="s">
        <v>185</v>
      </c>
      <c r="L58" s="6" t="s">
        <v>188</v>
      </c>
      <c r="M58" s="6" t="s">
        <v>188</v>
      </c>
      <c r="N58" s="6">
        <v>269</v>
      </c>
    </row>
    <row r="59" spans="1:14" x14ac:dyDescent="0.25">
      <c r="A59" s="6" t="s">
        <v>190</v>
      </c>
      <c r="B59" s="6" t="str">
        <f>Informações!$C$3</f>
        <v>IMA</v>
      </c>
      <c r="C59" s="6" t="s">
        <v>100</v>
      </c>
      <c r="D59" s="6" t="s">
        <v>31</v>
      </c>
      <c r="E59" s="2" t="s">
        <v>25</v>
      </c>
      <c r="F59" s="6" t="str">
        <f>VLOOKUP(G59,[1]Discrete!$A:$B,2,FALSE)</f>
        <v>FALTA VCC</v>
      </c>
      <c r="G59" s="6" t="s">
        <v>42</v>
      </c>
      <c r="H59" s="6" t="str" cm="1">
        <f t="array" ref="H59">_xlfn.IFS(OR(D59="TC",D59="TP",AND(D59="TR",C59="AT"),AND(D59="TR",C59="BT")),CONCATENATE(B59,"_","TR",$B$3,C59,"_","TR",$B$3,C59,"_",G59),AND(D59="SECC",C59="BT"),CONCATENATE(B59,"_","TR",$B$3,C59,"_",$B$9,"_",G59),AND(D59="SECF",C59="AT"),CONCATENATE(B59,"_","TR",$B$3,C59,"_",$B$6,"_",G59),AND(D59="SECT",C59="AT"),CONCATENATE(B59,"_","TR",$B$3,C59,"_",$B$7,"_",G59),AND(D59="DJ",C59="AT"),CONCATENATE(B59,"_","TR",$B$3,C59,"_",$B$4,"_",G59),AND(D59="DJ",C59="BT"),CONCATENATE(B59,"_","TR",$B$3,C59,"_",$B$8,"_",G59),AND(C59="TR",D59="TR"),CONCATENATE(B59,"_","TR",$B$3,"_","TR",$B$3,"_",G59),AND(D59="SECT",C59="BT"),CONCATENATE(B59,"_","TR",$B$3,C59,"_",$B$11,"_",G59),AND(D59="SECF",C59="BT"),CONCATENATE(B59,"_","TR",$B$3,C59,"_",$B$10,"_",G59),AND(D59="SECC",C59="AT"),CONCATENATE(B59,"_","TR",$B$3,C59,"_",$B$5,"_",G59),AND(C59="AT",D59="TR_A"),CONCATENATE(B59,"_","TR",$B$3,C59,"_","TR",$B$3,C59,"_A","_",G59),AND(C59="AT",D59="TR_P"),CONCATENATE(B59,"_","TR",$B$3,C59,"_","TR",$B$3,C59,"_P","_",G59),AND(C59="BT",D59="TR_A"),CONCATENATE(B59,"_","TR",$B$3,C59,"_","TR",$B$3,C59,"_A","_",G59),AND(C59="BT",D59="TR_P"),CONCATENATE(B59,"_","TR",$B$3,C59,"_","TR",$B$3,C59,"_P","_",G59),AND(C59="TR",D59="TR_P"),CONCATENATE(B59,"_","TR",$B$3,"_","TR",$B$3,"_P","_",G59),AND(C59="TR",D59="TR_A"),CONCATENATE(B59,"_","TR",$B$3,"_","TR",$B$3,"_A","_",G59))</f>
        <v>IMA_TR7AT_89-34_CCFL</v>
      </c>
      <c r="I59" s="6"/>
      <c r="J59" s="6" t="s">
        <v>182</v>
      </c>
      <c r="K59" s="6" t="s">
        <v>180</v>
      </c>
      <c r="L59" s="6" t="s">
        <v>188</v>
      </c>
      <c r="M59" s="6" t="s">
        <v>188</v>
      </c>
      <c r="N59" s="6">
        <f t="shared" ref="N59:N122" si="3">N58+1</f>
        <v>270</v>
      </c>
    </row>
    <row r="60" spans="1:14" x14ac:dyDescent="0.25">
      <c r="A60" s="6" t="s">
        <v>190</v>
      </c>
      <c r="B60" s="6" t="str">
        <f>Informações!$C$3</f>
        <v>IMA</v>
      </c>
      <c r="C60" s="6" t="s">
        <v>100</v>
      </c>
      <c r="D60" s="6" t="s">
        <v>31</v>
      </c>
      <c r="E60" s="2" t="s">
        <v>25</v>
      </c>
      <c r="F60" s="6" t="str">
        <f>VLOOKUP(G60,[1]Discrete!$A:$B,2,FALSE)</f>
        <v>OPERACAO INDEVIDA SECCIONADORA</v>
      </c>
      <c r="G60" s="6" t="s">
        <v>295</v>
      </c>
      <c r="H60" s="6" t="str" cm="1">
        <f t="array" ref="H60">_xlfn.IFS(OR(D60="TC",D60="TP",AND(D60="TR",C60="AT"),AND(D60="TR",C60="BT")),CONCATENATE(B60,"_","TR",$B$3,C60,"_","TR",$B$3,C60,"_",G60),AND(D60="SECC",C60="BT"),CONCATENATE(B60,"_","TR",$B$3,C60,"_",$B$9,"_",G60),AND(D60="SECF",C60="AT"),CONCATENATE(B60,"_","TR",$B$3,C60,"_",$B$6,"_",G60),AND(D60="SECT",C60="AT"),CONCATENATE(B60,"_","TR",$B$3,C60,"_",$B$7,"_",G60),AND(D60="DJ",C60="AT"),CONCATENATE(B60,"_","TR",$B$3,C60,"_",$B$4,"_",G60),AND(D60="DJ",C60="BT"),CONCATENATE(B60,"_","TR",$B$3,C60,"_",$B$8,"_",G60),AND(C60="TR",D60="TR"),CONCATENATE(B60,"_","TR",$B$3,"_","TR",$B$3,"_",G60),AND(D60="SECT",C60="BT"),CONCATENATE(B60,"_","TR",$B$3,C60,"_",$B$11,"_",G60),AND(D60="SECF",C60="BT"),CONCATENATE(B60,"_","TR",$B$3,C60,"_",$B$10,"_",G60),AND(D60="SECC",C60="AT"),CONCATENATE(B60,"_","TR",$B$3,C60,"_",$B$5,"_",G60),AND(C60="AT",D60="TR_A"),CONCATENATE(B60,"_","TR",$B$3,C60,"_","TR",$B$3,C60,"_A","_",G60),AND(C60="AT",D60="TR_P"),CONCATENATE(B60,"_","TR",$B$3,C60,"_","TR",$B$3,C60,"_P","_",G60),AND(C60="BT",D60="TR_A"),CONCATENATE(B60,"_","TR",$B$3,C60,"_","TR",$B$3,C60,"_A","_",G60),AND(C60="BT",D60="TR_P"),CONCATENATE(B60,"_","TR",$B$3,C60,"_","TR",$B$3,C60,"_P","_",G60),AND(C60="TR",D60="TR_P"),CONCATENATE(B60,"_","TR",$B$3,"_","TR",$B$3,"_P","_",G60),AND(C60="TR",D60="TR_A"),CONCATENATE(B60,"_","TR",$B$3,"_","TR",$B$3,"_A","_",G60))</f>
        <v>IMA_TR7AT_89-34_OI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271</v>
      </c>
    </row>
    <row r="61" spans="1:14" x14ac:dyDescent="0.25">
      <c r="A61" s="6" t="s">
        <v>190</v>
      </c>
      <c r="B61" s="6" t="str">
        <f>Informações!$C$3</f>
        <v>IMA</v>
      </c>
      <c r="C61" s="6" t="s">
        <v>100</v>
      </c>
      <c r="D61" s="6" t="s">
        <v>31</v>
      </c>
      <c r="E61" s="2" t="s">
        <v>25</v>
      </c>
      <c r="F61" s="6" t="str">
        <f>VLOOKUP(G61,[1]Discrete!$A:$B,2,FALSE)</f>
        <v>LIBERA MANOBRA</v>
      </c>
      <c r="G61" s="6" t="s">
        <v>112</v>
      </c>
      <c r="H61" s="6" t="str" cm="1">
        <f t="array" ref="H61">_xlfn.IFS(OR(D61="TC",D61="TP",AND(D61="TR",C61="AT"),AND(D61="TR",C61="BT")),CONCATENATE(B61,"_","TR",$B$3,C61,"_","TR",$B$3,C61,"_",G61),AND(D61="SECC",C61="BT"),CONCATENATE(B61,"_","TR",$B$3,C61,"_",$B$9,"_",G61),AND(D61="SECF",C61="AT"),CONCATENATE(B61,"_","TR",$B$3,C61,"_",$B$6,"_",G61),AND(D61="SECT",C61="AT"),CONCATENATE(B61,"_","TR",$B$3,C61,"_",$B$7,"_",G61),AND(D61="DJ",C61="AT"),CONCATENATE(B61,"_","TR",$B$3,C61,"_",$B$4,"_",G61),AND(D61="DJ",C61="BT"),CONCATENATE(B61,"_","TR",$B$3,C61,"_",$B$8,"_",G61),AND(C61="TR",D61="TR"),CONCATENATE(B61,"_","TR",$B$3,"_","TR",$B$3,"_",G61),AND(D61="SECT",C61="BT"),CONCATENATE(B61,"_","TR",$B$3,C61,"_",$B$11,"_",G61),AND(D61="SECF",C61="BT"),CONCATENATE(B61,"_","TR",$B$3,C61,"_",$B$10,"_",G61),AND(D61="SECC",C61="AT"),CONCATENATE(B61,"_","TR",$B$3,C61,"_",$B$5,"_",G61),AND(C61="AT",D61="TR_A"),CONCATENATE(B61,"_","TR",$B$3,C61,"_","TR",$B$3,C61,"_A","_",G61),AND(C61="AT",D61="TR_P"),CONCATENATE(B61,"_","TR",$B$3,C61,"_","TR",$B$3,C61,"_P","_",G61),AND(C61="BT",D61="TR_A"),CONCATENATE(B61,"_","TR",$B$3,C61,"_","TR",$B$3,C61,"_A","_",G61),AND(C61="BT",D61="TR_P"),CONCATENATE(B61,"_","TR",$B$3,C61,"_","TR",$B$3,C61,"_P","_",G61),AND(C61="TR",D61="TR_P"),CONCATENATE(B61,"_","TR",$B$3,"_","TR",$B$3,"_P","_",G61),AND(C61="TR",D61="TR_A"),CONCATENATE(B61,"_","TR",$B$3,"_","TR",$B$3,"_A","_",G61))</f>
        <v>IMA_TR7AT_89-34_LIBM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>
        <f t="shared" si="3"/>
        <v>272</v>
      </c>
    </row>
    <row r="62" spans="1:14" x14ac:dyDescent="0.25">
      <c r="A62" s="6" t="s">
        <v>190</v>
      </c>
      <c r="B62" s="6" t="str">
        <f>Informações!$C$3</f>
        <v>IMA</v>
      </c>
      <c r="C62" s="6" t="s">
        <v>100</v>
      </c>
      <c r="D62" s="6" t="s">
        <v>32</v>
      </c>
      <c r="E62" s="2" t="s">
        <v>25</v>
      </c>
      <c r="F62" s="104" t="str">
        <f>VLOOKUP(G62,[1]Discrete!$A:$B,2,FALSE)</f>
        <v>SECCIONADORA FONTE</v>
      </c>
      <c r="G62" s="6" t="s">
        <v>32</v>
      </c>
      <c r="H62" s="6" t="str" cm="1">
        <f t="array" ref="H62">_xlfn.IFS(OR(D62="TC",D62="TP",AND(D62="TR",C62="AT"),AND(D62="TR",C62="BT")),CONCATENATE(B62,"_","TR",$B$3,C62,"_","TR",$B$3,C62,"_",G62),AND(D62="SECC",C62="BT"),CONCATENATE(B62,"_","TR",$B$3,C62,"_",$B$9,"_",G62),AND(D62="SECF",C62="AT"),CONCATENATE(B62,"_","TR",$B$3,C62,"_",$B$6,"_",G62),AND(D62="SECT",C62="AT"),CONCATENATE(B62,"_","TR",$B$3,C62,"_",$B$7,"_",G62),AND(D62="DJ",C62="AT"),CONCATENATE(B62,"_","TR",$B$3,C62,"_",$B$4,"_",G62),AND(D62="DJ",C62="BT"),CONCATENATE(B62,"_","TR",$B$3,C62,"_",$B$8,"_",G62),AND(C62="TR",D62="TR"),CONCATENATE(B62,"_","TR",$B$3,"_","TR",$B$3,"_",G62),AND(D62="SECT",C62="BT"),CONCATENATE(B62,"_","TR",$B$3,C62,"_",$B$11,"_",G62),AND(D62="SECF",C62="BT"),CONCATENATE(B62,"_","TR",$B$3,C62,"_",$B$10,"_",G62),AND(D62="SECC",C62="AT"),CONCATENATE(B62,"_","TR",$B$3,C62,"_",$B$5,"_",G62),AND(C62="AT",D62="TR_A"),CONCATENATE(B62,"_","TR",$B$3,C62,"_","TR",$B$3,C62,"_A","_",G62),AND(C62="AT",D62="TR_P"),CONCATENATE(B62,"_","TR",$B$3,C62,"_","TR",$B$3,C62,"_P","_",G62),AND(C62="BT",D62="TR_A"),CONCATENATE(B62,"_","TR",$B$3,C62,"_","TR",$B$3,C62,"_A","_",G62),AND(C62="BT",D62="TR_P"),CONCATENATE(B62,"_","TR",$B$3,C62,"_","TR",$B$3,C62,"_P","_",G62),AND(C62="TR",D62="TR_P"),CONCATENATE(B62,"_","TR",$B$3,"_","TR",$B$3,"_P","_",G62),AND(C62="TR",D62="TR_A"),CONCATENATE(B62,"_","TR",$B$3,"_","TR",$B$3,"_A","_",G62))</f>
        <v>IMA_TR7AT_89-32_SECF</v>
      </c>
      <c r="I62" s="6"/>
      <c r="J62" s="104" t="s">
        <v>281</v>
      </c>
      <c r="K62" s="104" t="s">
        <v>285</v>
      </c>
      <c r="L62" s="6" t="s">
        <v>188</v>
      </c>
      <c r="M62" s="6" t="s">
        <v>188</v>
      </c>
      <c r="N62" s="104" t="str">
        <f>VALUE(LEFT(N57, FIND(";",N57)-1)) + 2 &amp; ";" &amp; VALUE(LEFT(N57, FIND(";",N57)-1)) + 3</f>
        <v>1134;1135</v>
      </c>
    </row>
    <row r="63" spans="1:14" x14ac:dyDescent="0.25">
      <c r="A63" s="6" t="s">
        <v>190</v>
      </c>
      <c r="B63" s="6" t="str">
        <f>Informações!$C$3</f>
        <v>IMA</v>
      </c>
      <c r="C63" s="6" t="s">
        <v>100</v>
      </c>
      <c r="D63" s="6" t="s">
        <v>32</v>
      </c>
      <c r="E63" s="2" t="s">
        <v>25</v>
      </c>
      <c r="F63" s="6" t="str">
        <f>VLOOKUP(G63,[1]Discrete!$A:$B,2,FALSE)</f>
        <v>43 - CHAVE LOCAL REMOTO</v>
      </c>
      <c r="G63" s="6" t="s">
        <v>39</v>
      </c>
      <c r="H63" s="6" t="str" cm="1">
        <f t="array" ref="H63">_xlfn.IFS(OR(D63="TC",D63="TP",AND(D63="TR",C63="AT"),AND(D63="TR",C63="BT")),CONCATENATE(B63,"_","TR",$B$3,C63,"_","TR",$B$3,C63,"_",G63),AND(D63="SECC",C63="BT"),CONCATENATE(B63,"_","TR",$B$3,C63,"_",$B$9,"_",G63),AND(D63="SECF",C63="AT"),CONCATENATE(B63,"_","TR",$B$3,C63,"_",$B$6,"_",G63),AND(D63="SECT",C63="AT"),CONCATENATE(B63,"_","TR",$B$3,C63,"_",$B$7,"_",G63),AND(D63="DJ",C63="AT"),CONCATENATE(B63,"_","TR",$B$3,C63,"_",$B$4,"_",G63),AND(D63="DJ",C63="BT"),CONCATENATE(B63,"_","TR",$B$3,C63,"_",$B$8,"_",G63),AND(C63="TR",D63="TR"),CONCATENATE(B63,"_","TR",$B$3,"_","TR",$B$3,"_",G63),AND(D63="SECT",C63="BT"),CONCATENATE(B63,"_","TR",$B$3,C63,"_",$B$11,"_",G63),AND(D63="SECF",C63="BT"),CONCATENATE(B63,"_","TR",$B$3,C63,"_",$B$10,"_",G63),AND(D63="SECC",C63="AT"),CONCATENATE(B63,"_","TR",$B$3,C63,"_",$B$5,"_",G63),AND(C63="AT",D63="TR_A"),CONCATENATE(B63,"_","TR",$B$3,C63,"_","TR",$B$3,C63,"_A","_",G63),AND(C63="AT",D63="TR_P"),CONCATENATE(B63,"_","TR",$B$3,C63,"_","TR",$B$3,C63,"_P","_",G63),AND(C63="BT",D63="TR_A"),CONCATENATE(B63,"_","TR",$B$3,C63,"_","TR",$B$3,C63,"_A","_",G63),AND(C63="BT",D63="TR_P"),CONCATENATE(B63,"_","TR",$B$3,C63,"_","TR",$B$3,C63,"_P","_",G63),AND(C63="TR",D63="TR_P"),CONCATENATE(B63,"_","TR",$B$3,"_","TR",$B$3,"_P","_",G63),AND(C63="TR",D63="TR_A"),CONCATENATE(B63,"_","TR",$B$3,"_","TR",$B$3,"_A","_",G63))</f>
        <v>IMA_TR7AT_89-32_43LR</v>
      </c>
      <c r="I63" s="6"/>
      <c r="J63" s="6" t="s">
        <v>186</v>
      </c>
      <c r="K63" s="6" t="s">
        <v>185</v>
      </c>
      <c r="L63" s="6" t="s">
        <v>188</v>
      </c>
      <c r="M63" s="6" t="s">
        <v>188</v>
      </c>
      <c r="N63" s="6">
        <v>274</v>
      </c>
    </row>
    <row r="64" spans="1:14" x14ac:dyDescent="0.25">
      <c r="A64" s="6" t="s">
        <v>190</v>
      </c>
      <c r="B64" s="6" t="str">
        <f>Informações!$C$3</f>
        <v>IMA</v>
      </c>
      <c r="C64" s="6" t="s">
        <v>100</v>
      </c>
      <c r="D64" s="6" t="s">
        <v>32</v>
      </c>
      <c r="E64" s="2" t="s">
        <v>25</v>
      </c>
      <c r="F64" s="6" t="str">
        <f>VLOOKUP(G64,[1]Discrete!$A:$B,2,FALSE)</f>
        <v>FALTA VCC</v>
      </c>
      <c r="G64" s="6" t="s">
        <v>42</v>
      </c>
      <c r="H64" s="6" t="str" cm="1">
        <f t="array" ref="H64">_xlfn.IFS(OR(D64="TC",D64="TP",AND(D64="TR",C64="AT"),AND(D64="TR",C64="BT")),CONCATENATE(B64,"_","TR",$B$3,C64,"_","TR",$B$3,C64,"_",G64),AND(D64="SECC",C64="BT"),CONCATENATE(B64,"_","TR",$B$3,C64,"_",$B$9,"_",G64),AND(D64="SECF",C64="AT"),CONCATENATE(B64,"_","TR",$B$3,C64,"_",$B$6,"_",G64),AND(D64="SECT",C64="AT"),CONCATENATE(B64,"_","TR",$B$3,C64,"_",$B$7,"_",G64),AND(D64="DJ",C64="AT"),CONCATENATE(B64,"_","TR",$B$3,C64,"_",$B$4,"_",G64),AND(D64="DJ",C64="BT"),CONCATENATE(B64,"_","TR",$B$3,C64,"_",$B$8,"_",G64),AND(C64="TR",D64="TR"),CONCATENATE(B64,"_","TR",$B$3,"_","TR",$B$3,"_",G64),AND(D64="SECT",C64="BT"),CONCATENATE(B64,"_","TR",$B$3,C64,"_",$B$11,"_",G64),AND(D64="SECF",C64="BT"),CONCATENATE(B64,"_","TR",$B$3,C64,"_",$B$10,"_",G64),AND(D64="SECC",C64="AT"),CONCATENATE(B64,"_","TR",$B$3,C64,"_",$B$5,"_",G64),AND(C64="AT",D64="TR_A"),CONCATENATE(B64,"_","TR",$B$3,C64,"_","TR",$B$3,C64,"_A","_",G64),AND(C64="AT",D64="TR_P"),CONCATENATE(B64,"_","TR",$B$3,C64,"_","TR",$B$3,C64,"_P","_",G64),AND(C64="BT",D64="TR_A"),CONCATENATE(B64,"_","TR",$B$3,C64,"_","TR",$B$3,C64,"_A","_",G64),AND(C64="BT",D64="TR_P"),CONCATENATE(B64,"_","TR",$B$3,C64,"_","TR",$B$3,C64,"_P","_",G64),AND(C64="TR",D64="TR_P"),CONCATENATE(B64,"_","TR",$B$3,"_","TR",$B$3,"_P","_",G64),AND(C64="TR",D64="TR_A"),CONCATENATE(B64,"_","TR",$B$3,"_","TR",$B$3,"_A","_",G64))</f>
        <v>IMA_TR7AT_89-32_CCFL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3"/>
        <v>275</v>
      </c>
    </row>
    <row r="65" spans="1:14" x14ac:dyDescent="0.25">
      <c r="A65" s="6" t="s">
        <v>190</v>
      </c>
      <c r="B65" s="6" t="str">
        <f>Informações!$C$3</f>
        <v>IMA</v>
      </c>
      <c r="C65" s="6" t="s">
        <v>100</v>
      </c>
      <c r="D65" s="6" t="s">
        <v>32</v>
      </c>
      <c r="E65" s="2" t="s">
        <v>25</v>
      </c>
      <c r="F65" s="6" t="str">
        <f>VLOOKUP(G65,[1]Discrete!$A:$B,2,FALSE)</f>
        <v>OPERACAO INDEVIDA SECCIONADORA</v>
      </c>
      <c r="G65" s="6" t="s">
        <v>295</v>
      </c>
      <c r="H65" s="6" t="str" cm="1">
        <f t="array" ref="H65">_xlfn.IFS(OR(D65="TC",D65="TP",AND(D65="TR",C65="AT"),AND(D65="TR",C65="BT")),CONCATENATE(B65,"_","TR",$B$3,C65,"_","TR",$B$3,C65,"_",G65),AND(D65="SECC",C65="BT"),CONCATENATE(B65,"_","TR",$B$3,C65,"_",$B$9,"_",G65),AND(D65="SECF",C65="AT"),CONCATENATE(B65,"_","TR",$B$3,C65,"_",$B$6,"_",G65),AND(D65="SECT",C65="AT"),CONCATENATE(B65,"_","TR",$B$3,C65,"_",$B$7,"_",G65),AND(D65="DJ",C65="AT"),CONCATENATE(B65,"_","TR",$B$3,C65,"_",$B$4,"_",G65),AND(D65="DJ",C65="BT"),CONCATENATE(B65,"_","TR",$B$3,C65,"_",$B$8,"_",G65),AND(C65="TR",D65="TR"),CONCATENATE(B65,"_","TR",$B$3,"_","TR",$B$3,"_",G65),AND(D65="SECT",C65="BT"),CONCATENATE(B65,"_","TR",$B$3,C65,"_",$B$11,"_",G65),AND(D65="SECF",C65="BT"),CONCATENATE(B65,"_","TR",$B$3,C65,"_",$B$10,"_",G65),AND(D65="SECC",C65="AT"),CONCATENATE(B65,"_","TR",$B$3,C65,"_",$B$5,"_",G65),AND(C65="AT",D65="TR_A"),CONCATENATE(B65,"_","TR",$B$3,C65,"_","TR",$B$3,C65,"_A","_",G65),AND(C65="AT",D65="TR_P"),CONCATENATE(B65,"_","TR",$B$3,C65,"_","TR",$B$3,C65,"_P","_",G65),AND(C65="BT",D65="TR_A"),CONCATENATE(B65,"_","TR",$B$3,C65,"_","TR",$B$3,C65,"_A","_",G65),AND(C65="BT",D65="TR_P"),CONCATENATE(B65,"_","TR",$B$3,C65,"_","TR",$B$3,C65,"_P","_",G65),AND(C65="TR",D65="TR_P"),CONCATENATE(B65,"_","TR",$B$3,"_","TR",$B$3,"_P","_",G65),AND(C65="TR",D65="TR_A"),CONCATENATE(B65,"_","TR",$B$3,"_","TR",$B$3,"_A","_",G65))</f>
        <v>IMA_TR7AT_89-32_OI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3"/>
        <v>276</v>
      </c>
    </row>
    <row r="66" spans="1:14" x14ac:dyDescent="0.25">
      <c r="A66" s="6" t="s">
        <v>190</v>
      </c>
      <c r="B66" s="6" t="str">
        <f>Informações!$C$3</f>
        <v>IMA</v>
      </c>
      <c r="C66" s="6" t="s">
        <v>100</v>
      </c>
      <c r="D66" s="6" t="s">
        <v>32</v>
      </c>
      <c r="E66" s="2" t="s">
        <v>25</v>
      </c>
      <c r="F66" s="6" t="str">
        <f>VLOOKUP(G66,[1]Discrete!$A:$B,2,FALSE)</f>
        <v>LIBERA MANOBRA</v>
      </c>
      <c r="G66" s="6" t="s">
        <v>112</v>
      </c>
      <c r="H66" s="6" t="str" cm="1">
        <f t="array" ref="H66">_xlfn.IFS(OR(D66="TC",D66="TP",AND(D66="TR",C66="AT"),AND(D66="TR",C66="BT")),CONCATENATE(B66,"_","TR",$B$3,C66,"_","TR",$B$3,C66,"_",G66),AND(D66="SECC",C66="BT"),CONCATENATE(B66,"_","TR",$B$3,C66,"_",$B$9,"_",G66),AND(D66="SECF",C66="AT"),CONCATENATE(B66,"_","TR",$B$3,C66,"_",$B$6,"_",G66),AND(D66="SECT",C66="AT"),CONCATENATE(B66,"_","TR",$B$3,C66,"_",$B$7,"_",G66),AND(D66="DJ",C66="AT"),CONCATENATE(B66,"_","TR",$B$3,C66,"_",$B$4,"_",G66),AND(D66="DJ",C66="BT"),CONCATENATE(B66,"_","TR",$B$3,C66,"_",$B$8,"_",G66),AND(C66="TR",D66="TR"),CONCATENATE(B66,"_","TR",$B$3,"_","TR",$B$3,"_",G66),AND(D66="SECT",C66="BT"),CONCATENATE(B66,"_","TR",$B$3,C66,"_",$B$11,"_",G66),AND(D66="SECF",C66="BT"),CONCATENATE(B66,"_","TR",$B$3,C66,"_",$B$10,"_",G66),AND(D66="SECC",C66="AT"),CONCATENATE(B66,"_","TR",$B$3,C66,"_",$B$5,"_",G66),AND(C66="AT",D66="TR_A"),CONCATENATE(B66,"_","TR",$B$3,C66,"_","TR",$B$3,C66,"_A","_",G66),AND(C66="AT",D66="TR_P"),CONCATENATE(B66,"_","TR",$B$3,C66,"_","TR",$B$3,C66,"_P","_",G66),AND(C66="BT",D66="TR_A"),CONCATENATE(B66,"_","TR",$B$3,C66,"_","TR",$B$3,C66,"_A","_",G66),AND(C66="BT",D66="TR_P"),CONCATENATE(B66,"_","TR",$B$3,C66,"_","TR",$B$3,C66,"_P","_",G66),AND(C66="TR",D66="TR_P"),CONCATENATE(B66,"_","TR",$B$3,"_","TR",$B$3,"_P","_",G66),AND(C66="TR",D66="TR_A"),CONCATENATE(B66,"_","TR",$B$3,"_","TR",$B$3,"_A","_",G66))</f>
        <v>IMA_TR7AT_89-32_LIBM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3"/>
        <v>277</v>
      </c>
    </row>
    <row r="67" spans="1:14" x14ac:dyDescent="0.25">
      <c r="A67" s="6" t="s">
        <v>190</v>
      </c>
      <c r="B67" s="6" t="str">
        <f>Informações!$C$3</f>
        <v>IMA</v>
      </c>
      <c r="C67" s="6" t="s">
        <v>100</v>
      </c>
      <c r="D67" s="6" t="s">
        <v>33</v>
      </c>
      <c r="E67" s="2" t="s">
        <v>25</v>
      </c>
      <c r="F67" s="104" t="str">
        <f>VLOOKUP(G67,[1]Discrete!$A:$B,2,FALSE)</f>
        <v>SECCIONADORA TRANSFERENCIA</v>
      </c>
      <c r="G67" s="6" t="s">
        <v>33</v>
      </c>
      <c r="H67" s="6" t="str" cm="1">
        <f t="array" ref="H67">_xlfn.IFS(OR(D67="TC",D67="TP",AND(D67="TR",C67="AT"),AND(D67="TR",C67="BT")),CONCATENATE(B67,"_","TR",$B$3,C67,"_","TR",$B$3,C67,"_",G67),AND(D67="SECC",C67="BT"),CONCATENATE(B67,"_","TR",$B$3,C67,"_",$B$9,"_",G67),AND(D67="SECF",C67="AT"),CONCATENATE(B67,"_","TR",$B$3,C67,"_",$B$6,"_",G67),AND(D67="SECT",C67="AT"),CONCATENATE(B67,"_","TR",$B$3,C67,"_",$B$7,"_",G67),AND(D67="DJ",C67="AT"),CONCATENATE(B67,"_","TR",$B$3,C67,"_",$B$4,"_",G67),AND(D67="DJ",C67="BT"),CONCATENATE(B67,"_","TR",$B$3,C67,"_",$B$8,"_",G67),AND(C67="TR",D67="TR"),CONCATENATE(B67,"_","TR",$B$3,"_","TR",$B$3,"_",G67),AND(D67="SECT",C67="BT"),CONCATENATE(B67,"_","TR",$B$3,C67,"_",$B$11,"_",G67),AND(D67="SECF",C67="BT"),CONCATENATE(B67,"_","TR",$B$3,C67,"_",$B$10,"_",G67),AND(D67="SECC",C67="AT"),CONCATENATE(B67,"_","TR",$B$3,C67,"_",$B$5,"_",G67),AND(C67="AT",D67="TR_A"),CONCATENATE(B67,"_","TR",$B$3,C67,"_","TR",$B$3,C67,"_A","_",G67),AND(C67="AT",D67="TR_P"),CONCATENATE(B67,"_","TR",$B$3,C67,"_","TR",$B$3,C67,"_P","_",G67),AND(C67="BT",D67="TR_A"),CONCATENATE(B67,"_","TR",$B$3,C67,"_","TR",$B$3,C67,"_A","_",G67),AND(C67="BT",D67="TR_P"),CONCATENATE(B67,"_","TR",$B$3,C67,"_","TR",$B$3,C67,"_P","_",G67),AND(C67="TR",D67="TR_P"),CONCATENATE(B67,"_","TR",$B$3,"_","TR",$B$3,"_P","_",G67),AND(C67="TR",D67="TR_A"),CONCATENATE(B67,"_","TR",$B$3,"_","TR",$B$3,"_A","_",G67))</f>
        <v>IMA_TR7AT_89-36_SECT</v>
      </c>
      <c r="I67" s="6"/>
      <c r="J67" s="104" t="s">
        <v>281</v>
      </c>
      <c r="K67" s="104" t="s">
        <v>285</v>
      </c>
      <c r="L67" s="6" t="s">
        <v>188</v>
      </c>
      <c r="M67" s="6" t="s">
        <v>188</v>
      </c>
      <c r="N67" s="104" t="str">
        <f>VALUE(LEFT(N62, FIND(";",N62)-1)) + 2 &amp; ";" &amp; VALUE(LEFT(N62, FIND(";",N62)-1)) + 3</f>
        <v>1136;1137</v>
      </c>
    </row>
    <row r="68" spans="1:14" x14ac:dyDescent="0.25">
      <c r="A68" s="6" t="s">
        <v>190</v>
      </c>
      <c r="B68" s="6" t="str">
        <f>Informações!$C$3</f>
        <v>IMA</v>
      </c>
      <c r="C68" s="6" t="s">
        <v>100</v>
      </c>
      <c r="D68" s="6" t="s">
        <v>33</v>
      </c>
      <c r="E68" s="2" t="s">
        <v>25</v>
      </c>
      <c r="F68" s="6" t="str">
        <f>VLOOKUP(G68,[1]Discrete!$A:$B,2,FALSE)</f>
        <v>43 - CHAVE LOCAL REMOTO</v>
      </c>
      <c r="G68" s="6" t="s">
        <v>39</v>
      </c>
      <c r="H68" s="6" t="str" cm="1">
        <f t="array" ref="H68">_xlfn.IFS(OR(D68="TC",D68="TP",AND(D68="TR",C68="AT"),AND(D68="TR",C68="BT")),CONCATENATE(B68,"_","TR",$B$3,C68,"_","TR",$B$3,C68,"_",G68),AND(D68="SECC",C68="BT"),CONCATENATE(B68,"_","TR",$B$3,C68,"_",$B$9,"_",G68),AND(D68="SECF",C68="AT"),CONCATENATE(B68,"_","TR",$B$3,C68,"_",$B$6,"_",G68),AND(D68="SECT",C68="AT"),CONCATENATE(B68,"_","TR",$B$3,C68,"_",$B$7,"_",G68),AND(D68="DJ",C68="AT"),CONCATENATE(B68,"_","TR",$B$3,C68,"_",$B$4,"_",G68),AND(D68="DJ",C68="BT"),CONCATENATE(B68,"_","TR",$B$3,C68,"_",$B$8,"_",G68),AND(C68="TR",D68="TR"),CONCATENATE(B68,"_","TR",$B$3,"_","TR",$B$3,"_",G68),AND(D68="SECT",C68="BT"),CONCATENATE(B68,"_","TR",$B$3,C68,"_",$B$11,"_",G68),AND(D68="SECF",C68="BT"),CONCATENATE(B68,"_","TR",$B$3,C68,"_",$B$10,"_",G68),AND(D68="SECC",C68="AT"),CONCATENATE(B68,"_","TR",$B$3,C68,"_",$B$5,"_",G68),AND(C68="AT",D68="TR_A"),CONCATENATE(B68,"_","TR",$B$3,C68,"_","TR",$B$3,C68,"_A","_",G68),AND(C68="AT",D68="TR_P"),CONCATENATE(B68,"_","TR",$B$3,C68,"_","TR",$B$3,C68,"_P","_",G68),AND(C68="BT",D68="TR_A"),CONCATENATE(B68,"_","TR",$B$3,C68,"_","TR",$B$3,C68,"_A","_",G68),AND(C68="BT",D68="TR_P"),CONCATENATE(B68,"_","TR",$B$3,C68,"_","TR",$B$3,C68,"_P","_",G68),AND(C68="TR",D68="TR_P"),CONCATENATE(B68,"_","TR",$B$3,"_","TR",$B$3,"_P","_",G68),AND(C68="TR",D68="TR_A"),CONCATENATE(B68,"_","TR",$B$3,"_","TR",$B$3,"_A","_",G68))</f>
        <v>IMA_TR7AT_89-36_43LR</v>
      </c>
      <c r="I68" s="6"/>
      <c r="J68" s="6" t="s">
        <v>186</v>
      </c>
      <c r="K68" s="6" t="s">
        <v>185</v>
      </c>
      <c r="L68" s="6" t="s">
        <v>188</v>
      </c>
      <c r="M68" s="6" t="s">
        <v>188</v>
      </c>
      <c r="N68" s="6">
        <v>279</v>
      </c>
    </row>
    <row r="69" spans="1:14" x14ac:dyDescent="0.25">
      <c r="A69" s="6" t="s">
        <v>190</v>
      </c>
      <c r="B69" s="6" t="str">
        <f>Informações!$C$3</f>
        <v>IMA</v>
      </c>
      <c r="C69" s="6" t="s">
        <v>100</v>
      </c>
      <c r="D69" s="6" t="s">
        <v>33</v>
      </c>
      <c r="E69" s="2" t="s">
        <v>25</v>
      </c>
      <c r="F69" s="6" t="str">
        <f>VLOOKUP(G69,[1]Discrete!$A:$B,2,FALSE)</f>
        <v>FALTA VCC</v>
      </c>
      <c r="G69" s="6" t="s">
        <v>42</v>
      </c>
      <c r="H69" s="6" t="str" cm="1">
        <f t="array" ref="H69">_xlfn.IFS(OR(D69="TC",D69="TP",AND(D69="TR",C69="AT"),AND(D69="TR",C69="BT")),CONCATENATE(B69,"_","TR",$B$3,C69,"_","TR",$B$3,C69,"_",G69),AND(D69="SECC",C69="BT"),CONCATENATE(B69,"_","TR",$B$3,C69,"_",$B$9,"_",G69),AND(D69="SECF",C69="AT"),CONCATENATE(B69,"_","TR",$B$3,C69,"_",$B$6,"_",G69),AND(D69="SECT",C69="AT"),CONCATENATE(B69,"_","TR",$B$3,C69,"_",$B$7,"_",G69),AND(D69="DJ",C69="AT"),CONCATENATE(B69,"_","TR",$B$3,C69,"_",$B$4,"_",G69),AND(D69="DJ",C69="BT"),CONCATENATE(B69,"_","TR",$B$3,C69,"_",$B$8,"_",G69),AND(C69="TR",D69="TR"),CONCATENATE(B69,"_","TR",$B$3,"_","TR",$B$3,"_",G69),AND(D69="SECT",C69="BT"),CONCATENATE(B69,"_","TR",$B$3,C69,"_",$B$11,"_",G69),AND(D69="SECF",C69="BT"),CONCATENATE(B69,"_","TR",$B$3,C69,"_",$B$10,"_",G69),AND(D69="SECC",C69="AT"),CONCATENATE(B69,"_","TR",$B$3,C69,"_",$B$5,"_",G69),AND(C69="AT",D69="TR_A"),CONCATENATE(B69,"_","TR",$B$3,C69,"_","TR",$B$3,C69,"_A","_",G69),AND(C69="AT",D69="TR_P"),CONCATENATE(B69,"_","TR",$B$3,C69,"_","TR",$B$3,C69,"_P","_",G69),AND(C69="BT",D69="TR_A"),CONCATENATE(B69,"_","TR",$B$3,C69,"_","TR",$B$3,C69,"_A","_",G69),AND(C69="BT",D69="TR_P"),CONCATENATE(B69,"_","TR",$B$3,C69,"_","TR",$B$3,C69,"_P","_",G69),AND(C69="TR",D69="TR_P"),CONCATENATE(B69,"_","TR",$B$3,"_","TR",$B$3,"_P","_",G69),AND(C69="TR",D69="TR_A"),CONCATENATE(B69,"_","TR",$B$3,"_","TR",$B$3,"_A","_",G69))</f>
        <v>IMA_TR7AT_89-36_CCFL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3"/>
        <v>280</v>
      </c>
    </row>
    <row r="70" spans="1:14" x14ac:dyDescent="0.25">
      <c r="A70" s="6" t="s">
        <v>190</v>
      </c>
      <c r="B70" s="6" t="str">
        <f>Informações!$C$3</f>
        <v>IMA</v>
      </c>
      <c r="C70" s="6" t="s">
        <v>100</v>
      </c>
      <c r="D70" s="6" t="s">
        <v>33</v>
      </c>
      <c r="E70" s="2" t="s">
        <v>25</v>
      </c>
      <c r="F70" s="6" t="str">
        <f>VLOOKUP(G70,[1]Discrete!$A:$B,2,FALSE)</f>
        <v>LIBERA MANOBRA</v>
      </c>
      <c r="G70" s="6" t="s">
        <v>112</v>
      </c>
      <c r="H70" s="6" t="str" cm="1">
        <f t="array" ref="H70">_xlfn.IFS(OR(D70="TC",D70="TP",AND(D70="TR",C70="AT"),AND(D70="TR",C70="BT")),CONCATENATE(B70,"_","TR",$B$3,C70,"_","TR",$B$3,C70,"_",G70),AND(D70="SECC",C70="BT"),CONCATENATE(B70,"_","TR",$B$3,C70,"_",$B$9,"_",G70),AND(D70="SECF",C70="AT"),CONCATENATE(B70,"_","TR",$B$3,C70,"_",$B$6,"_",G70),AND(D70="SECT",C70="AT"),CONCATENATE(B70,"_","TR",$B$3,C70,"_",$B$7,"_",G70),AND(D70="DJ",C70="AT"),CONCATENATE(B70,"_","TR",$B$3,C70,"_",$B$4,"_",G70),AND(D70="DJ",C70="BT"),CONCATENATE(B70,"_","TR",$B$3,C70,"_",$B$8,"_",G70),AND(C70="TR",D70="TR"),CONCATENATE(B70,"_","TR",$B$3,"_","TR",$B$3,"_",G70),AND(D70="SECT",C70="BT"),CONCATENATE(B70,"_","TR",$B$3,C70,"_",$B$11,"_",G70),AND(D70="SECF",C70="BT"),CONCATENATE(B70,"_","TR",$B$3,C70,"_",$B$10,"_",G70),AND(D70="SECC",C70="AT"),CONCATENATE(B70,"_","TR",$B$3,C70,"_",$B$5,"_",G70),AND(C70="AT",D70="TR_A"),CONCATENATE(B70,"_","TR",$B$3,C70,"_","TR",$B$3,C70,"_A","_",G70),AND(C70="AT",D70="TR_P"),CONCATENATE(B70,"_","TR",$B$3,C70,"_","TR",$B$3,C70,"_P","_",G70),AND(C70="BT",D70="TR_A"),CONCATENATE(B70,"_","TR",$B$3,C70,"_","TR",$B$3,C70,"_A","_",G70),AND(C70="BT",D70="TR_P"),CONCATENATE(B70,"_","TR",$B$3,C70,"_","TR",$B$3,C70,"_P","_",G70),AND(C70="TR",D70="TR_P"),CONCATENATE(B70,"_","TR",$B$3,"_","TR",$B$3,"_P","_",G70),AND(C70="TR",D70="TR_A"),CONCATENATE(B70,"_","TR",$B$3,"_","TR",$B$3,"_A","_",G70))</f>
        <v>IMA_TR7AT_89-36_LIBM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281</v>
      </c>
    </row>
    <row r="71" spans="1:14" x14ac:dyDescent="0.25">
      <c r="A71" s="6" t="s">
        <v>190</v>
      </c>
      <c r="B71" s="6" t="str">
        <f>Informações!$C$3</f>
        <v>IMA</v>
      </c>
      <c r="C71" s="6" t="s">
        <v>100</v>
      </c>
      <c r="D71" s="6" t="s">
        <v>30</v>
      </c>
      <c r="E71" s="2" t="s">
        <v>25</v>
      </c>
      <c r="F71" s="104" t="str">
        <f>VLOOKUP(G71,[1]Discrete!$A:$B,2,FALSE)</f>
        <v>DISJUNTOR NF</v>
      </c>
      <c r="G71" s="6" t="s">
        <v>34</v>
      </c>
      <c r="H71" s="6" t="str" cm="1">
        <f t="array" ref="H71">_xlfn.IFS(OR(D71="TC",D71="TP",AND(D71="TR",C71="AT"),AND(D71="TR",C71="BT")),CONCATENATE(B71,"_","TR",$B$3,C71,"_","TR",$B$3,C71,"_",G71),AND(D71="SECC",C71="BT"),CONCATENATE(B71,"_","TR",$B$3,C71,"_",$B$9,"_",G71),AND(D71="SECF",C71="AT"),CONCATENATE(B71,"_","TR",$B$3,C71,"_",$B$6,"_",G71),AND(D71="SECT",C71="AT"),CONCATENATE(B71,"_","TR",$B$3,C71,"_",$B$7,"_",G71),AND(D71="DJ",C71="AT"),CONCATENATE(B71,"_","TR",$B$3,C71,"_",$B$4,"_",G71),AND(D71="DJ",C71="BT"),CONCATENATE(B71,"_","TR",$B$3,C71,"_",$B$8,"_",G71),AND(C71="TR",D71="TR"),CONCATENATE(B71,"_","TR",$B$3,"_","TR",$B$3,"_",G71),AND(D71="SECT",C71="BT"),CONCATENATE(B71,"_","TR",$B$3,C71,"_",$B$11,"_",G71),AND(D71="SECF",C71="BT"),CONCATENATE(B71,"_","TR",$B$3,C71,"_",$B$10,"_",G71),AND(D71="SECC",C71="AT"),CONCATENATE(B71,"_","TR",$B$3,C71,"_",$B$5,"_",G71),AND(C71="AT",D71="TR_A"),CONCATENATE(B71,"_","TR",$B$3,C71,"_","TR",$B$3,C71,"_A","_",G71),AND(C71="AT",D71="TR_P"),CONCATENATE(B71,"_","TR",$B$3,C71,"_","TR",$B$3,C71,"_P","_",G71),AND(C71="BT",D71="TR_A"),CONCATENATE(B71,"_","TR",$B$3,C71,"_","TR",$B$3,C71,"_A","_",G71),AND(C71="BT",D71="TR_P"),CONCATENATE(B71,"_","TR",$B$3,C71,"_","TR",$B$3,C71,"_P","_",G71),AND(C71="TR",D71="TR_P"),CONCATENATE(B71,"_","TR",$B$3,"_","TR",$B$3,"_P","_",G71),AND(C71="TR",D71="TR_A"),CONCATENATE(B71,"_","TR",$B$3,"_","TR",$B$3,"_A","_",G71))</f>
        <v>IMA_TR7AT_52-7_DJF1</v>
      </c>
      <c r="I71" s="6"/>
      <c r="J71" s="104" t="s">
        <v>284</v>
      </c>
      <c r="K71" s="104" t="s">
        <v>286</v>
      </c>
      <c r="L71" s="6" t="s">
        <v>188</v>
      </c>
      <c r="M71" s="6" t="s">
        <v>188</v>
      </c>
      <c r="N71" s="104" t="str">
        <f>VALUE(LEFT(N67, FIND(";",N67)-1)) + 2 &amp; ";" &amp; VALUE(LEFT(N67, FIND(";",N67)-1)) + 3</f>
        <v>1138;1139</v>
      </c>
    </row>
    <row r="72" spans="1:14" x14ac:dyDescent="0.25">
      <c r="A72" s="6" t="s">
        <v>190</v>
      </c>
      <c r="B72" s="6" t="str">
        <f>Informações!$C$3</f>
        <v>IMA</v>
      </c>
      <c r="C72" s="6" t="s">
        <v>101</v>
      </c>
      <c r="D72" s="6" t="s">
        <v>33</v>
      </c>
      <c r="E72" s="2" t="s">
        <v>25</v>
      </c>
      <c r="F72" s="104" t="str">
        <f>VLOOKUP(G72,[1]Discrete!$A:$B,2,FALSE)</f>
        <v>SECCIONADORA TRANSFERENCIA</v>
      </c>
      <c r="G72" s="6" t="s">
        <v>33</v>
      </c>
      <c r="H72" s="6" t="str" cm="1">
        <f t="array" ref="H72">_xlfn.IFS(OR(D72="TC",D72="TP",AND(D72="TR",C72="AT"),AND(D72="TR",C72="BT")),CONCATENATE(B72,"_","TR",$B$3,C72,"_","TR",$B$3,C72,"_",G72),AND(D72="SECC",C72="BT"),CONCATENATE(B72,"_","TR",$B$3,C72,"_",$B$9,"_",G72),AND(D72="SECF",C72="AT"),CONCATENATE(B72,"_","TR",$B$3,C72,"_",$B$6,"_",G72),AND(D72="SECT",C72="AT"),CONCATENATE(B72,"_","TR",$B$3,C72,"_",$B$7,"_",G72),AND(D72="DJ",C72="AT"),CONCATENATE(B72,"_","TR",$B$3,C72,"_",$B$4,"_",G72),AND(D72="DJ",C72="BT"),CONCATENATE(B72,"_","TR",$B$3,C72,"_",$B$8,"_",G72),AND(C72="TR",D72="TR"),CONCATENATE(B72,"_","TR",$B$3,"_","TR",$B$3,"_",G72),AND(D72="SECT",C72="BT"),CONCATENATE(B72,"_","TR",$B$3,C72,"_",$B$11,"_",G72),AND(D72="SECF",C72="BT"),CONCATENATE(B72,"_","TR",$B$3,C72,"_",$B$10,"_",G72),AND(D72="SECC",C72="AT"),CONCATENATE(B72,"_","TR",$B$3,C72,"_",$B$5,"_",G72),AND(C72="AT",D72="TR_A"),CONCATENATE(B72,"_","TR",$B$3,C72,"_","TR",$B$3,C72,"_A","_",G72),AND(C72="AT",D72="TR_P"),CONCATENATE(B72,"_","TR",$B$3,C72,"_","TR",$B$3,C72,"_P","_",G72),AND(C72="BT",D72="TR_A"),CONCATENATE(B72,"_","TR",$B$3,C72,"_","TR",$B$3,C72,"_A","_",G72),AND(C72="BT",D72="TR_P"),CONCATENATE(B72,"_","TR",$B$3,C72,"_","TR",$B$3,C72,"_P","_",G72),AND(C72="TR",D72="TR_P"),CONCATENATE(B72,"_","TR",$B$3,"_","TR",$B$3,"_P","_",G72),AND(C72="TR",D72="TR_A"),CONCATENATE(B72,"_","TR",$B$3,"_","TR",$B$3,"_A","_",G72))</f>
        <v>IMA_TR7BT_89-40_SECT</v>
      </c>
      <c r="I72" s="6"/>
      <c r="J72" s="104" t="s">
        <v>281</v>
      </c>
      <c r="K72" s="104" t="s">
        <v>285</v>
      </c>
      <c r="L72" s="6" t="s">
        <v>188</v>
      </c>
      <c r="M72" s="6" t="s">
        <v>188</v>
      </c>
      <c r="N72" s="104" t="str">
        <f>VALUE(LEFT(N71, FIND(";",N71)-1)) + 2 &amp; ";" &amp; VALUE(LEFT(N71, FIND(";",N71)-1)) + 3</f>
        <v>1140;1141</v>
      </c>
    </row>
    <row r="73" spans="1:14" x14ac:dyDescent="0.25">
      <c r="A73" s="6" t="s">
        <v>190</v>
      </c>
      <c r="B73" s="6" t="str">
        <f>Informações!$C$3</f>
        <v>IMA</v>
      </c>
      <c r="C73" s="6" t="s">
        <v>101</v>
      </c>
      <c r="D73" s="6" t="s">
        <v>30</v>
      </c>
      <c r="E73" s="2" t="s">
        <v>25</v>
      </c>
      <c r="F73" s="104" t="str">
        <f>VLOOKUP(G73,[1]Discrete!$A:$B,2,FALSE)</f>
        <v>DISJUNTOR NF</v>
      </c>
      <c r="G73" s="6" t="s">
        <v>34</v>
      </c>
      <c r="H73" s="6" t="str" cm="1">
        <f t="array" ref="H73">_xlfn.IFS(OR(D73="TC",D73="TP",AND(D73="TR",C73="AT"),AND(D73="TR",C73="BT")),CONCATENATE(B73,"_","TR",$B$3,C73,"_","TR",$B$3,C73,"_",G73),AND(D73="SECC",C73="BT"),CONCATENATE(B73,"_","TR",$B$3,C73,"_",$B$9,"_",G73),AND(D73="SECF",C73="AT"),CONCATENATE(B73,"_","TR",$B$3,C73,"_",$B$6,"_",G73),AND(D73="SECT",C73="AT"),CONCATENATE(B73,"_","TR",$B$3,C73,"_",$B$7,"_",G73),AND(D73="DJ",C73="AT"),CONCATENATE(B73,"_","TR",$B$3,C73,"_",$B$4,"_",G73),AND(D73="DJ",C73="BT"),CONCATENATE(B73,"_","TR",$B$3,C73,"_",$B$8,"_",G73),AND(C73="TR",D73="TR"),CONCATENATE(B73,"_","TR",$B$3,"_","TR",$B$3,"_",G73),AND(D73="SECT",C73="BT"),CONCATENATE(B73,"_","TR",$B$3,C73,"_",$B$11,"_",G73),AND(D73="SECF",C73="BT"),CONCATENATE(B73,"_","TR",$B$3,C73,"_",$B$10,"_",G73),AND(D73="SECC",C73="AT"),CONCATENATE(B73,"_","TR",$B$3,C73,"_",$B$5,"_",G73),AND(C73="AT",D73="TR_A"),CONCATENATE(B73,"_","TR",$B$3,C73,"_","TR",$B$3,C73,"_A","_",G73),AND(C73="AT",D73="TR_P"),CONCATENATE(B73,"_","TR",$B$3,C73,"_","TR",$B$3,C73,"_P","_",G73),AND(C73="BT",D73="TR_A"),CONCATENATE(B73,"_","TR",$B$3,C73,"_","TR",$B$3,C73,"_A","_",G73),AND(C73="BT",D73="TR_P"),CONCATENATE(B73,"_","TR",$B$3,C73,"_","TR",$B$3,C73,"_P","_",G73),AND(C73="TR",D73="TR_P"),CONCATENATE(B73,"_","TR",$B$3,"_","TR",$B$3,"_P","_",G73),AND(C73="TR",D73="TR_A"),CONCATENATE(B73,"_","TR",$B$3,"_","TR",$B$3,"_A","_",G73))</f>
        <v>IMA_TR7BT_52-29_DJF1</v>
      </c>
      <c r="I73" s="6"/>
      <c r="J73" s="104" t="s">
        <v>284</v>
      </c>
      <c r="K73" s="104" t="s">
        <v>286</v>
      </c>
      <c r="L73" s="6" t="s">
        <v>188</v>
      </c>
      <c r="M73" s="6" t="s">
        <v>188</v>
      </c>
      <c r="N73" s="104" t="str">
        <f>VALUE(LEFT(N72, FIND(";",N72)-1)) + 2 &amp; ";" &amp; VALUE(LEFT(N72, FIND(";",N72)-1)) + 3</f>
        <v>1142;1143</v>
      </c>
    </row>
    <row r="74" spans="1:14" x14ac:dyDescent="0.25">
      <c r="A74" s="6" t="s">
        <v>190</v>
      </c>
      <c r="B74" s="6" t="str">
        <f>Informações!$C$3</f>
        <v>IMA</v>
      </c>
      <c r="C74" s="6" t="s">
        <v>101</v>
      </c>
      <c r="D74" s="6" t="s">
        <v>30</v>
      </c>
      <c r="E74" s="2" t="s">
        <v>25</v>
      </c>
      <c r="F74" s="6" t="str">
        <f>VLOOKUP(G74,[1]Discrete!$A:$B,2,FALSE)</f>
        <v>51 - FUNCAO SOBRECORRENTE TEMPORIZADA NEUTRO</v>
      </c>
      <c r="G74" s="6" t="s">
        <v>35</v>
      </c>
      <c r="H74" s="6" t="str" cm="1">
        <f t="array" ref="H74">_xlfn.IFS(OR(D74="TC",D74="TP",AND(D74="TR",C74="AT"),AND(D74="TR",C74="BT")),CONCATENATE(B74,"_","TR",$B$3,C74,"_","TR",$B$3,C74,"_",G74),AND(D74="SECC",C74="BT"),CONCATENATE(B74,"_","TR",$B$3,C74,"_",$B$9,"_",G74),AND(D74="SECF",C74="AT"),CONCATENATE(B74,"_","TR",$B$3,C74,"_",$B$6,"_",G74),AND(D74="SECT",C74="AT"),CONCATENATE(B74,"_","TR",$B$3,C74,"_",$B$7,"_",G74),AND(D74="DJ",C74="AT"),CONCATENATE(B74,"_","TR",$B$3,C74,"_",$B$4,"_",G74),AND(D74="DJ",C74="BT"),CONCATENATE(B74,"_","TR",$B$3,C74,"_",$B$8,"_",G74),AND(C74="TR",D74="TR"),CONCATENATE(B74,"_","TR",$B$3,"_","TR",$B$3,"_",G74),AND(D74="SECT",C74="BT"),CONCATENATE(B74,"_","TR",$B$3,C74,"_",$B$11,"_",G74),AND(D74="SECF",C74="BT"),CONCATENATE(B74,"_","TR",$B$3,C74,"_",$B$10,"_",G74),AND(D74="SECC",C74="AT"),CONCATENATE(B74,"_","TR",$B$3,C74,"_",$B$5,"_",G74),AND(C74="AT",D74="TR_A"),CONCATENATE(B74,"_","TR",$B$3,C74,"_","TR",$B$3,C74,"_A","_",G74),AND(C74="AT",D74="TR_P"),CONCATENATE(B74,"_","TR",$B$3,C74,"_","TR",$B$3,C74,"_P","_",G74),AND(C74="BT",D74="TR_A"),CONCATENATE(B74,"_","TR",$B$3,C74,"_","TR",$B$3,C74,"_A","_",G74),AND(C74="BT",D74="TR_P"),CONCATENATE(B74,"_","TR",$B$3,C74,"_","TR",$B$3,C74,"_P","_",G74),AND(C74="TR",D74="TR_P"),CONCATENATE(B74,"_","TR",$B$3,"_","TR",$B$3,"_P","_",G74),AND(C74="TR",D74="TR_A"),CONCATENATE(B74,"_","TR",$B$3,"_","TR",$B$3,"_A","_",G74))</f>
        <v>IMA_TR7BT_52-29_51N</v>
      </c>
      <c r="I74" s="6"/>
      <c r="J74" s="6" t="s">
        <v>183</v>
      </c>
      <c r="K74" s="6" t="s">
        <v>184</v>
      </c>
      <c r="L74" s="6" t="s">
        <v>188</v>
      </c>
      <c r="M74" s="6" t="s">
        <v>188</v>
      </c>
      <c r="N74" s="6">
        <v>285</v>
      </c>
    </row>
    <row r="75" spans="1:14" x14ac:dyDescent="0.25">
      <c r="A75" s="6" t="s">
        <v>190</v>
      </c>
      <c r="B75" s="6" t="str">
        <f>Informações!$C$3</f>
        <v>IMA</v>
      </c>
      <c r="C75" s="6" t="s">
        <v>102</v>
      </c>
      <c r="D75" s="6" t="s">
        <v>102</v>
      </c>
      <c r="E75" s="2" t="s">
        <v>25</v>
      </c>
      <c r="F75" s="6" t="str">
        <f>VLOOKUP(G75,[1]Discrete!$A:$B,2,FALSE)</f>
        <v>90 - FUNCAO REGULADOR</v>
      </c>
      <c r="G75" s="6" t="s">
        <v>103</v>
      </c>
      <c r="H75" s="6" t="str" cm="1">
        <f t="array" ref="H75">_xlfn.IFS(OR(D75="TC",D75="TP",AND(D75="TR",C75="AT"),AND(D75="TR",C75="BT")),CONCATENATE(B75,"_","TR",$B$3,C75,"_","TR",$B$3,C75,"_",G75),AND(D75="SECC",C75="BT"),CONCATENATE(B75,"_","TR",$B$3,C75,"_",$B$9,"_",G75),AND(D75="SECF",C75="AT"),CONCATENATE(B75,"_","TR",$B$3,C75,"_",$B$6,"_",G75),AND(D75="SECT",C75="AT"),CONCATENATE(B75,"_","TR",$B$3,C75,"_",$B$7,"_",G75),AND(D75="DJ",C75="AT"),CONCATENATE(B75,"_","TR",$B$3,C75,"_",$B$4,"_",G75),AND(D75="DJ",C75="BT"),CONCATENATE(B75,"_","TR",$B$3,C75,"_",$B$8,"_",G75),AND(C75="TR",D75="TR"),CONCATENATE(B75,"_","TR",$B$3,"_","TR",$B$3,"_",G75),AND(D75="SECT",C75="BT"),CONCATENATE(B75,"_","TR",$B$3,C75,"_",$B$11,"_",G75),AND(D75="SECF",C75="BT"),CONCATENATE(B75,"_","TR",$B$3,C75,"_",$B$10,"_",G75),AND(D75="SECC",C75="AT"),CONCATENATE(B75,"_","TR",$B$3,C75,"_",$B$5,"_",G75),AND(C75="AT",D75="TR_A"),CONCATENATE(B75,"_","TR",$B$3,C75,"_","TR",$B$3,C75,"_A","_",G75),AND(C75="AT",D75="TR_P"),CONCATENATE(B75,"_","TR",$B$3,C75,"_","TR",$B$3,C75,"_P","_",G75),AND(C75="BT",D75="TR_A"),CONCATENATE(B75,"_","TR",$B$3,C75,"_","TR",$B$3,C75,"_A","_",G75),AND(C75="BT",D75="TR_P"),CONCATENATE(B75,"_","TR",$B$3,C75,"_","TR",$B$3,C75,"_P","_",G75),AND(C75="TR",D75="TR_P"),CONCATENATE(B75,"_","TR",$B$3,"_","TR",$B$3,"_P","_",G75),AND(C75="TR",D75="TR_A"),CONCATENATE(B75,"_","TR",$B$3,"_","TR",$B$3,"_A","_",G75))</f>
        <v>IMA_TR7_TR7_R90</v>
      </c>
      <c r="I75" s="6"/>
      <c r="J75" s="6" t="s">
        <v>183</v>
      </c>
      <c r="K75" s="6" t="s">
        <v>184</v>
      </c>
      <c r="L75" s="6" t="s">
        <v>188</v>
      </c>
      <c r="M75" s="6" t="s">
        <v>188</v>
      </c>
      <c r="N75" s="6">
        <f t="shared" si="3"/>
        <v>286</v>
      </c>
    </row>
    <row r="76" spans="1:14" x14ac:dyDescent="0.25">
      <c r="A76" s="6" t="s">
        <v>190</v>
      </c>
      <c r="B76" s="6" t="str">
        <f>Informações!$C$3</f>
        <v>IMA</v>
      </c>
      <c r="C76" s="6" t="s">
        <v>102</v>
      </c>
      <c r="D76" s="6" t="s">
        <v>102</v>
      </c>
      <c r="E76" s="2" t="s">
        <v>25</v>
      </c>
      <c r="F76" s="6" t="str">
        <f>VLOOKUP(G76,[1]Discrete!$A:$B,2,FALSE)</f>
        <v>VENTILACAO FORCADA</v>
      </c>
      <c r="G76" s="6" t="s">
        <v>105</v>
      </c>
      <c r="H76" s="6" t="str" cm="1">
        <f t="array" ref="H76">_xlfn.IFS(OR(D76="TC",D76="TP",AND(D76="TR",C76="AT"),AND(D76="TR",C76="BT")),CONCATENATE(B76,"_","TR",$B$3,C76,"_","TR",$B$3,C76,"_",G76),AND(D76="SECC",C76="BT"),CONCATENATE(B76,"_","TR",$B$3,C76,"_",$B$9,"_",G76),AND(D76="SECF",C76="AT"),CONCATENATE(B76,"_","TR",$B$3,C76,"_",$B$6,"_",G76),AND(D76="SECT",C76="AT"),CONCATENATE(B76,"_","TR",$B$3,C76,"_",$B$7,"_",G76),AND(D76="DJ",C76="AT"),CONCATENATE(B76,"_","TR",$B$3,C76,"_",$B$4,"_",G76),AND(D76="DJ",C76="BT"),CONCATENATE(B76,"_","TR",$B$3,C76,"_",$B$8,"_",G76),AND(C76="TR",D76="TR"),CONCATENATE(B76,"_","TR",$B$3,"_","TR",$B$3,"_",G76),AND(D76="SECT",C76="BT"),CONCATENATE(B76,"_","TR",$B$3,C76,"_",$B$11,"_",G76),AND(D76="SECF",C76="BT"),CONCATENATE(B76,"_","TR",$B$3,C76,"_",$B$10,"_",G76),AND(D76="SECC",C76="AT"),CONCATENATE(B76,"_","TR",$B$3,C76,"_",$B$5,"_",G76),AND(C76="AT",D76="TR_A"),CONCATENATE(B76,"_","TR",$B$3,C76,"_","TR",$B$3,C76,"_A","_",G76),AND(C76="AT",D76="TR_P"),CONCATENATE(B76,"_","TR",$B$3,C76,"_","TR",$B$3,C76,"_P","_",G76),AND(C76="BT",D76="TR_A"),CONCATENATE(B76,"_","TR",$B$3,C76,"_","TR",$B$3,C76,"_A","_",G76),AND(C76="BT",D76="TR_P"),CONCATENATE(B76,"_","TR",$B$3,C76,"_","TR",$B$3,C76,"_P","_",G76),AND(C76="TR",D76="TR_P"),CONCATENATE(B76,"_","TR",$B$3,"_","TR",$B$3,"_P","_",G76),AND(C76="TR",D76="TR_A"),CONCATENATE(B76,"_","TR",$B$3,"_","TR",$B$3,"_A","_",G76))</f>
        <v>IMA_TR7_TR7_VF</v>
      </c>
      <c r="I76" s="6"/>
      <c r="J76" s="6" t="s">
        <v>182</v>
      </c>
      <c r="K76" s="6" t="s">
        <v>179</v>
      </c>
      <c r="L76" s="6" t="s">
        <v>188</v>
      </c>
      <c r="M76" s="6" t="s">
        <v>188</v>
      </c>
      <c r="N76" s="6">
        <f t="shared" si="3"/>
        <v>287</v>
      </c>
    </row>
    <row r="77" spans="1:14" x14ac:dyDescent="0.25">
      <c r="A77" s="6" t="s">
        <v>190</v>
      </c>
      <c r="B77" s="6" t="str">
        <f>Informações!$C$3</f>
        <v>IMA</v>
      </c>
      <c r="C77" s="6" t="s">
        <v>100</v>
      </c>
      <c r="D77" s="6" t="s">
        <v>30</v>
      </c>
      <c r="E77" s="2" t="s">
        <v>25</v>
      </c>
      <c r="F77" s="6" t="str">
        <f>VLOOKUP(G77,[1]Discrete!$A:$B,2,FALSE)</f>
        <v>43 - CHAVE LOCAL REMOTO</v>
      </c>
      <c r="G77" s="6" t="s">
        <v>39</v>
      </c>
      <c r="H77" s="6" t="str" cm="1">
        <f t="array" ref="H77">_xlfn.IFS(OR(D77="TC",D77="TP",AND(D77="TR",C77="AT"),AND(D77="TR",C77="BT")),CONCATENATE(B77,"_","TR",$B$3,C77,"_","TR",$B$3,C77,"_",G77),AND(D77="SECC",C77="BT"),CONCATENATE(B77,"_","TR",$B$3,C77,"_",$B$9,"_",G77),AND(D77="SECF",C77="AT"),CONCATENATE(B77,"_","TR",$B$3,C77,"_",$B$6,"_",G77),AND(D77="SECT",C77="AT"),CONCATENATE(B77,"_","TR",$B$3,C77,"_",$B$7,"_",G77),AND(D77="DJ",C77="AT"),CONCATENATE(B77,"_","TR",$B$3,C77,"_",$B$4,"_",G77),AND(D77="DJ",C77="BT"),CONCATENATE(B77,"_","TR",$B$3,C77,"_",$B$8,"_",G77),AND(C77="TR",D77="TR"),CONCATENATE(B77,"_","TR",$B$3,"_","TR",$B$3,"_",G77),AND(D77="SECT",C77="BT"),CONCATENATE(B77,"_","TR",$B$3,C77,"_",$B$11,"_",G77),AND(D77="SECF",C77="BT"),CONCATENATE(B77,"_","TR",$B$3,C77,"_",$B$10,"_",G77),AND(D77="SECC",C77="AT"),CONCATENATE(B77,"_","TR",$B$3,C77,"_",$B$5,"_",G77),AND(C77="AT",D77="TR_A"),CONCATENATE(B77,"_","TR",$B$3,C77,"_","TR",$B$3,C77,"_A","_",G77),AND(C77="AT",D77="TR_P"),CONCATENATE(B77,"_","TR",$B$3,C77,"_","TR",$B$3,C77,"_P","_",G77),AND(C77="BT",D77="TR_A"),CONCATENATE(B77,"_","TR",$B$3,C77,"_","TR",$B$3,C77,"_A","_",G77),AND(C77="BT",D77="TR_P"),CONCATENATE(B77,"_","TR",$B$3,C77,"_","TR",$B$3,C77,"_P","_",G77),AND(C77="TR",D77="TR_P"),CONCATENATE(B77,"_","TR",$B$3,"_","TR",$B$3,"_P","_",G77),AND(C77="TR",D77="TR_A"),CONCATENATE(B77,"_","TR",$B$3,"_","TR",$B$3,"_A","_",G77))</f>
        <v>IMA_TR7AT_52-7_43LR</v>
      </c>
      <c r="I77" s="6"/>
      <c r="J77" s="94" t="s">
        <v>186</v>
      </c>
      <c r="K77" s="94" t="s">
        <v>185</v>
      </c>
      <c r="L77" s="6" t="s">
        <v>188</v>
      </c>
      <c r="M77" s="6" t="s">
        <v>188</v>
      </c>
      <c r="N77" s="6">
        <f>N76+1</f>
        <v>288</v>
      </c>
    </row>
    <row r="78" spans="1:14" x14ac:dyDescent="0.25">
      <c r="A78" s="6" t="s">
        <v>190</v>
      </c>
      <c r="B78" s="6" t="str">
        <f>Informações!$C$3</f>
        <v>IMA</v>
      </c>
      <c r="C78" s="6" t="s">
        <v>100</v>
      </c>
      <c r="D78" s="6" t="s">
        <v>30</v>
      </c>
      <c r="E78" s="2" t="s">
        <v>25</v>
      </c>
      <c r="F78" s="6" t="str">
        <f>VLOOKUP(G78,[1]Discrete!$A:$B,2,FALSE)</f>
        <v>BOBINA ABERTURA</v>
      </c>
      <c r="G78" s="6" t="s">
        <v>41</v>
      </c>
      <c r="H78" s="6" t="str" cm="1">
        <f t="array" ref="H78">_xlfn.IFS(OR(D78="TC",D78="TP",AND(D78="TR",C78="AT"),AND(D78="TR",C78="BT")),CONCATENATE(B78,"_","TR",$B$3,C78,"_","TR",$B$3,C78,"_",G78),AND(D78="SECC",C78="BT"),CONCATENATE(B78,"_","TR",$B$3,C78,"_",$B$9,"_",G78),AND(D78="SECF",C78="AT"),CONCATENATE(B78,"_","TR",$B$3,C78,"_",$B$6,"_",G78),AND(D78="SECT",C78="AT"),CONCATENATE(B78,"_","TR",$B$3,C78,"_",$B$7,"_",G78),AND(D78="DJ",C78="AT"),CONCATENATE(B78,"_","TR",$B$3,C78,"_",$B$4,"_",G78),AND(D78="DJ",C78="BT"),CONCATENATE(B78,"_","TR",$B$3,C78,"_",$B$8,"_",G78),AND(C78="TR",D78="TR"),CONCATENATE(B78,"_","TR",$B$3,"_","TR",$B$3,"_",G78),AND(D78="SECT",C78="BT"),CONCATENATE(B78,"_","TR",$B$3,C78,"_",$B$11,"_",G78),AND(D78="SECF",C78="BT"),CONCATENATE(B78,"_","TR",$B$3,C78,"_",$B$10,"_",G78),AND(D78="SECC",C78="AT"),CONCATENATE(B78,"_","TR",$B$3,C78,"_",$B$5,"_",G78),AND(C78="AT",D78="TR_A"),CONCATENATE(B78,"_","TR",$B$3,C78,"_","TR",$B$3,C78,"_A","_",G78),AND(C78="AT",D78="TR_P"),CONCATENATE(B78,"_","TR",$B$3,C78,"_","TR",$B$3,C78,"_P","_",G78),AND(C78="BT",D78="TR_A"),CONCATENATE(B78,"_","TR",$B$3,C78,"_","TR",$B$3,C78,"_A","_",G78),AND(C78="BT",D78="TR_P"),CONCATENATE(B78,"_","TR",$B$3,C78,"_","TR",$B$3,C78,"_P","_",G78),AND(C78="TR",D78="TR_P"),CONCATENATE(B78,"_","TR",$B$3,"_","TR",$B$3,"_P","_",G78),AND(C78="TR",D78="TR_A"),CONCATENATE(B78,"_","TR",$B$3,"_","TR",$B$3,"_A","_",G78))</f>
        <v>IMA_TR7AT_52-7_BBAB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 t="shared" si="3"/>
        <v>289</v>
      </c>
    </row>
    <row r="79" spans="1:14" x14ac:dyDescent="0.25">
      <c r="A79" s="6" t="s">
        <v>190</v>
      </c>
      <c r="B79" s="6" t="str">
        <f>Informações!$C$3</f>
        <v>IMA</v>
      </c>
      <c r="C79" s="6" t="s">
        <v>100</v>
      </c>
      <c r="D79" s="6" t="s">
        <v>30</v>
      </c>
      <c r="E79" s="2" t="s">
        <v>25</v>
      </c>
      <c r="F79" s="6" t="str">
        <f>VLOOKUP(G79,[1]Discrete!$A:$B,2,FALSE)</f>
        <v>BOBINA FECHAMENTO</v>
      </c>
      <c r="G79" s="6" t="s">
        <v>50</v>
      </c>
      <c r="H79" s="6" t="str" cm="1">
        <f t="array" ref="H79">_xlfn.IFS(OR(D79="TC",D79="TP",AND(D79="TR",C79="AT"),AND(D79="TR",C79="BT")),CONCATENATE(B79,"_","TR",$B$3,C79,"_","TR",$B$3,C79,"_",G79),AND(D79="SECC",C79="BT"),CONCATENATE(B79,"_","TR",$B$3,C79,"_",$B$9,"_",G79),AND(D79="SECF",C79="AT"),CONCATENATE(B79,"_","TR",$B$3,C79,"_",$B$6,"_",G79),AND(D79="SECT",C79="AT"),CONCATENATE(B79,"_","TR",$B$3,C79,"_",$B$7,"_",G79),AND(D79="DJ",C79="AT"),CONCATENATE(B79,"_","TR",$B$3,C79,"_",$B$4,"_",G79),AND(D79="DJ",C79="BT"),CONCATENATE(B79,"_","TR",$B$3,C79,"_",$B$8,"_",G79),AND(C79="TR",D79="TR"),CONCATENATE(B79,"_","TR",$B$3,"_","TR",$B$3,"_",G79),AND(D79="SECT",C79="BT"),CONCATENATE(B79,"_","TR",$B$3,C79,"_",$B$11,"_",G79),AND(D79="SECF",C79="BT"),CONCATENATE(B79,"_","TR",$B$3,C79,"_",$B$10,"_",G79),AND(D79="SECC",C79="AT"),CONCATENATE(B79,"_","TR",$B$3,C79,"_",$B$5,"_",G79),AND(C79="AT",D79="TR_A"),CONCATENATE(B79,"_","TR",$B$3,C79,"_","TR",$B$3,C79,"_A","_",G79),AND(C79="AT",D79="TR_P"),CONCATENATE(B79,"_","TR",$B$3,C79,"_","TR",$B$3,C79,"_P","_",G79),AND(C79="BT",D79="TR_A"),CONCATENATE(B79,"_","TR",$B$3,C79,"_","TR",$B$3,C79,"_A","_",G79),AND(C79="BT",D79="TR_P"),CONCATENATE(B79,"_","TR",$B$3,C79,"_","TR",$B$3,C79,"_P","_",G79),AND(C79="TR",D79="TR_P"),CONCATENATE(B79,"_","TR",$B$3,"_","TR",$B$3,"_P","_",G79),AND(C79="TR",D79="TR_A"),CONCATENATE(B79,"_","TR",$B$3,"_","TR",$B$3,"_A","_",G79))</f>
        <v>IMA_TR7AT_52-7_BBFC</v>
      </c>
      <c r="I79" s="6"/>
      <c r="J79" s="6" t="s">
        <v>182</v>
      </c>
      <c r="K79" s="6" t="s">
        <v>180</v>
      </c>
      <c r="L79" s="6" t="s">
        <v>188</v>
      </c>
      <c r="M79" s="6" t="s">
        <v>188</v>
      </c>
      <c r="N79" s="6">
        <f t="shared" si="3"/>
        <v>290</v>
      </c>
    </row>
    <row r="80" spans="1:14" x14ac:dyDescent="0.25">
      <c r="A80" s="6" t="s">
        <v>190</v>
      </c>
      <c r="B80" s="6" t="str">
        <f>Informações!$C$3</f>
        <v>IMA</v>
      </c>
      <c r="C80" s="6" t="s">
        <v>100</v>
      </c>
      <c r="D80" s="6" t="s">
        <v>30</v>
      </c>
      <c r="E80" s="2" t="s">
        <v>25</v>
      </c>
      <c r="F80" s="6" t="str">
        <f>VLOOKUP(G80,[1]Discrete!$A:$B,2,FALSE)</f>
        <v>FALTA VCC MOTOR</v>
      </c>
      <c r="G80" s="6" t="s">
        <v>80</v>
      </c>
      <c r="H80" s="6" t="str" cm="1">
        <f t="array" ref="H80">_xlfn.IFS(OR(D80="TC",D80="TP",AND(D80="TR",C80="AT"),AND(D80="TR",C80="BT")),CONCATENATE(B80,"_","TR",$B$3,C80,"_","TR",$B$3,C80,"_",G80),AND(D80="SECC",C80="BT"),CONCATENATE(B80,"_","TR",$B$3,C80,"_",$B$9,"_",G80),AND(D80="SECF",C80="AT"),CONCATENATE(B80,"_","TR",$B$3,C80,"_",$B$6,"_",G80),AND(D80="SECT",C80="AT"),CONCATENATE(B80,"_","TR",$B$3,C80,"_",$B$7,"_",G80),AND(D80="DJ",C80="AT"),CONCATENATE(B80,"_","TR",$B$3,C80,"_",$B$4,"_",G80),AND(D80="DJ",C80="BT"),CONCATENATE(B80,"_","TR",$B$3,C80,"_",$B$8,"_",G80),AND(C80="TR",D80="TR"),CONCATENATE(B80,"_","TR",$B$3,"_","TR",$B$3,"_",G80),AND(D80="SECT",C80="BT"),CONCATENATE(B80,"_","TR",$B$3,C80,"_",$B$11,"_",G80),AND(D80="SECF",C80="BT"),CONCATENATE(B80,"_","TR",$B$3,C80,"_",$B$10,"_",G80),AND(D80="SECC",C80="AT"),CONCATENATE(B80,"_","TR",$B$3,C80,"_",$B$5,"_",G80),AND(C80="AT",D80="TR_A"),CONCATENATE(B80,"_","TR",$B$3,C80,"_","TR",$B$3,C80,"_A","_",G80),AND(C80="AT",D80="TR_P"),CONCATENATE(B80,"_","TR",$B$3,C80,"_","TR",$B$3,C80,"_P","_",G80),AND(C80="BT",D80="TR_A"),CONCATENATE(B80,"_","TR",$B$3,C80,"_","TR",$B$3,C80,"_A","_",G80),AND(C80="BT",D80="TR_P"),CONCATENATE(B80,"_","TR",$B$3,C80,"_","TR",$B$3,C80,"_P","_",G80),AND(C80="TR",D80="TR_P"),CONCATENATE(B80,"_","TR",$B$3,"_","TR",$B$3,"_P","_",G80),AND(C80="TR",D80="TR_A"),CONCATENATE(B80,"_","TR",$B$3,"_","TR",$B$3,"_A","_",G80))</f>
        <v>IMA_TR7AT_52-7_CCMO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>
        <f t="shared" si="3"/>
        <v>291</v>
      </c>
    </row>
    <row r="81" spans="1:14" x14ac:dyDescent="0.25">
      <c r="A81" s="6" t="s">
        <v>190</v>
      </c>
      <c r="B81" s="6" t="str">
        <f>Informações!$C$3</f>
        <v>IMA</v>
      </c>
      <c r="C81" s="6" t="s">
        <v>100</v>
      </c>
      <c r="D81" s="6" t="s">
        <v>30</v>
      </c>
      <c r="E81" s="2" t="s">
        <v>25</v>
      </c>
      <c r="F81" s="6" t="str">
        <f>VLOOKUP(G81,[1]Discrete!$A:$B,2,FALSE)</f>
        <v>FALTA VCC COMANDO</v>
      </c>
      <c r="G81" s="6" t="s">
        <v>79</v>
      </c>
      <c r="H81" s="6" t="str" cm="1">
        <f t="array" ref="H81">_xlfn.IFS(OR(D81="TC",D81="TP",AND(D81="TR",C81="AT"),AND(D81="TR",C81="BT")),CONCATENATE(B81,"_","TR",$B$3,C81,"_","TR",$B$3,C81,"_",G81),AND(D81="SECC",C81="BT"),CONCATENATE(B81,"_","TR",$B$3,C81,"_",$B$9,"_",G81),AND(D81="SECF",C81="AT"),CONCATENATE(B81,"_","TR",$B$3,C81,"_",$B$6,"_",G81),AND(D81="SECT",C81="AT"),CONCATENATE(B81,"_","TR",$B$3,C81,"_",$B$7,"_",G81),AND(D81="DJ",C81="AT"),CONCATENATE(B81,"_","TR",$B$3,C81,"_",$B$4,"_",G81),AND(D81="DJ",C81="BT"),CONCATENATE(B81,"_","TR",$B$3,C81,"_",$B$8,"_",G81),AND(C81="TR",D81="TR"),CONCATENATE(B81,"_","TR",$B$3,"_","TR",$B$3,"_",G81),AND(D81="SECT",C81="BT"),CONCATENATE(B81,"_","TR",$B$3,C81,"_",$B$11,"_",G81),AND(D81="SECF",C81="BT"),CONCATENATE(B81,"_","TR",$B$3,C81,"_",$B$10,"_",G81),AND(D81="SECC",C81="AT"),CONCATENATE(B81,"_","TR",$B$3,C81,"_",$B$5,"_",G81),AND(C81="AT",D81="TR_A"),CONCATENATE(B81,"_","TR",$B$3,C81,"_","TR",$B$3,C81,"_A","_",G81),AND(C81="AT",D81="TR_P"),CONCATENATE(B81,"_","TR",$B$3,C81,"_","TR",$B$3,C81,"_P","_",G81),AND(C81="BT",D81="TR_A"),CONCATENATE(B81,"_","TR",$B$3,C81,"_","TR",$B$3,C81,"_A","_",G81),AND(C81="BT",D81="TR_P"),CONCATENATE(B81,"_","TR",$B$3,C81,"_","TR",$B$3,C81,"_P","_",G81),AND(C81="TR",D81="TR_P"),CONCATENATE(B81,"_","TR",$B$3,"_","TR",$B$3,"_P","_",G81),AND(C81="TR",D81="TR_A"),CONCATENATE(B81,"_","TR",$B$3,"_","TR",$B$3,"_A","_",G81))</f>
        <v>IMA_TR7AT_52-7_CCCO</v>
      </c>
      <c r="I81" s="6"/>
      <c r="J81" s="6" t="s">
        <v>182</v>
      </c>
      <c r="K81" s="6" t="s">
        <v>180</v>
      </c>
      <c r="L81" s="6" t="s">
        <v>188</v>
      </c>
      <c r="M81" s="6" t="s">
        <v>188</v>
      </c>
      <c r="N81" s="6">
        <f t="shared" si="3"/>
        <v>292</v>
      </c>
    </row>
    <row r="82" spans="1:14" x14ac:dyDescent="0.25">
      <c r="A82" s="6" t="s">
        <v>190</v>
      </c>
      <c r="B82" s="6" t="str">
        <f>Informações!$C$3</f>
        <v>IMA</v>
      </c>
      <c r="C82" s="6" t="s">
        <v>100</v>
      </c>
      <c r="D82" s="6" t="s">
        <v>30</v>
      </c>
      <c r="E82" s="2" t="s">
        <v>25</v>
      </c>
      <c r="F82" s="6" t="str">
        <f>VLOOKUP(G82,[1]Discrete!$A:$B,2,FALSE)</f>
        <v>VCA AQUECIMENTO</v>
      </c>
      <c r="G82" s="6" t="s">
        <v>110</v>
      </c>
      <c r="H82" s="6" t="str" cm="1">
        <f t="array" ref="H82">_xlfn.IFS(OR(D82="TC",D82="TP",AND(D82="TR",C82="AT"),AND(D82="TR",C82="BT")),CONCATENATE(B82,"_","TR",$B$3,C82,"_","TR",$B$3,C82,"_",G82),AND(D82="SECC",C82="BT"),CONCATENATE(B82,"_","TR",$B$3,C82,"_",$B$9,"_",G82),AND(D82="SECF",C82="AT"),CONCATENATE(B82,"_","TR",$B$3,C82,"_",$B$6,"_",G82),AND(D82="SECT",C82="AT"),CONCATENATE(B82,"_","TR",$B$3,C82,"_",$B$7,"_",G82),AND(D82="DJ",C82="AT"),CONCATENATE(B82,"_","TR",$B$3,C82,"_",$B$4,"_",G82),AND(D82="DJ",C82="BT"),CONCATENATE(B82,"_","TR",$B$3,C82,"_",$B$8,"_",G82),AND(C82="TR",D82="TR"),CONCATENATE(B82,"_","TR",$B$3,"_","TR",$B$3,"_",G82),AND(D82="SECT",C82="BT"),CONCATENATE(B82,"_","TR",$B$3,C82,"_",$B$11,"_",G82),AND(D82="SECF",C82="BT"),CONCATENATE(B82,"_","TR",$B$3,C82,"_",$B$10,"_",G82),AND(D82="SECC",C82="AT"),CONCATENATE(B82,"_","TR",$B$3,C82,"_",$B$5,"_",G82),AND(C82="AT",D82="TR_A"),CONCATENATE(B82,"_","TR",$B$3,C82,"_","TR",$B$3,C82,"_A","_",G82),AND(C82="AT",D82="TR_P"),CONCATENATE(B82,"_","TR",$B$3,C82,"_","TR",$B$3,C82,"_P","_",G82),AND(C82="BT",D82="TR_A"),CONCATENATE(B82,"_","TR",$B$3,C82,"_","TR",$B$3,C82,"_A","_",G82),AND(C82="BT",D82="TR_P"),CONCATENATE(B82,"_","TR",$B$3,C82,"_","TR",$B$3,C82,"_P","_",G82),AND(C82="TR",D82="TR_P"),CONCATENATE(B82,"_","TR",$B$3,"_","TR",$B$3,"_P","_",G82),AND(C82="TR",D82="TR_A"),CONCATENATE(B82,"_","TR",$B$3,"_","TR",$B$3,"_A","_",G82))</f>
        <v>IMA_TR7AT_52-7_CAAQ</v>
      </c>
      <c r="I82" s="6"/>
      <c r="J82" s="6" t="s">
        <v>182</v>
      </c>
      <c r="K82" s="6" t="s">
        <v>180</v>
      </c>
      <c r="L82" s="6" t="s">
        <v>188</v>
      </c>
      <c r="M82" s="6" t="s">
        <v>188</v>
      </c>
      <c r="N82" s="6">
        <f t="shared" si="3"/>
        <v>293</v>
      </c>
    </row>
    <row r="83" spans="1:14" x14ac:dyDescent="0.25">
      <c r="A83" s="6" t="s">
        <v>190</v>
      </c>
      <c r="B83" s="6" t="str">
        <f>Informações!$C$3</f>
        <v>IMA</v>
      </c>
      <c r="C83" s="6" t="s">
        <v>100</v>
      </c>
      <c r="D83" s="6" t="s">
        <v>30</v>
      </c>
      <c r="E83" s="2" t="s">
        <v>25</v>
      </c>
      <c r="F83" s="6" t="str">
        <f>VLOOKUP(G83,[1]Discrete!$A:$B,2,FALSE)</f>
        <v>MOLA</v>
      </c>
      <c r="G83" s="6" t="s">
        <v>38</v>
      </c>
      <c r="H83" s="6" t="str" cm="1">
        <f t="array" ref="H83">_xlfn.IFS(OR(D83="TC",D83="TP",AND(D83="TR",C83="AT"),AND(D83="TR",C83="BT")),CONCATENATE(B83,"_","TR",$B$3,C83,"_","TR",$B$3,C83,"_",G83),AND(D83="SECC",C83="BT"),CONCATENATE(B83,"_","TR",$B$3,C83,"_",$B$9,"_",G83),AND(D83="SECF",C83="AT"),CONCATENATE(B83,"_","TR",$B$3,C83,"_",$B$6,"_",G83),AND(D83="SECT",C83="AT"),CONCATENATE(B83,"_","TR",$B$3,C83,"_",$B$7,"_",G83),AND(D83="DJ",C83="AT"),CONCATENATE(B83,"_","TR",$B$3,C83,"_",$B$4,"_",G83),AND(D83="DJ",C83="BT"),CONCATENATE(B83,"_","TR",$B$3,C83,"_",$B$8,"_",G83),AND(C83="TR",D83="TR"),CONCATENATE(B83,"_","TR",$B$3,"_","TR",$B$3,"_",G83),AND(D83="SECT",C83="BT"),CONCATENATE(B83,"_","TR",$B$3,C83,"_",$B$11,"_",G83),AND(D83="SECF",C83="BT"),CONCATENATE(B83,"_","TR",$B$3,C83,"_",$B$10,"_",G83),AND(D83="SECC",C83="AT"),CONCATENATE(B83,"_","TR",$B$3,C83,"_",$B$5,"_",G83),AND(C83="AT",D83="TR_A"),CONCATENATE(B83,"_","TR",$B$3,C83,"_","TR",$B$3,C83,"_A","_",G83),AND(C83="AT",D83="TR_P"),CONCATENATE(B83,"_","TR",$B$3,C83,"_","TR",$B$3,C83,"_P","_",G83),AND(C83="BT",D83="TR_A"),CONCATENATE(B83,"_","TR",$B$3,C83,"_","TR",$B$3,C83,"_A","_",G83),AND(C83="BT",D83="TR_P"),CONCATENATE(B83,"_","TR",$B$3,C83,"_","TR",$B$3,C83,"_P","_",G83),AND(C83="TR",D83="TR_P"),CONCATENATE(B83,"_","TR",$B$3,"_","TR",$B$3,"_P","_",G83),AND(C83="TR",D83="TR_A"),CONCATENATE(B83,"_","TR",$B$3,"_","TR",$B$3,"_A","_",G83))</f>
        <v>IMA_TR7AT_52-7_MOLA</v>
      </c>
      <c r="I83" s="6"/>
      <c r="J83" s="94" t="s">
        <v>282</v>
      </c>
      <c r="K83" s="94" t="s">
        <v>283</v>
      </c>
      <c r="L83" s="6" t="s">
        <v>188</v>
      </c>
      <c r="M83" s="6" t="s">
        <v>188</v>
      </c>
      <c r="N83" s="6">
        <f t="shared" si="3"/>
        <v>294</v>
      </c>
    </row>
    <row r="84" spans="1:14" x14ac:dyDescent="0.25">
      <c r="A84" s="93" t="s">
        <v>191</v>
      </c>
      <c r="B84" s="6" t="str">
        <f>Informações!$C$3</f>
        <v>IMA</v>
      </c>
      <c r="C84" s="6" t="s">
        <v>100</v>
      </c>
      <c r="D84" s="6" t="s">
        <v>30</v>
      </c>
      <c r="E84" s="2" t="s">
        <v>25</v>
      </c>
      <c r="F84" s="93" t="str">
        <f>VLOOKUP(G84,[1]Discrete!$A:$B,2,FALSE)</f>
        <v>BOBINA FECHAMENTO</v>
      </c>
      <c r="G84" s="6" t="s">
        <v>50</v>
      </c>
      <c r="H84" s="6" t="str" cm="1">
        <f t="array" ref="H84">_xlfn.IFS(OR(D84="TC",D84="TP",AND(D84="TR",C84="AT"),AND(D84="TR",C84="BT")),CONCATENATE(B84,"_","TR",$B$3,C84,"_","TR",$B$3,C84,"_",G84),AND(D84="SECC",C84="BT"),CONCATENATE(B84,"_","TR",$B$3,C84,"_",$B$9,"_",G84),AND(D84="SECF",C84="AT"),CONCATENATE(B84,"_","TR",$B$3,C84,"_",$B$6,"_",G84),AND(D84="SECT",C84="AT"),CONCATENATE(B84,"_","TR",$B$3,C84,"_",$B$7,"_",G84),AND(D84="DJ",C84="AT"),CONCATENATE(B84,"_","TR",$B$3,C84,"_",$B$4,"_",G84),AND(D84="DJ",C84="BT"),CONCATENATE(B84,"_","TR",$B$3,C84,"_",$B$8,"_",G84),AND(C84="TR",D84="TR"),CONCATENATE(B84,"_","TR",$B$3,"_","TR",$B$3,"_",G84),AND(D84="SECT",C84="BT"),CONCATENATE(B84,"_","TR",$B$3,C84,"_",$B$11,"_",G84),AND(D84="SECF",C84="BT"),CONCATENATE(B84,"_","TR",$B$3,C84,"_",$B$10,"_",G84),AND(D84="SECC",C84="AT"),CONCATENATE(B84,"_","TR",$B$3,C84,"_",$B$5,"_",G84),AND(C84="AT",D84="TR_A"),CONCATENATE(B84,"_","TR",$B$3,C84,"_","TR",$B$3,C84,"_A","_",G84),AND(C84="AT",D84="TR_P"),CONCATENATE(B84,"_","TR",$B$3,C84,"_","TR",$B$3,C84,"_P","_",G84),AND(C84="BT",D84="TR_A"),CONCATENATE(B84,"_","TR",$B$3,C84,"_","TR",$B$3,C84,"_A","_",G84),AND(C84="BT",D84="TR_P"),CONCATENATE(B84,"_","TR",$B$3,C84,"_","TR",$B$3,C84,"_P","_",G84),AND(C84="TR",D84="TR_P"),CONCATENATE(B84,"_","TR",$B$3,"_","TR",$B$3,"_P","_",G84),AND(C84="TR",D84="TR_A"),CONCATENATE(B84,"_","TR",$B$3,"_","TR",$B$3,"_A","_",G84))</f>
        <v>IMA_TR7AT_52-7_BBFC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93">
        <f t="shared" si="3"/>
        <v>295</v>
      </c>
    </row>
    <row r="85" spans="1:14" x14ac:dyDescent="0.25">
      <c r="A85" s="93" t="s">
        <v>191</v>
      </c>
      <c r="B85" s="6" t="str">
        <f>Informações!$C$3</f>
        <v>IMA</v>
      </c>
      <c r="C85" s="6" t="s">
        <v>100</v>
      </c>
      <c r="D85" s="6" t="s">
        <v>30</v>
      </c>
      <c r="E85" s="2" t="s">
        <v>25</v>
      </c>
      <c r="F85" s="93" t="str">
        <f>VLOOKUP(G85,[1]Discrete!$A:$B,2,FALSE)</f>
        <v>BOBINA ABERTURA</v>
      </c>
      <c r="G85" s="6" t="s">
        <v>41</v>
      </c>
      <c r="H85" s="6" t="str" cm="1">
        <f t="array" ref="H85">_xlfn.IFS(OR(D85="TC",D85="TP",AND(D85="TR",C85="AT"),AND(D85="TR",C85="BT")),CONCATENATE(B85,"_","TR",$B$3,C85,"_","TR",$B$3,C85,"_",G85),AND(D85="SECC",C85="BT"),CONCATENATE(B85,"_","TR",$B$3,C85,"_",$B$9,"_",G85),AND(D85="SECF",C85="AT"),CONCATENATE(B85,"_","TR",$B$3,C85,"_",$B$6,"_",G85),AND(D85="SECT",C85="AT"),CONCATENATE(B85,"_","TR",$B$3,C85,"_",$B$7,"_",G85),AND(D85="DJ",C85="AT"),CONCATENATE(B85,"_","TR",$B$3,C85,"_",$B$4,"_",G85),AND(D85="DJ",C85="BT"),CONCATENATE(B85,"_","TR",$B$3,C85,"_",$B$8,"_",G85),AND(C85="TR",D85="TR"),CONCATENATE(B85,"_","TR",$B$3,"_","TR",$B$3,"_",G85),AND(D85="SECT",C85="BT"),CONCATENATE(B85,"_","TR",$B$3,C85,"_",$B$11,"_",G85),AND(D85="SECF",C85="BT"),CONCATENATE(B85,"_","TR",$B$3,C85,"_",$B$10,"_",G85),AND(D85="SECC",C85="AT"),CONCATENATE(B85,"_","TR",$B$3,C85,"_",$B$5,"_",G85),AND(C85="AT",D85="TR_A"),CONCATENATE(B85,"_","TR",$B$3,C85,"_","TR",$B$3,C85,"_A","_",G85),AND(C85="AT",D85="TR_P"),CONCATENATE(B85,"_","TR",$B$3,C85,"_","TR",$B$3,C85,"_P","_",G85),AND(C85="BT",D85="TR_A"),CONCATENATE(B85,"_","TR",$B$3,C85,"_","TR",$B$3,C85,"_A","_",G85),AND(C85="BT",D85="TR_P"),CONCATENATE(B85,"_","TR",$B$3,C85,"_","TR",$B$3,C85,"_P","_",G85),AND(C85="TR",D85="TR_P"),CONCATENATE(B85,"_","TR",$B$3,"_","TR",$B$3,"_P","_",G85),AND(C85="TR",D85="TR_A"),CONCATENATE(B85,"_","TR",$B$3,"_","TR",$B$3,"_A","_",G85))</f>
        <v>IMA_TR7AT_52-7_BBAB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93">
        <f t="shared" si="3"/>
        <v>296</v>
      </c>
    </row>
    <row r="86" spans="1:14" x14ac:dyDescent="0.25">
      <c r="A86" s="6" t="s">
        <v>190</v>
      </c>
      <c r="B86" s="6" t="str">
        <f>Informações!$C$3</f>
        <v>IMA</v>
      </c>
      <c r="C86" s="6" t="s">
        <v>100</v>
      </c>
      <c r="D86" s="6" t="s">
        <v>30</v>
      </c>
      <c r="E86" s="2" t="s">
        <v>25</v>
      </c>
      <c r="F86" s="6" t="str">
        <f>VLOOKUP(G86,[1]Discrete!$A:$B,2,FALSE)</f>
        <v>ALARME BAIXA PRESSAO SF6</v>
      </c>
      <c r="G86" s="6" t="s">
        <v>37</v>
      </c>
      <c r="H86" s="6" t="str" cm="1">
        <f t="array" ref="H86">_xlfn.IFS(OR(D86="TC",D86="TP",AND(D86="TR",C86="AT"),AND(D86="TR",C86="BT")),CONCATENATE(B86,"_","TR",$B$3,C86,"_","TR",$B$3,C86,"_",G86),AND(D86="SECC",C86="BT"),CONCATENATE(B86,"_","TR",$B$3,C86,"_",$B$9,"_",G86),AND(D86="SECF",C86="AT"),CONCATENATE(B86,"_","TR",$B$3,C86,"_",$B$6,"_",G86),AND(D86="SECT",C86="AT"),CONCATENATE(B86,"_","TR",$B$3,C86,"_",$B$7,"_",G86),AND(D86="DJ",C86="AT"),CONCATENATE(B86,"_","TR",$B$3,C86,"_",$B$4,"_",G86),AND(D86="DJ",C86="BT"),CONCATENATE(B86,"_","TR",$B$3,C86,"_",$B$8,"_",G86),AND(C86="TR",D86="TR"),CONCATENATE(B86,"_","TR",$B$3,"_","TR",$B$3,"_",G86),AND(D86="SECT",C86="BT"),CONCATENATE(B86,"_","TR",$B$3,C86,"_",$B$11,"_",G86),AND(D86="SECF",C86="BT"),CONCATENATE(B86,"_","TR",$B$3,C86,"_",$B$10,"_",G86),AND(D86="SECC",C86="AT"),CONCATENATE(B86,"_","TR",$B$3,C86,"_",$B$5,"_",G86),AND(C86="AT",D86="TR_A"),CONCATENATE(B86,"_","TR",$B$3,C86,"_","TR",$B$3,C86,"_A","_",G86),AND(C86="AT",D86="TR_P"),CONCATENATE(B86,"_","TR",$B$3,C86,"_","TR",$B$3,C86,"_P","_",G86),AND(C86="BT",D86="TR_A"),CONCATENATE(B86,"_","TR",$B$3,C86,"_","TR",$B$3,C86,"_A","_",G86),AND(C86="BT",D86="TR_P"),CONCATENATE(B86,"_","TR",$B$3,C86,"_","TR",$B$3,C86,"_P","_",G86),AND(C86="TR",D86="TR_P"),CONCATENATE(B86,"_","TR",$B$3,"_","TR",$B$3,"_P","_",G86),AND(C86="TR",D86="TR_A"),CONCATENATE(B86,"_","TR",$B$3,"_","TR",$B$3,"_A","_",G86))</f>
        <v>IMA_TR7AT_52-7_SF6A</v>
      </c>
      <c r="I86" s="6"/>
      <c r="J86" s="6" t="s">
        <v>182</v>
      </c>
      <c r="K86" s="6" t="s">
        <v>179</v>
      </c>
      <c r="L86" s="6" t="s">
        <v>188</v>
      </c>
      <c r="M86" s="6" t="s">
        <v>188</v>
      </c>
      <c r="N86" s="6">
        <f t="shared" si="3"/>
        <v>297</v>
      </c>
    </row>
    <row r="87" spans="1:14" x14ac:dyDescent="0.25">
      <c r="A87" s="6" t="s">
        <v>190</v>
      </c>
      <c r="B87" s="6" t="str">
        <f>Informações!$C$3</f>
        <v>IMA</v>
      </c>
      <c r="C87" s="6" t="s">
        <v>100</v>
      </c>
      <c r="D87" s="6" t="s">
        <v>30</v>
      </c>
      <c r="E87" s="2" t="s">
        <v>25</v>
      </c>
      <c r="F87" s="6" t="str">
        <f>VLOOKUP(G87,[1]Discrete!$A:$B,2,FALSE)</f>
        <v>BLOQUEIO BAIXA PRESSAO SF6</v>
      </c>
      <c r="G87" s="6" t="s">
        <v>49</v>
      </c>
      <c r="H87" s="6" t="str" cm="1">
        <f t="array" ref="H87">_xlfn.IFS(OR(D87="TC",D87="TP",AND(D87="TR",C87="AT"),AND(D87="TR",C87="BT")),CONCATENATE(B87,"_","TR",$B$3,C87,"_","TR",$B$3,C87,"_",G87),AND(D87="SECC",C87="BT"),CONCATENATE(B87,"_","TR",$B$3,C87,"_",$B$9,"_",G87),AND(D87="SECF",C87="AT"),CONCATENATE(B87,"_","TR",$B$3,C87,"_",$B$6,"_",G87),AND(D87="SECT",C87="AT"),CONCATENATE(B87,"_","TR",$B$3,C87,"_",$B$7,"_",G87),AND(D87="DJ",C87="AT"),CONCATENATE(B87,"_","TR",$B$3,C87,"_",$B$4,"_",G87),AND(D87="DJ",C87="BT"),CONCATENATE(B87,"_","TR",$B$3,C87,"_",$B$8,"_",G87),AND(C87="TR",D87="TR"),CONCATENATE(B87,"_","TR",$B$3,"_","TR",$B$3,"_",G87),AND(D87="SECT",C87="BT"),CONCATENATE(B87,"_","TR",$B$3,C87,"_",$B$11,"_",G87),AND(D87="SECF",C87="BT"),CONCATENATE(B87,"_","TR",$B$3,C87,"_",$B$10,"_",G87),AND(D87="SECC",C87="AT"),CONCATENATE(B87,"_","TR",$B$3,C87,"_",$B$5,"_",G87),AND(C87="AT",D87="TR_A"),CONCATENATE(B87,"_","TR",$B$3,C87,"_","TR",$B$3,C87,"_A","_",G87),AND(C87="AT",D87="TR_P"),CONCATENATE(B87,"_","TR",$B$3,C87,"_","TR",$B$3,C87,"_P","_",G87),AND(C87="BT",D87="TR_A"),CONCATENATE(B87,"_","TR",$B$3,C87,"_","TR",$B$3,C87,"_A","_",G87),AND(C87="BT",D87="TR_P"),CONCATENATE(B87,"_","TR",$B$3,C87,"_","TR",$B$3,C87,"_P","_",G87),AND(C87="TR",D87="TR_P"),CONCATENATE(B87,"_","TR",$B$3,"_","TR",$B$3,"_P","_",G87),AND(C87="TR",D87="TR_A"),CONCATENATE(B87,"_","TR",$B$3,"_","TR",$B$3,"_A","_",G87))</f>
        <v>IMA_TR7AT_52-7_SF6B</v>
      </c>
      <c r="I87" s="6"/>
      <c r="J87" s="6" t="s">
        <v>182</v>
      </c>
      <c r="K87" s="6" t="s">
        <v>179</v>
      </c>
      <c r="L87" s="6" t="s">
        <v>188</v>
      </c>
      <c r="M87" s="6" t="s">
        <v>188</v>
      </c>
      <c r="N87" s="6">
        <f t="shared" si="3"/>
        <v>298</v>
      </c>
    </row>
    <row r="88" spans="1:14" x14ac:dyDescent="0.25">
      <c r="A88" s="6" t="s">
        <v>190</v>
      </c>
      <c r="B88" s="6" t="str">
        <f>Informações!$C$3</f>
        <v>IMA</v>
      </c>
      <c r="C88" s="6" t="s">
        <v>100</v>
      </c>
      <c r="D88" s="94" t="s">
        <v>212</v>
      </c>
      <c r="E88" s="2" t="s">
        <v>25</v>
      </c>
      <c r="F88" s="6" t="str">
        <f>VLOOKUP(G88,[1]Discrete!$A:$B,2,FALSE)</f>
        <v>FASE A</v>
      </c>
      <c r="G88" s="6" t="s">
        <v>54</v>
      </c>
      <c r="H88" s="6" t="str" cm="1">
        <f t="array" ref="H88">_xlfn.IFS(OR(D88="TC",D88="TP",AND(D88="TR",C88="AT"),AND(D88="TR",C88="BT")),CONCATENATE(B88,"_","TR",$B$3,C88,"_","TR",$B$3,C88,"_",G88),AND(D88="SECC",C88="BT"),CONCATENATE(B88,"_","TR",$B$3,C88,"_",$B$9,"_",G88),AND(D88="SECF",C88="AT"),CONCATENATE(B88,"_","TR",$B$3,C88,"_",$B$6,"_",G88),AND(D88="SECT",C88="AT"),CONCATENATE(B88,"_","TR",$B$3,C88,"_",$B$7,"_",G88),AND(D88="DJ",C88="AT"),CONCATENATE(B88,"_","TR",$B$3,C88,"_",$B$4,"_",G88),AND(D88="DJ",C88="BT"),CONCATENATE(B88,"_","TR",$B$3,C88,"_",$B$8,"_",G88),AND(C88="TR",D88="TR"),CONCATENATE(B88,"_","TR",$B$3,"_","TR",$B$3,"_",G88),AND(D88="SECT",C88="BT"),CONCATENATE(B88,"_","TR",$B$3,C88,"_",$B$11,"_",G88),AND(D88="SECF",C88="BT"),CONCATENATE(B88,"_","TR",$B$3,C88,"_",$B$10,"_",G88),AND(D88="SECC",C88="AT"),CONCATENATE(B88,"_","TR",$B$3,C88,"_",$B$5,"_",G88),AND(C88="AT",D88="TR_A"),CONCATENATE(B88,"_","TR",$B$3,C88,"_","TR",$B$3,C88,"_A","_",G88),AND(C88="AT",D88="TR_P"),CONCATENATE(B88,"_","TR",$B$3,C88,"_","TR",$B$3,C88,"_P","_",G88),AND(C88="BT",D88="TR_A"),CONCATENATE(B88,"_","TR",$B$3,C88,"_","TR",$B$3,C88,"_A","_",G88),AND(C88="BT",D88="TR_P"),CONCATENATE(B88,"_","TR",$B$3,C88,"_","TR",$B$3,C88,"_P","_",G88),AND(C88="TR",D88="TR_P"),CONCATENATE(B88,"_","TR",$B$3,"_","TR",$B$3,"_P","_",G88),AND(C88="TR",D88="TR_A"),CONCATENATE(B88,"_","TR",$B$3,"_","TR",$B$3,"_A","_",G88))</f>
        <v>IMA_TR7AT_TR7AT_P_FA</v>
      </c>
      <c r="I88" s="6"/>
      <c r="J88" s="6" t="s">
        <v>182</v>
      </c>
      <c r="K88" s="6" t="s">
        <v>179</v>
      </c>
      <c r="L88" s="6" t="s">
        <v>188</v>
      </c>
      <c r="M88" s="6" t="s">
        <v>188</v>
      </c>
      <c r="N88" s="6">
        <f t="shared" si="3"/>
        <v>299</v>
      </c>
    </row>
    <row r="89" spans="1:14" x14ac:dyDescent="0.25">
      <c r="A89" s="6" t="s">
        <v>190</v>
      </c>
      <c r="B89" s="6" t="str">
        <f>Informações!$C$3</f>
        <v>IMA</v>
      </c>
      <c r="C89" s="6" t="s">
        <v>100</v>
      </c>
      <c r="D89" s="94" t="s">
        <v>212</v>
      </c>
      <c r="E89" s="2" t="s">
        <v>25</v>
      </c>
      <c r="F89" s="6" t="str">
        <f>VLOOKUP(G89,[1]Discrete!$A:$B,2,FALSE)</f>
        <v>FASE B</v>
      </c>
      <c r="G89" s="6" t="s">
        <v>55</v>
      </c>
      <c r="H89" s="6" t="str" cm="1">
        <f t="array" ref="H89">_xlfn.IFS(OR(D89="TC",D89="TP",AND(D89="TR",C89="AT"),AND(D89="TR",C89="BT")),CONCATENATE(B89,"_","TR",$B$3,C89,"_","TR",$B$3,C89,"_",G89),AND(D89="SECC",C89="BT"),CONCATENATE(B89,"_","TR",$B$3,C89,"_",$B$9,"_",G89),AND(D89="SECF",C89="AT"),CONCATENATE(B89,"_","TR",$B$3,C89,"_",$B$6,"_",G89),AND(D89="SECT",C89="AT"),CONCATENATE(B89,"_","TR",$B$3,C89,"_",$B$7,"_",G89),AND(D89="DJ",C89="AT"),CONCATENATE(B89,"_","TR",$B$3,C89,"_",$B$4,"_",G89),AND(D89="DJ",C89="BT"),CONCATENATE(B89,"_","TR",$B$3,C89,"_",$B$8,"_",G89),AND(C89="TR",D89="TR"),CONCATENATE(B89,"_","TR",$B$3,"_","TR",$B$3,"_",G89),AND(D89="SECT",C89="BT"),CONCATENATE(B89,"_","TR",$B$3,C89,"_",$B$11,"_",G89),AND(D89="SECF",C89="BT"),CONCATENATE(B89,"_","TR",$B$3,C89,"_",$B$10,"_",G89),AND(D89="SECC",C89="AT"),CONCATENATE(B89,"_","TR",$B$3,C89,"_",$B$5,"_",G89),AND(C89="AT",D89="TR_A"),CONCATENATE(B89,"_","TR",$B$3,C89,"_","TR",$B$3,C89,"_A","_",G89),AND(C89="AT",D89="TR_P"),CONCATENATE(B89,"_","TR",$B$3,C89,"_","TR",$B$3,C89,"_P","_",G89),AND(C89="BT",D89="TR_A"),CONCATENATE(B89,"_","TR",$B$3,C89,"_","TR",$B$3,C89,"_A","_",G89),AND(C89="BT",D89="TR_P"),CONCATENATE(B89,"_","TR",$B$3,C89,"_","TR",$B$3,C89,"_P","_",G89),AND(C89="TR",D89="TR_P"),CONCATENATE(B89,"_","TR",$B$3,"_","TR",$B$3,"_P","_",G89),AND(C89="TR",D89="TR_A"),CONCATENATE(B89,"_","TR",$B$3,"_","TR",$B$3,"_A","_",G89))</f>
        <v>IMA_TR7AT_TR7AT_P_FB</v>
      </c>
      <c r="I89" s="6"/>
      <c r="J89" s="6" t="s">
        <v>182</v>
      </c>
      <c r="K89" s="6" t="s">
        <v>179</v>
      </c>
      <c r="L89" s="6" t="s">
        <v>188</v>
      </c>
      <c r="M89" s="6" t="s">
        <v>188</v>
      </c>
      <c r="N89" s="6">
        <f t="shared" si="3"/>
        <v>300</v>
      </c>
    </row>
    <row r="90" spans="1:14" x14ac:dyDescent="0.25">
      <c r="A90" s="6" t="s">
        <v>190</v>
      </c>
      <c r="B90" s="6" t="str">
        <f>Informações!$C$3</f>
        <v>IMA</v>
      </c>
      <c r="C90" s="6" t="s">
        <v>100</v>
      </c>
      <c r="D90" s="94" t="s">
        <v>212</v>
      </c>
      <c r="E90" s="2" t="s">
        <v>25</v>
      </c>
      <c r="F90" s="6" t="str">
        <f>VLOOKUP(G90,[1]Discrete!$A:$B,2,FALSE)</f>
        <v>FASE C</v>
      </c>
      <c r="G90" s="6" t="s">
        <v>56</v>
      </c>
      <c r="H90" s="6" t="str" cm="1">
        <f t="array" ref="H90">_xlfn.IFS(OR(D90="TC",D90="TP",AND(D90="TR",C90="AT"),AND(D90="TR",C90="BT")),CONCATENATE(B90,"_","TR",$B$3,C90,"_","TR",$B$3,C90,"_",G90),AND(D90="SECC",C90="BT"),CONCATENATE(B90,"_","TR",$B$3,C90,"_",$B$9,"_",G90),AND(D90="SECF",C90="AT"),CONCATENATE(B90,"_","TR",$B$3,C90,"_",$B$6,"_",G90),AND(D90="SECT",C90="AT"),CONCATENATE(B90,"_","TR",$B$3,C90,"_",$B$7,"_",G90),AND(D90="DJ",C90="AT"),CONCATENATE(B90,"_","TR",$B$3,C90,"_",$B$4,"_",G90),AND(D90="DJ",C90="BT"),CONCATENATE(B90,"_","TR",$B$3,C90,"_",$B$8,"_",G90),AND(C90="TR",D90="TR"),CONCATENATE(B90,"_","TR",$B$3,"_","TR",$B$3,"_",G90),AND(D90="SECT",C90="BT"),CONCATENATE(B90,"_","TR",$B$3,C90,"_",$B$11,"_",G90),AND(D90="SECF",C90="BT"),CONCATENATE(B90,"_","TR",$B$3,C90,"_",$B$10,"_",G90),AND(D90="SECC",C90="AT"),CONCATENATE(B90,"_","TR",$B$3,C90,"_",$B$5,"_",G90),AND(C90="AT",D90="TR_A"),CONCATENATE(B90,"_","TR",$B$3,C90,"_","TR",$B$3,C90,"_A","_",G90),AND(C90="AT",D90="TR_P"),CONCATENATE(B90,"_","TR",$B$3,C90,"_","TR",$B$3,C90,"_P","_",G90),AND(C90="BT",D90="TR_A"),CONCATENATE(B90,"_","TR",$B$3,C90,"_","TR",$B$3,C90,"_A","_",G90),AND(C90="BT",D90="TR_P"),CONCATENATE(B90,"_","TR",$B$3,C90,"_","TR",$B$3,C90,"_P","_",G90),AND(C90="TR",D90="TR_P"),CONCATENATE(B90,"_","TR",$B$3,"_","TR",$B$3,"_P","_",G90),AND(C90="TR",D90="TR_A"),CONCATENATE(B90,"_","TR",$B$3,"_","TR",$B$3,"_A","_",G90))</f>
        <v>IMA_TR7AT_TR7AT_P_FC</v>
      </c>
      <c r="I90" s="6"/>
      <c r="J90" s="6" t="s">
        <v>182</v>
      </c>
      <c r="K90" s="6" t="s">
        <v>179</v>
      </c>
      <c r="L90" s="6" t="s">
        <v>188</v>
      </c>
      <c r="M90" s="6" t="s">
        <v>188</v>
      </c>
      <c r="N90" s="6">
        <f t="shared" si="3"/>
        <v>301</v>
      </c>
    </row>
    <row r="91" spans="1:14" x14ac:dyDescent="0.25">
      <c r="A91" s="6" t="s">
        <v>190</v>
      </c>
      <c r="B91" s="6" t="str">
        <f>Informações!$C$3</f>
        <v>IMA</v>
      </c>
      <c r="C91" s="6" t="s">
        <v>100</v>
      </c>
      <c r="D91" s="94" t="s">
        <v>212</v>
      </c>
      <c r="E91" s="2" t="s">
        <v>25</v>
      </c>
      <c r="F91" s="6" t="str">
        <f>VLOOKUP(G91,[1]Discrete!$A:$B,2,FALSE)</f>
        <v>NEUTRO</v>
      </c>
      <c r="G91" s="6" t="s">
        <v>420</v>
      </c>
      <c r="H91" s="6" t="str" cm="1">
        <f t="array" ref="H91">_xlfn.IFS(OR(D91="TC",D91="TP",AND(D91="TR",C91="AT"),AND(D91="TR",C91="BT")),CONCATENATE(B91,"_","TR",$B$3,C91,"_","TR",$B$3,C91,"_",G91),AND(D91="SECC",C91="BT"),CONCATENATE(B91,"_","TR",$B$3,C91,"_",$B$9,"_",G91),AND(D91="SECF",C91="AT"),CONCATENATE(B91,"_","TR",$B$3,C91,"_",$B$6,"_",G91),AND(D91="SECT",C91="AT"),CONCATENATE(B91,"_","TR",$B$3,C91,"_",$B$7,"_",G91),AND(D91="DJ",C91="AT"),CONCATENATE(B91,"_","TR",$B$3,C91,"_",$B$4,"_",G91),AND(D91="DJ",C91="BT"),CONCATENATE(B91,"_","TR",$B$3,C91,"_",$B$8,"_",G91),AND(C91="TR",D91="TR"),CONCATENATE(B91,"_","TR",$B$3,"_","TR",$B$3,"_",G91),AND(D91="SECT",C91="BT"),CONCATENATE(B91,"_","TR",$B$3,C91,"_",$B$11,"_",G91),AND(D91="SECF",C91="BT"),CONCATENATE(B91,"_","TR",$B$3,C91,"_",$B$10,"_",G91),AND(D91="SECC",C91="AT"),CONCATENATE(B91,"_","TR",$B$3,C91,"_",$B$5,"_",G91),AND(C91="AT",D91="TR_A"),CONCATENATE(B91,"_","TR",$B$3,C91,"_","TR",$B$3,C91,"_A","_",G91),AND(C91="AT",D91="TR_P"),CONCATENATE(B91,"_","TR",$B$3,C91,"_","TR",$B$3,C91,"_P","_",G91),AND(C91="BT",D91="TR_A"),CONCATENATE(B91,"_","TR",$B$3,C91,"_","TR",$B$3,C91,"_A","_",G91),AND(C91="BT",D91="TR_P"),CONCATENATE(B91,"_","TR",$B$3,C91,"_","TR",$B$3,C91,"_P","_",G91),AND(C91="TR",D91="TR_P"),CONCATENATE(B91,"_","TR",$B$3,"_","TR",$B$3,"_P","_",G91),AND(C91="TR",D91="TR_A"),CONCATENATE(B91,"_","TR",$B$3,"_","TR",$B$3,"_A","_",G91))</f>
        <v>IMA_TR7AT_TR7AT_P_N</v>
      </c>
      <c r="I91" s="6"/>
      <c r="J91" s="6" t="s">
        <v>182</v>
      </c>
      <c r="K91" s="6" t="s">
        <v>179</v>
      </c>
      <c r="L91" s="6" t="s">
        <v>188</v>
      </c>
      <c r="M91" s="6" t="s">
        <v>188</v>
      </c>
      <c r="N91" s="6">
        <f t="shared" si="3"/>
        <v>302</v>
      </c>
    </row>
    <row r="92" spans="1:14" x14ac:dyDescent="0.25">
      <c r="A92" s="6" t="s">
        <v>190</v>
      </c>
      <c r="B92" s="6" t="str">
        <f>Informações!$C$3</f>
        <v>IMA</v>
      </c>
      <c r="C92" s="6" t="s">
        <v>100</v>
      </c>
      <c r="D92" s="94" t="s">
        <v>212</v>
      </c>
      <c r="E92" s="2" t="s">
        <v>25</v>
      </c>
      <c r="F92" s="6" t="str">
        <f>VLOOKUP(G92,[1]Discrete!$A:$B,2,FALSE)</f>
        <v>67 - DIRECIONAL SOBRECORRENTE FASE TEMPORIZADO</v>
      </c>
      <c r="G92" s="6" t="s">
        <v>60</v>
      </c>
      <c r="H92" s="6" t="str" cm="1">
        <f t="array" ref="H92">_xlfn.IFS(OR(D92="TC",D92="TP",AND(D92="TR",C92="AT"),AND(D92="TR",C92="BT")),CONCATENATE(B92,"_","TR",$B$3,C92,"_","TR",$B$3,C92,"_",G92),AND(D92="SECC",C92="BT"),CONCATENATE(B92,"_","TR",$B$3,C92,"_",$B$9,"_",G92),AND(D92="SECF",C92="AT"),CONCATENATE(B92,"_","TR",$B$3,C92,"_",$B$6,"_",G92),AND(D92="SECT",C92="AT"),CONCATENATE(B92,"_","TR",$B$3,C92,"_",$B$7,"_",G92),AND(D92="DJ",C92="AT"),CONCATENATE(B92,"_","TR",$B$3,C92,"_",$B$4,"_",G92),AND(D92="DJ",C92="BT"),CONCATENATE(B92,"_","TR",$B$3,C92,"_",$B$8,"_",G92),AND(C92="TR",D92="TR"),CONCATENATE(B92,"_","TR",$B$3,"_","TR",$B$3,"_",G92),AND(D92="SECT",C92="BT"),CONCATENATE(B92,"_","TR",$B$3,C92,"_",$B$11,"_",G92),AND(D92="SECF",C92="BT"),CONCATENATE(B92,"_","TR",$B$3,C92,"_",$B$10,"_",G92),AND(D92="SECC",C92="AT"),CONCATENATE(B92,"_","TR",$B$3,C92,"_",$B$5,"_",G92),AND(C92="AT",D92="TR_A"),CONCATENATE(B92,"_","TR",$B$3,C92,"_","TR",$B$3,C92,"_A","_",G92),AND(C92="AT",D92="TR_P"),CONCATENATE(B92,"_","TR",$B$3,C92,"_","TR",$B$3,C92,"_P","_",G92),AND(C92="BT",D92="TR_A"),CONCATENATE(B92,"_","TR",$B$3,C92,"_","TR",$B$3,C92,"_A","_",G92),AND(C92="BT",D92="TR_P"),CONCATENATE(B92,"_","TR",$B$3,C92,"_","TR",$B$3,C92,"_P","_",G92),AND(C92="TR",D92="TR_P"),CONCATENATE(B92,"_","TR",$B$3,"_","TR",$B$3,"_P","_",G92),AND(C92="TR",D92="TR_A"),CONCATENATE(B92,"_","TR",$B$3,"_","TR",$B$3,"_A","_",G92))</f>
        <v>IMA_TR7AT_TR7AT_P_67FT</v>
      </c>
      <c r="I92" s="6"/>
      <c r="J92" s="6" t="s">
        <v>182</v>
      </c>
      <c r="K92" s="6" t="s">
        <v>179</v>
      </c>
      <c r="L92" s="6" t="s">
        <v>188</v>
      </c>
      <c r="M92" s="6" t="s">
        <v>188</v>
      </c>
      <c r="N92" s="6">
        <f t="shared" si="3"/>
        <v>303</v>
      </c>
    </row>
    <row r="93" spans="1:14" x14ac:dyDescent="0.25">
      <c r="A93" s="6" t="s">
        <v>190</v>
      </c>
      <c r="B93" s="6" t="str">
        <f>Informações!$C$3</f>
        <v>IMA</v>
      </c>
      <c r="C93" s="6" t="s">
        <v>100</v>
      </c>
      <c r="D93" s="94" t="s">
        <v>212</v>
      </c>
      <c r="E93" s="2" t="s">
        <v>25</v>
      </c>
      <c r="F93" s="6" t="str">
        <f>VLOOKUP(G93,[1]Discrete!$A:$B,2,FALSE)</f>
        <v>67 - DIRECIONAL SOBRECORRENTE NEUTRO TEMPORIZADO</v>
      </c>
      <c r="G93" s="6" t="s">
        <v>63</v>
      </c>
      <c r="H93" s="6" t="str" cm="1">
        <f t="array" ref="H93">_xlfn.IFS(OR(D93="TC",D93="TP",AND(D93="TR",C93="AT"),AND(D93="TR",C93="BT")),CONCATENATE(B93,"_","TR",$B$3,C93,"_","TR",$B$3,C93,"_",G93),AND(D93="SECC",C93="BT"),CONCATENATE(B93,"_","TR",$B$3,C93,"_",$B$9,"_",G93),AND(D93="SECF",C93="AT"),CONCATENATE(B93,"_","TR",$B$3,C93,"_",$B$6,"_",G93),AND(D93="SECT",C93="AT"),CONCATENATE(B93,"_","TR",$B$3,C93,"_",$B$7,"_",G93),AND(D93="DJ",C93="AT"),CONCATENATE(B93,"_","TR",$B$3,C93,"_",$B$4,"_",G93),AND(D93="DJ",C93="BT"),CONCATENATE(B93,"_","TR",$B$3,C93,"_",$B$8,"_",G93),AND(C93="TR",D93="TR"),CONCATENATE(B93,"_","TR",$B$3,"_","TR",$B$3,"_",G93),AND(D93="SECT",C93="BT"),CONCATENATE(B93,"_","TR",$B$3,C93,"_",$B$11,"_",G93),AND(D93="SECF",C93="BT"),CONCATENATE(B93,"_","TR",$B$3,C93,"_",$B$10,"_",G93),AND(D93="SECC",C93="AT"),CONCATENATE(B93,"_","TR",$B$3,C93,"_",$B$5,"_",G93),AND(C93="AT",D93="TR_A"),CONCATENATE(B93,"_","TR",$B$3,C93,"_","TR",$B$3,C93,"_A","_",G93),AND(C93="AT",D93="TR_P"),CONCATENATE(B93,"_","TR",$B$3,C93,"_","TR",$B$3,C93,"_P","_",G93),AND(C93="BT",D93="TR_A"),CONCATENATE(B93,"_","TR",$B$3,C93,"_","TR",$B$3,C93,"_A","_",G93),AND(C93="BT",D93="TR_P"),CONCATENATE(B93,"_","TR",$B$3,C93,"_","TR",$B$3,C93,"_P","_",G93),AND(C93="TR",D93="TR_P"),CONCATENATE(B93,"_","TR",$B$3,"_","TR",$B$3,"_P","_",G93),AND(C93="TR",D93="TR_A"),CONCATENATE(B93,"_","TR",$B$3,"_","TR",$B$3,"_A","_",G93))</f>
        <v>IMA_TR7AT_TR7AT_P_67NT</v>
      </c>
      <c r="I93" s="6"/>
      <c r="J93" s="6" t="s">
        <v>182</v>
      </c>
      <c r="K93" s="6" t="s">
        <v>179</v>
      </c>
      <c r="L93" s="6" t="s">
        <v>188</v>
      </c>
      <c r="M93" s="6" t="s">
        <v>188</v>
      </c>
      <c r="N93" s="6">
        <f t="shared" si="3"/>
        <v>304</v>
      </c>
    </row>
    <row r="94" spans="1:14" x14ac:dyDescent="0.25">
      <c r="A94" s="6" t="s">
        <v>190</v>
      </c>
      <c r="B94" s="6" t="str">
        <f>Informações!$C$3</f>
        <v>IMA</v>
      </c>
      <c r="C94" s="6" t="s">
        <v>100</v>
      </c>
      <c r="D94" s="94" t="s">
        <v>212</v>
      </c>
      <c r="E94" s="2" t="s">
        <v>25</v>
      </c>
      <c r="F94" s="6" t="str">
        <f>VLOOKUP(G94,[1]Discrete!$A:$B,2,FALSE)</f>
        <v>50 - SOBRECORRENTE INSTANTANEA FASE</v>
      </c>
      <c r="G94" s="6" t="s">
        <v>416</v>
      </c>
      <c r="H94" s="6" t="str" cm="1">
        <f t="array" ref="H94">_xlfn.IFS(OR(D94="TC",D94="TP",AND(D94="TR",C94="AT"),AND(D94="TR",C94="BT")),CONCATENATE(B94,"_","TR",$B$3,C94,"_","TR",$B$3,C94,"_",G94),AND(D94="SECC",C94="BT"),CONCATENATE(B94,"_","TR",$B$3,C94,"_",$B$9,"_",G94),AND(D94="SECF",C94="AT"),CONCATENATE(B94,"_","TR",$B$3,C94,"_",$B$6,"_",G94),AND(D94="SECT",C94="AT"),CONCATENATE(B94,"_","TR",$B$3,C94,"_",$B$7,"_",G94),AND(D94="DJ",C94="AT"),CONCATENATE(B94,"_","TR",$B$3,C94,"_",$B$4,"_",G94),AND(D94="DJ",C94="BT"),CONCATENATE(B94,"_","TR",$B$3,C94,"_",$B$8,"_",G94),AND(C94="TR",D94="TR"),CONCATENATE(B94,"_","TR",$B$3,"_","TR",$B$3,"_",G94),AND(D94="SECT",C94="BT"),CONCATENATE(B94,"_","TR",$B$3,C94,"_",$B$11,"_",G94),AND(D94="SECF",C94="BT"),CONCATENATE(B94,"_","TR",$B$3,C94,"_",$B$10,"_",G94),AND(D94="SECC",C94="AT"),CONCATENATE(B94,"_","TR",$B$3,C94,"_",$B$5,"_",G94),AND(C94="AT",D94="TR_A"),CONCATENATE(B94,"_","TR",$B$3,C94,"_","TR",$B$3,C94,"_A","_",G94),AND(C94="AT",D94="TR_P"),CONCATENATE(B94,"_","TR",$B$3,C94,"_","TR",$B$3,C94,"_P","_",G94),AND(C94="BT",D94="TR_A"),CONCATENATE(B94,"_","TR",$B$3,C94,"_","TR",$B$3,C94,"_A","_",G94),AND(C94="BT",D94="TR_P"),CONCATENATE(B94,"_","TR",$B$3,C94,"_","TR",$B$3,C94,"_P","_",G94),AND(C94="TR",D94="TR_P"),CONCATENATE(B94,"_","TR",$B$3,"_","TR",$B$3,"_P","_",G94),AND(C94="TR",D94="TR_A"),CONCATENATE(B94,"_","TR",$B$3,"_","TR",$B$3,"_A","_",G94))</f>
        <v>IMA_TR7AT_TR7AT_P_50F</v>
      </c>
      <c r="I94" s="6"/>
      <c r="J94" s="6" t="s">
        <v>182</v>
      </c>
      <c r="K94" s="6" t="s">
        <v>179</v>
      </c>
      <c r="L94" s="6" t="s">
        <v>188</v>
      </c>
      <c r="M94" s="6" t="s">
        <v>188</v>
      </c>
      <c r="N94" s="6">
        <f t="shared" si="3"/>
        <v>305</v>
      </c>
    </row>
    <row r="95" spans="1:14" x14ac:dyDescent="0.25">
      <c r="A95" s="6" t="s">
        <v>190</v>
      </c>
      <c r="B95" s="6" t="str">
        <f>Informações!$C$3</f>
        <v>IMA</v>
      </c>
      <c r="C95" s="6" t="s">
        <v>100</v>
      </c>
      <c r="D95" s="94" t="s">
        <v>212</v>
      </c>
      <c r="E95" s="2" t="s">
        <v>25</v>
      </c>
      <c r="F95" s="6" t="str">
        <f>VLOOKUP(G95,[1]Discrete!$A:$B,2,FALSE)</f>
        <v>50 - SOBRECORRENTE INSTANTANEA FASE NEUTRO</v>
      </c>
      <c r="G95" s="6" t="s">
        <v>428</v>
      </c>
      <c r="H95" s="6" t="str" cm="1">
        <f t="array" ref="H95">_xlfn.IFS(OR(D95="TC",D95="TP",AND(D95="TR",C95="AT"),AND(D95="TR",C95="BT")),CONCATENATE(B95,"_","TR",$B$3,C95,"_","TR",$B$3,C95,"_",G95),AND(D95="SECC",C95="BT"),CONCATENATE(B95,"_","TR",$B$3,C95,"_",$B$9,"_",G95),AND(D95="SECF",C95="AT"),CONCATENATE(B95,"_","TR",$B$3,C95,"_",$B$6,"_",G95),AND(D95="SECT",C95="AT"),CONCATENATE(B95,"_","TR",$B$3,C95,"_",$B$7,"_",G95),AND(D95="DJ",C95="AT"),CONCATENATE(B95,"_","TR",$B$3,C95,"_",$B$4,"_",G95),AND(D95="DJ",C95="BT"),CONCATENATE(B95,"_","TR",$B$3,C95,"_",$B$8,"_",G95),AND(C95="TR",D95="TR"),CONCATENATE(B95,"_","TR",$B$3,"_","TR",$B$3,"_",G95),AND(D95="SECT",C95="BT"),CONCATENATE(B95,"_","TR",$B$3,C95,"_",$B$11,"_",G95),AND(D95="SECF",C95="BT"),CONCATENATE(B95,"_","TR",$B$3,C95,"_",$B$10,"_",G95),AND(D95="SECC",C95="AT"),CONCATENATE(B95,"_","TR",$B$3,C95,"_",$B$5,"_",G95),AND(C95="AT",D95="TR_A"),CONCATENATE(B95,"_","TR",$B$3,C95,"_","TR",$B$3,C95,"_A","_",G95),AND(C95="AT",D95="TR_P"),CONCATENATE(B95,"_","TR",$B$3,C95,"_","TR",$B$3,C95,"_P","_",G95),AND(C95="BT",D95="TR_A"),CONCATENATE(B95,"_","TR",$B$3,C95,"_","TR",$B$3,C95,"_A","_",G95),AND(C95="BT",D95="TR_P"),CONCATENATE(B95,"_","TR",$B$3,C95,"_","TR",$B$3,C95,"_P","_",G95),AND(C95="TR",D95="TR_P"),CONCATENATE(B95,"_","TR",$B$3,"_","TR",$B$3,"_P","_",G95),AND(C95="TR",D95="TR_A"),CONCATENATE(B95,"_","TR",$B$3,"_","TR",$B$3,"_A","_",G95))</f>
        <v>IMA_TR7AT_TR7AT_P_50FN</v>
      </c>
      <c r="I95" s="6"/>
      <c r="J95" s="6" t="s">
        <v>182</v>
      </c>
      <c r="K95" s="6" t="s">
        <v>179</v>
      </c>
      <c r="L95" s="6" t="s">
        <v>188</v>
      </c>
      <c r="M95" s="6" t="s">
        <v>188</v>
      </c>
      <c r="N95" s="6">
        <f t="shared" si="3"/>
        <v>306</v>
      </c>
    </row>
    <row r="96" spans="1:14" x14ac:dyDescent="0.25">
      <c r="A96" s="6" t="s">
        <v>190</v>
      </c>
      <c r="B96" s="6" t="str">
        <f>Informações!$C$3</f>
        <v>IMA</v>
      </c>
      <c r="C96" s="6" t="s">
        <v>100</v>
      </c>
      <c r="D96" s="94" t="s">
        <v>212</v>
      </c>
      <c r="E96" s="2" t="s">
        <v>25</v>
      </c>
      <c r="F96" s="6" t="str">
        <f>VLOOKUP(G96,[1]Discrete!$A:$B,2,FALSE)</f>
        <v>51 - SOBRECORRENTE TEMPORIZADA FASE</v>
      </c>
      <c r="G96" s="6" t="s">
        <v>98</v>
      </c>
      <c r="H96" s="6" t="str" cm="1">
        <f t="array" ref="H96">_xlfn.IFS(OR(D96="TC",D96="TP",AND(D96="TR",C96="AT"),AND(D96="TR",C96="BT")),CONCATENATE(B96,"_","TR",$B$3,C96,"_","TR",$B$3,C96,"_",G96),AND(D96="SECC",C96="BT"),CONCATENATE(B96,"_","TR",$B$3,C96,"_",$B$9,"_",G96),AND(D96="SECF",C96="AT"),CONCATENATE(B96,"_","TR",$B$3,C96,"_",$B$6,"_",G96),AND(D96="SECT",C96="AT"),CONCATENATE(B96,"_","TR",$B$3,C96,"_",$B$7,"_",G96),AND(D96="DJ",C96="AT"),CONCATENATE(B96,"_","TR",$B$3,C96,"_",$B$4,"_",G96),AND(D96="DJ",C96="BT"),CONCATENATE(B96,"_","TR",$B$3,C96,"_",$B$8,"_",G96),AND(C96="TR",D96="TR"),CONCATENATE(B96,"_","TR",$B$3,"_","TR",$B$3,"_",G96),AND(D96="SECT",C96="BT"),CONCATENATE(B96,"_","TR",$B$3,C96,"_",$B$11,"_",G96),AND(D96="SECF",C96="BT"),CONCATENATE(B96,"_","TR",$B$3,C96,"_",$B$10,"_",G96),AND(D96="SECC",C96="AT"),CONCATENATE(B96,"_","TR",$B$3,C96,"_",$B$5,"_",G96),AND(C96="AT",D96="TR_A"),CONCATENATE(B96,"_","TR",$B$3,C96,"_","TR",$B$3,C96,"_A","_",G96),AND(C96="AT",D96="TR_P"),CONCATENATE(B96,"_","TR",$B$3,C96,"_","TR",$B$3,C96,"_P","_",G96),AND(C96="BT",D96="TR_A"),CONCATENATE(B96,"_","TR",$B$3,C96,"_","TR",$B$3,C96,"_A","_",G96),AND(C96="BT",D96="TR_P"),CONCATENATE(B96,"_","TR",$B$3,C96,"_","TR",$B$3,C96,"_P","_",G96),AND(C96="TR",D96="TR_P"),CONCATENATE(B96,"_","TR",$B$3,"_","TR",$B$3,"_P","_",G96),AND(C96="TR",D96="TR_A"),CONCATENATE(B96,"_","TR",$B$3,"_","TR",$B$3,"_A","_",G96))</f>
        <v>IMA_TR7AT_TR7AT_P_51F</v>
      </c>
      <c r="I96" s="6"/>
      <c r="J96" s="6" t="s">
        <v>182</v>
      </c>
      <c r="K96" s="6" t="s">
        <v>179</v>
      </c>
      <c r="L96" s="6" t="s">
        <v>188</v>
      </c>
      <c r="M96" s="6" t="s">
        <v>188</v>
      </c>
      <c r="N96" s="6">
        <f t="shared" si="3"/>
        <v>307</v>
      </c>
    </row>
    <row r="97" spans="1:14" x14ac:dyDescent="0.25">
      <c r="A97" s="6" t="s">
        <v>190</v>
      </c>
      <c r="B97" s="6" t="str">
        <f>Informações!$C$3</f>
        <v>IMA</v>
      </c>
      <c r="C97" s="6" t="s">
        <v>100</v>
      </c>
      <c r="D97" s="94" t="s">
        <v>212</v>
      </c>
      <c r="E97" s="2" t="s">
        <v>25</v>
      </c>
      <c r="F97" s="6" t="str">
        <f>VLOOKUP(G97,[1]Discrete!$A:$B,2,FALSE)</f>
        <v>51 - SOBRECORRENTE TEMPORIZADA FASE NEUTRO</v>
      </c>
      <c r="G97" s="6" t="s">
        <v>427</v>
      </c>
      <c r="H97" s="6" t="str" cm="1">
        <f t="array" ref="H97">_xlfn.IFS(OR(D97="TC",D97="TP",AND(D97="TR",C97="AT"),AND(D97="TR",C97="BT")),CONCATENATE(B97,"_","TR",$B$3,C97,"_","TR",$B$3,C97,"_",G97),AND(D97="SECC",C97="BT"),CONCATENATE(B97,"_","TR",$B$3,C97,"_",$B$9,"_",G97),AND(D97="SECF",C97="AT"),CONCATENATE(B97,"_","TR",$B$3,C97,"_",$B$6,"_",G97),AND(D97="SECT",C97="AT"),CONCATENATE(B97,"_","TR",$B$3,C97,"_",$B$7,"_",G97),AND(D97="DJ",C97="AT"),CONCATENATE(B97,"_","TR",$B$3,C97,"_",$B$4,"_",G97),AND(D97="DJ",C97="BT"),CONCATENATE(B97,"_","TR",$B$3,C97,"_",$B$8,"_",G97),AND(C97="TR",D97="TR"),CONCATENATE(B97,"_","TR",$B$3,"_","TR",$B$3,"_",G97),AND(D97="SECT",C97="BT"),CONCATENATE(B97,"_","TR",$B$3,C97,"_",$B$11,"_",G97),AND(D97="SECF",C97="BT"),CONCATENATE(B97,"_","TR",$B$3,C97,"_",$B$10,"_",G97),AND(D97="SECC",C97="AT"),CONCATENATE(B97,"_","TR",$B$3,C97,"_",$B$5,"_",G97),AND(C97="AT",D97="TR_A"),CONCATENATE(B97,"_","TR",$B$3,C97,"_","TR",$B$3,C97,"_A","_",G97),AND(C97="AT",D97="TR_P"),CONCATENATE(B97,"_","TR",$B$3,C97,"_","TR",$B$3,C97,"_P","_",G97),AND(C97="BT",D97="TR_A"),CONCATENATE(B97,"_","TR",$B$3,C97,"_","TR",$B$3,C97,"_A","_",G97),AND(C97="BT",D97="TR_P"),CONCATENATE(B97,"_","TR",$B$3,C97,"_","TR",$B$3,C97,"_P","_",G97),AND(C97="TR",D97="TR_P"),CONCATENATE(B97,"_","TR",$B$3,"_","TR",$B$3,"_P","_",G97),AND(C97="TR",D97="TR_A"),CONCATENATE(B97,"_","TR",$B$3,"_","TR",$B$3,"_A","_",G97))</f>
        <v>IMA_TR7AT_TR7AT_P_51FN</v>
      </c>
      <c r="I97" s="6"/>
      <c r="J97" s="6" t="s">
        <v>182</v>
      </c>
      <c r="K97" s="6" t="s">
        <v>179</v>
      </c>
      <c r="L97" s="6" t="s">
        <v>188</v>
      </c>
      <c r="M97" s="6" t="s">
        <v>188</v>
      </c>
      <c r="N97" s="6">
        <f t="shared" si="3"/>
        <v>308</v>
      </c>
    </row>
    <row r="98" spans="1:14" x14ac:dyDescent="0.25">
      <c r="A98" s="6" t="s">
        <v>190</v>
      </c>
      <c r="B98" s="6" t="str">
        <f>Informações!$C$3</f>
        <v>IMA</v>
      </c>
      <c r="C98" s="6" t="s">
        <v>101</v>
      </c>
      <c r="D98" s="94" t="s">
        <v>212</v>
      </c>
      <c r="E98" s="2" t="s">
        <v>25</v>
      </c>
      <c r="F98" s="6" t="str">
        <f>VLOOKUP(G98,[1]Discrete!$A:$B,2,FALSE)</f>
        <v>FASE A</v>
      </c>
      <c r="G98" s="6" t="s">
        <v>54</v>
      </c>
      <c r="H98" s="6" t="str" cm="1">
        <f t="array" ref="H98">_xlfn.IFS(OR(D98="TC",D98="TP",AND(D98="TR",C98="AT"),AND(D98="TR",C98="BT")),CONCATENATE(B98,"_","TR",$B$3,C98,"_","TR",$B$3,C98,"_",G98),AND(D98="SECC",C98="BT"),CONCATENATE(B98,"_","TR",$B$3,C98,"_",$B$9,"_",G98),AND(D98="SECF",C98="AT"),CONCATENATE(B98,"_","TR",$B$3,C98,"_",$B$6,"_",G98),AND(D98="SECT",C98="AT"),CONCATENATE(B98,"_","TR",$B$3,C98,"_",$B$7,"_",G98),AND(D98="DJ",C98="AT"),CONCATENATE(B98,"_","TR",$B$3,C98,"_",$B$4,"_",G98),AND(D98="DJ",C98="BT"),CONCATENATE(B98,"_","TR",$B$3,C98,"_",$B$8,"_",G98),AND(C98="TR",D98="TR"),CONCATENATE(B98,"_","TR",$B$3,"_","TR",$B$3,"_",G98),AND(D98="SECT",C98="BT"),CONCATENATE(B98,"_","TR",$B$3,C98,"_",$B$11,"_",G98),AND(D98="SECF",C98="BT"),CONCATENATE(B98,"_","TR",$B$3,C98,"_",$B$10,"_",G98),AND(D98="SECC",C98="AT"),CONCATENATE(B98,"_","TR",$B$3,C98,"_",$B$5,"_",G98),AND(C98="AT",D98="TR_A"),CONCATENATE(B98,"_","TR",$B$3,C98,"_","TR",$B$3,C98,"_A","_",G98),AND(C98="AT",D98="TR_P"),CONCATENATE(B98,"_","TR",$B$3,C98,"_","TR",$B$3,C98,"_P","_",G98),AND(C98="BT",D98="TR_A"),CONCATENATE(B98,"_","TR",$B$3,C98,"_","TR",$B$3,C98,"_A","_",G98),AND(C98="BT",D98="TR_P"),CONCATENATE(B98,"_","TR",$B$3,C98,"_","TR",$B$3,C98,"_P","_",G98),AND(C98="TR",D98="TR_P"),CONCATENATE(B98,"_","TR",$B$3,"_","TR",$B$3,"_P","_",G98),AND(C98="TR",D98="TR_A"),CONCATENATE(B98,"_","TR",$B$3,"_","TR",$B$3,"_A","_",G98))</f>
        <v>IMA_TR7BT_TR7BT_P_FA</v>
      </c>
      <c r="I98" s="6"/>
      <c r="J98" s="6" t="s">
        <v>182</v>
      </c>
      <c r="K98" s="6" t="s">
        <v>179</v>
      </c>
      <c r="L98" s="6" t="s">
        <v>188</v>
      </c>
      <c r="M98" s="6" t="s">
        <v>188</v>
      </c>
      <c r="N98" s="6">
        <f t="shared" si="3"/>
        <v>309</v>
      </c>
    </row>
    <row r="99" spans="1:14" x14ac:dyDescent="0.25">
      <c r="A99" s="6" t="s">
        <v>190</v>
      </c>
      <c r="B99" s="6" t="str">
        <f>Informações!$C$3</f>
        <v>IMA</v>
      </c>
      <c r="C99" s="6" t="s">
        <v>101</v>
      </c>
      <c r="D99" s="94" t="s">
        <v>212</v>
      </c>
      <c r="E99" s="2" t="s">
        <v>25</v>
      </c>
      <c r="F99" s="6" t="str">
        <f>VLOOKUP(G99,[1]Discrete!$A:$B,2,FALSE)</f>
        <v>FASE B</v>
      </c>
      <c r="G99" s="6" t="s">
        <v>55</v>
      </c>
      <c r="H99" s="6" t="str" cm="1">
        <f t="array" ref="H99">_xlfn.IFS(OR(D99="TC",D99="TP",AND(D99="TR",C99="AT"),AND(D99="TR",C99="BT")),CONCATENATE(B99,"_","TR",$B$3,C99,"_","TR",$B$3,C99,"_",G99),AND(D99="SECC",C99="BT"),CONCATENATE(B99,"_","TR",$B$3,C99,"_",$B$9,"_",G99),AND(D99="SECF",C99="AT"),CONCATENATE(B99,"_","TR",$B$3,C99,"_",$B$6,"_",G99),AND(D99="SECT",C99="AT"),CONCATENATE(B99,"_","TR",$B$3,C99,"_",$B$7,"_",G99),AND(D99="DJ",C99="AT"),CONCATENATE(B99,"_","TR",$B$3,C99,"_",$B$4,"_",G99),AND(D99="DJ",C99="BT"),CONCATENATE(B99,"_","TR",$B$3,C99,"_",$B$8,"_",G99),AND(C99="TR",D99="TR"),CONCATENATE(B99,"_","TR",$B$3,"_","TR",$B$3,"_",G99),AND(D99="SECT",C99="BT"),CONCATENATE(B99,"_","TR",$B$3,C99,"_",$B$11,"_",G99),AND(D99="SECF",C99="BT"),CONCATENATE(B99,"_","TR",$B$3,C99,"_",$B$10,"_",G99),AND(D99="SECC",C99="AT"),CONCATENATE(B99,"_","TR",$B$3,C99,"_",$B$5,"_",G99),AND(C99="AT",D99="TR_A"),CONCATENATE(B99,"_","TR",$B$3,C99,"_","TR",$B$3,C99,"_A","_",G99),AND(C99="AT",D99="TR_P"),CONCATENATE(B99,"_","TR",$B$3,C99,"_","TR",$B$3,C99,"_P","_",G99),AND(C99="BT",D99="TR_A"),CONCATENATE(B99,"_","TR",$B$3,C99,"_","TR",$B$3,C99,"_A","_",G99),AND(C99="BT",D99="TR_P"),CONCATENATE(B99,"_","TR",$B$3,C99,"_","TR",$B$3,C99,"_P","_",G99),AND(C99="TR",D99="TR_P"),CONCATENATE(B99,"_","TR",$B$3,"_","TR",$B$3,"_P","_",G99),AND(C99="TR",D99="TR_A"),CONCATENATE(B99,"_","TR",$B$3,"_","TR",$B$3,"_A","_",G99))</f>
        <v>IMA_TR7BT_TR7BT_P_FB</v>
      </c>
      <c r="I99" s="6"/>
      <c r="J99" s="6" t="s">
        <v>182</v>
      </c>
      <c r="K99" s="6" t="s">
        <v>179</v>
      </c>
      <c r="L99" s="6" t="s">
        <v>188</v>
      </c>
      <c r="M99" s="6" t="s">
        <v>188</v>
      </c>
      <c r="N99" s="6">
        <f t="shared" si="3"/>
        <v>310</v>
      </c>
    </row>
    <row r="100" spans="1:14" x14ac:dyDescent="0.25">
      <c r="A100" s="6" t="s">
        <v>190</v>
      </c>
      <c r="B100" s="6" t="str">
        <f>Informações!$C$3</f>
        <v>IMA</v>
      </c>
      <c r="C100" s="6" t="s">
        <v>101</v>
      </c>
      <c r="D100" s="94" t="s">
        <v>212</v>
      </c>
      <c r="E100" s="2" t="s">
        <v>25</v>
      </c>
      <c r="F100" s="6" t="str">
        <f>VLOOKUP(G100,[1]Discrete!$A:$B,2,FALSE)</f>
        <v>FASE C</v>
      </c>
      <c r="G100" s="6" t="s">
        <v>56</v>
      </c>
      <c r="H100" s="6" t="str" cm="1">
        <f t="array" ref="H100">_xlfn.IFS(OR(D100="TC",D100="TP",AND(D100="TR",C100="AT"),AND(D100="TR",C100="BT")),CONCATENATE(B100,"_","TR",$B$3,C100,"_","TR",$B$3,C100,"_",G100),AND(D100="SECC",C100="BT"),CONCATENATE(B100,"_","TR",$B$3,C100,"_",$B$9,"_",G100),AND(D100="SECF",C100="AT"),CONCATENATE(B100,"_","TR",$B$3,C100,"_",$B$6,"_",G100),AND(D100="SECT",C100="AT"),CONCATENATE(B100,"_","TR",$B$3,C100,"_",$B$7,"_",G100),AND(D100="DJ",C100="AT"),CONCATENATE(B100,"_","TR",$B$3,C100,"_",$B$4,"_",G100),AND(D100="DJ",C100="BT"),CONCATENATE(B100,"_","TR",$B$3,C100,"_",$B$8,"_",G100),AND(C100="TR",D100="TR"),CONCATENATE(B100,"_","TR",$B$3,"_","TR",$B$3,"_",G100),AND(D100="SECT",C100="BT"),CONCATENATE(B100,"_","TR",$B$3,C100,"_",$B$11,"_",G100),AND(D100="SECF",C100="BT"),CONCATENATE(B100,"_","TR",$B$3,C100,"_",$B$10,"_",G100),AND(D100="SECC",C100="AT"),CONCATENATE(B100,"_","TR",$B$3,C100,"_",$B$5,"_",G100),AND(C100="AT",D100="TR_A"),CONCATENATE(B100,"_","TR",$B$3,C100,"_","TR",$B$3,C100,"_A","_",G100),AND(C100="AT",D100="TR_P"),CONCATENATE(B100,"_","TR",$B$3,C100,"_","TR",$B$3,C100,"_P","_",G100),AND(C100="BT",D100="TR_A"),CONCATENATE(B100,"_","TR",$B$3,C100,"_","TR",$B$3,C100,"_A","_",G100),AND(C100="BT",D100="TR_P"),CONCATENATE(B100,"_","TR",$B$3,C100,"_","TR",$B$3,C100,"_P","_",G100),AND(C100="TR",D100="TR_P"),CONCATENATE(B100,"_","TR",$B$3,"_","TR",$B$3,"_P","_",G100),AND(C100="TR",D100="TR_A"),CONCATENATE(B100,"_","TR",$B$3,"_","TR",$B$3,"_A","_",G100))</f>
        <v>IMA_TR7BT_TR7BT_P_FC</v>
      </c>
      <c r="I100" s="6"/>
      <c r="J100" s="6" t="s">
        <v>182</v>
      </c>
      <c r="K100" s="6" t="s">
        <v>179</v>
      </c>
      <c r="L100" s="6" t="s">
        <v>188</v>
      </c>
      <c r="M100" s="6" t="s">
        <v>188</v>
      </c>
      <c r="N100" s="6">
        <f t="shared" si="3"/>
        <v>311</v>
      </c>
    </row>
    <row r="101" spans="1:14" x14ac:dyDescent="0.25">
      <c r="A101" s="6" t="s">
        <v>190</v>
      </c>
      <c r="B101" s="6" t="str">
        <f>Informações!$C$3</f>
        <v>IMA</v>
      </c>
      <c r="C101" s="6" t="s">
        <v>101</v>
      </c>
      <c r="D101" s="94" t="s">
        <v>212</v>
      </c>
      <c r="E101" s="2" t="s">
        <v>25</v>
      </c>
      <c r="F101" s="6" t="str">
        <f>VLOOKUP(G101,[1]Discrete!$A:$B,2,FALSE)</f>
        <v>NEUTRO</v>
      </c>
      <c r="G101" s="6" t="s">
        <v>420</v>
      </c>
      <c r="H101" s="6" t="str" cm="1">
        <f t="array" ref="H101">_xlfn.IFS(OR(D101="TC",D101="TP",AND(D101="TR",C101="AT"),AND(D101="TR",C101="BT")),CONCATENATE(B101,"_","TR",$B$3,C101,"_","TR",$B$3,C101,"_",G101),AND(D101="SECC",C101="BT"),CONCATENATE(B101,"_","TR",$B$3,C101,"_",$B$9,"_",G101),AND(D101="SECF",C101="AT"),CONCATENATE(B101,"_","TR",$B$3,C101,"_",$B$6,"_",G101),AND(D101="SECT",C101="AT"),CONCATENATE(B101,"_","TR",$B$3,C101,"_",$B$7,"_",G101),AND(D101="DJ",C101="AT"),CONCATENATE(B101,"_","TR",$B$3,C101,"_",$B$4,"_",G101),AND(D101="DJ",C101="BT"),CONCATENATE(B101,"_","TR",$B$3,C101,"_",$B$8,"_",G101),AND(C101="TR",D101="TR"),CONCATENATE(B101,"_","TR",$B$3,"_","TR",$B$3,"_",G101),AND(D101="SECT",C101="BT"),CONCATENATE(B101,"_","TR",$B$3,C101,"_",$B$11,"_",G101),AND(D101="SECF",C101="BT"),CONCATENATE(B101,"_","TR",$B$3,C101,"_",$B$10,"_",G101),AND(D101="SECC",C101="AT"),CONCATENATE(B101,"_","TR",$B$3,C101,"_",$B$5,"_",G101),AND(C101="AT",D101="TR_A"),CONCATENATE(B101,"_","TR",$B$3,C101,"_","TR",$B$3,C101,"_A","_",G101),AND(C101="AT",D101="TR_P"),CONCATENATE(B101,"_","TR",$B$3,C101,"_","TR",$B$3,C101,"_P","_",G101),AND(C101="BT",D101="TR_A"),CONCATENATE(B101,"_","TR",$B$3,C101,"_","TR",$B$3,C101,"_A","_",G101),AND(C101="BT",D101="TR_P"),CONCATENATE(B101,"_","TR",$B$3,C101,"_","TR",$B$3,C101,"_P","_",G101),AND(C101="TR",D101="TR_P"),CONCATENATE(B101,"_","TR",$B$3,"_","TR",$B$3,"_P","_",G101),AND(C101="TR",D101="TR_A"),CONCATENATE(B101,"_","TR",$B$3,"_","TR",$B$3,"_A","_",G101))</f>
        <v>IMA_TR7BT_TR7BT_P_N</v>
      </c>
      <c r="I101" s="6"/>
      <c r="J101" s="6" t="s">
        <v>182</v>
      </c>
      <c r="K101" s="6" t="s">
        <v>179</v>
      </c>
      <c r="L101" s="6" t="s">
        <v>188</v>
      </c>
      <c r="M101" s="6" t="s">
        <v>188</v>
      </c>
      <c r="N101" s="6">
        <f t="shared" si="3"/>
        <v>312</v>
      </c>
    </row>
    <row r="102" spans="1:14" x14ac:dyDescent="0.25">
      <c r="A102" s="94" t="s">
        <v>190</v>
      </c>
      <c r="B102" s="6" t="str">
        <f>Informações!$C$3</f>
        <v>IMA</v>
      </c>
      <c r="C102" s="6" t="s">
        <v>101</v>
      </c>
      <c r="D102" s="94" t="s">
        <v>212</v>
      </c>
      <c r="E102" s="2" t="s">
        <v>25</v>
      </c>
      <c r="F102" s="94" t="str">
        <f>VLOOKUP(G102,[1]Discrete!$A:$B,2,FALSE)</f>
        <v>62 - FALHA DISJUNTOR BLOQUEIO</v>
      </c>
      <c r="G102" s="6" t="s">
        <v>44</v>
      </c>
      <c r="H102" s="6" t="str" cm="1">
        <f t="array" ref="H102">_xlfn.IFS(OR(D102="TC",D102="TP",AND(D102="TR",C102="AT"),AND(D102="TR",C102="BT")),CONCATENATE(B102,"_","TR",$B$3,C102,"_","TR",$B$3,C102,"_",G102),AND(D102="SECC",C102="BT"),CONCATENATE(B102,"_","TR",$B$3,C102,"_",$B$9,"_",G102),AND(D102="SECF",C102="AT"),CONCATENATE(B102,"_","TR",$B$3,C102,"_",$B$6,"_",G102),AND(D102="SECT",C102="AT"),CONCATENATE(B102,"_","TR",$B$3,C102,"_",$B$7,"_",G102),AND(D102="DJ",C102="AT"),CONCATENATE(B102,"_","TR",$B$3,C102,"_",$B$4,"_",G102),AND(D102="DJ",C102="BT"),CONCATENATE(B102,"_","TR",$B$3,C102,"_",$B$8,"_",G102),AND(C102="TR",D102="TR"),CONCATENATE(B102,"_","TR",$B$3,"_","TR",$B$3,"_",G102),AND(D102="SECT",C102="BT"),CONCATENATE(B102,"_","TR",$B$3,C102,"_",$B$11,"_",G102),AND(D102="SECF",C102="BT"),CONCATENATE(B102,"_","TR",$B$3,C102,"_",$B$10,"_",G102),AND(D102="SECC",C102="AT"),CONCATENATE(B102,"_","TR",$B$3,C102,"_",$B$5,"_",G102),AND(C102="AT",D102="TR_A"),CONCATENATE(B102,"_","TR",$B$3,C102,"_","TR",$B$3,C102,"_A","_",G102),AND(C102="AT",D102="TR_P"),CONCATENATE(B102,"_","TR",$B$3,C102,"_","TR",$B$3,C102,"_P","_",G102),AND(C102="BT",D102="TR_A"),CONCATENATE(B102,"_","TR",$B$3,C102,"_","TR",$B$3,C102,"_A","_",G102),AND(C102="BT",D102="TR_P"),CONCATENATE(B102,"_","TR",$B$3,C102,"_","TR",$B$3,C102,"_P","_",G102),AND(C102="TR",D102="TR_P"),CONCATENATE(B102,"_","TR",$B$3,"_","TR",$B$3,"_P","_",G102),AND(C102="TR",D102="TR_A"),CONCATENATE(B102,"_","TR",$B$3,"_","TR",$B$3,"_A","_",G102))</f>
        <v>IMA_TR7BT_TR7BT_P_62BF</v>
      </c>
      <c r="I102" s="6"/>
      <c r="J102" s="6" t="s">
        <v>182</v>
      </c>
      <c r="K102" s="6" t="s">
        <v>179</v>
      </c>
      <c r="L102" s="6" t="s">
        <v>188</v>
      </c>
      <c r="M102" s="6" t="s">
        <v>188</v>
      </c>
      <c r="N102" s="6">
        <f t="shared" si="3"/>
        <v>313</v>
      </c>
    </row>
    <row r="103" spans="1:14" x14ac:dyDescent="0.25">
      <c r="A103" s="94" t="s">
        <v>190</v>
      </c>
      <c r="B103" s="6" t="str">
        <f>Informações!$C$3</f>
        <v>IMA</v>
      </c>
      <c r="C103" s="6" t="s">
        <v>101</v>
      </c>
      <c r="D103" s="94" t="s">
        <v>211</v>
      </c>
      <c r="E103" s="2" t="s">
        <v>25</v>
      </c>
      <c r="F103" s="94" t="str">
        <f>VLOOKUP(G103,[1]Discrete!$A:$B,2,FALSE)</f>
        <v>62 - FALHA DISJUNTOR BLOQUEIO</v>
      </c>
      <c r="G103" s="6" t="s">
        <v>44</v>
      </c>
      <c r="H103" s="6" t="str" cm="1">
        <f t="array" ref="H103">_xlfn.IFS(OR(D103="TC",D103="TP",AND(D103="TR",C103="AT"),AND(D103="TR",C103="BT")),CONCATENATE(B103,"_","TR",$B$3,C103,"_","TR",$B$3,C103,"_",G103),AND(D103="SECC",C103="BT"),CONCATENATE(B103,"_","TR",$B$3,C103,"_",$B$9,"_",G103),AND(D103="SECF",C103="AT"),CONCATENATE(B103,"_","TR",$B$3,C103,"_",$B$6,"_",G103),AND(D103="SECT",C103="AT"),CONCATENATE(B103,"_","TR",$B$3,C103,"_",$B$7,"_",G103),AND(D103="DJ",C103="AT"),CONCATENATE(B103,"_","TR",$B$3,C103,"_",$B$4,"_",G103),AND(D103="DJ",C103="BT"),CONCATENATE(B103,"_","TR",$B$3,C103,"_",$B$8,"_",G103),AND(C103="TR",D103="TR"),CONCATENATE(B103,"_","TR",$B$3,"_","TR",$B$3,"_",G103),AND(D103="SECT",C103="BT"),CONCATENATE(B103,"_","TR",$B$3,C103,"_",$B$11,"_",G103),AND(D103="SECF",C103="BT"),CONCATENATE(B103,"_","TR",$B$3,C103,"_",$B$10,"_",G103),AND(D103="SECC",C103="AT"),CONCATENATE(B103,"_","TR",$B$3,C103,"_",$B$5,"_",G103),AND(C103="AT",D103="TR_A"),CONCATENATE(B103,"_","TR",$B$3,C103,"_","TR",$B$3,C103,"_A","_",G103),AND(C103="AT",D103="TR_P"),CONCATENATE(B103,"_","TR",$B$3,C103,"_","TR",$B$3,C103,"_P","_",G103),AND(C103="BT",D103="TR_A"),CONCATENATE(B103,"_","TR",$B$3,C103,"_","TR",$B$3,C103,"_A","_",G103),AND(C103="BT",D103="TR_P"),CONCATENATE(B103,"_","TR",$B$3,C103,"_","TR",$B$3,C103,"_P","_",G103),AND(C103="TR",D103="TR_P"),CONCATENATE(B103,"_","TR",$B$3,"_","TR",$B$3,"_P","_",G103),AND(C103="TR",D103="TR_A"),CONCATENATE(B103,"_","TR",$B$3,"_","TR",$B$3,"_A","_",G103))</f>
        <v>IMA_TR7BT_TR7BT_A_62BF</v>
      </c>
      <c r="I103" s="6"/>
      <c r="J103" s="6" t="s">
        <v>182</v>
      </c>
      <c r="K103" s="6" t="s">
        <v>179</v>
      </c>
      <c r="L103" s="6" t="s">
        <v>188</v>
      </c>
      <c r="M103" s="6" t="s">
        <v>188</v>
      </c>
      <c r="N103" s="6">
        <f t="shared" si="3"/>
        <v>314</v>
      </c>
    </row>
    <row r="104" spans="1:14" x14ac:dyDescent="0.25">
      <c r="A104" s="6" t="s">
        <v>190</v>
      </c>
      <c r="B104" s="6" t="str">
        <f>Informações!$C$3</f>
        <v>IMA</v>
      </c>
      <c r="C104" s="6" t="s">
        <v>101</v>
      </c>
      <c r="D104" s="94" t="s">
        <v>212</v>
      </c>
      <c r="E104" s="2" t="s">
        <v>25</v>
      </c>
      <c r="F104" s="6" t="str">
        <f>VLOOKUP(G104,[1]Discrete!$A:$B,2,FALSE)</f>
        <v>50 - SOBRECORRENTE INSTANTANEA FASE</v>
      </c>
      <c r="G104" s="6" t="s">
        <v>416</v>
      </c>
      <c r="H104" s="6" t="str" cm="1">
        <f t="array" ref="H104">_xlfn.IFS(OR(D104="TC",D104="TP",AND(D104="TR",C104="AT"),AND(D104="TR",C104="BT")),CONCATENATE(B104,"_","TR",$B$3,C104,"_","TR",$B$3,C104,"_",G104),AND(D104="SECC",C104="BT"),CONCATENATE(B104,"_","TR",$B$3,C104,"_",$B$9,"_",G104),AND(D104="SECF",C104="AT"),CONCATENATE(B104,"_","TR",$B$3,C104,"_",$B$6,"_",G104),AND(D104="SECT",C104="AT"),CONCATENATE(B104,"_","TR",$B$3,C104,"_",$B$7,"_",G104),AND(D104="DJ",C104="AT"),CONCATENATE(B104,"_","TR",$B$3,C104,"_",$B$4,"_",G104),AND(D104="DJ",C104="BT"),CONCATENATE(B104,"_","TR",$B$3,C104,"_",$B$8,"_",G104),AND(C104="TR",D104="TR"),CONCATENATE(B104,"_","TR",$B$3,"_","TR",$B$3,"_",G104),AND(D104="SECT",C104="BT"),CONCATENATE(B104,"_","TR",$B$3,C104,"_",$B$11,"_",G104),AND(D104="SECF",C104="BT"),CONCATENATE(B104,"_","TR",$B$3,C104,"_",$B$10,"_",G104),AND(D104="SECC",C104="AT"),CONCATENATE(B104,"_","TR",$B$3,C104,"_",$B$5,"_",G104),AND(C104="AT",D104="TR_A"),CONCATENATE(B104,"_","TR",$B$3,C104,"_","TR",$B$3,C104,"_A","_",G104),AND(C104="AT",D104="TR_P"),CONCATENATE(B104,"_","TR",$B$3,C104,"_","TR",$B$3,C104,"_P","_",G104),AND(C104="BT",D104="TR_A"),CONCATENATE(B104,"_","TR",$B$3,C104,"_","TR",$B$3,C104,"_A","_",G104),AND(C104="BT",D104="TR_P"),CONCATENATE(B104,"_","TR",$B$3,C104,"_","TR",$B$3,C104,"_P","_",G104),AND(C104="TR",D104="TR_P"),CONCATENATE(B104,"_","TR",$B$3,"_","TR",$B$3,"_P","_",G104),AND(C104="TR",D104="TR_A"),CONCATENATE(B104,"_","TR",$B$3,"_","TR",$B$3,"_A","_",G104))</f>
        <v>IMA_TR7BT_TR7BT_P_50F</v>
      </c>
      <c r="I104" s="6"/>
      <c r="J104" s="6" t="s">
        <v>182</v>
      </c>
      <c r="K104" s="6" t="s">
        <v>179</v>
      </c>
      <c r="L104" s="6" t="s">
        <v>188</v>
      </c>
      <c r="M104" s="6" t="s">
        <v>188</v>
      </c>
      <c r="N104" s="6">
        <f t="shared" si="3"/>
        <v>315</v>
      </c>
    </row>
    <row r="105" spans="1:14" x14ac:dyDescent="0.25">
      <c r="A105" s="6" t="s">
        <v>190</v>
      </c>
      <c r="B105" s="6" t="str">
        <f>Informações!$C$3</f>
        <v>IMA</v>
      </c>
      <c r="C105" s="6" t="s">
        <v>101</v>
      </c>
      <c r="D105" s="94" t="s">
        <v>212</v>
      </c>
      <c r="E105" s="2" t="s">
        <v>25</v>
      </c>
      <c r="F105" s="6" t="str">
        <f>VLOOKUP(G105,[1]Discrete!$A:$B,2,FALSE)</f>
        <v>50 - SOBRECORRENTE INSTANTANEA NEUTRO</v>
      </c>
      <c r="G105" s="6" t="s">
        <v>417</v>
      </c>
      <c r="H105" s="6" t="str" cm="1">
        <f t="array" ref="H105">_xlfn.IFS(OR(D105="TC",D105="TP",AND(D105="TR",C105="AT"),AND(D105="TR",C105="BT")),CONCATENATE(B105,"_","TR",$B$3,C105,"_","TR",$B$3,C105,"_",G105),AND(D105="SECC",C105="BT"),CONCATENATE(B105,"_","TR",$B$3,C105,"_",$B$9,"_",G105),AND(D105="SECF",C105="AT"),CONCATENATE(B105,"_","TR",$B$3,C105,"_",$B$6,"_",G105),AND(D105="SECT",C105="AT"),CONCATENATE(B105,"_","TR",$B$3,C105,"_",$B$7,"_",G105),AND(D105="DJ",C105="AT"),CONCATENATE(B105,"_","TR",$B$3,C105,"_",$B$4,"_",G105),AND(D105="DJ",C105="BT"),CONCATENATE(B105,"_","TR",$B$3,C105,"_",$B$8,"_",G105),AND(C105="TR",D105="TR"),CONCATENATE(B105,"_","TR",$B$3,"_","TR",$B$3,"_",G105),AND(D105="SECT",C105="BT"),CONCATENATE(B105,"_","TR",$B$3,C105,"_",$B$11,"_",G105),AND(D105="SECF",C105="BT"),CONCATENATE(B105,"_","TR",$B$3,C105,"_",$B$10,"_",G105),AND(D105="SECC",C105="AT"),CONCATENATE(B105,"_","TR",$B$3,C105,"_",$B$5,"_",G105),AND(C105="AT",D105="TR_A"),CONCATENATE(B105,"_","TR",$B$3,C105,"_","TR",$B$3,C105,"_A","_",G105),AND(C105="AT",D105="TR_P"),CONCATENATE(B105,"_","TR",$B$3,C105,"_","TR",$B$3,C105,"_P","_",G105),AND(C105="BT",D105="TR_A"),CONCATENATE(B105,"_","TR",$B$3,C105,"_","TR",$B$3,C105,"_A","_",G105),AND(C105="BT",D105="TR_P"),CONCATENATE(B105,"_","TR",$B$3,C105,"_","TR",$B$3,C105,"_P","_",G105),AND(C105="TR",D105="TR_P"),CONCATENATE(B105,"_","TR",$B$3,"_","TR",$B$3,"_P","_",G105),AND(C105="TR",D105="TR_A"),CONCATENATE(B105,"_","TR",$B$3,"_","TR",$B$3,"_A","_",G105))</f>
        <v>IMA_TR7BT_TR7BT_P_50N</v>
      </c>
      <c r="I105" s="6"/>
      <c r="J105" s="6" t="s">
        <v>182</v>
      </c>
      <c r="K105" s="6" t="s">
        <v>179</v>
      </c>
      <c r="L105" s="6" t="s">
        <v>188</v>
      </c>
      <c r="M105" s="6" t="s">
        <v>188</v>
      </c>
      <c r="N105" s="6">
        <f t="shared" si="3"/>
        <v>316</v>
      </c>
    </row>
    <row r="106" spans="1:14" x14ac:dyDescent="0.25">
      <c r="A106" s="6" t="s">
        <v>190</v>
      </c>
      <c r="B106" s="6" t="str">
        <f>Informações!$C$3</f>
        <v>IMA</v>
      </c>
      <c r="C106" s="6" t="s">
        <v>101</v>
      </c>
      <c r="D106" s="94" t="s">
        <v>212</v>
      </c>
      <c r="E106" s="2" t="s">
        <v>25</v>
      </c>
      <c r="F106" s="6" t="str">
        <f>VLOOKUP(G106,[1]Discrete!$A:$B,2,FALSE)</f>
        <v>51 - SOBRECORRENTE TEMPORIZADA FASE</v>
      </c>
      <c r="G106" s="6" t="s">
        <v>98</v>
      </c>
      <c r="H106" s="6" t="str" cm="1">
        <f t="array" ref="H106">_xlfn.IFS(OR(D106="TC",D106="TP",AND(D106="TR",C106="AT"),AND(D106="TR",C106="BT")),CONCATENATE(B106,"_","TR",$B$3,C106,"_","TR",$B$3,C106,"_",G106),AND(D106="SECC",C106="BT"),CONCATENATE(B106,"_","TR",$B$3,C106,"_",$B$9,"_",G106),AND(D106="SECF",C106="AT"),CONCATENATE(B106,"_","TR",$B$3,C106,"_",$B$6,"_",G106),AND(D106="SECT",C106="AT"),CONCATENATE(B106,"_","TR",$B$3,C106,"_",$B$7,"_",G106),AND(D106="DJ",C106="AT"),CONCATENATE(B106,"_","TR",$B$3,C106,"_",$B$4,"_",G106),AND(D106="DJ",C106="BT"),CONCATENATE(B106,"_","TR",$B$3,C106,"_",$B$8,"_",G106),AND(C106="TR",D106="TR"),CONCATENATE(B106,"_","TR",$B$3,"_","TR",$B$3,"_",G106),AND(D106="SECT",C106="BT"),CONCATENATE(B106,"_","TR",$B$3,C106,"_",$B$11,"_",G106),AND(D106="SECF",C106="BT"),CONCATENATE(B106,"_","TR",$B$3,C106,"_",$B$10,"_",G106),AND(D106="SECC",C106="AT"),CONCATENATE(B106,"_","TR",$B$3,C106,"_",$B$5,"_",G106),AND(C106="AT",D106="TR_A"),CONCATENATE(B106,"_","TR",$B$3,C106,"_","TR",$B$3,C106,"_A","_",G106),AND(C106="AT",D106="TR_P"),CONCATENATE(B106,"_","TR",$B$3,C106,"_","TR",$B$3,C106,"_P","_",G106),AND(C106="BT",D106="TR_A"),CONCATENATE(B106,"_","TR",$B$3,C106,"_","TR",$B$3,C106,"_A","_",G106),AND(C106="BT",D106="TR_P"),CONCATENATE(B106,"_","TR",$B$3,C106,"_","TR",$B$3,C106,"_P","_",G106),AND(C106="TR",D106="TR_P"),CONCATENATE(B106,"_","TR",$B$3,"_","TR",$B$3,"_P","_",G106),AND(C106="TR",D106="TR_A"),CONCATENATE(B106,"_","TR",$B$3,"_","TR",$B$3,"_A","_",G106))</f>
        <v>IMA_TR7BT_TR7BT_P_51F</v>
      </c>
      <c r="I106" s="6"/>
      <c r="J106" s="6" t="s">
        <v>182</v>
      </c>
      <c r="K106" s="6" t="s">
        <v>179</v>
      </c>
      <c r="L106" s="6" t="s">
        <v>188</v>
      </c>
      <c r="M106" s="6" t="s">
        <v>188</v>
      </c>
      <c r="N106" s="6">
        <f t="shared" si="3"/>
        <v>317</v>
      </c>
    </row>
    <row r="107" spans="1:14" x14ac:dyDescent="0.25">
      <c r="A107" s="6" t="s">
        <v>190</v>
      </c>
      <c r="B107" s="6" t="str">
        <f>Informações!$C$3</f>
        <v>IMA</v>
      </c>
      <c r="C107" s="6" t="s">
        <v>101</v>
      </c>
      <c r="D107" s="94" t="s">
        <v>212</v>
      </c>
      <c r="E107" s="2" t="s">
        <v>25</v>
      </c>
      <c r="F107" s="6" t="str">
        <f>VLOOKUP(G107,[1]Discrete!$A:$B,2,FALSE)</f>
        <v>51 - SOBRECORRENTE TEMPORIZADA FASE NEUTRO</v>
      </c>
      <c r="G107" s="6" t="s">
        <v>427</v>
      </c>
      <c r="H107" s="6" t="str" cm="1">
        <f t="array" ref="H107">_xlfn.IFS(OR(D107="TC",D107="TP",AND(D107="TR",C107="AT"),AND(D107="TR",C107="BT")),CONCATENATE(B107,"_","TR",$B$3,C107,"_","TR",$B$3,C107,"_",G107),AND(D107="SECC",C107="BT"),CONCATENATE(B107,"_","TR",$B$3,C107,"_",$B$9,"_",G107),AND(D107="SECF",C107="AT"),CONCATENATE(B107,"_","TR",$B$3,C107,"_",$B$6,"_",G107),AND(D107="SECT",C107="AT"),CONCATENATE(B107,"_","TR",$B$3,C107,"_",$B$7,"_",G107),AND(D107="DJ",C107="AT"),CONCATENATE(B107,"_","TR",$B$3,C107,"_",$B$4,"_",G107),AND(D107="DJ",C107="BT"),CONCATENATE(B107,"_","TR",$B$3,C107,"_",$B$8,"_",G107),AND(C107="TR",D107="TR"),CONCATENATE(B107,"_","TR",$B$3,"_","TR",$B$3,"_",G107),AND(D107="SECT",C107="BT"),CONCATENATE(B107,"_","TR",$B$3,C107,"_",$B$11,"_",G107),AND(D107="SECF",C107="BT"),CONCATENATE(B107,"_","TR",$B$3,C107,"_",$B$10,"_",G107),AND(D107="SECC",C107="AT"),CONCATENATE(B107,"_","TR",$B$3,C107,"_",$B$5,"_",G107),AND(C107="AT",D107="TR_A"),CONCATENATE(B107,"_","TR",$B$3,C107,"_","TR",$B$3,C107,"_A","_",G107),AND(C107="AT",D107="TR_P"),CONCATENATE(B107,"_","TR",$B$3,C107,"_","TR",$B$3,C107,"_P","_",G107),AND(C107="BT",D107="TR_A"),CONCATENATE(B107,"_","TR",$B$3,C107,"_","TR",$B$3,C107,"_A","_",G107),AND(C107="BT",D107="TR_P"),CONCATENATE(B107,"_","TR",$B$3,C107,"_","TR",$B$3,C107,"_P","_",G107),AND(C107="TR",D107="TR_P"),CONCATENATE(B107,"_","TR",$B$3,"_","TR",$B$3,"_P","_",G107),AND(C107="TR",D107="TR_A"),CONCATENATE(B107,"_","TR",$B$3,"_","TR",$B$3,"_A","_",G107))</f>
        <v>IMA_TR7BT_TR7BT_P_51FN</v>
      </c>
      <c r="I107" s="6"/>
      <c r="J107" s="6" t="s">
        <v>182</v>
      </c>
      <c r="K107" s="6" t="s">
        <v>179</v>
      </c>
      <c r="L107" s="6" t="s">
        <v>188</v>
      </c>
      <c r="M107" s="6" t="s">
        <v>188</v>
      </c>
      <c r="N107" s="6">
        <f t="shared" si="3"/>
        <v>318</v>
      </c>
    </row>
    <row r="108" spans="1:14" x14ac:dyDescent="0.25">
      <c r="A108" s="6" t="s">
        <v>190</v>
      </c>
      <c r="B108" s="6" t="str">
        <f>Informações!$C$3</f>
        <v>IMA</v>
      </c>
      <c r="C108" s="6" t="s">
        <v>100</v>
      </c>
      <c r="D108" s="6" t="s">
        <v>102</v>
      </c>
      <c r="E108" s="2" t="s">
        <v>25</v>
      </c>
      <c r="F108" s="94" t="s">
        <v>710</v>
      </c>
      <c r="G108" s="6" t="s">
        <v>119</v>
      </c>
      <c r="H108" s="6" t="str" cm="1">
        <f t="array" ref="H108">_xlfn.IFS(OR(D108="TC",D108="TP",AND(D108="TR",C108="AT"),AND(D108="TR",C108="BT")),CONCATENATE(B108,"_","TR",$B$3,C108,"_","TR",$B$3,C108,"_",G108),AND(D108="SECC",C108="BT"),CONCATENATE(B108,"_","TR",$B$3,C108,"_",$B$9,"_",G108),AND(D108="SECF",C108="AT"),CONCATENATE(B108,"_","TR",$B$3,C108,"_",$B$6,"_",G108),AND(D108="SECT",C108="AT"),CONCATENATE(B108,"_","TR",$B$3,C108,"_",$B$7,"_",G108),AND(D108="DJ",C108="AT"),CONCATENATE(B108,"_","TR",$B$3,C108,"_",$B$4,"_",G108),AND(D108="DJ",C108="BT"),CONCATENATE(B108,"_","TR",$B$3,C108,"_",$B$8,"_",G108),AND(C108="TR",D108="TR"),CONCATENATE(B108,"_","TR",$B$3,"_","TR",$B$3,"_",G108),AND(D108="SECT",C108="BT"),CONCATENATE(B108,"_","TR",$B$3,C108,"_",$B$11,"_",G108),AND(D108="SECF",C108="BT"),CONCATENATE(B108,"_","TR",$B$3,C108,"_",$B$10,"_",G108),AND(D108="SECC",C108="AT"),CONCATENATE(B108,"_","TR",$B$3,C108,"_",$B$5,"_",G108),AND(C108="AT",D108="TR_A"),CONCATENATE(B108,"_","TR",$B$3,C108,"_","TR",$B$3,C108,"_A","_",G108),AND(C108="AT",D108="TR_P"),CONCATENATE(B108,"_","TR",$B$3,C108,"_","TR",$B$3,C108,"_P","_",G108),AND(C108="BT",D108="TR_A"),CONCATENATE(B108,"_","TR",$B$3,C108,"_","TR",$B$3,C108,"_A","_",G108),AND(C108="BT",D108="TR_P"),CONCATENATE(B108,"_","TR",$B$3,C108,"_","TR",$B$3,C108,"_P","_",G108),AND(C108="TR",D108="TR_P"),CONCATENATE(B108,"_","TR",$B$3,"_","TR",$B$3,"_P","_",G108),AND(C108="TR",D108="TR_A"),CONCATENATE(B108,"_","TR",$B$3,"_","TR",$B$3,"_A","_",G108))</f>
        <v>IMA_TR7AT_TR7AT_TEA</v>
      </c>
      <c r="I108" s="6"/>
      <c r="J108" s="6" t="s">
        <v>182</v>
      </c>
      <c r="K108" s="6" t="s">
        <v>179</v>
      </c>
      <c r="L108" s="6" t="s">
        <v>188</v>
      </c>
      <c r="M108" s="6" t="s">
        <v>188</v>
      </c>
      <c r="N108" s="6">
        <f t="shared" si="3"/>
        <v>319</v>
      </c>
    </row>
    <row r="109" spans="1:14" x14ac:dyDescent="0.25">
      <c r="A109" s="6" t="s">
        <v>190</v>
      </c>
      <c r="B109" s="6" t="str">
        <f>Informações!$C$3</f>
        <v>IMA</v>
      </c>
      <c r="C109" s="6" t="s">
        <v>100</v>
      </c>
      <c r="D109" s="6" t="s">
        <v>102</v>
      </c>
      <c r="E109" s="2" t="s">
        <v>25</v>
      </c>
      <c r="F109" s="94" t="s">
        <v>711</v>
      </c>
      <c r="G109" s="6" t="s">
        <v>120</v>
      </c>
      <c r="H109" s="6" t="str" cm="1">
        <f t="array" ref="H109">_xlfn.IFS(OR(D109="TC",D109="TP",AND(D109="TR",C109="AT"),AND(D109="TR",C109="BT")),CONCATENATE(B109,"_","TR",$B$3,C109,"_","TR",$B$3,C109,"_",G109),AND(D109="SECC",C109="BT"),CONCATENATE(B109,"_","TR",$B$3,C109,"_",$B$9,"_",G109),AND(D109="SECF",C109="AT"),CONCATENATE(B109,"_","TR",$B$3,C109,"_",$B$6,"_",G109),AND(D109="SECT",C109="AT"),CONCATENATE(B109,"_","TR",$B$3,C109,"_",$B$7,"_",G109),AND(D109="DJ",C109="AT"),CONCATENATE(B109,"_","TR",$B$3,C109,"_",$B$4,"_",G109),AND(D109="DJ",C109="BT"),CONCATENATE(B109,"_","TR",$B$3,C109,"_",$B$8,"_",G109),AND(C109="TR",D109="TR"),CONCATENATE(B109,"_","TR",$B$3,"_","TR",$B$3,"_",G109),AND(D109="SECT",C109="BT"),CONCATENATE(B109,"_","TR",$B$3,C109,"_",$B$11,"_",G109),AND(D109="SECF",C109="BT"),CONCATENATE(B109,"_","TR",$B$3,C109,"_",$B$10,"_",G109),AND(D109="SECC",C109="AT"),CONCATENATE(B109,"_","TR",$B$3,C109,"_",$B$5,"_",G109),AND(C109="AT",D109="TR_A"),CONCATENATE(B109,"_","TR",$B$3,C109,"_","TR",$B$3,C109,"_A","_",G109),AND(C109="AT",D109="TR_P"),CONCATENATE(B109,"_","TR",$B$3,C109,"_","TR",$B$3,C109,"_P","_",G109),AND(C109="BT",D109="TR_A"),CONCATENATE(B109,"_","TR",$B$3,C109,"_","TR",$B$3,C109,"_A","_",G109),AND(C109="BT",D109="TR_P"),CONCATENATE(B109,"_","TR",$B$3,C109,"_","TR",$B$3,C109,"_P","_",G109),AND(C109="TR",D109="TR_P"),CONCATENATE(B109,"_","TR",$B$3,"_","TR",$B$3,"_P","_",G109),AND(C109="TR",D109="TR_A"),CONCATENATE(B109,"_","TR",$B$3,"_","TR",$B$3,"_A","_",G109))</f>
        <v>IMA_TR7AT_TR7AT_TED</v>
      </c>
      <c r="I109" s="6"/>
      <c r="J109" s="6" t="s">
        <v>182</v>
      </c>
      <c r="K109" s="6" t="s">
        <v>179</v>
      </c>
      <c r="L109" s="6" t="s">
        <v>188</v>
      </c>
      <c r="M109" s="6" t="s">
        <v>188</v>
      </c>
      <c r="N109" s="6">
        <f t="shared" si="3"/>
        <v>320</v>
      </c>
    </row>
    <row r="110" spans="1:14" x14ac:dyDescent="0.25">
      <c r="A110" s="6" t="s">
        <v>190</v>
      </c>
      <c r="B110" s="6" t="str">
        <f>Informações!$C$3</f>
        <v>IMA</v>
      </c>
      <c r="C110" s="6" t="s">
        <v>100</v>
      </c>
      <c r="D110" s="6" t="s">
        <v>102</v>
      </c>
      <c r="E110" s="2" t="s">
        <v>25</v>
      </c>
      <c r="F110" s="6" t="str">
        <f>VLOOKUP(G110,[1]Discrete!$A:$B,2,FALSE)</f>
        <v>62 - FALHA DISJUNTOR BLOQUEIO</v>
      </c>
      <c r="G110" s="6" t="s">
        <v>44</v>
      </c>
      <c r="H110" s="6" t="str" cm="1">
        <f t="array" ref="H110">_xlfn.IFS(OR(D110="TC",D110="TP",AND(D110="TR",C110="AT"),AND(D110="TR",C110="BT")),CONCATENATE(B110,"_","TR",$B$3,C110,"_","TR",$B$3,C110,"_",G110),AND(D110="SECC",C110="BT"),CONCATENATE(B110,"_","TR",$B$3,C110,"_",$B$9,"_",G110),AND(D110="SECF",C110="AT"),CONCATENATE(B110,"_","TR",$B$3,C110,"_",$B$6,"_",G110),AND(D110="SECT",C110="AT"),CONCATENATE(B110,"_","TR",$B$3,C110,"_",$B$7,"_",G110),AND(D110="DJ",C110="AT"),CONCATENATE(B110,"_","TR",$B$3,C110,"_",$B$4,"_",G110),AND(D110="DJ",C110="BT"),CONCATENATE(B110,"_","TR",$B$3,C110,"_",$B$8,"_",G110),AND(C110="TR",D110="TR"),CONCATENATE(B110,"_","TR",$B$3,"_","TR",$B$3,"_",G110),AND(D110="SECT",C110="BT"),CONCATENATE(B110,"_","TR",$B$3,C110,"_",$B$11,"_",G110),AND(D110="SECF",C110="BT"),CONCATENATE(B110,"_","TR",$B$3,C110,"_",$B$10,"_",G110),AND(D110="SECC",C110="AT"),CONCATENATE(B110,"_","TR",$B$3,C110,"_",$B$5,"_",G110),AND(C110="AT",D110="TR_A"),CONCATENATE(B110,"_","TR",$B$3,C110,"_","TR",$B$3,C110,"_A","_",G110),AND(C110="AT",D110="TR_P"),CONCATENATE(B110,"_","TR",$B$3,C110,"_","TR",$B$3,C110,"_P","_",G110),AND(C110="BT",D110="TR_A"),CONCATENATE(B110,"_","TR",$B$3,C110,"_","TR",$B$3,C110,"_A","_",G110),AND(C110="BT",D110="TR_P"),CONCATENATE(B110,"_","TR",$B$3,C110,"_","TR",$B$3,C110,"_P","_",G110),AND(C110="TR",D110="TR_P"),CONCATENATE(B110,"_","TR",$B$3,"_","TR",$B$3,"_P","_",G110),AND(C110="TR",D110="TR_A"),CONCATENATE(B110,"_","TR",$B$3,"_","TR",$B$3,"_A","_",G110))</f>
        <v>IMA_TR7AT_TR7AT_62BF</v>
      </c>
      <c r="I110" s="6"/>
      <c r="J110" s="94" t="s">
        <v>182</v>
      </c>
      <c r="K110" s="94" t="s">
        <v>179</v>
      </c>
      <c r="L110" s="6" t="s">
        <v>188</v>
      </c>
      <c r="M110" s="6" t="s">
        <v>188</v>
      </c>
      <c r="N110" s="6">
        <f>N109+1</f>
        <v>321</v>
      </c>
    </row>
    <row r="111" spans="1:14" x14ac:dyDescent="0.25">
      <c r="A111" s="93" t="s">
        <v>191</v>
      </c>
      <c r="B111" s="6" t="str">
        <f>Informações!$C$3</f>
        <v>IMA</v>
      </c>
      <c r="C111" s="6" t="s">
        <v>100</v>
      </c>
      <c r="D111" s="6" t="s">
        <v>102</v>
      </c>
      <c r="E111" s="2" t="s">
        <v>25</v>
      </c>
      <c r="F111" s="93" t="str">
        <f>VLOOKUP(G111,[1]Discrete!$A:$B,2,FALSE)</f>
        <v>59 - SOBRETENSAO NEUTRO</v>
      </c>
      <c r="G111" s="6" t="s">
        <v>363</v>
      </c>
      <c r="H111" s="6" t="str" cm="1">
        <f t="array" ref="H111">_xlfn.IFS(OR(D111="TC",D111="TP",AND(D111="TR",C111="AT"),AND(D111="TR",C111="BT")),CONCATENATE(B111,"_","TR",$B$3,C111,"_","TR",$B$3,C111,"_",G111),AND(D111="SECC",C111="BT"),CONCATENATE(B111,"_","TR",$B$3,C111,"_",$B$9,"_",G111),AND(D111="SECF",C111="AT"),CONCATENATE(B111,"_","TR",$B$3,C111,"_",$B$6,"_",G111),AND(D111="SECT",C111="AT"),CONCATENATE(B111,"_","TR",$B$3,C111,"_",$B$7,"_",G111),AND(D111="DJ",C111="AT"),CONCATENATE(B111,"_","TR",$B$3,C111,"_",$B$4,"_",G111),AND(D111="DJ",C111="BT"),CONCATENATE(B111,"_","TR",$B$3,C111,"_",$B$8,"_",G111),AND(C111="TR",D111="TR"),CONCATENATE(B111,"_","TR",$B$3,"_","TR",$B$3,"_",G111),AND(D111="SECT",C111="BT"),CONCATENATE(B111,"_","TR",$B$3,C111,"_",$B$11,"_",G111),AND(D111="SECF",C111="BT"),CONCATENATE(B111,"_","TR",$B$3,C111,"_",$B$10,"_",G111),AND(D111="SECC",C111="AT"),CONCATENATE(B111,"_","TR",$B$3,C111,"_",$B$5,"_",G111),AND(C111="AT",D111="TR_A"),CONCATENATE(B111,"_","TR",$B$3,C111,"_","TR",$B$3,C111,"_A","_",G111),AND(C111="AT",D111="TR_P"),CONCATENATE(B111,"_","TR",$B$3,C111,"_","TR",$B$3,C111,"_P","_",G111),AND(C111="BT",D111="TR_A"),CONCATENATE(B111,"_","TR",$B$3,C111,"_","TR",$B$3,C111,"_A","_",G111),AND(C111="BT",D111="TR_P"),CONCATENATE(B111,"_","TR",$B$3,C111,"_","TR",$B$3,C111,"_P","_",G111),AND(C111="TR",D111="TR_P"),CONCATENATE(B111,"_","TR",$B$3,"_","TR",$B$3,"_P","_",G111),AND(C111="TR",D111="TR_A"),CONCATENATE(B111,"_","TR",$B$3,"_","TR",$B$3,"_A","_",G111))</f>
        <v>IMA_TR7AT_TR7AT_59N</v>
      </c>
      <c r="I111" s="6"/>
      <c r="J111" s="6" t="s">
        <v>183</v>
      </c>
      <c r="K111" s="6" t="s">
        <v>184</v>
      </c>
      <c r="L111" s="6" t="s">
        <v>188</v>
      </c>
      <c r="M111" s="6" t="s">
        <v>188</v>
      </c>
      <c r="N111" s="93">
        <f t="shared" ref="N111:N113" si="4">N110+1</f>
        <v>322</v>
      </c>
    </row>
    <row r="112" spans="1:14" x14ac:dyDescent="0.25">
      <c r="A112" s="93" t="s">
        <v>191</v>
      </c>
      <c r="B112" s="6" t="str">
        <f>Informações!$C$3</f>
        <v>IMA</v>
      </c>
      <c r="C112" s="6" t="s">
        <v>100</v>
      </c>
      <c r="D112" s="6" t="s">
        <v>102</v>
      </c>
      <c r="E112" s="2" t="s">
        <v>25</v>
      </c>
      <c r="F112" s="93" t="str">
        <f>VLOOKUP(G112,[1]Discrete!$A:$B,2,FALSE)</f>
        <v>59 - TRIP SOBRETENSAO</v>
      </c>
      <c r="G112" s="6" t="s">
        <v>70</v>
      </c>
      <c r="H112" s="6" t="str" cm="1">
        <f t="array" ref="H112">_xlfn.IFS(OR(D112="TC",D112="TP",AND(D112="TR",C112="AT"),AND(D112="TR",C112="BT")),CONCATENATE(B112,"_","TR",$B$3,C112,"_","TR",$B$3,C112,"_",G112),AND(D112="SECC",C112="BT"),CONCATENATE(B112,"_","TR",$B$3,C112,"_",$B$9,"_",G112),AND(D112="SECF",C112="AT"),CONCATENATE(B112,"_","TR",$B$3,C112,"_",$B$6,"_",G112),AND(D112="SECT",C112="AT"),CONCATENATE(B112,"_","TR",$B$3,C112,"_",$B$7,"_",G112),AND(D112="DJ",C112="AT"),CONCATENATE(B112,"_","TR",$B$3,C112,"_",$B$4,"_",G112),AND(D112="DJ",C112="BT"),CONCATENATE(B112,"_","TR",$B$3,C112,"_",$B$8,"_",G112),AND(C112="TR",D112="TR"),CONCATENATE(B112,"_","TR",$B$3,"_","TR",$B$3,"_",G112),AND(D112="SECT",C112="BT"),CONCATENATE(B112,"_","TR",$B$3,C112,"_",$B$11,"_",G112),AND(D112="SECF",C112="BT"),CONCATENATE(B112,"_","TR",$B$3,C112,"_",$B$10,"_",G112),AND(D112="SECC",C112="AT"),CONCATENATE(B112,"_","TR",$B$3,C112,"_",$B$5,"_",G112),AND(C112="AT",D112="TR_A"),CONCATENATE(B112,"_","TR",$B$3,C112,"_","TR",$B$3,C112,"_A","_",G112),AND(C112="AT",D112="TR_P"),CONCATENATE(B112,"_","TR",$B$3,C112,"_","TR",$B$3,C112,"_P","_",G112),AND(C112="BT",D112="TR_A"),CONCATENATE(B112,"_","TR",$B$3,C112,"_","TR",$B$3,C112,"_A","_",G112),AND(C112="BT",D112="TR_P"),CONCATENATE(B112,"_","TR",$B$3,C112,"_","TR",$B$3,C112,"_P","_",G112),AND(C112="TR",D112="TR_P"),CONCATENATE(B112,"_","TR",$B$3,"_","TR",$B$3,"_P","_",G112),AND(C112="TR",D112="TR_A"),CONCATENATE(B112,"_","TR",$B$3,"_","TR",$B$3,"_A","_",G112))</f>
        <v>IMA_TR7AT_TR7AT_59_T</v>
      </c>
      <c r="I112" s="6"/>
      <c r="J112" s="6" t="s">
        <v>183</v>
      </c>
      <c r="K112" s="6" t="s">
        <v>184</v>
      </c>
      <c r="L112" s="6" t="s">
        <v>188</v>
      </c>
      <c r="M112" s="6" t="s">
        <v>188</v>
      </c>
      <c r="N112" s="93">
        <f t="shared" si="4"/>
        <v>323</v>
      </c>
    </row>
    <row r="113" spans="1:14" x14ac:dyDescent="0.25">
      <c r="A113" s="6" t="s">
        <v>190</v>
      </c>
      <c r="B113" s="6" t="str">
        <f>Informações!$C$3</f>
        <v>IMA</v>
      </c>
      <c r="C113" s="94" t="s">
        <v>102</v>
      </c>
      <c r="D113" s="94" t="s">
        <v>212</v>
      </c>
      <c r="E113" s="2" t="s">
        <v>25</v>
      </c>
      <c r="F113" s="6" t="e">
        <f>VLOOKUP(G113,[1]Discrete!$A:$B,2,FALSE)</f>
        <v>#N/A</v>
      </c>
      <c r="G113" s="6">
        <v>86</v>
      </c>
      <c r="H113" s="6" t="str" cm="1">
        <f t="array" ref="H113">_xlfn.IFS(OR(D113="TC",D113="TP",AND(D113="TR",C113="AT"),AND(D113="TR",C113="BT")),CONCATENATE(B113,"_","TR",$B$3,C113,"_","TR",$B$3,C113,"_",G113),AND(D113="SECC",C113="BT"),CONCATENATE(B113,"_","TR",$B$3,C113,"_",$B$9,"_",G113),AND(D113="SECF",C113="AT"),CONCATENATE(B113,"_","TR",$B$3,C113,"_",$B$6,"_",G113),AND(D113="SECT",C113="AT"),CONCATENATE(B113,"_","TR",$B$3,C113,"_",$B$7,"_",G113),AND(D113="DJ",C113="AT"),CONCATENATE(B113,"_","TR",$B$3,C113,"_",$B$4,"_",G113),AND(D113="DJ",C113="BT"),CONCATENATE(B113,"_","TR",$B$3,C113,"_",$B$8,"_",G113),AND(C113="TR",D113="TR"),CONCATENATE(B113,"_","TR",$B$3,"_","TR",$B$3,"_",G113),AND(D113="SECT",C113="BT"),CONCATENATE(B113,"_","TR",$B$3,C113,"_",$B$11,"_",G113),AND(D113="SECF",C113="BT"),CONCATENATE(B113,"_","TR",$B$3,C113,"_",$B$10,"_",G113),AND(D113="SECC",C113="AT"),CONCATENATE(B113,"_","TR",$B$3,C113,"_",$B$5,"_",G113),AND(C113="AT",D113="TR_A"),CONCATENATE(B113,"_","TR",$B$3,C113,"_","TR",$B$3,C113,"_A","_",G113),AND(C113="AT",D113="TR_P"),CONCATENATE(B113,"_","TR",$B$3,C113,"_","TR",$B$3,C113,"_P","_",G113),AND(C113="BT",D113="TR_A"),CONCATENATE(B113,"_","TR",$B$3,C113,"_","TR",$B$3,C113,"_A","_",G113),AND(C113="BT",D113="TR_P"),CONCATENATE(B113,"_","TR",$B$3,C113,"_","TR",$B$3,C113,"_P","_",G113),AND(C113="TR",D113="TR_P"),CONCATENATE(B113,"_","TR",$B$3,"_","TR",$B$3,"_P","_",G113),AND(C113="TR",D113="TR_A"),CONCATENATE(B113,"_","TR",$B$3,"_","TR",$B$3,"_A","_",G113))</f>
        <v>IMA_TR7_TR7_P_86</v>
      </c>
      <c r="I113" s="6"/>
      <c r="J113" s="94" t="s">
        <v>182</v>
      </c>
      <c r="K113" s="94" t="s">
        <v>179</v>
      </c>
      <c r="L113" s="6" t="s">
        <v>188</v>
      </c>
      <c r="M113" s="6" t="s">
        <v>188</v>
      </c>
      <c r="N113" s="6">
        <f t="shared" si="4"/>
        <v>324</v>
      </c>
    </row>
    <row r="114" spans="1:14" x14ac:dyDescent="0.25">
      <c r="A114" s="6" t="s">
        <v>190</v>
      </c>
      <c r="B114" s="6" t="str">
        <f>Informações!$C$3</f>
        <v>IMA</v>
      </c>
      <c r="C114" s="6" t="s">
        <v>101</v>
      </c>
      <c r="D114" s="6" t="s">
        <v>30</v>
      </c>
      <c r="E114" s="2" t="s">
        <v>25</v>
      </c>
      <c r="F114" s="6" t="str">
        <f>VLOOKUP(G114,[1]Discrete!$A:$B,2,FALSE)</f>
        <v>43 - CHAVE LOCAL REMOTO</v>
      </c>
      <c r="G114" s="6" t="s">
        <v>39</v>
      </c>
      <c r="H114" s="6" t="str" cm="1">
        <f t="array" ref="H114">_xlfn.IFS(OR(D114="TC",D114="TP",AND(D114="TR",C114="AT"),AND(D114="TR",C114="BT")),CONCATENATE(B114,"_","TR",$B$3,C114,"_","TR",$B$3,C114,"_",G114),AND(D114="SECC",C114="BT"),CONCATENATE(B114,"_","TR",$B$3,C114,"_",$B$9,"_",G114),AND(D114="SECF",C114="AT"),CONCATENATE(B114,"_","TR",$B$3,C114,"_",$B$6,"_",G114),AND(D114="SECT",C114="AT"),CONCATENATE(B114,"_","TR",$B$3,C114,"_",$B$7,"_",G114),AND(D114="DJ",C114="AT"),CONCATENATE(B114,"_","TR",$B$3,C114,"_",$B$4,"_",G114),AND(D114="DJ",C114="BT"),CONCATENATE(B114,"_","TR",$B$3,C114,"_",$B$8,"_",G114),AND(C114="TR",D114="TR"),CONCATENATE(B114,"_","TR",$B$3,"_","TR",$B$3,"_",G114),AND(D114="SECT",C114="BT"),CONCATENATE(B114,"_","TR",$B$3,C114,"_",$B$11,"_",G114),AND(D114="SECF",C114="BT"),CONCATENATE(B114,"_","TR",$B$3,C114,"_",$B$10,"_",G114),AND(D114="SECC",C114="AT"),CONCATENATE(B114,"_","TR",$B$3,C114,"_",$B$5,"_",G114),AND(C114="AT",D114="TR_A"),CONCATENATE(B114,"_","TR",$B$3,C114,"_","TR",$B$3,C114,"_A","_",G114),AND(C114="AT",D114="TR_P"),CONCATENATE(B114,"_","TR",$B$3,C114,"_","TR",$B$3,C114,"_P","_",G114),AND(C114="BT",D114="TR_A"),CONCATENATE(B114,"_","TR",$B$3,C114,"_","TR",$B$3,C114,"_A","_",G114),AND(C114="BT",D114="TR_P"),CONCATENATE(B114,"_","TR",$B$3,C114,"_","TR",$B$3,C114,"_P","_",G114),AND(C114="TR",D114="TR_P"),CONCATENATE(B114,"_","TR",$B$3,"_","TR",$B$3,"_P","_",G114),AND(C114="TR",D114="TR_A"),CONCATENATE(B114,"_","TR",$B$3,"_","TR",$B$3,"_A","_",G114))</f>
        <v>IMA_TR7BT_52-29_43LR</v>
      </c>
      <c r="I114" s="6"/>
      <c r="J114" s="6" t="s">
        <v>186</v>
      </c>
      <c r="K114" s="6" t="s">
        <v>185</v>
      </c>
      <c r="L114" s="6" t="s">
        <v>188</v>
      </c>
      <c r="M114" s="6" t="s">
        <v>188</v>
      </c>
      <c r="N114" s="6">
        <f t="shared" si="3"/>
        <v>325</v>
      </c>
    </row>
    <row r="115" spans="1:14" x14ac:dyDescent="0.25">
      <c r="A115" s="6" t="s">
        <v>190</v>
      </c>
      <c r="B115" s="6" t="str">
        <f>Informações!$C$3</f>
        <v>IMA</v>
      </c>
      <c r="C115" s="6" t="s">
        <v>101</v>
      </c>
      <c r="D115" s="6" t="s">
        <v>30</v>
      </c>
      <c r="E115" s="2" t="s">
        <v>25</v>
      </c>
      <c r="F115" s="6" t="str">
        <f>VLOOKUP(G115,[1]Discrete!$A:$B,2,FALSE)</f>
        <v>BOBINA ABERTURA</v>
      </c>
      <c r="G115" s="6" t="s">
        <v>41</v>
      </c>
      <c r="H115" s="6" t="str" cm="1">
        <f t="array" ref="H115">_xlfn.IFS(OR(D115="TC",D115="TP",AND(D115="TR",C115="AT"),AND(D115="TR",C115="BT")),CONCATENATE(B115,"_","TR",$B$3,C115,"_","TR",$B$3,C115,"_",G115),AND(D115="SECC",C115="BT"),CONCATENATE(B115,"_","TR",$B$3,C115,"_",$B$9,"_",G115),AND(D115="SECF",C115="AT"),CONCATENATE(B115,"_","TR",$B$3,C115,"_",$B$6,"_",G115),AND(D115="SECT",C115="AT"),CONCATENATE(B115,"_","TR",$B$3,C115,"_",$B$7,"_",G115),AND(D115="DJ",C115="AT"),CONCATENATE(B115,"_","TR",$B$3,C115,"_",$B$4,"_",G115),AND(D115="DJ",C115="BT"),CONCATENATE(B115,"_","TR",$B$3,C115,"_",$B$8,"_",G115),AND(C115="TR",D115="TR"),CONCATENATE(B115,"_","TR",$B$3,"_","TR",$B$3,"_",G115),AND(D115="SECT",C115="BT"),CONCATENATE(B115,"_","TR",$B$3,C115,"_",$B$11,"_",G115),AND(D115="SECF",C115="BT"),CONCATENATE(B115,"_","TR",$B$3,C115,"_",$B$10,"_",G115),AND(D115="SECC",C115="AT"),CONCATENATE(B115,"_","TR",$B$3,C115,"_",$B$5,"_",G115),AND(C115="AT",D115="TR_A"),CONCATENATE(B115,"_","TR",$B$3,C115,"_","TR",$B$3,C115,"_A","_",G115),AND(C115="AT",D115="TR_P"),CONCATENATE(B115,"_","TR",$B$3,C115,"_","TR",$B$3,C115,"_P","_",G115),AND(C115="BT",D115="TR_A"),CONCATENATE(B115,"_","TR",$B$3,C115,"_","TR",$B$3,C115,"_A","_",G115),AND(C115="BT",D115="TR_P"),CONCATENATE(B115,"_","TR",$B$3,C115,"_","TR",$B$3,C115,"_P","_",G115),AND(C115="TR",D115="TR_P"),CONCATENATE(B115,"_","TR",$B$3,"_","TR",$B$3,"_P","_",G115),AND(C115="TR",D115="TR_A"),CONCATENATE(B115,"_","TR",$B$3,"_","TR",$B$3,"_A","_",G115))</f>
        <v>IMA_TR7BT_52-29_BBAB</v>
      </c>
      <c r="I115" s="6"/>
      <c r="J115" s="6" t="s">
        <v>182</v>
      </c>
      <c r="K115" s="6" t="s">
        <v>180</v>
      </c>
      <c r="L115" s="6" t="s">
        <v>188</v>
      </c>
      <c r="M115" s="6" t="s">
        <v>188</v>
      </c>
      <c r="N115" s="6">
        <f t="shared" si="3"/>
        <v>326</v>
      </c>
    </row>
    <row r="116" spans="1:14" x14ac:dyDescent="0.25">
      <c r="A116" s="6" t="s">
        <v>190</v>
      </c>
      <c r="B116" s="6" t="str">
        <f>Informações!$C$3</f>
        <v>IMA</v>
      </c>
      <c r="C116" s="6" t="s">
        <v>101</v>
      </c>
      <c r="D116" s="6" t="s">
        <v>30</v>
      </c>
      <c r="E116" s="2" t="s">
        <v>25</v>
      </c>
      <c r="F116" s="6" t="str">
        <f>VLOOKUP(G116,[1]Discrete!$A:$B,2,FALSE)</f>
        <v>BOBINA FECHAMENTO</v>
      </c>
      <c r="G116" s="6" t="s">
        <v>50</v>
      </c>
      <c r="H116" s="6" t="str" cm="1">
        <f t="array" ref="H116">_xlfn.IFS(OR(D116="TC",D116="TP",AND(D116="TR",C116="AT"),AND(D116="TR",C116="BT")),CONCATENATE(B116,"_","TR",$B$3,C116,"_","TR",$B$3,C116,"_",G116),AND(D116="SECC",C116="BT"),CONCATENATE(B116,"_","TR",$B$3,C116,"_",$B$9,"_",G116),AND(D116="SECF",C116="AT"),CONCATENATE(B116,"_","TR",$B$3,C116,"_",$B$6,"_",G116),AND(D116="SECT",C116="AT"),CONCATENATE(B116,"_","TR",$B$3,C116,"_",$B$7,"_",G116),AND(D116="DJ",C116="AT"),CONCATENATE(B116,"_","TR",$B$3,C116,"_",$B$4,"_",G116),AND(D116="DJ",C116="BT"),CONCATENATE(B116,"_","TR",$B$3,C116,"_",$B$8,"_",G116),AND(C116="TR",D116="TR"),CONCATENATE(B116,"_","TR",$B$3,"_","TR",$B$3,"_",G116),AND(D116="SECT",C116="BT"),CONCATENATE(B116,"_","TR",$B$3,C116,"_",$B$11,"_",G116),AND(D116="SECF",C116="BT"),CONCATENATE(B116,"_","TR",$B$3,C116,"_",$B$10,"_",G116),AND(D116="SECC",C116="AT"),CONCATENATE(B116,"_","TR",$B$3,C116,"_",$B$5,"_",G116),AND(C116="AT",D116="TR_A"),CONCATENATE(B116,"_","TR",$B$3,C116,"_","TR",$B$3,C116,"_A","_",G116),AND(C116="AT",D116="TR_P"),CONCATENATE(B116,"_","TR",$B$3,C116,"_","TR",$B$3,C116,"_P","_",G116),AND(C116="BT",D116="TR_A"),CONCATENATE(B116,"_","TR",$B$3,C116,"_","TR",$B$3,C116,"_A","_",G116),AND(C116="BT",D116="TR_P"),CONCATENATE(B116,"_","TR",$B$3,C116,"_","TR",$B$3,C116,"_P","_",G116),AND(C116="TR",D116="TR_P"),CONCATENATE(B116,"_","TR",$B$3,"_","TR",$B$3,"_P","_",G116),AND(C116="TR",D116="TR_A"),CONCATENATE(B116,"_","TR",$B$3,"_","TR",$B$3,"_A","_",G116))</f>
        <v>IMA_TR7BT_52-29_BBFC</v>
      </c>
      <c r="I116" s="6"/>
      <c r="J116" s="6" t="s">
        <v>182</v>
      </c>
      <c r="K116" s="6" t="s">
        <v>180</v>
      </c>
      <c r="L116" s="6" t="s">
        <v>188</v>
      </c>
      <c r="M116" s="6" t="s">
        <v>188</v>
      </c>
      <c r="N116" s="6">
        <f t="shared" si="3"/>
        <v>327</v>
      </c>
    </row>
    <row r="117" spans="1:14" x14ac:dyDescent="0.25">
      <c r="A117" s="6" t="s">
        <v>190</v>
      </c>
      <c r="B117" s="6" t="str">
        <f>Informações!$C$3</f>
        <v>IMA</v>
      </c>
      <c r="C117" s="6" t="s">
        <v>101</v>
      </c>
      <c r="D117" s="6" t="s">
        <v>30</v>
      </c>
      <c r="E117" s="2" t="s">
        <v>25</v>
      </c>
      <c r="F117" s="6" t="str">
        <f>VLOOKUP(G117,[1]Discrete!$A:$B,2,FALSE)</f>
        <v>FALTA VCC MOTOR</v>
      </c>
      <c r="G117" s="6" t="s">
        <v>80</v>
      </c>
      <c r="H117" s="6" t="str" cm="1">
        <f t="array" ref="H117">_xlfn.IFS(OR(D117="TC",D117="TP",AND(D117="TR",C117="AT"),AND(D117="TR",C117="BT")),CONCATENATE(B117,"_","TR",$B$3,C117,"_","TR",$B$3,C117,"_",G117),AND(D117="SECC",C117="BT"),CONCATENATE(B117,"_","TR",$B$3,C117,"_",$B$9,"_",G117),AND(D117="SECF",C117="AT"),CONCATENATE(B117,"_","TR",$B$3,C117,"_",$B$6,"_",G117),AND(D117="SECT",C117="AT"),CONCATENATE(B117,"_","TR",$B$3,C117,"_",$B$7,"_",G117),AND(D117="DJ",C117="AT"),CONCATENATE(B117,"_","TR",$B$3,C117,"_",$B$4,"_",G117),AND(D117="DJ",C117="BT"),CONCATENATE(B117,"_","TR",$B$3,C117,"_",$B$8,"_",G117),AND(C117="TR",D117="TR"),CONCATENATE(B117,"_","TR",$B$3,"_","TR",$B$3,"_",G117),AND(D117="SECT",C117="BT"),CONCATENATE(B117,"_","TR",$B$3,C117,"_",$B$11,"_",G117),AND(D117="SECF",C117="BT"),CONCATENATE(B117,"_","TR",$B$3,C117,"_",$B$10,"_",G117),AND(D117="SECC",C117="AT"),CONCATENATE(B117,"_","TR",$B$3,C117,"_",$B$5,"_",G117),AND(C117="AT",D117="TR_A"),CONCATENATE(B117,"_","TR",$B$3,C117,"_","TR",$B$3,C117,"_A","_",G117),AND(C117="AT",D117="TR_P"),CONCATENATE(B117,"_","TR",$B$3,C117,"_","TR",$B$3,C117,"_P","_",G117),AND(C117="BT",D117="TR_A"),CONCATENATE(B117,"_","TR",$B$3,C117,"_","TR",$B$3,C117,"_A","_",G117),AND(C117="BT",D117="TR_P"),CONCATENATE(B117,"_","TR",$B$3,C117,"_","TR",$B$3,C117,"_P","_",G117),AND(C117="TR",D117="TR_P"),CONCATENATE(B117,"_","TR",$B$3,"_","TR",$B$3,"_P","_",G117),AND(C117="TR",D117="TR_A"),CONCATENATE(B117,"_","TR",$B$3,"_","TR",$B$3,"_A","_",G117))</f>
        <v>IMA_TR7BT_52-29_CCMO</v>
      </c>
      <c r="I117" s="6"/>
      <c r="J117" s="6" t="s">
        <v>182</v>
      </c>
      <c r="K117" s="6" t="s">
        <v>180</v>
      </c>
      <c r="L117" s="6" t="s">
        <v>188</v>
      </c>
      <c r="M117" s="6" t="s">
        <v>188</v>
      </c>
      <c r="N117" s="6">
        <f t="shared" si="3"/>
        <v>328</v>
      </c>
    </row>
    <row r="118" spans="1:14" x14ac:dyDescent="0.25">
      <c r="A118" s="6" t="s">
        <v>190</v>
      </c>
      <c r="B118" s="6" t="str">
        <f>Informações!$C$3</f>
        <v>IMA</v>
      </c>
      <c r="C118" s="6" t="s">
        <v>101</v>
      </c>
      <c r="D118" s="6" t="s">
        <v>30</v>
      </c>
      <c r="E118" s="2" t="s">
        <v>25</v>
      </c>
      <c r="F118" s="6" t="str">
        <f>VLOOKUP(G118,[1]Discrete!$A:$B,2,FALSE)</f>
        <v>FALTA VCC COMANDO</v>
      </c>
      <c r="G118" s="6" t="s">
        <v>79</v>
      </c>
      <c r="H118" s="6" t="str" cm="1">
        <f t="array" ref="H118">_xlfn.IFS(OR(D118="TC",D118="TP",AND(D118="TR",C118="AT"),AND(D118="TR",C118="BT")),CONCATENATE(B118,"_","TR",$B$3,C118,"_","TR",$B$3,C118,"_",G118),AND(D118="SECC",C118="BT"),CONCATENATE(B118,"_","TR",$B$3,C118,"_",$B$9,"_",G118),AND(D118="SECF",C118="AT"),CONCATENATE(B118,"_","TR",$B$3,C118,"_",$B$6,"_",G118),AND(D118="SECT",C118="AT"),CONCATENATE(B118,"_","TR",$B$3,C118,"_",$B$7,"_",G118),AND(D118="DJ",C118="AT"),CONCATENATE(B118,"_","TR",$B$3,C118,"_",$B$4,"_",G118),AND(D118="DJ",C118="BT"),CONCATENATE(B118,"_","TR",$B$3,C118,"_",$B$8,"_",G118),AND(C118="TR",D118="TR"),CONCATENATE(B118,"_","TR",$B$3,"_","TR",$B$3,"_",G118),AND(D118="SECT",C118="BT"),CONCATENATE(B118,"_","TR",$B$3,C118,"_",$B$11,"_",G118),AND(D118="SECF",C118="BT"),CONCATENATE(B118,"_","TR",$B$3,C118,"_",$B$10,"_",G118),AND(D118="SECC",C118="AT"),CONCATENATE(B118,"_","TR",$B$3,C118,"_",$B$5,"_",G118),AND(C118="AT",D118="TR_A"),CONCATENATE(B118,"_","TR",$B$3,C118,"_","TR",$B$3,C118,"_A","_",G118),AND(C118="AT",D118="TR_P"),CONCATENATE(B118,"_","TR",$B$3,C118,"_","TR",$B$3,C118,"_P","_",G118),AND(C118="BT",D118="TR_A"),CONCATENATE(B118,"_","TR",$B$3,C118,"_","TR",$B$3,C118,"_A","_",G118),AND(C118="BT",D118="TR_P"),CONCATENATE(B118,"_","TR",$B$3,C118,"_","TR",$B$3,C118,"_P","_",G118),AND(C118="TR",D118="TR_P"),CONCATENATE(B118,"_","TR",$B$3,"_","TR",$B$3,"_P","_",G118),AND(C118="TR",D118="TR_A"),CONCATENATE(B118,"_","TR",$B$3,"_","TR",$B$3,"_A","_",G118))</f>
        <v>IMA_TR7BT_52-29_CCCO</v>
      </c>
      <c r="I118" s="6"/>
      <c r="J118" s="6" t="s">
        <v>182</v>
      </c>
      <c r="K118" s="6" t="s">
        <v>180</v>
      </c>
      <c r="L118" s="6" t="s">
        <v>188</v>
      </c>
      <c r="M118" s="6" t="s">
        <v>188</v>
      </c>
      <c r="N118" s="6">
        <f t="shared" si="3"/>
        <v>329</v>
      </c>
    </row>
    <row r="119" spans="1:14" x14ac:dyDescent="0.25">
      <c r="A119" s="6" t="s">
        <v>190</v>
      </c>
      <c r="B119" s="6" t="str">
        <f>Informações!$C$3</f>
        <v>IMA</v>
      </c>
      <c r="C119" s="6" t="s">
        <v>101</v>
      </c>
      <c r="D119" s="6" t="s">
        <v>30</v>
      </c>
      <c r="E119" s="2" t="s">
        <v>25</v>
      </c>
      <c r="F119" s="6" t="str">
        <f>VLOOKUP(G119,[1]Discrete!$A:$B,2,FALSE)</f>
        <v>VCA AQUECIMENTO</v>
      </c>
      <c r="G119" s="6" t="s">
        <v>110</v>
      </c>
      <c r="H119" s="6" t="str" cm="1">
        <f t="array" ref="H119">_xlfn.IFS(OR(D119="TC",D119="TP",AND(D119="TR",C119="AT"),AND(D119="TR",C119="BT")),CONCATENATE(B119,"_","TR",$B$3,C119,"_","TR",$B$3,C119,"_",G119),AND(D119="SECC",C119="BT"),CONCATENATE(B119,"_","TR",$B$3,C119,"_",$B$9,"_",G119),AND(D119="SECF",C119="AT"),CONCATENATE(B119,"_","TR",$B$3,C119,"_",$B$6,"_",G119),AND(D119="SECT",C119="AT"),CONCATENATE(B119,"_","TR",$B$3,C119,"_",$B$7,"_",G119),AND(D119="DJ",C119="AT"),CONCATENATE(B119,"_","TR",$B$3,C119,"_",$B$4,"_",G119),AND(D119="DJ",C119="BT"),CONCATENATE(B119,"_","TR",$B$3,C119,"_",$B$8,"_",G119),AND(C119="TR",D119="TR"),CONCATENATE(B119,"_","TR",$B$3,"_","TR",$B$3,"_",G119),AND(D119="SECT",C119="BT"),CONCATENATE(B119,"_","TR",$B$3,C119,"_",$B$11,"_",G119),AND(D119="SECF",C119="BT"),CONCATENATE(B119,"_","TR",$B$3,C119,"_",$B$10,"_",G119),AND(D119="SECC",C119="AT"),CONCATENATE(B119,"_","TR",$B$3,C119,"_",$B$5,"_",G119),AND(C119="AT",D119="TR_A"),CONCATENATE(B119,"_","TR",$B$3,C119,"_","TR",$B$3,C119,"_A","_",G119),AND(C119="AT",D119="TR_P"),CONCATENATE(B119,"_","TR",$B$3,C119,"_","TR",$B$3,C119,"_P","_",G119),AND(C119="BT",D119="TR_A"),CONCATENATE(B119,"_","TR",$B$3,C119,"_","TR",$B$3,C119,"_A","_",G119),AND(C119="BT",D119="TR_P"),CONCATENATE(B119,"_","TR",$B$3,C119,"_","TR",$B$3,C119,"_P","_",G119),AND(C119="TR",D119="TR_P"),CONCATENATE(B119,"_","TR",$B$3,"_","TR",$B$3,"_P","_",G119),AND(C119="TR",D119="TR_A"),CONCATENATE(B119,"_","TR",$B$3,"_","TR",$B$3,"_A","_",G119))</f>
        <v>IMA_TR7BT_52-29_CAAQ</v>
      </c>
      <c r="I119" s="6"/>
      <c r="J119" s="6" t="s">
        <v>182</v>
      </c>
      <c r="K119" s="6" t="s">
        <v>180</v>
      </c>
      <c r="L119" s="6" t="s">
        <v>188</v>
      </c>
      <c r="M119" s="6" t="s">
        <v>188</v>
      </c>
      <c r="N119" s="6">
        <f t="shared" si="3"/>
        <v>330</v>
      </c>
    </row>
    <row r="120" spans="1:14" x14ac:dyDescent="0.25">
      <c r="A120" s="6" t="s">
        <v>190</v>
      </c>
      <c r="B120" s="6" t="str">
        <f>Informações!$C$3</f>
        <v>IMA</v>
      </c>
      <c r="C120" s="6" t="s">
        <v>101</v>
      </c>
      <c r="D120" s="6" t="s">
        <v>30</v>
      </c>
      <c r="E120" s="2" t="s">
        <v>25</v>
      </c>
      <c r="F120" s="6" t="str">
        <f>VLOOKUP(G120,[1]Discrete!$A:$B,2,FALSE)</f>
        <v>MOLA</v>
      </c>
      <c r="G120" s="6" t="s">
        <v>38</v>
      </c>
      <c r="H120" s="6" t="str" cm="1">
        <f t="array" ref="H120">_xlfn.IFS(OR(D120="TC",D120="TP",AND(D120="TR",C120="AT"),AND(D120="TR",C120="BT")),CONCATENATE(B120,"_","TR",$B$3,C120,"_","TR",$B$3,C120,"_",G120),AND(D120="SECC",C120="BT"),CONCATENATE(B120,"_","TR",$B$3,C120,"_",$B$9,"_",G120),AND(D120="SECF",C120="AT"),CONCATENATE(B120,"_","TR",$B$3,C120,"_",$B$6,"_",G120),AND(D120="SECT",C120="AT"),CONCATENATE(B120,"_","TR",$B$3,C120,"_",$B$7,"_",G120),AND(D120="DJ",C120="AT"),CONCATENATE(B120,"_","TR",$B$3,C120,"_",$B$4,"_",G120),AND(D120="DJ",C120="BT"),CONCATENATE(B120,"_","TR",$B$3,C120,"_",$B$8,"_",G120),AND(C120="TR",D120="TR"),CONCATENATE(B120,"_","TR",$B$3,"_","TR",$B$3,"_",G120),AND(D120="SECT",C120="BT"),CONCATENATE(B120,"_","TR",$B$3,C120,"_",$B$11,"_",G120),AND(D120="SECF",C120="BT"),CONCATENATE(B120,"_","TR",$B$3,C120,"_",$B$10,"_",G120),AND(D120="SECC",C120="AT"),CONCATENATE(B120,"_","TR",$B$3,C120,"_",$B$5,"_",G120),AND(C120="AT",D120="TR_A"),CONCATENATE(B120,"_","TR",$B$3,C120,"_","TR",$B$3,C120,"_A","_",G120),AND(C120="AT",D120="TR_P"),CONCATENATE(B120,"_","TR",$B$3,C120,"_","TR",$B$3,C120,"_P","_",G120),AND(C120="BT",D120="TR_A"),CONCATENATE(B120,"_","TR",$B$3,C120,"_","TR",$B$3,C120,"_A","_",G120),AND(C120="BT",D120="TR_P"),CONCATENATE(B120,"_","TR",$B$3,C120,"_","TR",$B$3,C120,"_P","_",G120),AND(C120="TR",D120="TR_P"),CONCATENATE(B120,"_","TR",$B$3,"_","TR",$B$3,"_P","_",G120),AND(C120="TR",D120="TR_A"),CONCATENATE(B120,"_","TR",$B$3,"_","TR",$B$3,"_A","_",G120))</f>
        <v>IMA_TR7BT_52-29_MOLA</v>
      </c>
      <c r="I120" s="6"/>
      <c r="J120" s="94" t="s">
        <v>282</v>
      </c>
      <c r="K120" s="94" t="s">
        <v>283</v>
      </c>
      <c r="L120" s="6" t="s">
        <v>188</v>
      </c>
      <c r="M120" s="6" t="s">
        <v>188</v>
      </c>
      <c r="N120" s="6">
        <f t="shared" si="3"/>
        <v>331</v>
      </c>
    </row>
    <row r="121" spans="1:14" x14ac:dyDescent="0.25">
      <c r="A121" s="6" t="s">
        <v>190</v>
      </c>
      <c r="B121" s="6" t="str">
        <f>Informações!$C$3</f>
        <v>IMA</v>
      </c>
      <c r="C121" s="94" t="s">
        <v>100</v>
      </c>
      <c r="D121" s="6" t="s">
        <v>30</v>
      </c>
      <c r="E121" s="2" t="s">
        <v>25</v>
      </c>
      <c r="F121" s="6" t="e">
        <f>VLOOKUP(G121,[1]Discrete!$A:$B,2,FALSE)</f>
        <v>#N/A</v>
      </c>
      <c r="G121" s="6">
        <v>81</v>
      </c>
      <c r="H121" s="6" t="str" cm="1">
        <f t="array" ref="H121">_xlfn.IFS(OR(D121="TC",D121="TP",AND(D121="TR",C121="AT"),AND(D121="TR",C121="BT")),CONCATENATE(B121,"_","TR",$B$3,C121,"_","TR",$B$3,C121,"_",G121),AND(D121="SECC",C121="BT"),CONCATENATE(B121,"_","TR",$B$3,C121,"_",$B$9,"_",G121),AND(D121="SECF",C121="AT"),CONCATENATE(B121,"_","TR",$B$3,C121,"_",$B$6,"_",G121),AND(D121="SECT",C121="AT"),CONCATENATE(B121,"_","TR",$B$3,C121,"_",$B$7,"_",G121),AND(D121="DJ",C121="AT"),CONCATENATE(B121,"_","TR",$B$3,C121,"_",$B$4,"_",G121),AND(D121="DJ",C121="BT"),CONCATENATE(B121,"_","TR",$B$3,C121,"_",$B$8,"_",G121),AND(C121="TR",D121="TR"),CONCATENATE(B121,"_","TR",$B$3,"_","TR",$B$3,"_",G121),AND(D121="SECT",C121="BT"),CONCATENATE(B121,"_","TR",$B$3,C121,"_",$B$11,"_",G121),AND(D121="SECF",C121="BT"),CONCATENATE(B121,"_","TR",$B$3,C121,"_",$B$10,"_",G121),AND(D121="SECC",C121="AT"),CONCATENATE(B121,"_","TR",$B$3,C121,"_",$B$5,"_",G121),AND(C121="AT",D121="TR_A"),CONCATENATE(B121,"_","TR",$B$3,C121,"_","TR",$B$3,C121,"_A","_",G121),AND(C121="AT",D121="TR_P"),CONCATENATE(B121,"_","TR",$B$3,C121,"_","TR",$B$3,C121,"_P","_",G121),AND(C121="BT",D121="TR_A"),CONCATENATE(B121,"_","TR",$B$3,C121,"_","TR",$B$3,C121,"_A","_",G121),AND(C121="BT",D121="TR_P"),CONCATENATE(B121,"_","TR",$B$3,C121,"_","TR",$B$3,C121,"_P","_",G121),AND(C121="TR",D121="TR_P"),CONCATENATE(B121,"_","TR",$B$3,"_","TR",$B$3,"_P","_",G121),AND(C121="TR",D121="TR_A"),CONCATENATE(B121,"_","TR",$B$3,"_","TR",$B$3,"_A","_",G121))</f>
        <v>IMA_TR7AT_52-7_81</v>
      </c>
      <c r="I121" s="6"/>
      <c r="J121" s="94" t="s">
        <v>183</v>
      </c>
      <c r="K121" s="94" t="s">
        <v>184</v>
      </c>
      <c r="L121" s="6" t="s">
        <v>188</v>
      </c>
      <c r="M121" s="6" t="s">
        <v>188</v>
      </c>
      <c r="N121" s="6">
        <f t="shared" si="3"/>
        <v>332</v>
      </c>
    </row>
    <row r="122" spans="1:14" x14ac:dyDescent="0.25">
      <c r="A122" s="6" t="s">
        <v>190</v>
      </c>
      <c r="B122" s="6" t="str">
        <f>Informações!$C$3</f>
        <v>IMA</v>
      </c>
      <c r="C122" s="94" t="s">
        <v>100</v>
      </c>
      <c r="D122" s="6" t="s">
        <v>30</v>
      </c>
      <c r="E122" s="2" t="s">
        <v>25</v>
      </c>
      <c r="F122" s="6" t="str">
        <f>VLOOKUP(G122,[1]Discrete!$A:$B,2,FALSE)</f>
        <v>AJUSTE PARA 81 E1</v>
      </c>
      <c r="G122" s="6" t="s">
        <v>72</v>
      </c>
      <c r="H122" s="6" t="str" cm="1">
        <f t="array" ref="H122">_xlfn.IFS(OR(D122="TC",D122="TP",AND(D122="TR",C122="AT"),AND(D122="TR",C122="BT")),CONCATENATE(B122,"_","TR",$B$3,C122,"_","TR",$B$3,C122,"_",G122),AND(D122="SECC",C122="BT"),CONCATENATE(B122,"_","TR",$B$3,C122,"_",$B$9,"_",G122),AND(D122="SECF",C122="AT"),CONCATENATE(B122,"_","TR",$B$3,C122,"_",$B$6,"_",G122),AND(D122="SECT",C122="AT"),CONCATENATE(B122,"_","TR",$B$3,C122,"_",$B$7,"_",G122),AND(D122="DJ",C122="AT"),CONCATENATE(B122,"_","TR",$B$3,C122,"_",$B$4,"_",G122),AND(D122="DJ",C122="BT"),CONCATENATE(B122,"_","TR",$B$3,C122,"_",$B$8,"_",G122),AND(C122="TR",D122="TR"),CONCATENATE(B122,"_","TR",$B$3,"_","TR",$B$3,"_",G122),AND(D122="SECT",C122="BT"),CONCATENATE(B122,"_","TR",$B$3,C122,"_",$B$11,"_",G122),AND(D122="SECF",C122="BT"),CONCATENATE(B122,"_","TR",$B$3,C122,"_",$B$10,"_",G122),AND(D122="SECC",C122="AT"),CONCATENATE(B122,"_","TR",$B$3,C122,"_",$B$5,"_",G122),AND(C122="AT",D122="TR_A"),CONCATENATE(B122,"_","TR",$B$3,C122,"_","TR",$B$3,C122,"_A","_",G122),AND(C122="AT",D122="TR_P"),CONCATENATE(B122,"_","TR",$B$3,C122,"_","TR",$B$3,C122,"_P","_",G122),AND(C122="BT",D122="TR_A"),CONCATENATE(B122,"_","TR",$B$3,C122,"_","TR",$B$3,C122,"_A","_",G122),AND(C122="BT",D122="TR_P"),CONCATENATE(B122,"_","TR",$B$3,C122,"_","TR",$B$3,C122,"_P","_",G122),AND(C122="TR",D122="TR_P"),CONCATENATE(B122,"_","TR",$B$3,"_","TR",$B$3,"_P","_",G122),AND(C122="TR",D122="TR_A"),CONCATENATE(B122,"_","TR",$B$3,"_","TR",$B$3,"_A","_",G122))</f>
        <v>IMA_TR7AT_52-7_81U1</v>
      </c>
      <c r="I122" s="6"/>
      <c r="J122" s="94" t="s">
        <v>184</v>
      </c>
      <c r="K122" s="94" t="s">
        <v>183</v>
      </c>
      <c r="L122" s="6" t="s">
        <v>188</v>
      </c>
      <c r="M122" s="6" t="s">
        <v>188</v>
      </c>
      <c r="N122" s="6">
        <f t="shared" si="3"/>
        <v>333</v>
      </c>
    </row>
    <row r="123" spans="1:14" x14ac:dyDescent="0.25">
      <c r="A123" s="6" t="s">
        <v>190</v>
      </c>
      <c r="B123" s="6" t="str">
        <f>Informações!$C$3</f>
        <v>IMA</v>
      </c>
      <c r="C123" s="94" t="s">
        <v>100</v>
      </c>
      <c r="D123" s="6" t="s">
        <v>30</v>
      </c>
      <c r="E123" s="2" t="s">
        <v>25</v>
      </c>
      <c r="F123" s="6" t="str">
        <f>VLOOKUP(G123,[1]Discrete!$A:$B,2,FALSE)</f>
        <v>AJUSTE PARA 81 E2</v>
      </c>
      <c r="G123" s="6" t="s">
        <v>73</v>
      </c>
      <c r="H123" s="6" t="str" cm="1">
        <f t="array" ref="H123">_xlfn.IFS(OR(D123="TC",D123="TP",AND(D123="TR",C123="AT"),AND(D123="TR",C123="BT")),CONCATENATE(B123,"_","TR",$B$3,C123,"_","TR",$B$3,C123,"_",G123),AND(D123="SECC",C123="BT"),CONCATENATE(B123,"_","TR",$B$3,C123,"_",$B$9,"_",G123),AND(D123="SECF",C123="AT"),CONCATENATE(B123,"_","TR",$B$3,C123,"_",$B$6,"_",G123),AND(D123="SECT",C123="AT"),CONCATENATE(B123,"_","TR",$B$3,C123,"_",$B$7,"_",G123),AND(D123="DJ",C123="AT"),CONCATENATE(B123,"_","TR",$B$3,C123,"_",$B$4,"_",G123),AND(D123="DJ",C123="BT"),CONCATENATE(B123,"_","TR",$B$3,C123,"_",$B$8,"_",G123),AND(C123="TR",D123="TR"),CONCATENATE(B123,"_","TR",$B$3,"_","TR",$B$3,"_",G123),AND(D123="SECT",C123="BT"),CONCATENATE(B123,"_","TR",$B$3,C123,"_",$B$11,"_",G123),AND(D123="SECF",C123="BT"),CONCATENATE(B123,"_","TR",$B$3,C123,"_",$B$10,"_",G123),AND(D123="SECC",C123="AT"),CONCATENATE(B123,"_","TR",$B$3,C123,"_",$B$5,"_",G123),AND(C123="AT",D123="TR_A"),CONCATENATE(B123,"_","TR",$B$3,C123,"_","TR",$B$3,C123,"_A","_",G123),AND(C123="AT",D123="TR_P"),CONCATENATE(B123,"_","TR",$B$3,C123,"_","TR",$B$3,C123,"_P","_",G123),AND(C123="BT",D123="TR_A"),CONCATENATE(B123,"_","TR",$B$3,C123,"_","TR",$B$3,C123,"_A","_",G123),AND(C123="BT",D123="TR_P"),CONCATENATE(B123,"_","TR",$B$3,C123,"_","TR",$B$3,C123,"_P","_",G123),AND(C123="TR",D123="TR_P"),CONCATENATE(B123,"_","TR",$B$3,"_","TR",$B$3,"_P","_",G123),AND(C123="TR",D123="TR_A"),CONCATENATE(B123,"_","TR",$B$3,"_","TR",$B$3,"_A","_",G123))</f>
        <v>IMA_TR7AT_52-7_81U2</v>
      </c>
      <c r="I123" s="6"/>
      <c r="J123" s="94" t="s">
        <v>184</v>
      </c>
      <c r="K123" s="94" t="s">
        <v>183</v>
      </c>
      <c r="L123" s="6" t="s">
        <v>188</v>
      </c>
      <c r="M123" s="6" t="s">
        <v>188</v>
      </c>
      <c r="N123" s="6">
        <f t="shared" ref="N123:N172" si="5">N122+1</f>
        <v>334</v>
      </c>
    </row>
    <row r="124" spans="1:14" x14ac:dyDescent="0.25">
      <c r="A124" s="6" t="s">
        <v>190</v>
      </c>
      <c r="B124" s="6" t="str">
        <f>Informações!$C$3</f>
        <v>IMA</v>
      </c>
      <c r="C124" s="94" t="s">
        <v>100</v>
      </c>
      <c r="D124" s="6" t="s">
        <v>30</v>
      </c>
      <c r="E124" s="2" t="s">
        <v>25</v>
      </c>
      <c r="F124" s="6" t="str">
        <f>VLOOKUP(G124,[1]Discrete!$A:$B,2,FALSE)</f>
        <v>AJUSTE PARA 81 E3</v>
      </c>
      <c r="G124" s="6" t="s">
        <v>74</v>
      </c>
      <c r="H124" s="6" t="str" cm="1">
        <f t="array" ref="H124">_xlfn.IFS(OR(D124="TC",D124="TP",AND(D124="TR",C124="AT"),AND(D124="TR",C124="BT")),CONCATENATE(B124,"_","TR",$B$3,C124,"_","TR",$B$3,C124,"_",G124),AND(D124="SECC",C124="BT"),CONCATENATE(B124,"_","TR",$B$3,C124,"_",$B$9,"_",G124),AND(D124="SECF",C124="AT"),CONCATENATE(B124,"_","TR",$B$3,C124,"_",$B$6,"_",G124),AND(D124="SECT",C124="AT"),CONCATENATE(B124,"_","TR",$B$3,C124,"_",$B$7,"_",G124),AND(D124="DJ",C124="AT"),CONCATENATE(B124,"_","TR",$B$3,C124,"_",$B$4,"_",G124),AND(D124="DJ",C124="BT"),CONCATENATE(B124,"_","TR",$B$3,C124,"_",$B$8,"_",G124),AND(C124="TR",D124="TR"),CONCATENATE(B124,"_","TR",$B$3,"_","TR",$B$3,"_",G124),AND(D124="SECT",C124="BT"),CONCATENATE(B124,"_","TR",$B$3,C124,"_",$B$11,"_",G124),AND(D124="SECF",C124="BT"),CONCATENATE(B124,"_","TR",$B$3,C124,"_",$B$10,"_",G124),AND(D124="SECC",C124="AT"),CONCATENATE(B124,"_","TR",$B$3,C124,"_",$B$5,"_",G124),AND(C124="AT",D124="TR_A"),CONCATENATE(B124,"_","TR",$B$3,C124,"_","TR",$B$3,C124,"_A","_",G124),AND(C124="AT",D124="TR_P"),CONCATENATE(B124,"_","TR",$B$3,C124,"_","TR",$B$3,C124,"_P","_",G124),AND(C124="BT",D124="TR_A"),CONCATENATE(B124,"_","TR",$B$3,C124,"_","TR",$B$3,C124,"_A","_",G124),AND(C124="BT",D124="TR_P"),CONCATENATE(B124,"_","TR",$B$3,C124,"_","TR",$B$3,C124,"_P","_",G124),AND(C124="TR",D124="TR_P"),CONCATENATE(B124,"_","TR",$B$3,"_","TR",$B$3,"_P","_",G124),AND(C124="TR",D124="TR_A"),CONCATENATE(B124,"_","TR",$B$3,"_","TR",$B$3,"_A","_",G124))</f>
        <v>IMA_TR7AT_52-7_81U3</v>
      </c>
      <c r="I124" s="6"/>
      <c r="J124" s="94" t="s">
        <v>184</v>
      </c>
      <c r="K124" s="94" t="s">
        <v>183</v>
      </c>
      <c r="L124" s="6" t="s">
        <v>188</v>
      </c>
      <c r="M124" s="6" t="s">
        <v>188</v>
      </c>
      <c r="N124" s="6">
        <f t="shared" si="5"/>
        <v>335</v>
      </c>
    </row>
    <row r="125" spans="1:14" x14ac:dyDescent="0.25">
      <c r="A125" s="6" t="s">
        <v>190</v>
      </c>
      <c r="B125" s="6" t="str">
        <f>Informações!$C$3</f>
        <v>IMA</v>
      </c>
      <c r="C125" s="94" t="s">
        <v>100</v>
      </c>
      <c r="D125" s="6" t="s">
        <v>30</v>
      </c>
      <c r="E125" s="2" t="s">
        <v>25</v>
      </c>
      <c r="F125" s="6" t="str">
        <f>VLOOKUP(G125,[1]Discrete!$A:$B,2,FALSE)</f>
        <v>AJUSTE PARA 81 E4</v>
      </c>
      <c r="G125" s="6" t="s">
        <v>75</v>
      </c>
      <c r="H125" s="6" t="str" cm="1">
        <f t="array" ref="H125">_xlfn.IFS(OR(D125="TC",D125="TP",AND(D125="TR",C125="AT"),AND(D125="TR",C125="BT")),CONCATENATE(B125,"_","TR",$B$3,C125,"_","TR",$B$3,C125,"_",G125),AND(D125="SECC",C125="BT"),CONCATENATE(B125,"_","TR",$B$3,C125,"_",$B$9,"_",G125),AND(D125="SECF",C125="AT"),CONCATENATE(B125,"_","TR",$B$3,C125,"_",$B$6,"_",G125),AND(D125="SECT",C125="AT"),CONCATENATE(B125,"_","TR",$B$3,C125,"_",$B$7,"_",G125),AND(D125="DJ",C125="AT"),CONCATENATE(B125,"_","TR",$B$3,C125,"_",$B$4,"_",G125),AND(D125="DJ",C125="BT"),CONCATENATE(B125,"_","TR",$B$3,C125,"_",$B$8,"_",G125),AND(C125="TR",D125="TR"),CONCATENATE(B125,"_","TR",$B$3,"_","TR",$B$3,"_",G125),AND(D125="SECT",C125="BT"),CONCATENATE(B125,"_","TR",$B$3,C125,"_",$B$11,"_",G125),AND(D125="SECF",C125="BT"),CONCATENATE(B125,"_","TR",$B$3,C125,"_",$B$10,"_",G125),AND(D125="SECC",C125="AT"),CONCATENATE(B125,"_","TR",$B$3,C125,"_",$B$5,"_",G125),AND(C125="AT",D125="TR_A"),CONCATENATE(B125,"_","TR",$B$3,C125,"_","TR",$B$3,C125,"_A","_",G125),AND(C125="AT",D125="TR_P"),CONCATENATE(B125,"_","TR",$B$3,C125,"_","TR",$B$3,C125,"_P","_",G125),AND(C125="BT",D125="TR_A"),CONCATENATE(B125,"_","TR",$B$3,C125,"_","TR",$B$3,C125,"_A","_",G125),AND(C125="BT",D125="TR_P"),CONCATENATE(B125,"_","TR",$B$3,C125,"_","TR",$B$3,C125,"_P","_",G125),AND(C125="TR",D125="TR_P"),CONCATENATE(B125,"_","TR",$B$3,"_","TR",$B$3,"_P","_",G125),AND(C125="TR",D125="TR_A"),CONCATENATE(B125,"_","TR",$B$3,"_","TR",$B$3,"_A","_",G125))</f>
        <v>IMA_TR7AT_52-7_81U4</v>
      </c>
      <c r="I125" s="6"/>
      <c r="J125" s="94" t="s">
        <v>184</v>
      </c>
      <c r="K125" s="94" t="s">
        <v>183</v>
      </c>
      <c r="L125" s="6" t="s">
        <v>188</v>
      </c>
      <c r="M125" s="6" t="s">
        <v>188</v>
      </c>
      <c r="N125" s="6">
        <f t="shared" si="5"/>
        <v>336</v>
      </c>
    </row>
    <row r="126" spans="1:14" x14ac:dyDescent="0.25">
      <c r="A126" s="6" t="s">
        <v>190</v>
      </c>
      <c r="B126" s="6" t="str">
        <f>Informações!$C$3</f>
        <v>IMA</v>
      </c>
      <c r="C126" s="94" t="s">
        <v>100</v>
      </c>
      <c r="D126" s="6" t="s">
        <v>30</v>
      </c>
      <c r="E126" s="2" t="s">
        <v>25</v>
      </c>
      <c r="F126" s="6" t="s">
        <v>296</v>
      </c>
      <c r="G126" s="6" t="s">
        <v>76</v>
      </c>
      <c r="H126" s="6" t="str" cm="1">
        <f t="array" ref="H126">_xlfn.IFS(OR(D126="TC",D126="TP",AND(D126="TR",C126="AT"),AND(D126="TR",C126="BT")),CONCATENATE(B126,"_","TR",$B$3,C126,"_","TR",$B$3,C126,"_",G126),AND(D126="SECC",C126="BT"),CONCATENATE(B126,"_","TR",$B$3,C126,"_",$B$9,"_",G126),AND(D126="SECF",C126="AT"),CONCATENATE(B126,"_","TR",$B$3,C126,"_",$B$6,"_",G126),AND(D126="SECT",C126="AT"),CONCATENATE(B126,"_","TR",$B$3,C126,"_",$B$7,"_",G126),AND(D126="DJ",C126="AT"),CONCATENATE(B126,"_","TR",$B$3,C126,"_",$B$4,"_",G126),AND(D126="DJ",C126="BT"),CONCATENATE(B126,"_","TR",$B$3,C126,"_",$B$8,"_",G126),AND(C126="TR",D126="TR"),CONCATENATE(B126,"_","TR",$B$3,"_","TR",$B$3,"_",G126),AND(D126="SECT",C126="BT"),CONCATENATE(B126,"_","TR",$B$3,C126,"_",$B$11,"_",G126),AND(D126="SECF",C126="BT"),CONCATENATE(B126,"_","TR",$B$3,C126,"_",$B$10,"_",G126),AND(D126="SECC",C126="AT"),CONCATENATE(B126,"_","TR",$B$3,C126,"_",$B$5,"_",G126),AND(C126="AT",D126="TR_A"),CONCATENATE(B126,"_","TR",$B$3,C126,"_","TR",$B$3,C126,"_A","_",G126),AND(C126="AT",D126="TR_P"),CONCATENATE(B126,"_","TR",$B$3,C126,"_","TR",$B$3,C126,"_P","_",G126),AND(C126="BT",D126="TR_A"),CONCATENATE(B126,"_","TR",$B$3,C126,"_","TR",$B$3,C126,"_A","_",G126),AND(C126="BT",D126="TR_P"),CONCATENATE(B126,"_","TR",$B$3,C126,"_","TR",$B$3,C126,"_P","_",G126),AND(C126="TR",D126="TR_P"),CONCATENATE(B126,"_","TR",$B$3,"_","TR",$B$3,"_P","_",G126),AND(C126="TR",D126="TR_A"),CONCATENATE(B126,"_","TR",$B$3,"_","TR",$B$3,"_A","_",G126))</f>
        <v>IMA_TR7AT_52-7_81U5</v>
      </c>
      <c r="I126" s="6"/>
      <c r="J126" s="94" t="s">
        <v>184</v>
      </c>
      <c r="K126" s="94" t="s">
        <v>183</v>
      </c>
      <c r="L126" s="6" t="s">
        <v>188</v>
      </c>
      <c r="M126" s="6" t="s">
        <v>188</v>
      </c>
      <c r="N126" s="6">
        <f t="shared" si="5"/>
        <v>337</v>
      </c>
    </row>
    <row r="127" spans="1:14" x14ac:dyDescent="0.25">
      <c r="A127" s="6" t="s">
        <v>190</v>
      </c>
      <c r="B127" s="6" t="str">
        <f>Informações!$C$3</f>
        <v>IMA</v>
      </c>
      <c r="C127" s="6" t="s">
        <v>101</v>
      </c>
      <c r="D127" s="94" t="s">
        <v>211</v>
      </c>
      <c r="E127" s="2" t="s">
        <v>25</v>
      </c>
      <c r="F127" s="6" t="str">
        <f>VLOOKUP(G127,[1]Discrete!$A:$B,2,FALSE)</f>
        <v>67 - DIRECIONAL SOBRECORRENTE FASE TEMPORIZADO</v>
      </c>
      <c r="G127" s="6" t="s">
        <v>60</v>
      </c>
      <c r="H127" s="6" t="str" cm="1">
        <f t="array" ref="H127">_xlfn.IFS(OR(D127="TC",D127="TP",AND(D127="TR",C127="AT"),AND(D127="TR",C127="BT")),CONCATENATE(B127,"_","TR",$B$3,C127,"_","TR",$B$3,C127,"_",G127),AND(D127="SECC",C127="BT"),CONCATENATE(B127,"_","TR",$B$3,C127,"_",$B$9,"_",G127),AND(D127="SECF",C127="AT"),CONCATENATE(B127,"_","TR",$B$3,C127,"_",$B$6,"_",G127),AND(D127="SECT",C127="AT"),CONCATENATE(B127,"_","TR",$B$3,C127,"_",$B$7,"_",G127),AND(D127="DJ",C127="AT"),CONCATENATE(B127,"_","TR",$B$3,C127,"_",$B$4,"_",G127),AND(D127="DJ",C127="BT"),CONCATENATE(B127,"_","TR",$B$3,C127,"_",$B$8,"_",G127),AND(C127="TR",D127="TR"),CONCATENATE(B127,"_","TR",$B$3,"_","TR",$B$3,"_",G127),AND(D127="SECT",C127="BT"),CONCATENATE(B127,"_","TR",$B$3,C127,"_",$B$11,"_",G127),AND(D127="SECF",C127="BT"),CONCATENATE(B127,"_","TR",$B$3,C127,"_",$B$10,"_",G127),AND(D127="SECC",C127="AT"),CONCATENATE(B127,"_","TR",$B$3,C127,"_",$B$5,"_",G127),AND(C127="AT",D127="TR_A"),CONCATENATE(B127,"_","TR",$B$3,C127,"_","TR",$B$3,C127,"_A","_",G127),AND(C127="AT",D127="TR_P"),CONCATENATE(B127,"_","TR",$B$3,C127,"_","TR",$B$3,C127,"_P","_",G127),AND(C127="BT",D127="TR_A"),CONCATENATE(B127,"_","TR",$B$3,C127,"_","TR",$B$3,C127,"_A","_",G127),AND(C127="BT",D127="TR_P"),CONCATENATE(B127,"_","TR",$B$3,C127,"_","TR",$B$3,C127,"_P","_",G127),AND(C127="TR",D127="TR_P"),CONCATENATE(B127,"_","TR",$B$3,"_","TR",$B$3,"_P","_",G127),AND(C127="TR",D127="TR_A"),CONCATENATE(B127,"_","TR",$B$3,"_","TR",$B$3,"_A","_",G127))</f>
        <v>IMA_TR7BT_TR7BT_A_67FT</v>
      </c>
      <c r="I127" s="6"/>
      <c r="J127" s="6" t="s">
        <v>182</v>
      </c>
      <c r="K127" s="6" t="s">
        <v>179</v>
      </c>
      <c r="L127" s="6" t="s">
        <v>188</v>
      </c>
      <c r="M127" s="6" t="s">
        <v>188</v>
      </c>
      <c r="N127" s="6">
        <f>N126+1</f>
        <v>338</v>
      </c>
    </row>
    <row r="128" spans="1:14" x14ac:dyDescent="0.25">
      <c r="A128" s="6" t="s">
        <v>190</v>
      </c>
      <c r="B128" s="6" t="str">
        <f>Informações!$C$3</f>
        <v>IMA</v>
      </c>
      <c r="C128" s="6" t="s">
        <v>101</v>
      </c>
      <c r="D128" s="94" t="s">
        <v>211</v>
      </c>
      <c r="E128" s="2" t="s">
        <v>25</v>
      </c>
      <c r="F128" s="6" t="str">
        <f>VLOOKUP(G128,[1]Discrete!$A:$B,2,FALSE)</f>
        <v>67 - DIRECIONAL SOBRECORRENTE NEUTRO TEMPORIZADO</v>
      </c>
      <c r="G128" s="6" t="s">
        <v>63</v>
      </c>
      <c r="H128" s="6" t="str" cm="1">
        <f t="array" ref="H128">_xlfn.IFS(OR(D128="TC",D128="TP",AND(D128="TR",C128="AT"),AND(D128="TR",C128="BT")),CONCATENATE(B128,"_","TR",$B$3,C128,"_","TR",$B$3,C128,"_",G128),AND(D128="SECC",C128="BT"),CONCATENATE(B128,"_","TR",$B$3,C128,"_",$B$9,"_",G128),AND(D128="SECF",C128="AT"),CONCATENATE(B128,"_","TR",$B$3,C128,"_",$B$6,"_",G128),AND(D128="SECT",C128="AT"),CONCATENATE(B128,"_","TR",$B$3,C128,"_",$B$7,"_",G128),AND(D128="DJ",C128="AT"),CONCATENATE(B128,"_","TR",$B$3,C128,"_",$B$4,"_",G128),AND(D128="DJ",C128="BT"),CONCATENATE(B128,"_","TR",$B$3,C128,"_",$B$8,"_",G128),AND(C128="TR",D128="TR"),CONCATENATE(B128,"_","TR",$B$3,"_","TR",$B$3,"_",G128),AND(D128="SECT",C128="BT"),CONCATENATE(B128,"_","TR",$B$3,C128,"_",$B$11,"_",G128),AND(D128="SECF",C128="BT"),CONCATENATE(B128,"_","TR",$B$3,C128,"_",$B$10,"_",G128),AND(D128="SECC",C128="AT"),CONCATENATE(B128,"_","TR",$B$3,C128,"_",$B$5,"_",G128),AND(C128="AT",D128="TR_A"),CONCATENATE(B128,"_","TR",$B$3,C128,"_","TR",$B$3,C128,"_A","_",G128),AND(C128="AT",D128="TR_P"),CONCATENATE(B128,"_","TR",$B$3,C128,"_","TR",$B$3,C128,"_P","_",G128),AND(C128="BT",D128="TR_A"),CONCATENATE(B128,"_","TR",$B$3,C128,"_","TR",$B$3,C128,"_A","_",G128),AND(C128="BT",D128="TR_P"),CONCATENATE(B128,"_","TR",$B$3,C128,"_","TR",$B$3,C128,"_P","_",G128),AND(C128="TR",D128="TR_P"),CONCATENATE(B128,"_","TR",$B$3,"_","TR",$B$3,"_P","_",G128),AND(C128="TR",D128="TR_A"),CONCATENATE(B128,"_","TR",$B$3,"_","TR",$B$3,"_A","_",G128))</f>
        <v>IMA_TR7BT_TR7BT_A_67NT</v>
      </c>
      <c r="I128" s="6"/>
      <c r="J128" s="6" t="s">
        <v>182</v>
      </c>
      <c r="K128" s="6" t="s">
        <v>179</v>
      </c>
      <c r="L128" s="6" t="s">
        <v>188</v>
      </c>
      <c r="M128" s="6" t="s">
        <v>188</v>
      </c>
      <c r="N128" s="6">
        <f t="shared" si="5"/>
        <v>339</v>
      </c>
    </row>
    <row r="129" spans="1:15" x14ac:dyDescent="0.25">
      <c r="A129" s="6" t="s">
        <v>190</v>
      </c>
      <c r="B129" s="6" t="str">
        <f>Informações!$C$3</f>
        <v>IMA</v>
      </c>
      <c r="C129" s="6" t="s">
        <v>101</v>
      </c>
      <c r="D129" s="94" t="s">
        <v>211</v>
      </c>
      <c r="E129" s="2" t="s">
        <v>25</v>
      </c>
      <c r="F129" s="6" t="str">
        <f>VLOOKUP(G129,[1]Discrete!$A:$B,2,FALSE)</f>
        <v>50 - SOBRECORRENTE INSTANTANEA FASE</v>
      </c>
      <c r="G129" s="6" t="s">
        <v>416</v>
      </c>
      <c r="H129" s="6" t="str" cm="1">
        <f t="array" ref="H129">_xlfn.IFS(OR(D129="TC",D129="TP",AND(D129="TR",C129="AT"),AND(D129="TR",C129="BT")),CONCATENATE(B129,"_","TR",$B$3,C129,"_","TR",$B$3,C129,"_",G129),AND(D129="SECC",C129="BT"),CONCATENATE(B129,"_","TR",$B$3,C129,"_",$B$9,"_",G129),AND(D129="SECF",C129="AT"),CONCATENATE(B129,"_","TR",$B$3,C129,"_",$B$6,"_",G129),AND(D129="SECT",C129="AT"),CONCATENATE(B129,"_","TR",$B$3,C129,"_",$B$7,"_",G129),AND(D129="DJ",C129="AT"),CONCATENATE(B129,"_","TR",$B$3,C129,"_",$B$4,"_",G129),AND(D129="DJ",C129="BT"),CONCATENATE(B129,"_","TR",$B$3,C129,"_",$B$8,"_",G129),AND(C129="TR",D129="TR"),CONCATENATE(B129,"_","TR",$B$3,"_","TR",$B$3,"_",G129),AND(D129="SECT",C129="BT"),CONCATENATE(B129,"_","TR",$B$3,C129,"_",$B$11,"_",G129),AND(D129="SECF",C129="BT"),CONCATENATE(B129,"_","TR",$B$3,C129,"_",$B$10,"_",G129),AND(D129="SECC",C129="AT"),CONCATENATE(B129,"_","TR",$B$3,C129,"_",$B$5,"_",G129),AND(C129="AT",D129="TR_A"),CONCATENATE(B129,"_","TR",$B$3,C129,"_","TR",$B$3,C129,"_A","_",G129),AND(C129="AT",D129="TR_P"),CONCATENATE(B129,"_","TR",$B$3,C129,"_","TR",$B$3,C129,"_P","_",G129),AND(C129="BT",D129="TR_A"),CONCATENATE(B129,"_","TR",$B$3,C129,"_","TR",$B$3,C129,"_A","_",G129),AND(C129="BT",D129="TR_P"),CONCATENATE(B129,"_","TR",$B$3,C129,"_","TR",$B$3,C129,"_P","_",G129),AND(C129="TR",D129="TR_P"),CONCATENATE(B129,"_","TR",$B$3,"_","TR",$B$3,"_P","_",G129),AND(C129="TR",D129="TR_A"),CONCATENATE(B129,"_","TR",$B$3,"_","TR",$B$3,"_A","_",G129))</f>
        <v>IMA_TR7BT_TR7BT_A_50F</v>
      </c>
      <c r="I129" s="6"/>
      <c r="J129" s="6" t="s">
        <v>182</v>
      </c>
      <c r="K129" s="6" t="s">
        <v>179</v>
      </c>
      <c r="L129" s="6" t="s">
        <v>188</v>
      </c>
      <c r="M129" s="6" t="s">
        <v>188</v>
      </c>
      <c r="N129" s="6">
        <f t="shared" si="5"/>
        <v>340</v>
      </c>
    </row>
    <row r="130" spans="1:15" x14ac:dyDescent="0.25">
      <c r="A130" s="6" t="s">
        <v>190</v>
      </c>
      <c r="B130" s="6" t="str">
        <f>Informações!$C$3</f>
        <v>IMA</v>
      </c>
      <c r="C130" s="6" t="s">
        <v>101</v>
      </c>
      <c r="D130" s="94" t="s">
        <v>211</v>
      </c>
      <c r="E130" s="2" t="s">
        <v>25</v>
      </c>
      <c r="F130" s="6" t="str">
        <f>VLOOKUP(G130,[1]Discrete!$A:$B,2,FALSE)</f>
        <v>50 - SOBRECORRENTE INSTANTANEA NEUTRO</v>
      </c>
      <c r="G130" s="6" t="s">
        <v>417</v>
      </c>
      <c r="H130" s="6" t="str" cm="1">
        <f t="array" ref="H130">_xlfn.IFS(OR(D130="TC",D130="TP",AND(D130="TR",C130="AT"),AND(D130="TR",C130="BT")),CONCATENATE(B130,"_","TR",$B$3,C130,"_","TR",$B$3,C130,"_",G130),AND(D130="SECC",C130="BT"),CONCATENATE(B130,"_","TR",$B$3,C130,"_",$B$9,"_",G130),AND(D130="SECF",C130="AT"),CONCATENATE(B130,"_","TR",$B$3,C130,"_",$B$6,"_",G130),AND(D130="SECT",C130="AT"),CONCATENATE(B130,"_","TR",$B$3,C130,"_",$B$7,"_",G130),AND(D130="DJ",C130="AT"),CONCATENATE(B130,"_","TR",$B$3,C130,"_",$B$4,"_",G130),AND(D130="DJ",C130="BT"),CONCATENATE(B130,"_","TR",$B$3,C130,"_",$B$8,"_",G130),AND(C130="TR",D130="TR"),CONCATENATE(B130,"_","TR",$B$3,"_","TR",$B$3,"_",G130),AND(D130="SECT",C130="BT"),CONCATENATE(B130,"_","TR",$B$3,C130,"_",$B$11,"_",G130),AND(D130="SECF",C130="BT"),CONCATENATE(B130,"_","TR",$B$3,C130,"_",$B$10,"_",G130),AND(D130="SECC",C130="AT"),CONCATENATE(B130,"_","TR",$B$3,C130,"_",$B$5,"_",G130),AND(C130="AT",D130="TR_A"),CONCATENATE(B130,"_","TR",$B$3,C130,"_","TR",$B$3,C130,"_A","_",G130),AND(C130="AT",D130="TR_P"),CONCATENATE(B130,"_","TR",$B$3,C130,"_","TR",$B$3,C130,"_P","_",G130),AND(C130="BT",D130="TR_A"),CONCATENATE(B130,"_","TR",$B$3,C130,"_","TR",$B$3,C130,"_A","_",G130),AND(C130="BT",D130="TR_P"),CONCATENATE(B130,"_","TR",$B$3,C130,"_","TR",$B$3,C130,"_P","_",G130),AND(C130="TR",D130="TR_P"),CONCATENATE(B130,"_","TR",$B$3,"_","TR",$B$3,"_P","_",G130),AND(C130="TR",D130="TR_A"),CONCATENATE(B130,"_","TR",$B$3,"_","TR",$B$3,"_A","_",G130))</f>
        <v>IMA_TR7BT_TR7BT_A_50N</v>
      </c>
      <c r="I130" s="6"/>
      <c r="J130" s="6" t="s">
        <v>182</v>
      </c>
      <c r="K130" s="6" t="s">
        <v>179</v>
      </c>
      <c r="L130" s="6" t="s">
        <v>188</v>
      </c>
      <c r="M130" s="6" t="s">
        <v>188</v>
      </c>
      <c r="N130" s="6">
        <f t="shared" si="5"/>
        <v>341</v>
      </c>
    </row>
    <row r="131" spans="1:15" x14ac:dyDescent="0.25">
      <c r="A131" s="6" t="s">
        <v>190</v>
      </c>
      <c r="B131" s="6" t="str">
        <f>Informações!$C$3</f>
        <v>IMA</v>
      </c>
      <c r="C131" s="6" t="s">
        <v>101</v>
      </c>
      <c r="D131" s="94" t="s">
        <v>211</v>
      </c>
      <c r="E131" s="2" t="s">
        <v>25</v>
      </c>
      <c r="F131" s="6" t="str">
        <f>VLOOKUP(G131,[1]Discrete!$A:$B,2,FALSE)</f>
        <v>51 - SOBRECORRENTE TEMPORIZADA FASE</v>
      </c>
      <c r="G131" s="6" t="s">
        <v>98</v>
      </c>
      <c r="H131" s="6" t="str" cm="1">
        <f t="array" ref="H131">_xlfn.IFS(OR(D131="TC",D131="TP",AND(D131="TR",C131="AT"),AND(D131="TR",C131="BT")),CONCATENATE(B131,"_","TR",$B$3,C131,"_","TR",$B$3,C131,"_",G131),AND(D131="SECC",C131="BT"),CONCATENATE(B131,"_","TR",$B$3,C131,"_",$B$9,"_",G131),AND(D131="SECF",C131="AT"),CONCATENATE(B131,"_","TR",$B$3,C131,"_",$B$6,"_",G131),AND(D131="SECT",C131="AT"),CONCATENATE(B131,"_","TR",$B$3,C131,"_",$B$7,"_",G131),AND(D131="DJ",C131="AT"),CONCATENATE(B131,"_","TR",$B$3,C131,"_",$B$4,"_",G131),AND(D131="DJ",C131="BT"),CONCATENATE(B131,"_","TR",$B$3,C131,"_",$B$8,"_",G131),AND(C131="TR",D131="TR"),CONCATENATE(B131,"_","TR",$B$3,"_","TR",$B$3,"_",G131),AND(D131="SECT",C131="BT"),CONCATENATE(B131,"_","TR",$B$3,C131,"_",$B$11,"_",G131),AND(D131="SECF",C131="BT"),CONCATENATE(B131,"_","TR",$B$3,C131,"_",$B$10,"_",G131),AND(D131="SECC",C131="AT"),CONCATENATE(B131,"_","TR",$B$3,C131,"_",$B$5,"_",G131),AND(C131="AT",D131="TR_A"),CONCATENATE(B131,"_","TR",$B$3,C131,"_","TR",$B$3,C131,"_A","_",G131),AND(C131="AT",D131="TR_P"),CONCATENATE(B131,"_","TR",$B$3,C131,"_","TR",$B$3,C131,"_P","_",G131),AND(C131="BT",D131="TR_A"),CONCATENATE(B131,"_","TR",$B$3,C131,"_","TR",$B$3,C131,"_A","_",G131),AND(C131="BT",D131="TR_P"),CONCATENATE(B131,"_","TR",$B$3,C131,"_","TR",$B$3,C131,"_P","_",G131),AND(C131="TR",D131="TR_P"),CONCATENATE(B131,"_","TR",$B$3,"_","TR",$B$3,"_P","_",G131),AND(C131="TR",D131="TR_A"),CONCATENATE(B131,"_","TR",$B$3,"_","TR",$B$3,"_A","_",G131))</f>
        <v>IMA_TR7BT_TR7BT_A_51F</v>
      </c>
      <c r="I131" s="6"/>
      <c r="J131" s="6" t="s">
        <v>182</v>
      </c>
      <c r="K131" s="6" t="s">
        <v>179</v>
      </c>
      <c r="L131" s="6" t="s">
        <v>188</v>
      </c>
      <c r="M131" s="6" t="s">
        <v>188</v>
      </c>
      <c r="N131" s="6">
        <f t="shared" si="5"/>
        <v>342</v>
      </c>
    </row>
    <row r="132" spans="1:15" x14ac:dyDescent="0.25">
      <c r="A132" s="6" t="s">
        <v>190</v>
      </c>
      <c r="B132" s="6" t="str">
        <f>Informações!$C$3</f>
        <v>IMA</v>
      </c>
      <c r="C132" s="6" t="s">
        <v>101</v>
      </c>
      <c r="D132" s="94" t="s">
        <v>211</v>
      </c>
      <c r="E132" s="2" t="s">
        <v>25</v>
      </c>
      <c r="F132" s="6" t="str">
        <f>VLOOKUP(G132,[1]Discrete!$A:$B,2,FALSE)</f>
        <v>51 - SOBRECORRENTE TEMPORIZADA FASE NEUTRO</v>
      </c>
      <c r="G132" s="6" t="s">
        <v>427</v>
      </c>
      <c r="H132" s="6" t="str" cm="1">
        <f t="array" ref="H132">_xlfn.IFS(OR(D132="TC",D132="TP",AND(D132="TR",C132="AT"),AND(D132="TR",C132="BT")),CONCATENATE(B132,"_","TR",$B$3,C132,"_","TR",$B$3,C132,"_",G132),AND(D132="SECC",C132="BT"),CONCATENATE(B132,"_","TR",$B$3,C132,"_",$B$9,"_",G132),AND(D132="SECF",C132="AT"),CONCATENATE(B132,"_","TR",$B$3,C132,"_",$B$6,"_",G132),AND(D132="SECT",C132="AT"),CONCATENATE(B132,"_","TR",$B$3,C132,"_",$B$7,"_",G132),AND(D132="DJ",C132="AT"),CONCATENATE(B132,"_","TR",$B$3,C132,"_",$B$4,"_",G132),AND(D132="DJ",C132="BT"),CONCATENATE(B132,"_","TR",$B$3,C132,"_",$B$8,"_",G132),AND(C132="TR",D132="TR"),CONCATENATE(B132,"_","TR",$B$3,"_","TR",$B$3,"_",G132),AND(D132="SECT",C132="BT"),CONCATENATE(B132,"_","TR",$B$3,C132,"_",$B$11,"_",G132),AND(D132="SECF",C132="BT"),CONCATENATE(B132,"_","TR",$B$3,C132,"_",$B$10,"_",G132),AND(D132="SECC",C132="AT"),CONCATENATE(B132,"_","TR",$B$3,C132,"_",$B$5,"_",G132),AND(C132="AT",D132="TR_A"),CONCATENATE(B132,"_","TR",$B$3,C132,"_","TR",$B$3,C132,"_A","_",G132),AND(C132="AT",D132="TR_P"),CONCATENATE(B132,"_","TR",$B$3,C132,"_","TR",$B$3,C132,"_P","_",G132),AND(C132="BT",D132="TR_A"),CONCATENATE(B132,"_","TR",$B$3,C132,"_","TR",$B$3,C132,"_A","_",G132),AND(C132="BT",D132="TR_P"),CONCATENATE(B132,"_","TR",$B$3,C132,"_","TR",$B$3,C132,"_P","_",G132),AND(C132="TR",D132="TR_P"),CONCATENATE(B132,"_","TR",$B$3,"_","TR",$B$3,"_P","_",G132),AND(C132="TR",D132="TR_A"),CONCATENATE(B132,"_","TR",$B$3,"_","TR",$B$3,"_A","_",G132))</f>
        <v>IMA_TR7BT_TR7BT_A_51FN</v>
      </c>
      <c r="I132" s="6"/>
      <c r="J132" s="6" t="s">
        <v>182</v>
      </c>
      <c r="K132" s="6" t="s">
        <v>179</v>
      </c>
      <c r="L132" s="6" t="s">
        <v>188</v>
      </c>
      <c r="M132" s="6" t="s">
        <v>188</v>
      </c>
      <c r="N132" s="6">
        <f t="shared" si="5"/>
        <v>343</v>
      </c>
    </row>
    <row r="133" spans="1:15" x14ac:dyDescent="0.25">
      <c r="A133" s="93" t="s">
        <v>191</v>
      </c>
      <c r="B133" s="6" t="str">
        <f>Informações!$C$3</f>
        <v>IMA</v>
      </c>
      <c r="C133" s="94" t="s">
        <v>102</v>
      </c>
      <c r="D133" s="6" t="s">
        <v>102</v>
      </c>
      <c r="E133" s="2" t="s">
        <v>25</v>
      </c>
      <c r="F133" s="93" t="str">
        <f>VLOOKUP(G133,[1]Discrete!$A:$B,2,FALSE)</f>
        <v>49 - ALARME TEMPERATURA ENROLAMENTO</v>
      </c>
      <c r="G133" s="6" t="s">
        <v>119</v>
      </c>
      <c r="H133" s="6" t="str" cm="1">
        <f t="array" ref="H133">_xlfn.IFS(OR(D133="TC",D133="TP",AND(D133="TR",C133="AT"),AND(D133="TR",C133="BT")),CONCATENATE(B133,"_","TR",$B$3,C133,"_","TR",$B$3,C133,"_",G133),AND(D133="SECC",C133="BT"),CONCATENATE(B133,"_","TR",$B$3,C133,"_",$B$9,"_",G133),AND(D133="SECF",C133="AT"),CONCATENATE(B133,"_","TR",$B$3,C133,"_",$B$6,"_",G133),AND(D133="SECT",C133="AT"),CONCATENATE(B133,"_","TR",$B$3,C133,"_",$B$7,"_",G133),AND(D133="DJ",C133="AT"),CONCATENATE(B133,"_","TR",$B$3,C133,"_",$B$4,"_",G133),AND(D133="DJ",C133="BT"),CONCATENATE(B133,"_","TR",$B$3,C133,"_",$B$8,"_",G133),AND(C133="TR",D133="TR"),CONCATENATE(B133,"_","TR",$B$3,"_","TR",$B$3,"_",G133),AND(D133="SECT",C133="BT"),CONCATENATE(B133,"_","TR",$B$3,C133,"_",$B$11,"_",G133),AND(D133="SECF",C133="BT"),CONCATENATE(B133,"_","TR",$B$3,C133,"_",$B$10,"_",G133),AND(D133="SECC",C133="AT"),CONCATENATE(B133,"_","TR",$B$3,C133,"_",$B$5,"_",G133),AND(C133="AT",D133="TR_A"),CONCATENATE(B133,"_","TR",$B$3,C133,"_","TR",$B$3,C133,"_A","_",G133),AND(C133="AT",D133="TR_P"),CONCATENATE(B133,"_","TR",$B$3,C133,"_","TR",$B$3,C133,"_P","_",G133),AND(C133="BT",D133="TR_A"),CONCATENATE(B133,"_","TR",$B$3,C133,"_","TR",$B$3,C133,"_A","_",G133),AND(C133="BT",D133="TR_P"),CONCATENATE(B133,"_","TR",$B$3,C133,"_","TR",$B$3,C133,"_P","_",G133),AND(C133="TR",D133="TR_P"),CONCATENATE(B133,"_","TR",$B$3,"_","TR",$B$3,"_P","_",G133),AND(C133="TR",D133="TR_A"),CONCATENATE(B133,"_","TR",$B$3,"_","TR",$B$3,"_A","_",G133))</f>
        <v>IMA_TR7_TR7_TEA</v>
      </c>
      <c r="I133" s="6"/>
      <c r="J133" s="6" t="s">
        <v>182</v>
      </c>
      <c r="K133" s="6" t="s">
        <v>179</v>
      </c>
      <c r="L133" s="6" t="s">
        <v>188</v>
      </c>
      <c r="M133" s="6" t="s">
        <v>188</v>
      </c>
      <c r="N133" s="93">
        <f t="shared" si="5"/>
        <v>344</v>
      </c>
      <c r="O133" s="1" t="s">
        <v>738</v>
      </c>
    </row>
    <row r="134" spans="1:15" x14ac:dyDescent="0.25">
      <c r="A134" s="93" t="s">
        <v>191</v>
      </c>
      <c r="B134" s="6" t="str">
        <f>Informações!$C$3</f>
        <v>IMA</v>
      </c>
      <c r="C134" s="94" t="s">
        <v>102</v>
      </c>
      <c r="D134" s="6" t="s">
        <v>102</v>
      </c>
      <c r="E134" s="2" t="s">
        <v>25</v>
      </c>
      <c r="F134" s="93" t="str">
        <f>VLOOKUP(G134,[1]Discrete!$A:$B,2,FALSE)</f>
        <v>49 - TRIP TEMPERATURA ENROLAMENTO</v>
      </c>
      <c r="G134" s="6" t="s">
        <v>120</v>
      </c>
      <c r="H134" s="6" t="str" cm="1">
        <f t="array" ref="H134">_xlfn.IFS(OR(D134="TC",D134="TP",AND(D134="TR",C134="AT"),AND(D134="TR",C134="BT")),CONCATENATE(B134,"_","TR",$B$3,C134,"_","TR",$B$3,C134,"_",G134),AND(D134="SECC",C134="BT"),CONCATENATE(B134,"_","TR",$B$3,C134,"_",$B$9,"_",G134),AND(D134="SECF",C134="AT"),CONCATENATE(B134,"_","TR",$B$3,C134,"_",$B$6,"_",G134),AND(D134="SECT",C134="AT"),CONCATENATE(B134,"_","TR",$B$3,C134,"_",$B$7,"_",G134),AND(D134="DJ",C134="AT"),CONCATENATE(B134,"_","TR",$B$3,C134,"_",$B$4,"_",G134),AND(D134="DJ",C134="BT"),CONCATENATE(B134,"_","TR",$B$3,C134,"_",$B$8,"_",G134),AND(C134="TR",D134="TR"),CONCATENATE(B134,"_","TR",$B$3,"_","TR",$B$3,"_",G134),AND(D134="SECT",C134="BT"),CONCATENATE(B134,"_","TR",$B$3,C134,"_",$B$11,"_",G134),AND(D134="SECF",C134="BT"),CONCATENATE(B134,"_","TR",$B$3,C134,"_",$B$10,"_",G134),AND(D134="SECC",C134="AT"),CONCATENATE(B134,"_","TR",$B$3,C134,"_",$B$5,"_",G134),AND(C134="AT",D134="TR_A"),CONCATENATE(B134,"_","TR",$B$3,C134,"_","TR",$B$3,C134,"_A","_",G134),AND(C134="AT",D134="TR_P"),CONCATENATE(B134,"_","TR",$B$3,C134,"_","TR",$B$3,C134,"_P","_",G134),AND(C134="BT",D134="TR_A"),CONCATENATE(B134,"_","TR",$B$3,C134,"_","TR",$B$3,C134,"_A","_",G134),AND(C134="BT",D134="TR_P"),CONCATENATE(B134,"_","TR",$B$3,C134,"_","TR",$B$3,C134,"_P","_",G134),AND(C134="TR",D134="TR_P"),CONCATENATE(B134,"_","TR",$B$3,"_","TR",$B$3,"_P","_",G134),AND(C134="TR",D134="TR_A"),CONCATENATE(B134,"_","TR",$B$3,"_","TR",$B$3,"_A","_",G134))</f>
        <v>IMA_TR7_TR7_TED</v>
      </c>
      <c r="I134" s="6"/>
      <c r="J134" s="6" t="s">
        <v>182</v>
      </c>
      <c r="K134" s="6" t="s">
        <v>179</v>
      </c>
      <c r="L134" s="6" t="s">
        <v>188</v>
      </c>
      <c r="M134" s="6" t="s">
        <v>188</v>
      </c>
      <c r="N134" s="93">
        <f t="shared" si="5"/>
        <v>345</v>
      </c>
    </row>
    <row r="135" spans="1:15" x14ac:dyDescent="0.25">
      <c r="A135" s="6" t="s">
        <v>190</v>
      </c>
      <c r="B135" s="6" t="str">
        <f>Informações!$C$3</f>
        <v>IMA</v>
      </c>
      <c r="C135" s="94" t="s">
        <v>100</v>
      </c>
      <c r="D135" s="6" t="s">
        <v>30</v>
      </c>
      <c r="E135" s="2" t="s">
        <v>25</v>
      </c>
      <c r="F135" s="6" t="e">
        <f>VLOOKUP(G135,[1]Discrete!$A:$B,2,FALSE)</f>
        <v>#N/A</v>
      </c>
      <c r="G135" s="6">
        <v>81</v>
      </c>
      <c r="H135" s="6" t="str" cm="1">
        <f t="array" ref="H135">_xlfn.IFS(OR(D135="TC",D135="TP",AND(D135="TR",C135="AT"),AND(D135="TR",C135="BT")),CONCATENATE(B135,"_","TR",$B$3,C135,"_","TR",$B$3,C135,"_",G135),AND(D135="SECC",C135="BT"),CONCATENATE(B135,"_","TR",$B$3,C135,"_",$B$9,"_",G135),AND(D135="SECF",C135="AT"),CONCATENATE(B135,"_","TR",$B$3,C135,"_",$B$6,"_",G135),AND(D135="SECT",C135="AT"),CONCATENATE(B135,"_","TR",$B$3,C135,"_",$B$7,"_",G135),AND(D135="DJ",C135="AT"),CONCATENATE(B135,"_","TR",$B$3,C135,"_",$B$4,"_",G135),AND(D135="DJ",C135="BT"),CONCATENATE(B135,"_","TR",$B$3,C135,"_",$B$8,"_",G135),AND(C135="TR",D135="TR"),CONCATENATE(B135,"_","TR",$B$3,"_","TR",$B$3,"_",G135),AND(D135="SECT",C135="BT"),CONCATENATE(B135,"_","TR",$B$3,C135,"_",$B$11,"_",G135),AND(D135="SECF",C135="BT"),CONCATENATE(B135,"_","TR",$B$3,C135,"_",$B$10,"_",G135),AND(D135="SECC",C135="AT"),CONCATENATE(B135,"_","TR",$B$3,C135,"_",$B$5,"_",G135),AND(C135="AT",D135="TR_A"),CONCATENATE(B135,"_","TR",$B$3,C135,"_","TR",$B$3,C135,"_A","_",G135),AND(C135="AT",D135="TR_P"),CONCATENATE(B135,"_","TR",$B$3,C135,"_","TR",$B$3,C135,"_P","_",G135),AND(C135="BT",D135="TR_A"),CONCATENATE(B135,"_","TR",$B$3,C135,"_","TR",$B$3,C135,"_A","_",G135),AND(C135="BT",D135="TR_P"),CONCATENATE(B135,"_","TR",$B$3,C135,"_","TR",$B$3,C135,"_P","_",G135),AND(C135="TR",D135="TR_P"),CONCATENATE(B135,"_","TR",$B$3,"_","TR",$B$3,"_P","_",G135),AND(C135="TR",D135="TR_A"),CONCATENATE(B135,"_","TR",$B$3,"_","TR",$B$3,"_A","_",G135))</f>
        <v>IMA_TR7AT_52-7_81</v>
      </c>
      <c r="I135" s="6"/>
      <c r="J135" s="6" t="s">
        <v>183</v>
      </c>
      <c r="K135" s="6" t="s">
        <v>184</v>
      </c>
      <c r="L135" s="6" t="s">
        <v>188</v>
      </c>
      <c r="M135" s="6" t="s">
        <v>188</v>
      </c>
      <c r="N135" s="6">
        <f t="shared" si="5"/>
        <v>346</v>
      </c>
    </row>
    <row r="136" spans="1:15" x14ac:dyDescent="0.25">
      <c r="A136" s="6" t="s">
        <v>190</v>
      </c>
      <c r="B136" s="6" t="str">
        <f>Informações!$C$3</f>
        <v>IMA</v>
      </c>
      <c r="C136" s="94" t="s">
        <v>100</v>
      </c>
      <c r="D136" s="97" t="s">
        <v>212</v>
      </c>
      <c r="E136" s="2" t="s">
        <v>25</v>
      </c>
      <c r="F136" s="6" t="str">
        <f>VLOOKUP(G136,[1]Discrete!$A:$B,2,FALSE)</f>
        <v>81 - TRIP SUB FREQUENCIA</v>
      </c>
      <c r="G136" s="6" t="s">
        <v>71</v>
      </c>
      <c r="H136" s="6" t="str" cm="1">
        <f t="array" ref="H136">_xlfn.IFS(OR(D136="TC",D136="TP",AND(D136="TR",C136="AT"),AND(D136="TR",C136="BT")),CONCATENATE(B136,"_","TR",$B$3,C136,"_","TR",$B$3,C136,"_",G136),AND(D136="SECC",C136="BT"),CONCATENATE(B136,"_","TR",$B$3,C136,"_",$B$9,"_",G136),AND(D136="SECF",C136="AT"),CONCATENATE(B136,"_","TR",$B$3,C136,"_",$B$6,"_",G136),AND(D136="SECT",C136="AT"),CONCATENATE(B136,"_","TR",$B$3,C136,"_",$B$7,"_",G136),AND(D136="DJ",C136="AT"),CONCATENATE(B136,"_","TR",$B$3,C136,"_",$B$4,"_",G136),AND(D136="DJ",C136="BT"),CONCATENATE(B136,"_","TR",$B$3,C136,"_",$B$8,"_",G136),AND(C136="TR",D136="TR"),CONCATENATE(B136,"_","TR",$B$3,"_","TR",$B$3,"_",G136),AND(D136="SECT",C136="BT"),CONCATENATE(B136,"_","TR",$B$3,C136,"_",$B$11,"_",G136),AND(D136="SECF",C136="BT"),CONCATENATE(B136,"_","TR",$B$3,C136,"_",$B$10,"_",G136),AND(D136="SECC",C136="AT"),CONCATENATE(B136,"_","TR",$B$3,C136,"_",$B$5,"_",G136),AND(C136="AT",D136="TR_A"),CONCATENATE(B136,"_","TR",$B$3,C136,"_","TR",$B$3,C136,"_A","_",G136),AND(C136="AT",D136="TR_P"),CONCATENATE(B136,"_","TR",$B$3,C136,"_","TR",$B$3,C136,"_P","_",G136),AND(C136="BT",D136="TR_A"),CONCATENATE(B136,"_","TR",$B$3,C136,"_","TR",$B$3,C136,"_A","_",G136),AND(C136="BT",D136="TR_P"),CONCATENATE(B136,"_","TR",$B$3,C136,"_","TR",$B$3,C136,"_P","_",G136),AND(C136="TR",D136="TR_P"),CONCATENATE(B136,"_","TR",$B$3,"_","TR",$B$3,"_P","_",G136),AND(C136="TR",D136="TR_A"),CONCATENATE(B136,"_","TR",$B$3,"_","TR",$B$3,"_A","_",G136))</f>
        <v>IMA_TR7AT_TR7AT_P_81SU</v>
      </c>
      <c r="I136" s="6"/>
      <c r="J136" s="6" t="s">
        <v>182</v>
      </c>
      <c r="K136" s="6" t="s">
        <v>179</v>
      </c>
      <c r="L136" s="6" t="s">
        <v>188</v>
      </c>
      <c r="M136" s="6" t="s">
        <v>188</v>
      </c>
      <c r="N136" s="6">
        <f t="shared" si="5"/>
        <v>347</v>
      </c>
    </row>
    <row r="137" spans="1:15" x14ac:dyDescent="0.25">
      <c r="A137" s="6" t="s">
        <v>190</v>
      </c>
      <c r="B137" s="6" t="str">
        <f>Informações!$C$3</f>
        <v>IMA</v>
      </c>
      <c r="C137" s="94" t="s">
        <v>100</v>
      </c>
      <c r="D137" s="97" t="s">
        <v>212</v>
      </c>
      <c r="E137" s="2" t="s">
        <v>25</v>
      </c>
      <c r="F137" s="6" t="str">
        <f>VLOOKUP(G137,[1]Discrete!$A:$B,2,FALSE)</f>
        <v>81 - TRIP SUB/SOBRE FREQUENCIA E1</v>
      </c>
      <c r="G137" s="17" t="s">
        <v>353</v>
      </c>
      <c r="H137" s="6" t="str" cm="1">
        <f t="array" ref="H137">_xlfn.IFS(OR(D137="TC",D137="TP",AND(D137="TR",C137="AT"),AND(D137="TR",C137="BT")),CONCATENATE(B137,"_","TR",$B$3,C137,"_","TR",$B$3,C137,"_",G137),AND(D137="SECC",C137="BT"),CONCATENATE(B137,"_","TR",$B$3,C137,"_",$B$9,"_",G137),AND(D137="SECF",C137="AT"),CONCATENATE(B137,"_","TR",$B$3,C137,"_",$B$6,"_",G137),AND(D137="SECT",C137="AT"),CONCATENATE(B137,"_","TR",$B$3,C137,"_",$B$7,"_",G137),AND(D137="DJ",C137="AT"),CONCATENATE(B137,"_","TR",$B$3,C137,"_",$B$4,"_",G137),AND(D137="DJ",C137="BT"),CONCATENATE(B137,"_","TR",$B$3,C137,"_",$B$8,"_",G137),AND(C137="TR",D137="TR"),CONCATENATE(B137,"_","TR",$B$3,"_","TR",$B$3,"_",G137),AND(D137="SECT",C137="BT"),CONCATENATE(B137,"_","TR",$B$3,C137,"_",$B$11,"_",G137),AND(D137="SECF",C137="BT"),CONCATENATE(B137,"_","TR",$B$3,C137,"_",$B$10,"_",G137),AND(D137="SECC",C137="AT"),CONCATENATE(B137,"_","TR",$B$3,C137,"_",$B$5,"_",G137),AND(C137="AT",D137="TR_A"),CONCATENATE(B137,"_","TR",$B$3,C137,"_","TR",$B$3,C137,"_A","_",G137),AND(C137="AT",D137="TR_P"),CONCATENATE(B137,"_","TR",$B$3,C137,"_","TR",$B$3,C137,"_P","_",G137),AND(C137="BT",D137="TR_A"),CONCATENATE(B137,"_","TR",$B$3,C137,"_","TR",$B$3,C137,"_A","_",G137),AND(C137="BT",D137="TR_P"),CONCATENATE(B137,"_","TR",$B$3,C137,"_","TR",$B$3,C137,"_P","_",G137),AND(C137="TR",D137="TR_P"),CONCATENATE(B137,"_","TR",$B$3,"_","TR",$B$3,"_P","_",G137),AND(C137="TR",D137="TR_A"),CONCATENATE(B137,"_","TR",$B$3,"_","TR",$B$3,"_A","_",G137))</f>
        <v>IMA_TR7AT_TR7AT_P_81E1</v>
      </c>
      <c r="I137" s="6"/>
      <c r="J137" s="6" t="s">
        <v>182</v>
      </c>
      <c r="K137" s="6" t="s">
        <v>179</v>
      </c>
      <c r="L137" s="6" t="s">
        <v>188</v>
      </c>
      <c r="M137" s="6" t="s">
        <v>188</v>
      </c>
      <c r="N137" s="6">
        <f t="shared" si="5"/>
        <v>348</v>
      </c>
    </row>
    <row r="138" spans="1:15" x14ac:dyDescent="0.25">
      <c r="A138" s="6" t="s">
        <v>190</v>
      </c>
      <c r="B138" s="6" t="str">
        <f>Informações!$C$3</f>
        <v>IMA</v>
      </c>
      <c r="C138" s="94" t="s">
        <v>100</v>
      </c>
      <c r="D138" s="97" t="s">
        <v>212</v>
      </c>
      <c r="E138" s="2" t="s">
        <v>25</v>
      </c>
      <c r="F138" s="6" t="str">
        <f>VLOOKUP(G138,[1]Discrete!$A:$B,2,FALSE)</f>
        <v>81 - TRIP SUB/SOBRE FREQUENCIA E2</v>
      </c>
      <c r="G138" s="17" t="s">
        <v>354</v>
      </c>
      <c r="H138" s="6" t="str" cm="1">
        <f t="array" ref="H138">_xlfn.IFS(OR(D138="TC",D138="TP",AND(D138="TR",C138="AT"),AND(D138="TR",C138="BT")),CONCATENATE(B138,"_","TR",$B$3,C138,"_","TR",$B$3,C138,"_",G138),AND(D138="SECC",C138="BT"),CONCATENATE(B138,"_","TR",$B$3,C138,"_",$B$9,"_",G138),AND(D138="SECF",C138="AT"),CONCATENATE(B138,"_","TR",$B$3,C138,"_",$B$6,"_",G138),AND(D138="SECT",C138="AT"),CONCATENATE(B138,"_","TR",$B$3,C138,"_",$B$7,"_",G138),AND(D138="DJ",C138="AT"),CONCATENATE(B138,"_","TR",$B$3,C138,"_",$B$4,"_",G138),AND(D138="DJ",C138="BT"),CONCATENATE(B138,"_","TR",$B$3,C138,"_",$B$8,"_",G138),AND(C138="TR",D138="TR"),CONCATENATE(B138,"_","TR",$B$3,"_","TR",$B$3,"_",G138),AND(D138="SECT",C138="BT"),CONCATENATE(B138,"_","TR",$B$3,C138,"_",$B$11,"_",G138),AND(D138="SECF",C138="BT"),CONCATENATE(B138,"_","TR",$B$3,C138,"_",$B$10,"_",G138),AND(D138="SECC",C138="AT"),CONCATENATE(B138,"_","TR",$B$3,C138,"_",$B$5,"_",G138),AND(C138="AT",D138="TR_A"),CONCATENATE(B138,"_","TR",$B$3,C138,"_","TR",$B$3,C138,"_A","_",G138),AND(C138="AT",D138="TR_P"),CONCATENATE(B138,"_","TR",$B$3,C138,"_","TR",$B$3,C138,"_P","_",G138),AND(C138="BT",D138="TR_A"),CONCATENATE(B138,"_","TR",$B$3,C138,"_","TR",$B$3,C138,"_A","_",G138),AND(C138="BT",D138="TR_P"),CONCATENATE(B138,"_","TR",$B$3,C138,"_","TR",$B$3,C138,"_P","_",G138),AND(C138="TR",D138="TR_P"),CONCATENATE(B138,"_","TR",$B$3,"_","TR",$B$3,"_P","_",G138),AND(C138="TR",D138="TR_A"),CONCATENATE(B138,"_","TR",$B$3,"_","TR",$B$3,"_A","_",G138))</f>
        <v>IMA_TR7AT_TR7AT_P_81E2</v>
      </c>
      <c r="I138" s="6"/>
      <c r="J138" s="6" t="s">
        <v>182</v>
      </c>
      <c r="K138" s="6" t="s">
        <v>179</v>
      </c>
      <c r="L138" s="6" t="s">
        <v>188</v>
      </c>
      <c r="M138" s="6" t="s">
        <v>188</v>
      </c>
      <c r="N138" s="6">
        <f t="shared" si="5"/>
        <v>349</v>
      </c>
    </row>
    <row r="139" spans="1:15" x14ac:dyDescent="0.25">
      <c r="A139" s="6" t="s">
        <v>190</v>
      </c>
      <c r="B139" s="6" t="str">
        <f>Informações!$C$3</f>
        <v>IMA</v>
      </c>
      <c r="C139" s="94" t="s">
        <v>100</v>
      </c>
      <c r="D139" s="97" t="s">
        <v>212</v>
      </c>
      <c r="E139" s="2" t="s">
        <v>25</v>
      </c>
      <c r="F139" s="6" t="str">
        <f>VLOOKUP(G139,[1]Discrete!$A:$B,2,FALSE)</f>
        <v>81 - TRIP SUB/SOBRE FREQUENCIA E3</v>
      </c>
      <c r="G139" s="17" t="s">
        <v>355</v>
      </c>
      <c r="H139" s="6" t="str" cm="1">
        <f t="array" ref="H139">_xlfn.IFS(OR(D139="TC",D139="TP",AND(D139="TR",C139="AT"),AND(D139="TR",C139="BT")),CONCATENATE(B139,"_","TR",$B$3,C139,"_","TR",$B$3,C139,"_",G139),AND(D139="SECC",C139="BT"),CONCATENATE(B139,"_","TR",$B$3,C139,"_",$B$9,"_",G139),AND(D139="SECF",C139="AT"),CONCATENATE(B139,"_","TR",$B$3,C139,"_",$B$6,"_",G139),AND(D139="SECT",C139="AT"),CONCATENATE(B139,"_","TR",$B$3,C139,"_",$B$7,"_",G139),AND(D139="DJ",C139="AT"),CONCATENATE(B139,"_","TR",$B$3,C139,"_",$B$4,"_",G139),AND(D139="DJ",C139="BT"),CONCATENATE(B139,"_","TR",$B$3,C139,"_",$B$8,"_",G139),AND(C139="TR",D139="TR"),CONCATENATE(B139,"_","TR",$B$3,"_","TR",$B$3,"_",G139),AND(D139="SECT",C139="BT"),CONCATENATE(B139,"_","TR",$B$3,C139,"_",$B$11,"_",G139),AND(D139="SECF",C139="BT"),CONCATENATE(B139,"_","TR",$B$3,C139,"_",$B$10,"_",G139),AND(D139="SECC",C139="AT"),CONCATENATE(B139,"_","TR",$B$3,C139,"_",$B$5,"_",G139),AND(C139="AT",D139="TR_A"),CONCATENATE(B139,"_","TR",$B$3,C139,"_","TR",$B$3,C139,"_A","_",G139),AND(C139="AT",D139="TR_P"),CONCATENATE(B139,"_","TR",$B$3,C139,"_","TR",$B$3,C139,"_P","_",G139),AND(C139="BT",D139="TR_A"),CONCATENATE(B139,"_","TR",$B$3,C139,"_","TR",$B$3,C139,"_A","_",G139),AND(C139="BT",D139="TR_P"),CONCATENATE(B139,"_","TR",$B$3,C139,"_","TR",$B$3,C139,"_P","_",G139),AND(C139="TR",D139="TR_P"),CONCATENATE(B139,"_","TR",$B$3,"_","TR",$B$3,"_P","_",G139),AND(C139="TR",D139="TR_A"),CONCATENATE(B139,"_","TR",$B$3,"_","TR",$B$3,"_A","_",G139))</f>
        <v>IMA_TR7AT_TR7AT_P_81E3</v>
      </c>
      <c r="I139" s="6"/>
      <c r="J139" s="6" t="s">
        <v>182</v>
      </c>
      <c r="K139" s="6" t="s">
        <v>179</v>
      </c>
      <c r="L139" s="6" t="s">
        <v>188</v>
      </c>
      <c r="M139" s="6" t="s">
        <v>188</v>
      </c>
      <c r="N139" s="6">
        <f t="shared" si="5"/>
        <v>350</v>
      </c>
    </row>
    <row r="140" spans="1:15" x14ac:dyDescent="0.25">
      <c r="A140" s="6" t="s">
        <v>190</v>
      </c>
      <c r="B140" s="6" t="str">
        <f>Informações!$C$3</f>
        <v>IMA</v>
      </c>
      <c r="C140" s="94" t="s">
        <v>100</v>
      </c>
      <c r="D140" s="97" t="s">
        <v>212</v>
      </c>
      <c r="E140" s="2" t="s">
        <v>25</v>
      </c>
      <c r="F140" s="6" t="str">
        <f>VLOOKUP(G140,[1]Discrete!$A:$B,2,FALSE)</f>
        <v>81 - TRIP SUB/SOBRE FREQUENCIA E4</v>
      </c>
      <c r="G140" s="17" t="s">
        <v>356</v>
      </c>
      <c r="H140" s="6" t="str" cm="1">
        <f t="array" ref="H140">_xlfn.IFS(OR(D140="TC",D140="TP",AND(D140="TR",C140="AT"),AND(D140="TR",C140="BT")),CONCATENATE(B140,"_","TR",$B$3,C140,"_","TR",$B$3,C140,"_",G140),AND(D140="SECC",C140="BT"),CONCATENATE(B140,"_","TR",$B$3,C140,"_",$B$9,"_",G140),AND(D140="SECF",C140="AT"),CONCATENATE(B140,"_","TR",$B$3,C140,"_",$B$6,"_",G140),AND(D140="SECT",C140="AT"),CONCATENATE(B140,"_","TR",$B$3,C140,"_",$B$7,"_",G140),AND(D140="DJ",C140="AT"),CONCATENATE(B140,"_","TR",$B$3,C140,"_",$B$4,"_",G140),AND(D140="DJ",C140="BT"),CONCATENATE(B140,"_","TR",$B$3,C140,"_",$B$8,"_",G140),AND(C140="TR",D140="TR"),CONCATENATE(B140,"_","TR",$B$3,"_","TR",$B$3,"_",G140),AND(D140="SECT",C140="BT"),CONCATENATE(B140,"_","TR",$B$3,C140,"_",$B$11,"_",G140),AND(D140="SECF",C140="BT"),CONCATENATE(B140,"_","TR",$B$3,C140,"_",$B$10,"_",G140),AND(D140="SECC",C140="AT"),CONCATENATE(B140,"_","TR",$B$3,C140,"_",$B$5,"_",G140),AND(C140="AT",D140="TR_A"),CONCATENATE(B140,"_","TR",$B$3,C140,"_","TR",$B$3,C140,"_A","_",G140),AND(C140="AT",D140="TR_P"),CONCATENATE(B140,"_","TR",$B$3,C140,"_","TR",$B$3,C140,"_P","_",G140),AND(C140="BT",D140="TR_A"),CONCATENATE(B140,"_","TR",$B$3,C140,"_","TR",$B$3,C140,"_A","_",G140),AND(C140="BT",D140="TR_P"),CONCATENATE(B140,"_","TR",$B$3,C140,"_","TR",$B$3,C140,"_P","_",G140),AND(C140="TR",D140="TR_P"),CONCATENATE(B140,"_","TR",$B$3,"_","TR",$B$3,"_P","_",G140),AND(C140="TR",D140="TR_A"),CONCATENATE(B140,"_","TR",$B$3,"_","TR",$B$3,"_A","_",G140))</f>
        <v>IMA_TR7AT_TR7AT_P_81E4</v>
      </c>
      <c r="I140" s="6"/>
      <c r="J140" s="6" t="s">
        <v>182</v>
      </c>
      <c r="K140" s="6" t="s">
        <v>179</v>
      </c>
      <c r="L140" s="6" t="s">
        <v>188</v>
      </c>
      <c r="M140" s="6" t="s">
        <v>188</v>
      </c>
      <c r="N140" s="6">
        <f t="shared" si="5"/>
        <v>351</v>
      </c>
    </row>
    <row r="141" spans="1:15" x14ac:dyDescent="0.25">
      <c r="A141" s="6" t="s">
        <v>190</v>
      </c>
      <c r="B141" s="6" t="str">
        <f>Informações!$C$3</f>
        <v>IMA</v>
      </c>
      <c r="C141" s="94" t="s">
        <v>100</v>
      </c>
      <c r="D141" s="97" t="s">
        <v>212</v>
      </c>
      <c r="E141" s="2" t="s">
        <v>25</v>
      </c>
      <c r="F141" s="6" t="s">
        <v>358</v>
      </c>
      <c r="G141" s="17" t="s">
        <v>357</v>
      </c>
      <c r="H141" s="6" t="str" cm="1">
        <f t="array" ref="H141">_xlfn.IFS(OR(D141="TC",D141="TP",AND(D141="TR",C141="AT"),AND(D141="TR",C141="BT")),CONCATENATE(B141,"_","TR",$B$3,C141,"_","TR",$B$3,C141,"_",G141),AND(D141="SECC",C141="BT"),CONCATENATE(B141,"_","TR",$B$3,C141,"_",$B$9,"_",G141),AND(D141="SECF",C141="AT"),CONCATENATE(B141,"_","TR",$B$3,C141,"_",$B$6,"_",G141),AND(D141="SECT",C141="AT"),CONCATENATE(B141,"_","TR",$B$3,C141,"_",$B$7,"_",G141),AND(D141="DJ",C141="AT"),CONCATENATE(B141,"_","TR",$B$3,C141,"_",$B$4,"_",G141),AND(D141="DJ",C141="BT"),CONCATENATE(B141,"_","TR",$B$3,C141,"_",$B$8,"_",G141),AND(C141="TR",D141="TR"),CONCATENATE(B141,"_","TR",$B$3,"_","TR",$B$3,"_",G141),AND(D141="SECT",C141="BT"),CONCATENATE(B141,"_","TR",$B$3,C141,"_",$B$11,"_",G141),AND(D141="SECF",C141="BT"),CONCATENATE(B141,"_","TR",$B$3,C141,"_",$B$10,"_",G141),AND(D141="SECC",C141="AT"),CONCATENATE(B141,"_","TR",$B$3,C141,"_",$B$5,"_",G141),AND(C141="AT",D141="TR_A"),CONCATENATE(B141,"_","TR",$B$3,C141,"_","TR",$B$3,C141,"_A","_",G141),AND(C141="AT",D141="TR_P"),CONCATENATE(B141,"_","TR",$B$3,C141,"_","TR",$B$3,C141,"_P","_",G141),AND(C141="BT",D141="TR_A"),CONCATENATE(B141,"_","TR",$B$3,C141,"_","TR",$B$3,C141,"_A","_",G141),AND(C141="BT",D141="TR_P"),CONCATENATE(B141,"_","TR",$B$3,C141,"_","TR",$B$3,C141,"_P","_",G141),AND(C141="TR",D141="TR_P"),CONCATENATE(B141,"_","TR",$B$3,"_","TR",$B$3,"_P","_",G141),AND(C141="TR",D141="TR_A"),CONCATENATE(B141,"_","TR",$B$3,"_","TR",$B$3,"_A","_",G141))</f>
        <v>IMA_TR7AT_TR7AT_P_81E5</v>
      </c>
      <c r="I141" s="6"/>
      <c r="J141" s="6" t="s">
        <v>182</v>
      </c>
      <c r="K141" s="6" t="s">
        <v>179</v>
      </c>
      <c r="L141" s="6" t="s">
        <v>188</v>
      </c>
      <c r="M141" s="6" t="s">
        <v>188</v>
      </c>
      <c r="N141" s="6">
        <f t="shared" si="5"/>
        <v>352</v>
      </c>
    </row>
    <row r="142" spans="1:15" x14ac:dyDescent="0.25">
      <c r="A142" s="6" t="s">
        <v>190</v>
      </c>
      <c r="B142" s="6" t="str">
        <f>Informações!$C$3</f>
        <v>IMA</v>
      </c>
      <c r="C142" s="94" t="s">
        <v>100</v>
      </c>
      <c r="D142" s="94" t="s">
        <v>212</v>
      </c>
      <c r="E142" s="2" t="s">
        <v>25</v>
      </c>
      <c r="F142" s="94" t="str">
        <f>VLOOKUP(G142,[1]Discrete!$A:$B,2,FALSE)</f>
        <v>62 - FALHA DISJUNTOR BLOQUEIO</v>
      </c>
      <c r="G142" s="6" t="s">
        <v>44</v>
      </c>
      <c r="H142" s="6" t="str" cm="1">
        <f t="array" ref="H142">_xlfn.IFS(OR(D142="TC",D142="TP",AND(D142="TR",C142="AT"),AND(D142="TR",C142="BT")),CONCATENATE(B142,"_","TR",$B$3,C142,"_","TR",$B$3,C142,"_",G142),AND(D142="SECC",C142="BT"),CONCATENATE(B142,"_","TR",$B$3,C142,"_",$B$9,"_",G142),AND(D142="SECF",C142="AT"),CONCATENATE(B142,"_","TR",$B$3,C142,"_",$B$6,"_",G142),AND(D142="SECT",C142="AT"),CONCATENATE(B142,"_","TR",$B$3,C142,"_",$B$7,"_",G142),AND(D142="DJ",C142="AT"),CONCATENATE(B142,"_","TR",$B$3,C142,"_",$B$4,"_",G142),AND(D142="DJ",C142="BT"),CONCATENATE(B142,"_","TR",$B$3,C142,"_",$B$8,"_",G142),AND(C142="TR",D142="TR"),CONCATENATE(B142,"_","TR",$B$3,"_","TR",$B$3,"_",G142),AND(D142="SECT",C142="BT"),CONCATENATE(B142,"_","TR",$B$3,C142,"_",$B$11,"_",G142),AND(D142="SECF",C142="BT"),CONCATENATE(B142,"_","TR",$B$3,C142,"_",$B$10,"_",G142),AND(D142="SECC",C142="AT"),CONCATENATE(B142,"_","TR",$B$3,C142,"_",$B$5,"_",G142),AND(C142="AT",D142="TR_A"),CONCATENATE(B142,"_","TR",$B$3,C142,"_","TR",$B$3,C142,"_A","_",G142),AND(C142="AT",D142="TR_P"),CONCATENATE(B142,"_","TR",$B$3,C142,"_","TR",$B$3,C142,"_P","_",G142),AND(C142="BT",D142="TR_A"),CONCATENATE(B142,"_","TR",$B$3,C142,"_","TR",$B$3,C142,"_A","_",G142),AND(C142="BT",D142="TR_P"),CONCATENATE(B142,"_","TR",$B$3,C142,"_","TR",$B$3,C142,"_P","_",G142),AND(C142="TR",D142="TR_P"),CONCATENATE(B142,"_","TR",$B$3,"_","TR",$B$3,"_P","_",G142),AND(C142="TR",D142="TR_A"),CONCATENATE(B142,"_","TR",$B$3,"_","TR",$B$3,"_A","_",G142))</f>
        <v>IMA_TR7AT_TR7AT_P_62BF</v>
      </c>
      <c r="I142" s="6"/>
      <c r="J142" s="6" t="s">
        <v>182</v>
      </c>
      <c r="K142" s="6" t="s">
        <v>179</v>
      </c>
      <c r="L142" s="6" t="s">
        <v>188</v>
      </c>
      <c r="M142" s="6" t="s">
        <v>188</v>
      </c>
      <c r="N142" s="6">
        <f>N141+1</f>
        <v>353</v>
      </c>
    </row>
    <row r="143" spans="1:15" x14ac:dyDescent="0.25">
      <c r="A143" s="6" t="s">
        <v>190</v>
      </c>
      <c r="B143" s="6" t="str">
        <f>Informações!$C$3</f>
        <v>IMA</v>
      </c>
      <c r="C143" s="94" t="s">
        <v>100</v>
      </c>
      <c r="D143" s="94" t="s">
        <v>211</v>
      </c>
      <c r="E143" s="2" t="s">
        <v>25</v>
      </c>
      <c r="F143" s="94" t="str">
        <f>VLOOKUP(G143,[1]Discrete!$A:$B,2,FALSE)</f>
        <v>62 - FALHA DISJUNTOR BLOQUEIO</v>
      </c>
      <c r="G143" s="6" t="s">
        <v>44</v>
      </c>
      <c r="H143" s="6" t="str" cm="1">
        <f t="array" ref="H143">_xlfn.IFS(OR(D143="TC",D143="TP",AND(D143="TR",C143="AT"),AND(D143="TR",C143="BT")),CONCATENATE(B143,"_","TR",$B$3,C143,"_","TR",$B$3,C143,"_",G143),AND(D143="SECC",C143="BT"),CONCATENATE(B143,"_","TR",$B$3,C143,"_",$B$9,"_",G143),AND(D143="SECF",C143="AT"),CONCATENATE(B143,"_","TR",$B$3,C143,"_",$B$6,"_",G143),AND(D143="SECT",C143="AT"),CONCATENATE(B143,"_","TR",$B$3,C143,"_",$B$7,"_",G143),AND(D143="DJ",C143="AT"),CONCATENATE(B143,"_","TR",$B$3,C143,"_",$B$4,"_",G143),AND(D143="DJ",C143="BT"),CONCATENATE(B143,"_","TR",$B$3,C143,"_",$B$8,"_",G143),AND(C143="TR",D143="TR"),CONCATENATE(B143,"_","TR",$B$3,"_","TR",$B$3,"_",G143),AND(D143="SECT",C143="BT"),CONCATENATE(B143,"_","TR",$B$3,C143,"_",$B$11,"_",G143),AND(D143="SECF",C143="BT"),CONCATENATE(B143,"_","TR",$B$3,C143,"_",$B$10,"_",G143),AND(D143="SECC",C143="AT"),CONCATENATE(B143,"_","TR",$B$3,C143,"_",$B$5,"_",G143),AND(C143="AT",D143="TR_A"),CONCATENATE(B143,"_","TR",$B$3,C143,"_","TR",$B$3,C143,"_A","_",G143),AND(C143="AT",D143="TR_P"),CONCATENATE(B143,"_","TR",$B$3,C143,"_","TR",$B$3,C143,"_P","_",G143),AND(C143="BT",D143="TR_A"),CONCATENATE(B143,"_","TR",$B$3,C143,"_","TR",$B$3,C143,"_A","_",G143),AND(C143="BT",D143="TR_P"),CONCATENATE(B143,"_","TR",$B$3,C143,"_","TR",$B$3,C143,"_P","_",G143),AND(C143="TR",D143="TR_P"),CONCATENATE(B143,"_","TR",$B$3,"_","TR",$B$3,"_P","_",G143),AND(C143="TR",D143="TR_A"),CONCATENATE(B143,"_","TR",$B$3,"_","TR",$B$3,"_A","_",G143))</f>
        <v>IMA_TR7AT_TR7AT_A_62BF</v>
      </c>
      <c r="I143" s="6"/>
      <c r="J143" s="6" t="s">
        <v>182</v>
      </c>
      <c r="K143" s="6" t="s">
        <v>179</v>
      </c>
      <c r="L143" s="6" t="s">
        <v>188</v>
      </c>
      <c r="M143" s="6" t="s">
        <v>188</v>
      </c>
      <c r="N143" s="6">
        <f>N142+1</f>
        <v>354</v>
      </c>
    </row>
    <row r="144" spans="1:15" x14ac:dyDescent="0.25">
      <c r="A144" s="6" t="s">
        <v>190</v>
      </c>
      <c r="B144" s="6" t="str">
        <f>Informações!$C$3</f>
        <v>IMA</v>
      </c>
      <c r="C144" s="94" t="s">
        <v>102</v>
      </c>
      <c r="D144" s="94" t="s">
        <v>211</v>
      </c>
      <c r="E144" s="2" t="s">
        <v>25</v>
      </c>
      <c r="F144" s="6" t="e">
        <f>VLOOKUP(G144,[1]Discrete!$A:$B,2,FALSE)</f>
        <v>#N/A</v>
      </c>
      <c r="G144" s="6">
        <v>86</v>
      </c>
      <c r="H144" s="6" t="str" cm="1">
        <f t="array" ref="H144">_xlfn.IFS(OR(D144="TC",D144="TP",AND(D144="TR",C144="AT"),AND(D144="TR",C144="BT")),CONCATENATE(B144,"_","TR",$B$3,C144,"_","TR",$B$3,C144,"_",G144),AND(D144="SECC",C144="BT"),CONCATENATE(B144,"_","TR",$B$3,C144,"_",$B$9,"_",G144),AND(D144="SECF",C144="AT"),CONCATENATE(B144,"_","TR",$B$3,C144,"_",$B$6,"_",G144),AND(D144="SECT",C144="AT"),CONCATENATE(B144,"_","TR",$B$3,C144,"_",$B$7,"_",G144),AND(D144="DJ",C144="AT"),CONCATENATE(B144,"_","TR",$B$3,C144,"_",$B$4,"_",G144),AND(D144="DJ",C144="BT"),CONCATENATE(B144,"_","TR",$B$3,C144,"_",$B$8,"_",G144),AND(C144="TR",D144="TR"),CONCATENATE(B144,"_","TR",$B$3,"_","TR",$B$3,"_",G144),AND(D144="SECT",C144="BT"),CONCATENATE(B144,"_","TR",$B$3,C144,"_",$B$11,"_",G144),AND(D144="SECF",C144="BT"),CONCATENATE(B144,"_","TR",$B$3,C144,"_",$B$10,"_",G144),AND(D144="SECC",C144="AT"),CONCATENATE(B144,"_","TR",$B$3,C144,"_",$B$5,"_",G144),AND(C144="AT",D144="TR_A"),CONCATENATE(B144,"_","TR",$B$3,C144,"_","TR",$B$3,C144,"_A","_",G144),AND(C144="AT",D144="TR_P"),CONCATENATE(B144,"_","TR",$B$3,C144,"_","TR",$B$3,C144,"_P","_",G144),AND(C144="BT",D144="TR_A"),CONCATENATE(B144,"_","TR",$B$3,C144,"_","TR",$B$3,C144,"_A","_",G144),AND(C144="BT",D144="TR_P"),CONCATENATE(B144,"_","TR",$B$3,C144,"_","TR",$B$3,C144,"_P","_",G144),AND(C144="TR",D144="TR_P"),CONCATENATE(B144,"_","TR",$B$3,"_","TR",$B$3,"_P","_",G144),AND(C144="TR",D144="TR_A"),CONCATENATE(B144,"_","TR",$B$3,"_","TR",$B$3,"_A","_",G144))</f>
        <v>IMA_TR7_TR7_A_86</v>
      </c>
      <c r="I144" s="6"/>
      <c r="J144" s="6" t="s">
        <v>182</v>
      </c>
      <c r="K144" s="6" t="s">
        <v>179</v>
      </c>
      <c r="L144" s="6" t="s">
        <v>188</v>
      </c>
      <c r="M144" s="6" t="s">
        <v>188</v>
      </c>
      <c r="N144" s="6">
        <f>N143+1</f>
        <v>355</v>
      </c>
    </row>
    <row r="145" spans="1:14" x14ac:dyDescent="0.25">
      <c r="A145" s="93" t="s">
        <v>191</v>
      </c>
      <c r="B145" s="6" t="str">
        <f>Informações!$C$3</f>
        <v>IMA</v>
      </c>
      <c r="C145" s="6" t="s">
        <v>102</v>
      </c>
      <c r="D145" s="6" t="s">
        <v>102</v>
      </c>
      <c r="E145" s="2" t="s">
        <v>25</v>
      </c>
      <c r="F145" s="93" t="str">
        <f>VLOOKUP(G145,[1]Discrete!$A:$B,2,FALSE)</f>
        <v>20 - ALARME VALVULA TRAFO</v>
      </c>
      <c r="G145" s="6" t="s">
        <v>113</v>
      </c>
      <c r="H145" s="6" t="str" cm="1">
        <f t="array" ref="H145">_xlfn.IFS(OR(D145="TC",D145="TP",AND(D145="TR",C145="AT"),AND(D145="TR",C145="BT")),CONCATENATE(B145,"_","TR",$B$3,C145,"_","TR",$B$3,C145,"_",G145),AND(D145="SECC",C145="BT"),CONCATENATE(B145,"_","TR",$B$3,C145,"_",$B$9,"_",G145),AND(D145="SECF",C145="AT"),CONCATENATE(B145,"_","TR",$B$3,C145,"_",$B$6,"_",G145),AND(D145="SECT",C145="AT"),CONCATENATE(B145,"_","TR",$B$3,C145,"_",$B$7,"_",G145),AND(D145="DJ",C145="AT"),CONCATENATE(B145,"_","TR",$B$3,C145,"_",$B$4,"_",G145),AND(D145="DJ",C145="BT"),CONCATENATE(B145,"_","TR",$B$3,C145,"_",$B$8,"_",G145),AND(C145="TR",D145="TR"),CONCATENATE(B145,"_","TR",$B$3,"_","TR",$B$3,"_",G145),AND(D145="SECT",C145="BT"),CONCATENATE(B145,"_","TR",$B$3,C145,"_",$B$11,"_",G145),AND(D145="SECF",C145="BT"),CONCATENATE(B145,"_","TR",$B$3,C145,"_",$B$10,"_",G145),AND(D145="SECC",C145="AT"),CONCATENATE(B145,"_","TR",$B$3,C145,"_",$B$5,"_",G145),AND(C145="AT",D145="TR_A"),CONCATENATE(B145,"_","TR",$B$3,C145,"_","TR",$B$3,C145,"_A","_",G145),AND(C145="AT",D145="TR_P"),CONCATENATE(B145,"_","TR",$B$3,C145,"_","TR",$B$3,C145,"_P","_",G145),AND(C145="BT",D145="TR_A"),CONCATENATE(B145,"_","TR",$B$3,C145,"_","TR",$B$3,C145,"_A","_",G145),AND(C145="BT",D145="TR_P"),CONCATENATE(B145,"_","TR",$B$3,C145,"_","TR",$B$3,C145,"_P","_",G145),AND(C145="TR",D145="TR_P"),CONCATENATE(B145,"_","TR",$B$3,"_","TR",$B$3,"_P","_",G145),AND(C145="TR",D145="TR_A"),CONCATENATE(B145,"_","TR",$B$3,"_","TR",$B$3,"_A","_",G145))</f>
        <v>IMA_TR7_TR7_20TA</v>
      </c>
      <c r="I145" s="6"/>
      <c r="J145" s="6" t="s">
        <v>182</v>
      </c>
      <c r="K145" s="6" t="s">
        <v>179</v>
      </c>
      <c r="L145" s="6" t="s">
        <v>188</v>
      </c>
      <c r="M145" s="6" t="s">
        <v>188</v>
      </c>
      <c r="N145" s="93">
        <f t="shared" si="5"/>
        <v>356</v>
      </c>
    </row>
    <row r="146" spans="1:14" x14ac:dyDescent="0.25">
      <c r="A146" s="6" t="s">
        <v>190</v>
      </c>
      <c r="B146" s="6" t="str">
        <f>Informações!$C$3</f>
        <v>IMA</v>
      </c>
      <c r="C146" s="6" t="s">
        <v>102</v>
      </c>
      <c r="D146" s="6" t="s">
        <v>102</v>
      </c>
      <c r="E146" s="2" t="s">
        <v>25</v>
      </c>
      <c r="F146" s="6" t="str">
        <f>VLOOKUP(G146,[1]Discrete!$A:$B,2,FALSE)</f>
        <v xml:space="preserve">20 - TRIP VALVULA TRAFO </v>
      </c>
      <c r="G146" s="6" t="s">
        <v>114</v>
      </c>
      <c r="H146" s="6" t="str" cm="1">
        <f t="array" ref="H146">_xlfn.IFS(OR(D146="TC",D146="TP",AND(D146="TR",C146="AT"),AND(D146="TR",C146="BT")),CONCATENATE(B146,"_","TR",$B$3,C146,"_","TR",$B$3,C146,"_",G146),AND(D146="SECC",C146="BT"),CONCATENATE(B146,"_","TR",$B$3,C146,"_",$B$9,"_",G146),AND(D146="SECF",C146="AT"),CONCATENATE(B146,"_","TR",$B$3,C146,"_",$B$6,"_",G146),AND(D146="SECT",C146="AT"),CONCATENATE(B146,"_","TR",$B$3,C146,"_",$B$7,"_",G146),AND(D146="DJ",C146="AT"),CONCATENATE(B146,"_","TR",$B$3,C146,"_",$B$4,"_",G146),AND(D146="DJ",C146="BT"),CONCATENATE(B146,"_","TR",$B$3,C146,"_",$B$8,"_",G146),AND(C146="TR",D146="TR"),CONCATENATE(B146,"_","TR",$B$3,"_","TR",$B$3,"_",G146),AND(D146="SECT",C146="BT"),CONCATENATE(B146,"_","TR",$B$3,C146,"_",$B$11,"_",G146),AND(D146="SECF",C146="BT"),CONCATENATE(B146,"_","TR",$B$3,C146,"_",$B$10,"_",G146),AND(D146="SECC",C146="AT"),CONCATENATE(B146,"_","TR",$B$3,C146,"_",$B$5,"_",G146),AND(C146="AT",D146="TR_A"),CONCATENATE(B146,"_","TR",$B$3,C146,"_","TR",$B$3,C146,"_A","_",G146),AND(C146="AT",D146="TR_P"),CONCATENATE(B146,"_","TR",$B$3,C146,"_","TR",$B$3,C146,"_P","_",G146),AND(C146="BT",D146="TR_A"),CONCATENATE(B146,"_","TR",$B$3,C146,"_","TR",$B$3,C146,"_A","_",G146),AND(C146="BT",D146="TR_P"),CONCATENATE(B146,"_","TR",$B$3,C146,"_","TR",$B$3,C146,"_P","_",G146),AND(C146="TR",D146="TR_P"),CONCATENATE(B146,"_","TR",$B$3,"_","TR",$B$3,"_P","_",G146),AND(C146="TR",D146="TR_A"),CONCATENATE(B146,"_","TR",$B$3,"_","TR",$B$3,"_A","_",G146))</f>
        <v>IMA_TR7_TR7_20TD</v>
      </c>
      <c r="I146" s="6"/>
      <c r="J146" s="6" t="s">
        <v>182</v>
      </c>
      <c r="K146" s="6" t="s">
        <v>179</v>
      </c>
      <c r="L146" s="6" t="s">
        <v>188</v>
      </c>
      <c r="M146" s="6" t="s">
        <v>188</v>
      </c>
      <c r="N146" s="6">
        <f t="shared" si="5"/>
        <v>357</v>
      </c>
    </row>
    <row r="147" spans="1:14" x14ac:dyDescent="0.25">
      <c r="A147" s="93" t="s">
        <v>191</v>
      </c>
      <c r="B147" s="6" t="str">
        <f>Informações!$C$3</f>
        <v>IMA</v>
      </c>
      <c r="C147" s="6" t="s">
        <v>102</v>
      </c>
      <c r="D147" s="6" t="s">
        <v>102</v>
      </c>
      <c r="E147" s="2" t="s">
        <v>25</v>
      </c>
      <c r="F147" s="93" t="str">
        <f>VLOOKUP(G147,[1]Discrete!$A:$B,2,FALSE)</f>
        <v xml:space="preserve">20 - ALARME VALVULA CDC          </v>
      </c>
      <c r="G147" s="6" t="s">
        <v>115</v>
      </c>
      <c r="H147" s="6" t="str" cm="1">
        <f t="array" ref="H147">_xlfn.IFS(OR(D147="TC",D147="TP",AND(D147="TR",C147="AT"),AND(D147="TR",C147="BT")),CONCATENATE(B147,"_","TR",$B$3,C147,"_","TR",$B$3,C147,"_",G147),AND(D147="SECC",C147="BT"),CONCATENATE(B147,"_","TR",$B$3,C147,"_",$B$9,"_",G147),AND(D147="SECF",C147="AT"),CONCATENATE(B147,"_","TR",$B$3,C147,"_",$B$6,"_",G147),AND(D147="SECT",C147="AT"),CONCATENATE(B147,"_","TR",$B$3,C147,"_",$B$7,"_",G147),AND(D147="DJ",C147="AT"),CONCATENATE(B147,"_","TR",$B$3,C147,"_",$B$4,"_",G147),AND(D147="DJ",C147="BT"),CONCATENATE(B147,"_","TR",$B$3,C147,"_",$B$8,"_",G147),AND(C147="TR",D147="TR"),CONCATENATE(B147,"_","TR",$B$3,"_","TR",$B$3,"_",G147),AND(D147="SECT",C147="BT"),CONCATENATE(B147,"_","TR",$B$3,C147,"_",$B$11,"_",G147),AND(D147="SECF",C147="BT"),CONCATENATE(B147,"_","TR",$B$3,C147,"_",$B$10,"_",G147),AND(D147="SECC",C147="AT"),CONCATENATE(B147,"_","TR",$B$3,C147,"_",$B$5,"_",G147),AND(C147="AT",D147="TR_A"),CONCATENATE(B147,"_","TR",$B$3,C147,"_","TR",$B$3,C147,"_A","_",G147),AND(C147="AT",D147="TR_P"),CONCATENATE(B147,"_","TR",$B$3,C147,"_","TR",$B$3,C147,"_P","_",G147),AND(C147="BT",D147="TR_A"),CONCATENATE(B147,"_","TR",$B$3,C147,"_","TR",$B$3,C147,"_A","_",G147),AND(C147="BT",D147="TR_P"),CONCATENATE(B147,"_","TR",$B$3,C147,"_","TR",$B$3,C147,"_P","_",G147),AND(C147="TR",D147="TR_P"),CONCATENATE(B147,"_","TR",$B$3,"_","TR",$B$3,"_P","_",G147),AND(C147="TR",D147="TR_A"),CONCATENATE(B147,"_","TR",$B$3,"_","TR",$B$3,"_A","_",G147))</f>
        <v>IMA_TR7_TR7_20CA</v>
      </c>
      <c r="I147" s="6"/>
      <c r="J147" s="6" t="s">
        <v>182</v>
      </c>
      <c r="K147" s="6" t="s">
        <v>179</v>
      </c>
      <c r="L147" s="6" t="s">
        <v>188</v>
      </c>
      <c r="M147" s="6" t="s">
        <v>188</v>
      </c>
      <c r="N147" s="93">
        <f t="shared" si="5"/>
        <v>358</v>
      </c>
    </row>
    <row r="148" spans="1:14" x14ac:dyDescent="0.25">
      <c r="A148" s="6" t="s">
        <v>190</v>
      </c>
      <c r="B148" s="6" t="str">
        <f>Informações!$C$3</f>
        <v>IMA</v>
      </c>
      <c r="C148" s="6" t="s">
        <v>102</v>
      </c>
      <c r="D148" s="6" t="s">
        <v>102</v>
      </c>
      <c r="E148" s="2" t="s">
        <v>25</v>
      </c>
      <c r="F148" s="6" t="str">
        <f>VLOOKUP(G148,[1]Discrete!$A:$B,2,FALSE)</f>
        <v>20 - TRIP VALVULA CDC</v>
      </c>
      <c r="G148" s="6" t="s">
        <v>116</v>
      </c>
      <c r="H148" s="6" t="str" cm="1">
        <f t="array" ref="H148">_xlfn.IFS(OR(D148="TC",D148="TP",AND(D148="TR",C148="AT"),AND(D148="TR",C148="BT")),CONCATENATE(B148,"_","TR",$B$3,C148,"_","TR",$B$3,C148,"_",G148),AND(D148="SECC",C148="BT"),CONCATENATE(B148,"_","TR",$B$3,C148,"_",$B$9,"_",G148),AND(D148="SECF",C148="AT"),CONCATENATE(B148,"_","TR",$B$3,C148,"_",$B$6,"_",G148),AND(D148="SECT",C148="AT"),CONCATENATE(B148,"_","TR",$B$3,C148,"_",$B$7,"_",G148),AND(D148="DJ",C148="AT"),CONCATENATE(B148,"_","TR",$B$3,C148,"_",$B$4,"_",G148),AND(D148="DJ",C148="BT"),CONCATENATE(B148,"_","TR",$B$3,C148,"_",$B$8,"_",G148),AND(C148="TR",D148="TR"),CONCATENATE(B148,"_","TR",$B$3,"_","TR",$B$3,"_",G148),AND(D148="SECT",C148="BT"),CONCATENATE(B148,"_","TR",$B$3,C148,"_",$B$11,"_",G148),AND(D148="SECF",C148="BT"),CONCATENATE(B148,"_","TR",$B$3,C148,"_",$B$10,"_",G148),AND(D148="SECC",C148="AT"),CONCATENATE(B148,"_","TR",$B$3,C148,"_",$B$5,"_",G148),AND(C148="AT",D148="TR_A"),CONCATENATE(B148,"_","TR",$B$3,C148,"_","TR",$B$3,C148,"_A","_",G148),AND(C148="AT",D148="TR_P"),CONCATENATE(B148,"_","TR",$B$3,C148,"_","TR",$B$3,C148,"_P","_",G148),AND(C148="BT",D148="TR_A"),CONCATENATE(B148,"_","TR",$B$3,C148,"_","TR",$B$3,C148,"_A","_",G148),AND(C148="BT",D148="TR_P"),CONCATENATE(B148,"_","TR",$B$3,C148,"_","TR",$B$3,C148,"_P","_",G148),AND(C148="TR",D148="TR_P"),CONCATENATE(B148,"_","TR",$B$3,"_","TR",$B$3,"_P","_",G148),AND(C148="TR",D148="TR_A"),CONCATENATE(B148,"_","TR",$B$3,"_","TR",$B$3,"_A","_",G148))</f>
        <v>IMA_TR7_TR7_20CD</v>
      </c>
      <c r="I148" s="6"/>
      <c r="J148" s="6" t="s">
        <v>182</v>
      </c>
      <c r="K148" s="6" t="s">
        <v>179</v>
      </c>
      <c r="L148" s="6" t="s">
        <v>188</v>
      </c>
      <c r="M148" s="6" t="s">
        <v>188</v>
      </c>
      <c r="N148" s="6">
        <f t="shared" si="5"/>
        <v>359</v>
      </c>
    </row>
    <row r="149" spans="1:14" x14ac:dyDescent="0.25">
      <c r="A149" s="6" t="s">
        <v>190</v>
      </c>
      <c r="B149" s="6" t="str">
        <f>Informações!$C$3</f>
        <v>IMA</v>
      </c>
      <c r="C149" s="6" t="s">
        <v>102</v>
      </c>
      <c r="D149" s="6" t="s">
        <v>102</v>
      </c>
      <c r="E149" s="2" t="s">
        <v>25</v>
      </c>
      <c r="F149" s="6" t="str">
        <f>VLOOKUP(G149,[1]Discrete!$A:$B,2,FALSE)</f>
        <v>43 - CHAVE TELECOMANDO</v>
      </c>
      <c r="G149" s="6" t="s">
        <v>40</v>
      </c>
      <c r="H149" s="6" t="str" cm="1">
        <f t="array" ref="H149">_xlfn.IFS(OR(D149="TC",D149="TP",AND(D149="TR",C149="AT"),AND(D149="TR",C149="BT")),CONCATENATE(B149,"_","TR",$B$3,C149,"_","TR",$B$3,C149,"_",G149),AND(D149="SECC",C149="BT"),CONCATENATE(B149,"_","TR",$B$3,C149,"_",$B$9,"_",G149),AND(D149="SECF",C149="AT"),CONCATENATE(B149,"_","TR",$B$3,C149,"_",$B$6,"_",G149),AND(D149="SECT",C149="AT"),CONCATENATE(B149,"_","TR",$B$3,C149,"_",$B$7,"_",G149),AND(D149="DJ",C149="AT"),CONCATENATE(B149,"_","TR",$B$3,C149,"_",$B$4,"_",G149),AND(D149="DJ",C149="BT"),CONCATENATE(B149,"_","TR",$B$3,C149,"_",$B$8,"_",G149),AND(C149="TR",D149="TR"),CONCATENATE(B149,"_","TR",$B$3,"_","TR",$B$3,"_",G149),AND(D149="SECT",C149="BT"),CONCATENATE(B149,"_","TR",$B$3,C149,"_",$B$11,"_",G149),AND(D149="SECF",C149="BT"),CONCATENATE(B149,"_","TR",$B$3,C149,"_",$B$10,"_",G149),AND(D149="SECC",C149="AT"),CONCATENATE(B149,"_","TR",$B$3,C149,"_",$B$5,"_",G149),AND(C149="AT",D149="TR_A"),CONCATENATE(B149,"_","TR",$B$3,C149,"_","TR",$B$3,C149,"_A","_",G149),AND(C149="AT",D149="TR_P"),CONCATENATE(B149,"_","TR",$B$3,C149,"_","TR",$B$3,C149,"_P","_",G149),AND(C149="BT",D149="TR_A"),CONCATENATE(B149,"_","TR",$B$3,C149,"_","TR",$B$3,C149,"_A","_",G149),AND(C149="BT",D149="TR_P"),CONCATENATE(B149,"_","TR",$B$3,C149,"_","TR",$B$3,C149,"_P","_",G149),AND(C149="TR",D149="TR_P"),CONCATENATE(B149,"_","TR",$B$3,"_","TR",$B$3,"_P","_",G149),AND(C149="TR",D149="TR_A"),CONCATENATE(B149,"_","TR",$B$3,"_","TR",$B$3,"_A","_",G149))</f>
        <v>IMA_TR7_TR7_43TC</v>
      </c>
      <c r="I149" s="6"/>
      <c r="J149" s="94" t="s">
        <v>183</v>
      </c>
      <c r="K149" s="94" t="s">
        <v>184</v>
      </c>
      <c r="L149" s="6" t="s">
        <v>188</v>
      </c>
      <c r="M149" s="6" t="s">
        <v>188</v>
      </c>
      <c r="N149" s="6">
        <f t="shared" si="5"/>
        <v>360</v>
      </c>
    </row>
    <row r="150" spans="1:14" x14ac:dyDescent="0.25">
      <c r="A150" s="93" t="s">
        <v>191</v>
      </c>
      <c r="B150" s="6" t="str">
        <f>Informações!$C$3</f>
        <v>IMA</v>
      </c>
      <c r="C150" s="6" t="s">
        <v>102</v>
      </c>
      <c r="D150" s="6" t="s">
        <v>102</v>
      </c>
      <c r="E150" s="2" t="s">
        <v>25</v>
      </c>
      <c r="F150" s="93" t="str">
        <f>VLOOKUP(G150,[1]Discrete!$A:$B,2,FALSE)</f>
        <v xml:space="preserve">63 - ALARME BUCHHOLZ CDC  </v>
      </c>
      <c r="G150" s="6" t="s">
        <v>123</v>
      </c>
      <c r="H150" s="6" t="str" cm="1">
        <f t="array" ref="H150">_xlfn.IFS(OR(D150="TC",D150="TP",AND(D150="TR",C150="AT"),AND(D150="TR",C150="BT")),CONCATENATE(B150,"_","TR",$B$3,C150,"_","TR",$B$3,C150,"_",G150),AND(D150="SECC",C150="BT"),CONCATENATE(B150,"_","TR",$B$3,C150,"_",$B$9,"_",G150),AND(D150="SECF",C150="AT"),CONCATENATE(B150,"_","TR",$B$3,C150,"_",$B$6,"_",G150),AND(D150="SECT",C150="AT"),CONCATENATE(B150,"_","TR",$B$3,C150,"_",$B$7,"_",G150),AND(D150="DJ",C150="AT"),CONCATENATE(B150,"_","TR",$B$3,C150,"_",$B$4,"_",G150),AND(D150="DJ",C150="BT"),CONCATENATE(B150,"_","TR",$B$3,C150,"_",$B$8,"_",G150),AND(C150="TR",D150="TR"),CONCATENATE(B150,"_","TR",$B$3,"_","TR",$B$3,"_",G150),AND(D150="SECT",C150="BT"),CONCATENATE(B150,"_","TR",$B$3,C150,"_",$B$11,"_",G150),AND(D150="SECF",C150="BT"),CONCATENATE(B150,"_","TR",$B$3,C150,"_",$B$10,"_",G150),AND(D150="SECC",C150="AT"),CONCATENATE(B150,"_","TR",$B$3,C150,"_",$B$5,"_",G150),AND(C150="AT",D150="TR_A"),CONCATENATE(B150,"_","TR",$B$3,C150,"_","TR",$B$3,C150,"_A","_",G150),AND(C150="AT",D150="TR_P"),CONCATENATE(B150,"_","TR",$B$3,C150,"_","TR",$B$3,C150,"_P","_",G150),AND(C150="BT",D150="TR_A"),CONCATENATE(B150,"_","TR",$B$3,C150,"_","TR",$B$3,C150,"_A","_",G150),AND(C150="BT",D150="TR_P"),CONCATENATE(B150,"_","TR",$B$3,C150,"_","TR",$B$3,C150,"_P","_",G150),AND(C150="TR",D150="TR_P"),CONCATENATE(B150,"_","TR",$B$3,"_","TR",$B$3,"_P","_",G150),AND(C150="TR",D150="TR_A"),CONCATENATE(B150,"_","TR",$B$3,"_","TR",$B$3,"_A","_",G150))</f>
        <v>IMA_TR7_TR7_63CA</v>
      </c>
      <c r="I150" s="6"/>
      <c r="J150" s="6" t="s">
        <v>182</v>
      </c>
      <c r="K150" s="6" t="s">
        <v>179</v>
      </c>
      <c r="L150" s="6" t="s">
        <v>188</v>
      </c>
      <c r="M150" s="6" t="s">
        <v>188</v>
      </c>
      <c r="N150" s="93">
        <f t="shared" si="5"/>
        <v>361</v>
      </c>
    </row>
    <row r="151" spans="1:14" x14ac:dyDescent="0.25">
      <c r="A151" s="93" t="s">
        <v>191</v>
      </c>
      <c r="B151" s="6" t="str">
        <f>Informações!$C$3</f>
        <v>IMA</v>
      </c>
      <c r="C151" s="6" t="s">
        <v>102</v>
      </c>
      <c r="D151" s="6" t="s">
        <v>102</v>
      </c>
      <c r="E151" s="2" t="s">
        <v>25</v>
      </c>
      <c r="F151" s="93" t="str">
        <f>VLOOKUP(G151,[1]Discrete!$A:$B,2,FALSE)</f>
        <v>63 - BUCHHOLZ CDC</v>
      </c>
      <c r="G151" s="6" t="s">
        <v>124</v>
      </c>
      <c r="H151" s="6" t="str" cm="1">
        <f t="array" ref="H151">_xlfn.IFS(OR(D151="TC",D151="TP",AND(D151="TR",C151="AT"),AND(D151="TR",C151="BT")),CONCATENATE(B151,"_","TR",$B$3,C151,"_","TR",$B$3,C151,"_",G151),AND(D151="SECC",C151="BT"),CONCATENATE(B151,"_","TR",$B$3,C151,"_",$B$9,"_",G151),AND(D151="SECF",C151="AT"),CONCATENATE(B151,"_","TR",$B$3,C151,"_",$B$6,"_",G151),AND(D151="SECT",C151="AT"),CONCATENATE(B151,"_","TR",$B$3,C151,"_",$B$7,"_",G151),AND(D151="DJ",C151="AT"),CONCATENATE(B151,"_","TR",$B$3,C151,"_",$B$4,"_",G151),AND(D151="DJ",C151="BT"),CONCATENATE(B151,"_","TR",$B$3,C151,"_",$B$8,"_",G151),AND(C151="TR",D151="TR"),CONCATENATE(B151,"_","TR",$B$3,"_","TR",$B$3,"_",G151),AND(D151="SECT",C151="BT"),CONCATENATE(B151,"_","TR",$B$3,C151,"_",$B$11,"_",G151),AND(D151="SECF",C151="BT"),CONCATENATE(B151,"_","TR",$B$3,C151,"_",$B$10,"_",G151),AND(D151="SECC",C151="AT"),CONCATENATE(B151,"_","TR",$B$3,C151,"_",$B$5,"_",G151),AND(C151="AT",D151="TR_A"),CONCATENATE(B151,"_","TR",$B$3,C151,"_","TR",$B$3,C151,"_A","_",G151),AND(C151="AT",D151="TR_P"),CONCATENATE(B151,"_","TR",$B$3,C151,"_","TR",$B$3,C151,"_P","_",G151),AND(C151="BT",D151="TR_A"),CONCATENATE(B151,"_","TR",$B$3,C151,"_","TR",$B$3,C151,"_A","_",G151),AND(C151="BT",D151="TR_P"),CONCATENATE(B151,"_","TR",$B$3,C151,"_","TR",$B$3,C151,"_P","_",G151),AND(C151="TR",D151="TR_P"),CONCATENATE(B151,"_","TR",$B$3,"_","TR",$B$3,"_P","_",G151),AND(C151="TR",D151="TR_A"),CONCATENATE(B151,"_","TR",$B$3,"_","TR",$B$3,"_A","_",G151))</f>
        <v>IMA_TR7_TR7_63C</v>
      </c>
      <c r="I151" s="6"/>
      <c r="J151" s="6" t="s">
        <v>182</v>
      </c>
      <c r="K151" s="6" t="s">
        <v>179</v>
      </c>
      <c r="L151" s="6" t="s">
        <v>188</v>
      </c>
      <c r="M151" s="6" t="s">
        <v>188</v>
      </c>
      <c r="N151" s="93">
        <f t="shared" si="5"/>
        <v>362</v>
      </c>
    </row>
    <row r="152" spans="1:14" x14ac:dyDescent="0.25">
      <c r="A152" s="6" t="s">
        <v>190</v>
      </c>
      <c r="B152" s="6" t="str">
        <f>Informações!$C$3</f>
        <v>IMA</v>
      </c>
      <c r="C152" s="6" t="s">
        <v>102</v>
      </c>
      <c r="D152" s="6" t="s">
        <v>102</v>
      </c>
      <c r="E152" s="2" t="s">
        <v>25</v>
      </c>
      <c r="F152" s="6" t="str">
        <f>VLOOKUP(G152,[1]Discrete!$A:$B,2,FALSE)</f>
        <v xml:space="preserve">63 - ALARME BUCHHOLZ TRAFO  </v>
      </c>
      <c r="G152" s="6" t="s">
        <v>125</v>
      </c>
      <c r="H152" s="6" t="str" cm="1">
        <f t="array" ref="H152">_xlfn.IFS(OR(D152="TC",D152="TP",AND(D152="TR",C152="AT"),AND(D152="TR",C152="BT")),CONCATENATE(B152,"_","TR",$B$3,C152,"_","TR",$B$3,C152,"_",G152),AND(D152="SECC",C152="BT"),CONCATENATE(B152,"_","TR",$B$3,C152,"_",$B$9,"_",G152),AND(D152="SECF",C152="AT"),CONCATENATE(B152,"_","TR",$B$3,C152,"_",$B$6,"_",G152),AND(D152="SECT",C152="AT"),CONCATENATE(B152,"_","TR",$B$3,C152,"_",$B$7,"_",G152),AND(D152="DJ",C152="AT"),CONCATENATE(B152,"_","TR",$B$3,C152,"_",$B$4,"_",G152),AND(D152="DJ",C152="BT"),CONCATENATE(B152,"_","TR",$B$3,C152,"_",$B$8,"_",G152),AND(C152="TR",D152="TR"),CONCATENATE(B152,"_","TR",$B$3,"_","TR",$B$3,"_",G152),AND(D152="SECT",C152="BT"),CONCATENATE(B152,"_","TR",$B$3,C152,"_",$B$11,"_",G152),AND(D152="SECF",C152="BT"),CONCATENATE(B152,"_","TR",$B$3,C152,"_",$B$10,"_",G152),AND(D152="SECC",C152="AT"),CONCATENATE(B152,"_","TR",$B$3,C152,"_",$B$5,"_",G152),AND(C152="AT",D152="TR_A"),CONCATENATE(B152,"_","TR",$B$3,C152,"_","TR",$B$3,C152,"_A","_",G152),AND(C152="AT",D152="TR_P"),CONCATENATE(B152,"_","TR",$B$3,C152,"_","TR",$B$3,C152,"_P","_",G152),AND(C152="BT",D152="TR_A"),CONCATENATE(B152,"_","TR",$B$3,C152,"_","TR",$B$3,C152,"_A","_",G152),AND(C152="BT",D152="TR_P"),CONCATENATE(B152,"_","TR",$B$3,C152,"_","TR",$B$3,C152,"_P","_",G152),AND(C152="TR",D152="TR_P"),CONCATENATE(B152,"_","TR",$B$3,"_","TR",$B$3,"_P","_",G152),AND(C152="TR",D152="TR_A"),CONCATENATE(B152,"_","TR",$B$3,"_","TR",$B$3,"_A","_",G152))</f>
        <v>IMA_TR7_TR7_63TA</v>
      </c>
      <c r="I152" s="6"/>
      <c r="J152" s="6" t="s">
        <v>182</v>
      </c>
      <c r="K152" s="6" t="s">
        <v>179</v>
      </c>
      <c r="L152" s="6" t="s">
        <v>188</v>
      </c>
      <c r="M152" s="6" t="s">
        <v>188</v>
      </c>
      <c r="N152" s="6">
        <f t="shared" si="5"/>
        <v>363</v>
      </c>
    </row>
    <row r="153" spans="1:14" x14ac:dyDescent="0.25">
      <c r="A153" s="6" t="s">
        <v>190</v>
      </c>
      <c r="B153" s="6" t="str">
        <f>Informações!$C$3</f>
        <v>IMA</v>
      </c>
      <c r="C153" s="6" t="s">
        <v>102</v>
      </c>
      <c r="D153" s="6" t="s">
        <v>102</v>
      </c>
      <c r="E153" s="2" t="s">
        <v>25</v>
      </c>
      <c r="F153" s="6" t="str">
        <f>VLOOKUP(G153,[1]Discrete!$A:$B,2,FALSE)</f>
        <v xml:space="preserve">63 - BUCHHOLZ TRAFO  </v>
      </c>
      <c r="G153" s="6" t="s">
        <v>126</v>
      </c>
      <c r="H153" s="6" t="str" cm="1">
        <f t="array" ref="H153">_xlfn.IFS(OR(D153="TC",D153="TP",AND(D153="TR",C153="AT"),AND(D153="TR",C153="BT")),CONCATENATE(B153,"_","TR",$B$3,C153,"_","TR",$B$3,C153,"_",G153),AND(D153="SECC",C153="BT"),CONCATENATE(B153,"_","TR",$B$3,C153,"_",$B$9,"_",G153),AND(D153="SECF",C153="AT"),CONCATENATE(B153,"_","TR",$B$3,C153,"_",$B$6,"_",G153),AND(D153="SECT",C153="AT"),CONCATENATE(B153,"_","TR",$B$3,C153,"_",$B$7,"_",G153),AND(D153="DJ",C153="AT"),CONCATENATE(B153,"_","TR",$B$3,C153,"_",$B$4,"_",G153),AND(D153="DJ",C153="BT"),CONCATENATE(B153,"_","TR",$B$3,C153,"_",$B$8,"_",G153),AND(C153="TR",D153="TR"),CONCATENATE(B153,"_","TR",$B$3,"_","TR",$B$3,"_",G153),AND(D153="SECT",C153="BT"),CONCATENATE(B153,"_","TR",$B$3,C153,"_",$B$11,"_",G153),AND(D153="SECF",C153="BT"),CONCATENATE(B153,"_","TR",$B$3,C153,"_",$B$10,"_",G153),AND(D153="SECC",C153="AT"),CONCATENATE(B153,"_","TR",$B$3,C153,"_",$B$5,"_",G153),AND(C153="AT",D153="TR_A"),CONCATENATE(B153,"_","TR",$B$3,C153,"_","TR",$B$3,C153,"_A","_",G153),AND(C153="AT",D153="TR_P"),CONCATENATE(B153,"_","TR",$B$3,C153,"_","TR",$B$3,C153,"_P","_",G153),AND(C153="BT",D153="TR_A"),CONCATENATE(B153,"_","TR",$B$3,C153,"_","TR",$B$3,C153,"_A","_",G153),AND(C153="BT",D153="TR_P"),CONCATENATE(B153,"_","TR",$B$3,C153,"_","TR",$B$3,C153,"_P","_",G153),AND(C153="TR",D153="TR_P"),CONCATENATE(B153,"_","TR",$B$3,"_","TR",$B$3,"_P","_",G153),AND(C153="TR",D153="TR_A"),CONCATENATE(B153,"_","TR",$B$3,"_","TR",$B$3,"_A","_",G153))</f>
        <v>IMA_TR7_TR7_63T</v>
      </c>
      <c r="I153" s="6"/>
      <c r="J153" s="6" t="s">
        <v>182</v>
      </c>
      <c r="K153" s="6" t="s">
        <v>179</v>
      </c>
      <c r="L153" s="6" t="s">
        <v>188</v>
      </c>
      <c r="M153" s="6" t="s">
        <v>188</v>
      </c>
      <c r="N153" s="6">
        <f t="shared" si="5"/>
        <v>364</v>
      </c>
    </row>
    <row r="154" spans="1:14" x14ac:dyDescent="0.25">
      <c r="A154" s="6" t="s">
        <v>190</v>
      </c>
      <c r="B154" s="6" t="str">
        <f>Informações!$C$3</f>
        <v>IMA</v>
      </c>
      <c r="C154" s="6" t="s">
        <v>102</v>
      </c>
      <c r="D154" s="6" t="s">
        <v>102</v>
      </c>
      <c r="E154" s="2" t="s">
        <v>25</v>
      </c>
      <c r="F154" s="94" t="str">
        <f>VLOOKUP(G154,[1]Discrete!$A:$B,2,FALSE)</f>
        <v>71 - NIVEL ALTO OLEO CDC OU TRAFO</v>
      </c>
      <c r="G154" s="6" t="s">
        <v>712</v>
      </c>
      <c r="H154" s="6" t="str" cm="1">
        <f t="array" ref="H154">_xlfn.IFS(OR(D154="TC",D154="TP",AND(D154="TR",C154="AT"),AND(D154="TR",C154="BT")),CONCATENATE(B154,"_","TR",$B$3,C154,"_","TR",$B$3,C154,"_",G154),AND(D154="SECC",C154="BT"),CONCATENATE(B154,"_","TR",$B$3,C154,"_",$B$9,"_",G154),AND(D154="SECF",C154="AT"),CONCATENATE(B154,"_","TR",$B$3,C154,"_",$B$6,"_",G154),AND(D154="SECT",C154="AT"),CONCATENATE(B154,"_","TR",$B$3,C154,"_",$B$7,"_",G154),AND(D154="DJ",C154="AT"),CONCATENATE(B154,"_","TR",$B$3,C154,"_",$B$4,"_",G154),AND(D154="DJ",C154="BT"),CONCATENATE(B154,"_","TR",$B$3,C154,"_",$B$8,"_",G154),AND(C154="TR",D154="TR"),CONCATENATE(B154,"_","TR",$B$3,"_","TR",$B$3,"_",G154),AND(D154="SECT",C154="BT"),CONCATENATE(B154,"_","TR",$B$3,C154,"_",$B$11,"_",G154),AND(D154="SECF",C154="BT"),CONCATENATE(B154,"_","TR",$B$3,C154,"_",$B$10,"_",G154),AND(D154="SECC",C154="AT"),CONCATENATE(B154,"_","TR",$B$3,C154,"_",$B$5,"_",G154),AND(C154="AT",D154="TR_A"),CONCATENATE(B154,"_","TR",$B$3,C154,"_","TR",$B$3,C154,"_A","_",G154),AND(C154="AT",D154="TR_P"),CONCATENATE(B154,"_","TR",$B$3,C154,"_","TR",$B$3,C154,"_P","_",G154),AND(C154="BT",D154="TR_A"),CONCATENATE(B154,"_","TR",$B$3,C154,"_","TR",$B$3,C154,"_A","_",G154),AND(C154="BT",D154="TR_P"),CONCATENATE(B154,"_","TR",$B$3,C154,"_","TR",$B$3,C154,"_P","_",G154),AND(C154="TR",D154="TR_P"),CONCATENATE(B154,"_","TR",$B$3,"_","TR",$B$3,"_P","_",G154),AND(C154="TR",D154="TR_A"),CONCATENATE(B154,"_","TR",$B$3,"_","TR",$B$3,"_A","_",G154))</f>
        <v>IMA_TR7_TR7_71HI</v>
      </c>
      <c r="I154" s="6"/>
      <c r="J154" s="6" t="s">
        <v>182</v>
      </c>
      <c r="K154" s="6" t="s">
        <v>179</v>
      </c>
      <c r="L154" s="6" t="s">
        <v>188</v>
      </c>
      <c r="M154" s="6" t="s">
        <v>188</v>
      </c>
      <c r="N154" s="6">
        <f t="shared" si="5"/>
        <v>365</v>
      </c>
    </row>
    <row r="155" spans="1:14" x14ac:dyDescent="0.25">
      <c r="A155" s="6" t="s">
        <v>190</v>
      </c>
      <c r="B155" s="6" t="str">
        <f>Informações!$C$3</f>
        <v>IMA</v>
      </c>
      <c r="C155" s="6" t="s">
        <v>102</v>
      </c>
      <c r="D155" s="6" t="s">
        <v>102</v>
      </c>
      <c r="E155" s="2" t="s">
        <v>25</v>
      </c>
      <c r="F155" s="94" t="str">
        <f>VLOOKUP(G155,[1]Discrete!$A:$B,2,FALSE)</f>
        <v>71 - NIVEL BAIXO OLEO CDC OU TRAFO</v>
      </c>
      <c r="G155" s="6" t="s">
        <v>713</v>
      </c>
      <c r="H155" s="6" t="str" cm="1">
        <f t="array" ref="H155">_xlfn.IFS(OR(D155="TC",D155="TP",AND(D155="TR",C155="AT"),AND(D155="TR",C155="BT")),CONCATENATE(B155,"_","TR",$B$3,C155,"_","TR",$B$3,C155,"_",G155),AND(D155="SECC",C155="BT"),CONCATENATE(B155,"_","TR",$B$3,C155,"_",$B$9,"_",G155),AND(D155="SECF",C155="AT"),CONCATENATE(B155,"_","TR",$B$3,C155,"_",$B$6,"_",G155),AND(D155="SECT",C155="AT"),CONCATENATE(B155,"_","TR",$B$3,C155,"_",$B$7,"_",G155),AND(D155="DJ",C155="AT"),CONCATENATE(B155,"_","TR",$B$3,C155,"_",$B$4,"_",G155),AND(D155="DJ",C155="BT"),CONCATENATE(B155,"_","TR",$B$3,C155,"_",$B$8,"_",G155),AND(C155="TR",D155="TR"),CONCATENATE(B155,"_","TR",$B$3,"_","TR",$B$3,"_",G155),AND(D155="SECT",C155="BT"),CONCATENATE(B155,"_","TR",$B$3,C155,"_",$B$11,"_",G155),AND(D155="SECF",C155="BT"),CONCATENATE(B155,"_","TR",$B$3,C155,"_",$B$10,"_",G155),AND(D155="SECC",C155="AT"),CONCATENATE(B155,"_","TR",$B$3,C155,"_",$B$5,"_",G155),AND(C155="AT",D155="TR_A"),CONCATENATE(B155,"_","TR",$B$3,C155,"_","TR",$B$3,C155,"_A","_",G155),AND(C155="AT",D155="TR_P"),CONCATENATE(B155,"_","TR",$B$3,C155,"_","TR",$B$3,C155,"_P","_",G155),AND(C155="BT",D155="TR_A"),CONCATENATE(B155,"_","TR",$B$3,C155,"_","TR",$B$3,C155,"_A","_",G155),AND(C155="BT",D155="TR_P"),CONCATENATE(B155,"_","TR",$B$3,C155,"_","TR",$B$3,C155,"_P","_",G155),AND(C155="TR",D155="TR_P"),CONCATENATE(B155,"_","TR",$B$3,"_","TR",$B$3,"_P","_",G155),AND(C155="TR",D155="TR_A"),CONCATENATE(B155,"_","TR",$B$3,"_","TR",$B$3,"_A","_",G155))</f>
        <v>IMA_TR7_TR7_71LO</v>
      </c>
      <c r="I155" s="6"/>
      <c r="J155" s="6" t="s">
        <v>182</v>
      </c>
      <c r="K155" s="6" t="s">
        <v>179</v>
      </c>
      <c r="L155" s="6" t="s">
        <v>188</v>
      </c>
      <c r="M155" s="6" t="s">
        <v>188</v>
      </c>
      <c r="N155" s="6">
        <f t="shared" si="5"/>
        <v>366</v>
      </c>
    </row>
    <row r="156" spans="1:14" x14ac:dyDescent="0.25">
      <c r="A156" s="6" t="s">
        <v>190</v>
      </c>
      <c r="B156" s="6" t="str">
        <f>Informações!$C$3</f>
        <v>IMA</v>
      </c>
      <c r="C156" s="6" t="s">
        <v>102</v>
      </c>
      <c r="D156" s="6" t="s">
        <v>102</v>
      </c>
      <c r="E156" s="2" t="s">
        <v>25</v>
      </c>
      <c r="F156" s="6" t="e">
        <f>VLOOKUP(G156,[1]Discrete!$A:$B,2,FALSE)</f>
        <v>#N/A</v>
      </c>
      <c r="G156" s="6">
        <v>87</v>
      </c>
      <c r="H156" s="6" t="str" cm="1">
        <f t="array" ref="H156">_xlfn.IFS(OR(D156="TC",D156="TP",AND(D156="TR",C156="AT"),AND(D156="TR",C156="BT")),CONCATENATE(B156,"_","TR",$B$3,C156,"_","TR",$B$3,C156,"_",G156),AND(D156="SECC",C156="BT"),CONCATENATE(B156,"_","TR",$B$3,C156,"_",$B$9,"_",G156),AND(D156="SECF",C156="AT"),CONCATENATE(B156,"_","TR",$B$3,C156,"_",$B$6,"_",G156),AND(D156="SECT",C156="AT"),CONCATENATE(B156,"_","TR",$B$3,C156,"_",$B$7,"_",G156),AND(D156="DJ",C156="AT"),CONCATENATE(B156,"_","TR",$B$3,C156,"_",$B$4,"_",G156),AND(D156="DJ",C156="BT"),CONCATENATE(B156,"_","TR",$B$3,C156,"_",$B$8,"_",G156),AND(C156="TR",D156="TR"),CONCATENATE(B156,"_","TR",$B$3,"_","TR",$B$3,"_",G156),AND(D156="SECT",C156="BT"),CONCATENATE(B156,"_","TR",$B$3,C156,"_",$B$11,"_",G156),AND(D156="SECF",C156="BT"),CONCATENATE(B156,"_","TR",$B$3,C156,"_",$B$10,"_",G156),AND(D156="SECC",C156="AT"),CONCATENATE(B156,"_","TR",$B$3,C156,"_",$B$5,"_",G156),AND(C156="AT",D156="TR_A"),CONCATENATE(B156,"_","TR",$B$3,C156,"_","TR",$B$3,C156,"_A","_",G156),AND(C156="AT",D156="TR_P"),CONCATENATE(B156,"_","TR",$B$3,C156,"_","TR",$B$3,C156,"_P","_",G156),AND(C156="BT",D156="TR_A"),CONCATENATE(B156,"_","TR",$B$3,C156,"_","TR",$B$3,C156,"_A","_",G156),AND(C156="BT",D156="TR_P"),CONCATENATE(B156,"_","TR",$B$3,C156,"_","TR",$B$3,C156,"_P","_",G156),AND(C156="TR",D156="TR_P"),CONCATENATE(B156,"_","TR",$B$3,"_","TR",$B$3,"_P","_",G156),AND(C156="TR",D156="TR_A"),CONCATENATE(B156,"_","TR",$B$3,"_","TR",$B$3,"_A","_",G156))</f>
        <v>IMA_TR7_TR7_87</v>
      </c>
      <c r="I156" s="6"/>
      <c r="J156" s="6" t="s">
        <v>183</v>
      </c>
      <c r="K156" s="6" t="s">
        <v>184</v>
      </c>
      <c r="L156" s="6" t="s">
        <v>188</v>
      </c>
      <c r="M156" s="6" t="s">
        <v>188</v>
      </c>
      <c r="N156" s="6">
        <f>N155+1</f>
        <v>367</v>
      </c>
    </row>
    <row r="157" spans="1:14" x14ac:dyDescent="0.25">
      <c r="A157" s="6" t="s">
        <v>190</v>
      </c>
      <c r="B157" s="6" t="str">
        <f>Informações!$C$3</f>
        <v>IMA</v>
      </c>
      <c r="C157" s="6" t="s">
        <v>102</v>
      </c>
      <c r="D157" s="6" t="s">
        <v>212</v>
      </c>
      <c r="E157" s="2" t="s">
        <v>25</v>
      </c>
      <c r="F157" s="6" t="str">
        <f>VLOOKUP(G157,[1]Discrete!$A:$B,2,FALSE)</f>
        <v>87 - TRIP DIFERENCIAL</v>
      </c>
      <c r="G157" s="6" t="s">
        <v>359</v>
      </c>
      <c r="H157" s="6" t="str" cm="1">
        <f t="array" ref="H157">_xlfn.IFS(OR(D157="TC",D157="TP",AND(D157="TR",C157="AT"),AND(D157="TR",C157="BT")),CONCATENATE(B157,"_","TR",$B$3,C157,"_","TR",$B$3,C157,"_",G157),AND(D157="SECC",C157="BT"),CONCATENATE(B157,"_","TR",$B$3,C157,"_",$B$9,"_",G157),AND(D157="SECF",C157="AT"),CONCATENATE(B157,"_","TR",$B$3,C157,"_",$B$6,"_",G157),AND(D157="SECT",C157="AT"),CONCATENATE(B157,"_","TR",$B$3,C157,"_",$B$7,"_",G157),AND(D157="DJ",C157="AT"),CONCATENATE(B157,"_","TR",$B$3,C157,"_",$B$4,"_",G157),AND(D157="DJ",C157="BT"),CONCATENATE(B157,"_","TR",$B$3,C157,"_",$B$8,"_",G157),AND(C157="TR",D157="TR"),CONCATENATE(B157,"_","TR",$B$3,"_","TR",$B$3,"_",G157),AND(D157="SECT",C157="BT"),CONCATENATE(B157,"_","TR",$B$3,C157,"_",$B$11,"_",G157),AND(D157="SECF",C157="BT"),CONCATENATE(B157,"_","TR",$B$3,C157,"_",$B$10,"_",G157),AND(D157="SECC",C157="AT"),CONCATENATE(B157,"_","TR",$B$3,C157,"_",$B$5,"_",G157),AND(C157="AT",D157="TR_A"),CONCATENATE(B157,"_","TR",$B$3,C157,"_","TR",$B$3,C157,"_A","_",G157),AND(C157="AT",D157="TR_P"),CONCATENATE(B157,"_","TR",$B$3,C157,"_","TR",$B$3,C157,"_P","_",G157),AND(C157="BT",D157="TR_A"),CONCATENATE(B157,"_","TR",$B$3,C157,"_","TR",$B$3,C157,"_A","_",G157),AND(C157="BT",D157="TR_P"),CONCATENATE(B157,"_","TR",$B$3,C157,"_","TR",$B$3,C157,"_P","_",G157),AND(C157="TR",D157="TR_P"),CONCATENATE(B157,"_","TR",$B$3,"_","TR",$B$3,"_P","_",G157),AND(C157="TR",D157="TR_A"),CONCATENATE(B157,"_","TR",$B$3,"_","TR",$B$3,"_A","_",G157))</f>
        <v>IMA_TR7_TR7_P_87_T</v>
      </c>
      <c r="I157" s="6"/>
      <c r="J157" s="6" t="s">
        <v>182</v>
      </c>
      <c r="K157" s="6" t="s">
        <v>179</v>
      </c>
      <c r="L157" s="6" t="s">
        <v>188</v>
      </c>
      <c r="M157" s="6" t="s">
        <v>188</v>
      </c>
      <c r="N157" s="6">
        <f t="shared" si="5"/>
        <v>368</v>
      </c>
    </row>
    <row r="158" spans="1:14" x14ac:dyDescent="0.25">
      <c r="A158" s="6" t="s">
        <v>190</v>
      </c>
      <c r="B158" s="6" t="str">
        <f>Informações!$C$3</f>
        <v>IMA</v>
      </c>
      <c r="C158" s="6" t="s">
        <v>102</v>
      </c>
      <c r="D158" s="6" t="s">
        <v>212</v>
      </c>
      <c r="E158" s="2" t="s">
        <v>25</v>
      </c>
      <c r="F158" s="6" t="str">
        <f>VLOOKUP(G158,[1]Discrete!$A:$B,2,FALSE)</f>
        <v>87 - DIFERENCIAL FASE A</v>
      </c>
      <c r="G158" s="6" t="s">
        <v>361</v>
      </c>
      <c r="H158" s="6" t="str" cm="1">
        <f t="array" ref="H158">_xlfn.IFS(OR(D158="TC",D158="TP",AND(D158="TR",C158="AT"),AND(D158="TR",C158="BT")),CONCATENATE(B158,"_","TR",$B$3,C158,"_","TR",$B$3,C158,"_",G158),AND(D158="SECC",C158="BT"),CONCATENATE(B158,"_","TR",$B$3,C158,"_",$B$9,"_",G158),AND(D158="SECF",C158="AT"),CONCATENATE(B158,"_","TR",$B$3,C158,"_",$B$6,"_",G158),AND(D158="SECT",C158="AT"),CONCATENATE(B158,"_","TR",$B$3,C158,"_",$B$7,"_",G158),AND(D158="DJ",C158="AT"),CONCATENATE(B158,"_","TR",$B$3,C158,"_",$B$4,"_",G158),AND(D158="DJ",C158="BT"),CONCATENATE(B158,"_","TR",$B$3,C158,"_",$B$8,"_",G158),AND(C158="TR",D158="TR"),CONCATENATE(B158,"_","TR",$B$3,"_","TR",$B$3,"_",G158),AND(D158="SECT",C158="BT"),CONCATENATE(B158,"_","TR",$B$3,C158,"_",$B$11,"_",G158),AND(D158="SECF",C158="BT"),CONCATENATE(B158,"_","TR",$B$3,C158,"_",$B$10,"_",G158),AND(D158="SECC",C158="AT"),CONCATENATE(B158,"_","TR",$B$3,C158,"_",$B$5,"_",G158),AND(C158="AT",D158="TR_A"),CONCATENATE(B158,"_","TR",$B$3,C158,"_","TR",$B$3,C158,"_A","_",G158),AND(C158="AT",D158="TR_P"),CONCATENATE(B158,"_","TR",$B$3,C158,"_","TR",$B$3,C158,"_P","_",G158),AND(C158="BT",D158="TR_A"),CONCATENATE(B158,"_","TR",$B$3,C158,"_","TR",$B$3,C158,"_A","_",G158),AND(C158="BT",D158="TR_P"),CONCATENATE(B158,"_","TR",$B$3,C158,"_","TR",$B$3,C158,"_P","_",G158),AND(C158="TR",D158="TR_P"),CONCATENATE(B158,"_","TR",$B$3,"_","TR",$B$3,"_P","_",G158),AND(C158="TR",D158="TR_A"),CONCATENATE(B158,"_","TR",$B$3,"_","TR",$B$3,"_A","_",G158))</f>
        <v>IMA_TR7_TR7_P_87A</v>
      </c>
      <c r="I158" s="6"/>
      <c r="J158" s="6" t="s">
        <v>182</v>
      </c>
      <c r="K158" s="6" t="s">
        <v>179</v>
      </c>
      <c r="L158" s="6" t="s">
        <v>188</v>
      </c>
      <c r="M158" s="6" t="s">
        <v>188</v>
      </c>
      <c r="N158" s="6">
        <f t="shared" si="5"/>
        <v>369</v>
      </c>
    </row>
    <row r="159" spans="1:14" x14ac:dyDescent="0.25">
      <c r="A159" s="6" t="s">
        <v>190</v>
      </c>
      <c r="B159" s="6" t="str">
        <f>Informações!$C$3</f>
        <v>IMA</v>
      </c>
      <c r="C159" s="6" t="s">
        <v>102</v>
      </c>
      <c r="D159" s="6" t="s">
        <v>212</v>
      </c>
      <c r="E159" s="2" t="s">
        <v>25</v>
      </c>
      <c r="F159" s="6" t="str">
        <f>VLOOKUP(G159,[1]Discrete!$A:$B,2,FALSE)</f>
        <v>87 - DIFERENCIAL FASE B</v>
      </c>
      <c r="G159" s="6" t="s">
        <v>360</v>
      </c>
      <c r="H159" s="6" t="str" cm="1">
        <f t="array" ref="H159">_xlfn.IFS(OR(D159="TC",D159="TP",AND(D159="TR",C159="AT"),AND(D159="TR",C159="BT")),CONCATENATE(B159,"_","TR",$B$3,C159,"_","TR",$B$3,C159,"_",G159),AND(D159="SECC",C159="BT"),CONCATENATE(B159,"_","TR",$B$3,C159,"_",$B$9,"_",G159),AND(D159="SECF",C159="AT"),CONCATENATE(B159,"_","TR",$B$3,C159,"_",$B$6,"_",G159),AND(D159="SECT",C159="AT"),CONCATENATE(B159,"_","TR",$B$3,C159,"_",$B$7,"_",G159),AND(D159="DJ",C159="AT"),CONCATENATE(B159,"_","TR",$B$3,C159,"_",$B$4,"_",G159),AND(D159="DJ",C159="BT"),CONCATENATE(B159,"_","TR",$B$3,C159,"_",$B$8,"_",G159),AND(C159="TR",D159="TR"),CONCATENATE(B159,"_","TR",$B$3,"_","TR",$B$3,"_",G159),AND(D159="SECT",C159="BT"),CONCATENATE(B159,"_","TR",$B$3,C159,"_",$B$11,"_",G159),AND(D159="SECF",C159="BT"),CONCATENATE(B159,"_","TR",$B$3,C159,"_",$B$10,"_",G159),AND(D159="SECC",C159="AT"),CONCATENATE(B159,"_","TR",$B$3,C159,"_",$B$5,"_",G159),AND(C159="AT",D159="TR_A"),CONCATENATE(B159,"_","TR",$B$3,C159,"_","TR",$B$3,C159,"_A","_",G159),AND(C159="AT",D159="TR_P"),CONCATENATE(B159,"_","TR",$B$3,C159,"_","TR",$B$3,C159,"_P","_",G159),AND(C159="BT",D159="TR_A"),CONCATENATE(B159,"_","TR",$B$3,C159,"_","TR",$B$3,C159,"_A","_",G159),AND(C159="BT",D159="TR_P"),CONCATENATE(B159,"_","TR",$B$3,C159,"_","TR",$B$3,C159,"_P","_",G159),AND(C159="TR",D159="TR_P"),CONCATENATE(B159,"_","TR",$B$3,"_","TR",$B$3,"_P","_",G159),AND(C159="TR",D159="TR_A"),CONCATENATE(B159,"_","TR",$B$3,"_","TR",$B$3,"_A","_",G159))</f>
        <v>IMA_TR7_TR7_P_87B</v>
      </c>
      <c r="I159" s="6"/>
      <c r="J159" s="6" t="s">
        <v>182</v>
      </c>
      <c r="K159" s="6" t="s">
        <v>179</v>
      </c>
      <c r="L159" s="6" t="s">
        <v>188</v>
      </c>
      <c r="M159" s="6" t="s">
        <v>188</v>
      </c>
      <c r="N159" s="6">
        <f t="shared" si="5"/>
        <v>370</v>
      </c>
    </row>
    <row r="160" spans="1:14" x14ac:dyDescent="0.25">
      <c r="A160" s="6" t="s">
        <v>190</v>
      </c>
      <c r="B160" s="6" t="str">
        <f>Informações!$C$3</f>
        <v>IMA</v>
      </c>
      <c r="C160" s="6" t="s">
        <v>102</v>
      </c>
      <c r="D160" s="6" t="s">
        <v>212</v>
      </c>
      <c r="E160" s="2" t="s">
        <v>25</v>
      </c>
      <c r="F160" s="6" t="str">
        <f>VLOOKUP(G160,[1]Discrete!$A:$B,2,FALSE)</f>
        <v>87 - DIFERENCIAL FASE C</v>
      </c>
      <c r="G160" s="6" t="s">
        <v>362</v>
      </c>
      <c r="H160" s="6" t="str" cm="1">
        <f t="array" ref="H160">_xlfn.IFS(OR(D160="TC",D160="TP",AND(D160="TR",C160="AT"),AND(D160="TR",C160="BT")),CONCATENATE(B160,"_","TR",$B$3,C160,"_","TR",$B$3,C160,"_",G160),AND(D160="SECC",C160="BT"),CONCATENATE(B160,"_","TR",$B$3,C160,"_",$B$9,"_",G160),AND(D160="SECF",C160="AT"),CONCATENATE(B160,"_","TR",$B$3,C160,"_",$B$6,"_",G160),AND(D160="SECT",C160="AT"),CONCATENATE(B160,"_","TR",$B$3,C160,"_",$B$7,"_",G160),AND(D160="DJ",C160="AT"),CONCATENATE(B160,"_","TR",$B$3,C160,"_",$B$4,"_",G160),AND(D160="DJ",C160="BT"),CONCATENATE(B160,"_","TR",$B$3,C160,"_",$B$8,"_",G160),AND(C160="TR",D160="TR"),CONCATENATE(B160,"_","TR",$B$3,"_","TR",$B$3,"_",G160),AND(D160="SECT",C160="BT"),CONCATENATE(B160,"_","TR",$B$3,C160,"_",$B$11,"_",G160),AND(D160="SECF",C160="BT"),CONCATENATE(B160,"_","TR",$B$3,C160,"_",$B$10,"_",G160),AND(D160="SECC",C160="AT"),CONCATENATE(B160,"_","TR",$B$3,C160,"_",$B$5,"_",G160),AND(C160="AT",D160="TR_A"),CONCATENATE(B160,"_","TR",$B$3,C160,"_","TR",$B$3,C160,"_A","_",G160),AND(C160="AT",D160="TR_P"),CONCATENATE(B160,"_","TR",$B$3,C160,"_","TR",$B$3,C160,"_P","_",G160),AND(C160="BT",D160="TR_A"),CONCATENATE(B160,"_","TR",$B$3,C160,"_","TR",$B$3,C160,"_A","_",G160),AND(C160="BT",D160="TR_P"),CONCATENATE(B160,"_","TR",$B$3,C160,"_","TR",$B$3,C160,"_P","_",G160),AND(C160="TR",D160="TR_P"),CONCATENATE(B160,"_","TR",$B$3,"_","TR",$B$3,"_P","_",G160),AND(C160="TR",D160="TR_A"),CONCATENATE(B160,"_","TR",$B$3,"_","TR",$B$3,"_A","_",G160))</f>
        <v>IMA_TR7_TR7_P_87C</v>
      </c>
      <c r="I160" s="6"/>
      <c r="J160" s="6" t="s">
        <v>182</v>
      </c>
      <c r="K160" s="6" t="s">
        <v>179</v>
      </c>
      <c r="L160" s="6" t="s">
        <v>188</v>
      </c>
      <c r="M160" s="6" t="s">
        <v>188</v>
      </c>
      <c r="N160" s="6">
        <f t="shared" si="5"/>
        <v>371</v>
      </c>
    </row>
    <row r="161" spans="1:14" x14ac:dyDescent="0.25">
      <c r="A161" s="6" t="s">
        <v>190</v>
      </c>
      <c r="B161" s="6" t="str">
        <f>Informações!$C$3</f>
        <v>IMA</v>
      </c>
      <c r="C161" s="6" t="s">
        <v>102</v>
      </c>
      <c r="D161" s="6" t="s">
        <v>211</v>
      </c>
      <c r="E161" s="2" t="s">
        <v>25</v>
      </c>
      <c r="F161" s="6" t="str">
        <f>VLOOKUP(G161,[1]Discrete!$A:$B,2,FALSE)</f>
        <v>87 - TRIP DIFERENCIAL</v>
      </c>
      <c r="G161" s="6" t="s">
        <v>359</v>
      </c>
      <c r="H161" s="6" t="str" cm="1">
        <f t="array" ref="H161">_xlfn.IFS(OR(D161="TC",D161="TP",AND(D161="TR",C161="AT"),AND(D161="TR",C161="BT")),CONCATENATE(B161,"_","TR",$B$3,C161,"_","TR",$B$3,C161,"_",G161),AND(D161="SECC",C161="BT"),CONCATENATE(B161,"_","TR",$B$3,C161,"_",$B$9,"_",G161),AND(D161="SECF",C161="AT"),CONCATENATE(B161,"_","TR",$B$3,C161,"_",$B$6,"_",G161),AND(D161="SECT",C161="AT"),CONCATENATE(B161,"_","TR",$B$3,C161,"_",$B$7,"_",G161),AND(D161="DJ",C161="AT"),CONCATENATE(B161,"_","TR",$B$3,C161,"_",$B$4,"_",G161),AND(D161="DJ",C161="BT"),CONCATENATE(B161,"_","TR",$B$3,C161,"_",$B$8,"_",G161),AND(C161="TR",D161="TR"),CONCATENATE(B161,"_","TR",$B$3,"_","TR",$B$3,"_",G161),AND(D161="SECT",C161="BT"),CONCATENATE(B161,"_","TR",$B$3,C161,"_",$B$11,"_",G161),AND(D161="SECF",C161="BT"),CONCATENATE(B161,"_","TR",$B$3,C161,"_",$B$10,"_",G161),AND(D161="SECC",C161="AT"),CONCATENATE(B161,"_","TR",$B$3,C161,"_",$B$5,"_",G161),AND(C161="AT",D161="TR_A"),CONCATENATE(B161,"_","TR",$B$3,C161,"_","TR",$B$3,C161,"_A","_",G161),AND(C161="AT",D161="TR_P"),CONCATENATE(B161,"_","TR",$B$3,C161,"_","TR",$B$3,C161,"_P","_",G161),AND(C161="BT",D161="TR_A"),CONCATENATE(B161,"_","TR",$B$3,C161,"_","TR",$B$3,C161,"_A","_",G161),AND(C161="BT",D161="TR_P"),CONCATENATE(B161,"_","TR",$B$3,C161,"_","TR",$B$3,C161,"_P","_",G161),AND(C161="TR",D161="TR_P"),CONCATENATE(B161,"_","TR",$B$3,"_","TR",$B$3,"_P","_",G161),AND(C161="TR",D161="TR_A"),CONCATENATE(B161,"_","TR",$B$3,"_","TR",$B$3,"_A","_",G161))</f>
        <v>IMA_TR7_TR7_A_87_T</v>
      </c>
      <c r="I161" s="6"/>
      <c r="J161" s="6" t="s">
        <v>182</v>
      </c>
      <c r="K161" s="6" t="s">
        <v>179</v>
      </c>
      <c r="L161" s="6" t="s">
        <v>188</v>
      </c>
      <c r="M161" s="6" t="s">
        <v>188</v>
      </c>
      <c r="N161" s="6">
        <f t="shared" si="5"/>
        <v>372</v>
      </c>
    </row>
    <row r="162" spans="1:14" x14ac:dyDescent="0.25">
      <c r="A162" s="6" t="s">
        <v>190</v>
      </c>
      <c r="B162" s="6" t="str">
        <f>Informações!$C$3</f>
        <v>IMA</v>
      </c>
      <c r="C162" s="6" t="s">
        <v>102</v>
      </c>
      <c r="D162" s="6" t="s">
        <v>211</v>
      </c>
      <c r="E162" s="2" t="s">
        <v>25</v>
      </c>
      <c r="F162" s="6" t="str">
        <f>VLOOKUP(G162,[1]Discrete!$A:$B,2,FALSE)</f>
        <v>87 - DIFERENCIAL FASE A</v>
      </c>
      <c r="G162" s="6" t="s">
        <v>361</v>
      </c>
      <c r="H162" s="6" t="str" cm="1">
        <f t="array" ref="H162">_xlfn.IFS(OR(D162="TC",D162="TP",AND(D162="TR",C162="AT"),AND(D162="TR",C162="BT")),CONCATENATE(B162,"_","TR",$B$3,C162,"_","TR",$B$3,C162,"_",G162),AND(D162="SECC",C162="BT"),CONCATENATE(B162,"_","TR",$B$3,C162,"_",$B$9,"_",G162),AND(D162="SECF",C162="AT"),CONCATENATE(B162,"_","TR",$B$3,C162,"_",$B$6,"_",G162),AND(D162="SECT",C162="AT"),CONCATENATE(B162,"_","TR",$B$3,C162,"_",$B$7,"_",G162),AND(D162="DJ",C162="AT"),CONCATENATE(B162,"_","TR",$B$3,C162,"_",$B$4,"_",G162),AND(D162="DJ",C162="BT"),CONCATENATE(B162,"_","TR",$B$3,C162,"_",$B$8,"_",G162),AND(C162="TR",D162="TR"),CONCATENATE(B162,"_","TR",$B$3,"_","TR",$B$3,"_",G162),AND(D162="SECT",C162="BT"),CONCATENATE(B162,"_","TR",$B$3,C162,"_",$B$11,"_",G162),AND(D162="SECF",C162="BT"),CONCATENATE(B162,"_","TR",$B$3,C162,"_",$B$10,"_",G162),AND(D162="SECC",C162="AT"),CONCATENATE(B162,"_","TR",$B$3,C162,"_",$B$5,"_",G162),AND(C162="AT",D162="TR_A"),CONCATENATE(B162,"_","TR",$B$3,C162,"_","TR",$B$3,C162,"_A","_",G162),AND(C162="AT",D162="TR_P"),CONCATENATE(B162,"_","TR",$B$3,C162,"_","TR",$B$3,C162,"_P","_",G162),AND(C162="BT",D162="TR_A"),CONCATENATE(B162,"_","TR",$B$3,C162,"_","TR",$B$3,C162,"_A","_",G162),AND(C162="BT",D162="TR_P"),CONCATENATE(B162,"_","TR",$B$3,C162,"_","TR",$B$3,C162,"_P","_",G162),AND(C162="TR",D162="TR_P"),CONCATENATE(B162,"_","TR",$B$3,"_","TR",$B$3,"_P","_",G162),AND(C162="TR",D162="TR_A"),CONCATENATE(B162,"_","TR",$B$3,"_","TR",$B$3,"_A","_",G162))</f>
        <v>IMA_TR7_TR7_A_87A</v>
      </c>
      <c r="I162" s="6"/>
      <c r="J162" s="6" t="s">
        <v>182</v>
      </c>
      <c r="K162" s="6" t="s">
        <v>179</v>
      </c>
      <c r="L162" s="6" t="s">
        <v>188</v>
      </c>
      <c r="M162" s="6" t="s">
        <v>188</v>
      </c>
      <c r="N162" s="6">
        <f t="shared" si="5"/>
        <v>373</v>
      </c>
    </row>
    <row r="163" spans="1:14" x14ac:dyDescent="0.25">
      <c r="A163" s="6" t="s">
        <v>190</v>
      </c>
      <c r="B163" s="6" t="str">
        <f>Informações!$C$3</f>
        <v>IMA</v>
      </c>
      <c r="C163" s="6" t="s">
        <v>102</v>
      </c>
      <c r="D163" s="6" t="s">
        <v>211</v>
      </c>
      <c r="E163" s="2" t="s">
        <v>25</v>
      </c>
      <c r="F163" s="6" t="str">
        <f>VLOOKUP(G163,[1]Discrete!$A:$B,2,FALSE)</f>
        <v>87 - DIFERENCIAL FASE B</v>
      </c>
      <c r="G163" s="6" t="s">
        <v>360</v>
      </c>
      <c r="H163" s="6" t="str" cm="1">
        <f t="array" ref="H163">_xlfn.IFS(OR(D163="TC",D163="TP",AND(D163="TR",C163="AT"),AND(D163="TR",C163="BT")),CONCATENATE(B163,"_","TR",$B$3,C163,"_","TR",$B$3,C163,"_",G163),AND(D163="SECC",C163="BT"),CONCATENATE(B163,"_","TR",$B$3,C163,"_",$B$9,"_",G163),AND(D163="SECF",C163="AT"),CONCATENATE(B163,"_","TR",$B$3,C163,"_",$B$6,"_",G163),AND(D163="SECT",C163="AT"),CONCATENATE(B163,"_","TR",$B$3,C163,"_",$B$7,"_",G163),AND(D163="DJ",C163="AT"),CONCATENATE(B163,"_","TR",$B$3,C163,"_",$B$4,"_",G163),AND(D163="DJ",C163="BT"),CONCATENATE(B163,"_","TR",$B$3,C163,"_",$B$8,"_",G163),AND(C163="TR",D163="TR"),CONCATENATE(B163,"_","TR",$B$3,"_","TR",$B$3,"_",G163),AND(D163="SECT",C163="BT"),CONCATENATE(B163,"_","TR",$B$3,C163,"_",$B$11,"_",G163),AND(D163="SECF",C163="BT"),CONCATENATE(B163,"_","TR",$B$3,C163,"_",$B$10,"_",G163),AND(D163="SECC",C163="AT"),CONCATENATE(B163,"_","TR",$B$3,C163,"_",$B$5,"_",G163),AND(C163="AT",D163="TR_A"),CONCATENATE(B163,"_","TR",$B$3,C163,"_","TR",$B$3,C163,"_A","_",G163),AND(C163="AT",D163="TR_P"),CONCATENATE(B163,"_","TR",$B$3,C163,"_","TR",$B$3,C163,"_P","_",G163),AND(C163="BT",D163="TR_A"),CONCATENATE(B163,"_","TR",$B$3,C163,"_","TR",$B$3,C163,"_A","_",G163),AND(C163="BT",D163="TR_P"),CONCATENATE(B163,"_","TR",$B$3,C163,"_","TR",$B$3,C163,"_P","_",G163),AND(C163="TR",D163="TR_P"),CONCATENATE(B163,"_","TR",$B$3,"_","TR",$B$3,"_P","_",G163),AND(C163="TR",D163="TR_A"),CONCATENATE(B163,"_","TR",$B$3,"_","TR",$B$3,"_A","_",G163))</f>
        <v>IMA_TR7_TR7_A_87B</v>
      </c>
      <c r="I163" s="6"/>
      <c r="J163" s="6" t="s">
        <v>182</v>
      </c>
      <c r="K163" s="6" t="s">
        <v>179</v>
      </c>
      <c r="L163" s="6" t="s">
        <v>188</v>
      </c>
      <c r="M163" s="6" t="s">
        <v>188</v>
      </c>
      <c r="N163" s="6">
        <f t="shared" si="5"/>
        <v>374</v>
      </c>
    </row>
    <row r="164" spans="1:14" x14ac:dyDescent="0.25">
      <c r="A164" s="6" t="s">
        <v>190</v>
      </c>
      <c r="B164" s="6" t="str">
        <f>Informações!$C$3</f>
        <v>IMA</v>
      </c>
      <c r="C164" s="6" t="s">
        <v>102</v>
      </c>
      <c r="D164" s="6" t="s">
        <v>211</v>
      </c>
      <c r="E164" s="2" t="s">
        <v>25</v>
      </c>
      <c r="F164" s="6" t="str">
        <f>VLOOKUP(G164,[1]Discrete!$A:$B,2,FALSE)</f>
        <v>87 - DIFERENCIAL FASE C</v>
      </c>
      <c r="G164" s="6" t="s">
        <v>362</v>
      </c>
      <c r="H164" s="6" t="str" cm="1">
        <f t="array" ref="H164">_xlfn.IFS(OR(D164="TC",D164="TP",AND(D164="TR",C164="AT"),AND(D164="TR",C164="BT")),CONCATENATE(B164,"_","TR",$B$3,C164,"_","TR",$B$3,C164,"_",G164),AND(D164="SECC",C164="BT"),CONCATENATE(B164,"_","TR",$B$3,C164,"_",$B$9,"_",G164),AND(D164="SECF",C164="AT"),CONCATENATE(B164,"_","TR",$B$3,C164,"_",$B$6,"_",G164),AND(D164="SECT",C164="AT"),CONCATENATE(B164,"_","TR",$B$3,C164,"_",$B$7,"_",G164),AND(D164="DJ",C164="AT"),CONCATENATE(B164,"_","TR",$B$3,C164,"_",$B$4,"_",G164),AND(D164="DJ",C164="BT"),CONCATENATE(B164,"_","TR",$B$3,C164,"_",$B$8,"_",G164),AND(C164="TR",D164="TR"),CONCATENATE(B164,"_","TR",$B$3,"_","TR",$B$3,"_",G164),AND(D164="SECT",C164="BT"),CONCATENATE(B164,"_","TR",$B$3,C164,"_",$B$11,"_",G164),AND(D164="SECF",C164="BT"),CONCATENATE(B164,"_","TR",$B$3,C164,"_",$B$10,"_",G164),AND(D164="SECC",C164="AT"),CONCATENATE(B164,"_","TR",$B$3,C164,"_",$B$5,"_",G164),AND(C164="AT",D164="TR_A"),CONCATENATE(B164,"_","TR",$B$3,C164,"_","TR",$B$3,C164,"_A","_",G164),AND(C164="AT",D164="TR_P"),CONCATENATE(B164,"_","TR",$B$3,C164,"_","TR",$B$3,C164,"_P","_",G164),AND(C164="BT",D164="TR_A"),CONCATENATE(B164,"_","TR",$B$3,C164,"_","TR",$B$3,C164,"_A","_",G164),AND(C164="BT",D164="TR_P"),CONCATENATE(B164,"_","TR",$B$3,C164,"_","TR",$B$3,C164,"_P","_",G164),AND(C164="TR",D164="TR_P"),CONCATENATE(B164,"_","TR",$B$3,"_","TR",$B$3,"_P","_",G164),AND(C164="TR",D164="TR_A"),CONCATENATE(B164,"_","TR",$B$3,"_","TR",$B$3,"_A","_",G164))</f>
        <v>IMA_TR7_TR7_A_87C</v>
      </c>
      <c r="I164" s="6"/>
      <c r="J164" s="6" t="s">
        <v>182</v>
      </c>
      <c r="K164" s="6" t="s">
        <v>179</v>
      </c>
      <c r="L164" s="6" t="s">
        <v>188</v>
      </c>
      <c r="M164" s="6" t="s">
        <v>188</v>
      </c>
      <c r="N164" s="6">
        <f t="shared" si="5"/>
        <v>375</v>
      </c>
    </row>
    <row r="165" spans="1:14" x14ac:dyDescent="0.25">
      <c r="A165" s="6" t="s">
        <v>190</v>
      </c>
      <c r="B165" s="6" t="str">
        <f>Informações!$C$3</f>
        <v>IMA</v>
      </c>
      <c r="C165" s="6" t="s">
        <v>102</v>
      </c>
      <c r="D165" s="6" t="s">
        <v>102</v>
      </c>
      <c r="E165" s="2" t="s">
        <v>25</v>
      </c>
      <c r="F165" s="6" t="str">
        <f>VLOOKUP(G165,[1]Discrete!$A:$B,2,FALSE)</f>
        <v>26 - ALARME TEMPERATURA OLEO</v>
      </c>
      <c r="G165" s="6" t="s">
        <v>121</v>
      </c>
      <c r="H165" s="6" t="str" cm="1">
        <f t="array" ref="H165">_xlfn.IFS(OR(D165="TC",D165="TP",AND(D165="TR",C165="AT"),AND(D165="TR",C165="BT")),CONCATENATE(B165,"_","TR",$B$3,C165,"_","TR",$B$3,C165,"_",G165),AND(D165="SECC",C165="BT"),CONCATENATE(B165,"_","TR",$B$3,C165,"_",$B$9,"_",G165),AND(D165="SECF",C165="AT"),CONCATENATE(B165,"_","TR",$B$3,C165,"_",$B$6,"_",G165),AND(D165="SECT",C165="AT"),CONCATENATE(B165,"_","TR",$B$3,C165,"_",$B$7,"_",G165),AND(D165="DJ",C165="AT"),CONCATENATE(B165,"_","TR",$B$3,C165,"_",$B$4,"_",G165),AND(D165="DJ",C165="BT"),CONCATENATE(B165,"_","TR",$B$3,C165,"_",$B$8,"_",G165),AND(C165="TR",D165="TR"),CONCATENATE(B165,"_","TR",$B$3,"_","TR",$B$3,"_",G165),AND(D165="SECT",C165="BT"),CONCATENATE(B165,"_","TR",$B$3,C165,"_",$B$11,"_",G165),AND(D165="SECF",C165="BT"),CONCATENATE(B165,"_","TR",$B$3,C165,"_",$B$10,"_",G165),AND(D165="SECC",C165="AT"),CONCATENATE(B165,"_","TR",$B$3,C165,"_",$B$5,"_",G165),AND(C165="AT",D165="TR_A"),CONCATENATE(B165,"_","TR",$B$3,C165,"_","TR",$B$3,C165,"_A","_",G165),AND(C165="AT",D165="TR_P"),CONCATENATE(B165,"_","TR",$B$3,C165,"_","TR",$B$3,C165,"_P","_",G165),AND(C165="BT",D165="TR_A"),CONCATENATE(B165,"_","TR",$B$3,C165,"_","TR",$B$3,C165,"_A","_",G165),AND(C165="BT",D165="TR_P"),CONCATENATE(B165,"_","TR",$B$3,C165,"_","TR",$B$3,C165,"_P","_",G165),AND(C165="TR",D165="TR_P"),CONCATENATE(B165,"_","TR",$B$3,"_","TR",$B$3,"_P","_",G165),AND(C165="TR",D165="TR_A"),CONCATENATE(B165,"_","TR",$B$3,"_","TR",$B$3,"_A","_",G165))</f>
        <v>IMA_TR7_TR7_TOA</v>
      </c>
      <c r="I165" s="6"/>
      <c r="J165" s="6" t="s">
        <v>182</v>
      </c>
      <c r="K165" s="6" t="s">
        <v>179</v>
      </c>
      <c r="L165" s="6" t="s">
        <v>188</v>
      </c>
      <c r="M165" s="6" t="s">
        <v>188</v>
      </c>
      <c r="N165" s="6">
        <f t="shared" si="5"/>
        <v>376</v>
      </c>
    </row>
    <row r="166" spans="1:14" x14ac:dyDescent="0.25">
      <c r="A166" s="6" t="s">
        <v>190</v>
      </c>
      <c r="B166" s="6" t="str">
        <f>Informações!$C$3</f>
        <v>IMA</v>
      </c>
      <c r="C166" s="6" t="s">
        <v>102</v>
      </c>
      <c r="D166" s="6" t="s">
        <v>102</v>
      </c>
      <c r="E166" s="2" t="s">
        <v>25</v>
      </c>
      <c r="F166" s="6" t="str">
        <f>VLOOKUP(G166,[1]Discrete!$A:$B,2,FALSE)</f>
        <v>26 - TRIP TEMPERATURA OLEO</v>
      </c>
      <c r="G166" s="6" t="s">
        <v>122</v>
      </c>
      <c r="H166" s="6" t="str" cm="1">
        <f t="array" ref="H166">_xlfn.IFS(OR(D166="TC",D166="TP",AND(D166="TR",C166="AT"),AND(D166="TR",C166="BT")),CONCATENATE(B166,"_","TR",$B$3,C166,"_","TR",$B$3,C166,"_",G166),AND(D166="SECC",C166="BT"),CONCATENATE(B166,"_","TR",$B$3,C166,"_",$B$9,"_",G166),AND(D166="SECF",C166="AT"),CONCATENATE(B166,"_","TR",$B$3,C166,"_",$B$6,"_",G166),AND(D166="SECT",C166="AT"),CONCATENATE(B166,"_","TR",$B$3,C166,"_",$B$7,"_",G166),AND(D166="DJ",C166="AT"),CONCATENATE(B166,"_","TR",$B$3,C166,"_",$B$4,"_",G166),AND(D166="DJ",C166="BT"),CONCATENATE(B166,"_","TR",$B$3,C166,"_",$B$8,"_",G166),AND(C166="TR",D166="TR"),CONCATENATE(B166,"_","TR",$B$3,"_","TR",$B$3,"_",G166),AND(D166="SECT",C166="BT"),CONCATENATE(B166,"_","TR",$B$3,C166,"_",$B$11,"_",G166),AND(D166="SECF",C166="BT"),CONCATENATE(B166,"_","TR",$B$3,C166,"_",$B$10,"_",G166),AND(D166="SECC",C166="AT"),CONCATENATE(B166,"_","TR",$B$3,C166,"_",$B$5,"_",G166),AND(C166="AT",D166="TR_A"),CONCATENATE(B166,"_","TR",$B$3,C166,"_","TR",$B$3,C166,"_A","_",G166),AND(C166="AT",D166="TR_P"),CONCATENATE(B166,"_","TR",$B$3,C166,"_","TR",$B$3,C166,"_P","_",G166),AND(C166="BT",D166="TR_A"),CONCATENATE(B166,"_","TR",$B$3,C166,"_","TR",$B$3,C166,"_A","_",G166),AND(C166="BT",D166="TR_P"),CONCATENATE(B166,"_","TR",$B$3,C166,"_","TR",$B$3,C166,"_P","_",G166),AND(C166="TR",D166="TR_P"),CONCATENATE(B166,"_","TR",$B$3,"_","TR",$B$3,"_P","_",G166),AND(C166="TR",D166="TR_A"),CONCATENATE(B166,"_","TR",$B$3,"_","TR",$B$3,"_A","_",G166))</f>
        <v>IMA_TR7_TR7_TOD</v>
      </c>
      <c r="I166" s="6"/>
      <c r="J166" s="6" t="s">
        <v>182</v>
      </c>
      <c r="K166" s="6" t="s">
        <v>179</v>
      </c>
      <c r="L166" s="6" t="s">
        <v>188</v>
      </c>
      <c r="M166" s="6" t="s">
        <v>188</v>
      </c>
      <c r="N166" s="6">
        <f t="shared" si="5"/>
        <v>377</v>
      </c>
    </row>
    <row r="167" spans="1:14" x14ac:dyDescent="0.25">
      <c r="A167" s="6" t="s">
        <v>190</v>
      </c>
      <c r="B167" s="6" t="str">
        <f>Informações!$C$3</f>
        <v>IMA</v>
      </c>
      <c r="C167" s="6" t="s">
        <v>102</v>
      </c>
      <c r="D167" s="6" t="s">
        <v>211</v>
      </c>
      <c r="E167" s="2" t="s">
        <v>25</v>
      </c>
      <c r="F167" s="6" t="str">
        <f>VLOOKUP(G167,[1]Discrete!$A:$B,2,FALSE)</f>
        <v>DEFEITO RELE</v>
      </c>
      <c r="G167" s="6" t="s">
        <v>51</v>
      </c>
      <c r="H167" s="6" t="str" cm="1">
        <f t="array" ref="H167">_xlfn.IFS(OR(D167="TC",D167="TP",AND(D167="TR",C167="AT"),AND(D167="TR",C167="BT")),CONCATENATE(B167,"_","TR",$B$3,C167,"_","TR",$B$3,C167,"_",G167),AND(D167="SECC",C167="BT"),CONCATENATE(B167,"_","TR",$B$3,C167,"_",$B$9,"_",G167),AND(D167="SECF",C167="AT"),CONCATENATE(B167,"_","TR",$B$3,C167,"_",$B$6,"_",G167),AND(D167="SECT",C167="AT"),CONCATENATE(B167,"_","TR",$B$3,C167,"_",$B$7,"_",G167),AND(D167="DJ",C167="AT"),CONCATENATE(B167,"_","TR",$B$3,C167,"_",$B$4,"_",G167),AND(D167="DJ",C167="BT"),CONCATENATE(B167,"_","TR",$B$3,C167,"_",$B$8,"_",G167),AND(C167="TR",D167="TR"),CONCATENATE(B167,"_","TR",$B$3,"_","TR",$B$3,"_",G167),AND(D167="SECT",C167="BT"),CONCATENATE(B167,"_","TR",$B$3,C167,"_",$B$11,"_",G167),AND(D167="SECF",C167="BT"),CONCATENATE(B167,"_","TR",$B$3,C167,"_",$B$10,"_",G167),AND(D167="SECC",C167="AT"),CONCATENATE(B167,"_","TR",$B$3,C167,"_",$B$5,"_",G167),AND(C167="AT",D167="TR_A"),CONCATENATE(B167,"_","TR",$B$3,C167,"_","TR",$B$3,C167,"_A","_",G167),AND(C167="AT",D167="TR_P"),CONCATENATE(B167,"_","TR",$B$3,C167,"_","TR",$B$3,C167,"_P","_",G167),AND(C167="BT",D167="TR_A"),CONCATENATE(B167,"_","TR",$B$3,C167,"_","TR",$B$3,C167,"_A","_",G167),AND(C167="BT",D167="TR_P"),CONCATENATE(B167,"_","TR",$B$3,C167,"_","TR",$B$3,C167,"_P","_",G167),AND(C167="TR",D167="TR_P"),CONCATENATE(B167,"_","TR",$B$3,"_","TR",$B$3,"_P","_",G167),AND(C167="TR",D167="TR_A"),CONCATENATE(B167,"_","TR",$B$3,"_","TR",$B$3,"_A","_",G167))</f>
        <v>IMA_TR7_TR7_A_DR</v>
      </c>
      <c r="I167" s="6"/>
      <c r="J167" s="6" t="s">
        <v>182</v>
      </c>
      <c r="K167" s="6" t="s">
        <v>181</v>
      </c>
      <c r="L167" s="6" t="s">
        <v>188</v>
      </c>
      <c r="M167" s="6" t="s">
        <v>188</v>
      </c>
      <c r="N167" s="6">
        <f t="shared" si="5"/>
        <v>378</v>
      </c>
    </row>
    <row r="168" spans="1:14" x14ac:dyDescent="0.25">
      <c r="A168" s="6" t="s">
        <v>190</v>
      </c>
      <c r="B168" s="6" t="str">
        <f>Informações!$C$3</f>
        <v>IMA</v>
      </c>
      <c r="C168" s="6" t="s">
        <v>102</v>
      </c>
      <c r="D168" s="6" t="s">
        <v>211</v>
      </c>
      <c r="E168" s="2" t="s">
        <v>25</v>
      </c>
      <c r="F168" s="6" t="str">
        <f>VLOOKUP(G168,[1]Discrete!$A:$B,2,FALSE)</f>
        <v>FALHA COMUNICACAO</v>
      </c>
      <c r="G168" s="6" t="s">
        <v>78</v>
      </c>
      <c r="H168" s="6" t="str" cm="1">
        <f t="array" ref="H168">_xlfn.IFS(OR(D168="TC",D168="TP",AND(D168="TR",C168="AT"),AND(D168="TR",C168="BT")),CONCATENATE(B168,"_","TR",$B$3,C168,"_","TR",$B$3,C168,"_",G168),AND(D168="SECC",C168="BT"),CONCATENATE(B168,"_","TR",$B$3,C168,"_",$B$9,"_",G168),AND(D168="SECF",C168="AT"),CONCATENATE(B168,"_","TR",$B$3,C168,"_",$B$6,"_",G168),AND(D168="SECT",C168="AT"),CONCATENATE(B168,"_","TR",$B$3,C168,"_",$B$7,"_",G168),AND(D168="DJ",C168="AT"),CONCATENATE(B168,"_","TR",$B$3,C168,"_",$B$4,"_",G168),AND(D168="DJ",C168="BT"),CONCATENATE(B168,"_","TR",$B$3,C168,"_",$B$8,"_",G168),AND(C168="TR",D168="TR"),CONCATENATE(B168,"_","TR",$B$3,"_","TR",$B$3,"_",G168),AND(D168="SECT",C168="BT"),CONCATENATE(B168,"_","TR",$B$3,C168,"_",$B$11,"_",G168),AND(D168="SECF",C168="BT"),CONCATENATE(B168,"_","TR",$B$3,C168,"_",$B$10,"_",G168),AND(D168="SECC",C168="AT"),CONCATENATE(B168,"_","TR",$B$3,C168,"_",$B$5,"_",G168),AND(C168="AT",D168="TR_A"),CONCATENATE(B168,"_","TR",$B$3,C168,"_","TR",$B$3,C168,"_A","_",G168),AND(C168="AT",D168="TR_P"),CONCATENATE(B168,"_","TR",$B$3,C168,"_","TR",$B$3,C168,"_P","_",G168),AND(C168="BT",D168="TR_A"),CONCATENATE(B168,"_","TR",$B$3,C168,"_","TR",$B$3,C168,"_A","_",G168),AND(C168="BT",D168="TR_P"),CONCATENATE(B168,"_","TR",$B$3,C168,"_","TR",$B$3,C168,"_P","_",G168),AND(C168="TR",D168="TR_P"),CONCATENATE(B168,"_","TR",$B$3,"_","TR",$B$3,"_P","_",G168),AND(C168="TR",D168="TR_A"),CONCATENATE(B168,"_","TR",$B$3,"_","TR",$B$3,"_A","_",G168))</f>
        <v>IMA_TR7_TR7_A_FCOM</v>
      </c>
      <c r="I168" s="6"/>
      <c r="J168" s="6" t="s">
        <v>182</v>
      </c>
      <c r="K168" s="6" t="s">
        <v>180</v>
      </c>
      <c r="L168" s="6" t="s">
        <v>188</v>
      </c>
      <c r="M168" s="6" t="s">
        <v>188</v>
      </c>
      <c r="N168" s="6">
        <f t="shared" si="5"/>
        <v>379</v>
      </c>
    </row>
    <row r="169" spans="1:14" x14ac:dyDescent="0.25">
      <c r="A169" s="6" t="s">
        <v>190</v>
      </c>
      <c r="B169" s="6" t="str">
        <f>Informações!$C$3</f>
        <v>IMA</v>
      </c>
      <c r="C169" s="6" t="s">
        <v>102</v>
      </c>
      <c r="D169" s="6" t="s">
        <v>212</v>
      </c>
      <c r="E169" s="2" t="s">
        <v>25</v>
      </c>
      <c r="F169" s="6" t="str">
        <f>VLOOKUP(G169,[1]Discrete!$A:$B,2,FALSE)</f>
        <v>DEFEITO RELE</v>
      </c>
      <c r="G169" s="6" t="s">
        <v>51</v>
      </c>
      <c r="H169" s="6" t="str" cm="1">
        <f t="array" ref="H169">_xlfn.IFS(OR(D169="TC",D169="TP",AND(D169="TR",C169="AT"),AND(D169="TR",C169="BT")),CONCATENATE(B169,"_","TR",$B$3,C169,"_","TR",$B$3,C169,"_",G169),AND(D169="SECC",C169="BT"),CONCATENATE(B169,"_","TR",$B$3,C169,"_",$B$9,"_",G169),AND(D169="SECF",C169="AT"),CONCATENATE(B169,"_","TR",$B$3,C169,"_",$B$6,"_",G169),AND(D169="SECT",C169="AT"),CONCATENATE(B169,"_","TR",$B$3,C169,"_",$B$7,"_",G169),AND(D169="DJ",C169="AT"),CONCATENATE(B169,"_","TR",$B$3,C169,"_",$B$4,"_",G169),AND(D169="DJ",C169="BT"),CONCATENATE(B169,"_","TR",$B$3,C169,"_",$B$8,"_",G169),AND(C169="TR",D169="TR"),CONCATENATE(B169,"_","TR",$B$3,"_","TR",$B$3,"_",G169),AND(D169="SECT",C169="BT"),CONCATENATE(B169,"_","TR",$B$3,C169,"_",$B$11,"_",G169),AND(D169="SECF",C169="BT"),CONCATENATE(B169,"_","TR",$B$3,C169,"_",$B$10,"_",G169),AND(D169="SECC",C169="AT"),CONCATENATE(B169,"_","TR",$B$3,C169,"_",$B$5,"_",G169),AND(C169="AT",D169="TR_A"),CONCATENATE(B169,"_","TR",$B$3,C169,"_","TR",$B$3,C169,"_A","_",G169),AND(C169="AT",D169="TR_P"),CONCATENATE(B169,"_","TR",$B$3,C169,"_","TR",$B$3,C169,"_P","_",G169),AND(C169="BT",D169="TR_A"),CONCATENATE(B169,"_","TR",$B$3,C169,"_","TR",$B$3,C169,"_A","_",G169),AND(C169="BT",D169="TR_P"),CONCATENATE(B169,"_","TR",$B$3,C169,"_","TR",$B$3,C169,"_P","_",G169),AND(C169="TR",D169="TR_P"),CONCATENATE(B169,"_","TR",$B$3,"_","TR",$B$3,"_P","_",G169),AND(C169="TR",D169="TR_A"),CONCATENATE(B169,"_","TR",$B$3,"_","TR",$B$3,"_A","_",G169))</f>
        <v>IMA_TR7_TR7_P_DR</v>
      </c>
      <c r="I169" s="6"/>
      <c r="J169" s="6" t="s">
        <v>182</v>
      </c>
      <c r="K169" s="6" t="s">
        <v>181</v>
      </c>
      <c r="L169" s="6" t="s">
        <v>188</v>
      </c>
      <c r="M169" s="6" t="s">
        <v>188</v>
      </c>
      <c r="N169" s="6">
        <f t="shared" si="5"/>
        <v>380</v>
      </c>
    </row>
    <row r="170" spans="1:14" x14ac:dyDescent="0.25">
      <c r="A170" s="6" t="s">
        <v>190</v>
      </c>
      <c r="B170" s="6" t="str">
        <f>Informações!$C$3</f>
        <v>IMA</v>
      </c>
      <c r="C170" s="6" t="s">
        <v>102</v>
      </c>
      <c r="D170" s="6" t="s">
        <v>212</v>
      </c>
      <c r="E170" s="2" t="s">
        <v>25</v>
      </c>
      <c r="F170" s="6" t="str">
        <f>VLOOKUP(G170,[1]Discrete!$A:$B,2,FALSE)</f>
        <v>FALHA COMUNICACAO</v>
      </c>
      <c r="G170" s="6" t="s">
        <v>78</v>
      </c>
      <c r="H170" s="6" t="str" cm="1">
        <f t="array" ref="H170">_xlfn.IFS(OR(D170="TC",D170="TP",AND(D170="TR",C170="AT"),AND(D170="TR",C170="BT")),CONCATENATE(B170,"_","TR",$B$3,C170,"_","TR",$B$3,C170,"_",G170),AND(D170="SECC",C170="BT"),CONCATENATE(B170,"_","TR",$B$3,C170,"_",$B$9,"_",G170),AND(D170="SECF",C170="AT"),CONCATENATE(B170,"_","TR",$B$3,C170,"_",$B$6,"_",G170),AND(D170="SECT",C170="AT"),CONCATENATE(B170,"_","TR",$B$3,C170,"_",$B$7,"_",G170),AND(D170="DJ",C170="AT"),CONCATENATE(B170,"_","TR",$B$3,C170,"_",$B$4,"_",G170),AND(D170="DJ",C170="BT"),CONCATENATE(B170,"_","TR",$B$3,C170,"_",$B$8,"_",G170),AND(C170="TR",D170="TR"),CONCATENATE(B170,"_","TR",$B$3,"_","TR",$B$3,"_",G170),AND(D170="SECT",C170="BT"),CONCATENATE(B170,"_","TR",$B$3,C170,"_",$B$11,"_",G170),AND(D170="SECF",C170="BT"),CONCATENATE(B170,"_","TR",$B$3,C170,"_",$B$10,"_",G170),AND(D170="SECC",C170="AT"),CONCATENATE(B170,"_","TR",$B$3,C170,"_",$B$5,"_",G170),AND(C170="AT",D170="TR_A"),CONCATENATE(B170,"_","TR",$B$3,C170,"_","TR",$B$3,C170,"_A","_",G170),AND(C170="AT",D170="TR_P"),CONCATENATE(B170,"_","TR",$B$3,C170,"_","TR",$B$3,C170,"_P","_",G170),AND(C170="BT",D170="TR_A"),CONCATENATE(B170,"_","TR",$B$3,C170,"_","TR",$B$3,C170,"_A","_",G170),AND(C170="BT",D170="TR_P"),CONCATENATE(B170,"_","TR",$B$3,C170,"_","TR",$B$3,C170,"_P","_",G170),AND(C170="TR",D170="TR_P"),CONCATENATE(B170,"_","TR",$B$3,"_","TR",$B$3,"_P","_",G170),AND(C170="TR",D170="TR_A"),CONCATENATE(B170,"_","TR",$B$3,"_","TR",$B$3,"_A","_",G170))</f>
        <v>IMA_TR7_TR7_P_FCOM</v>
      </c>
      <c r="I170" s="6"/>
      <c r="J170" s="6" t="s">
        <v>182</v>
      </c>
      <c r="K170" s="6" t="s">
        <v>180</v>
      </c>
      <c r="L170" s="6" t="s">
        <v>188</v>
      </c>
      <c r="M170" s="6" t="s">
        <v>188</v>
      </c>
      <c r="N170" s="6">
        <f t="shared" si="5"/>
        <v>381</v>
      </c>
    </row>
    <row r="171" spans="1:14" x14ac:dyDescent="0.25">
      <c r="A171" s="6" t="s">
        <v>190</v>
      </c>
      <c r="B171" s="6" t="str">
        <f>Informações!$C$3</f>
        <v>IMA</v>
      </c>
      <c r="C171" s="6" t="s">
        <v>102</v>
      </c>
      <c r="D171" s="6" t="s">
        <v>102</v>
      </c>
      <c r="E171" s="2" t="s">
        <v>25</v>
      </c>
      <c r="F171" s="94" t="str">
        <f>VLOOKUP(G171,[1]Discrete!$A:$B,2,FALSE)</f>
        <v>DEFEITO RELE 2414</v>
      </c>
      <c r="G171" s="6" t="s">
        <v>704</v>
      </c>
      <c r="H171" s="6" t="str" cm="1">
        <f t="array" ref="H171">_xlfn.IFS(OR(D171="TC",D171="TP",AND(D171="TR",C171="AT"),AND(D171="TR",C171="BT")),CONCATENATE(B171,"_","TR",$B$3,C171,"_","TR",$B$3,C171,"_",G171),AND(D171="SECC",C171="BT"),CONCATENATE(B171,"_","TR",$B$3,C171,"_",$B$9,"_",G171),AND(D171="SECF",C171="AT"),CONCATENATE(B171,"_","TR",$B$3,C171,"_",$B$6,"_",G171),AND(D171="SECT",C171="AT"),CONCATENATE(B171,"_","TR",$B$3,C171,"_",$B$7,"_",G171),AND(D171="DJ",C171="AT"),CONCATENATE(B171,"_","TR",$B$3,C171,"_",$B$4,"_",G171),AND(D171="DJ",C171="BT"),CONCATENATE(B171,"_","TR",$B$3,C171,"_",$B$8,"_",G171),AND(C171="TR",D171="TR"),CONCATENATE(B171,"_","TR",$B$3,"_","TR",$B$3,"_",G171),AND(D171="SECT",C171="BT"),CONCATENATE(B171,"_","TR",$B$3,C171,"_",$B$11,"_",G171),AND(D171="SECF",C171="BT"),CONCATENATE(B171,"_","TR",$B$3,C171,"_",$B$10,"_",G171),AND(D171="SECC",C171="AT"),CONCATENATE(B171,"_","TR",$B$3,C171,"_",$B$5,"_",G171),AND(C171="AT",D171="TR_A"),CONCATENATE(B171,"_","TR",$B$3,C171,"_","TR",$B$3,C171,"_A","_",G171),AND(C171="AT",D171="TR_P"),CONCATENATE(B171,"_","TR",$B$3,C171,"_","TR",$B$3,C171,"_P","_",G171),AND(C171="BT",D171="TR_A"),CONCATENATE(B171,"_","TR",$B$3,C171,"_","TR",$B$3,C171,"_A","_",G171),AND(C171="BT",D171="TR_P"),CONCATENATE(B171,"_","TR",$B$3,C171,"_","TR",$B$3,C171,"_P","_",G171),AND(C171="TR",D171="TR_P"),CONCATENATE(B171,"_","TR",$B$3,"_","TR",$B$3,"_P","_",G171),AND(C171="TR",D171="TR_A"),CONCATENATE(B171,"_","TR",$B$3,"_","TR",$B$3,"_A","_",G171))</f>
        <v>IMA_TR7_TR7_DR14</v>
      </c>
      <c r="I171" s="6"/>
      <c r="J171" s="6" t="s">
        <v>182</v>
      </c>
      <c r="K171" s="6" t="s">
        <v>181</v>
      </c>
      <c r="L171" s="6" t="s">
        <v>188</v>
      </c>
      <c r="M171" s="6" t="s">
        <v>188</v>
      </c>
      <c r="N171" s="6">
        <f t="shared" si="5"/>
        <v>382</v>
      </c>
    </row>
    <row r="172" spans="1:14" x14ac:dyDescent="0.25">
      <c r="A172" s="6" t="s">
        <v>190</v>
      </c>
      <c r="B172" s="6" t="str">
        <f>Informações!$C$3</f>
        <v>IMA</v>
      </c>
      <c r="C172" s="6" t="s">
        <v>102</v>
      </c>
      <c r="D172" s="6" t="s">
        <v>102</v>
      </c>
      <c r="E172" s="2" t="s">
        <v>25</v>
      </c>
      <c r="F172" s="94" t="str">
        <f>VLOOKUP(G172,[1]Discrete!$A:$B,2,FALSE)</f>
        <v>FALHA COMUNICACAO RELE 2414</v>
      </c>
      <c r="G172" s="6" t="s">
        <v>705</v>
      </c>
      <c r="H172" s="6" t="str" cm="1">
        <f t="array" ref="H172">_xlfn.IFS(OR(D172="TC",D172="TP",AND(D172="TR",C172="AT"),AND(D172="TR",C172="BT")),CONCATENATE(B172,"_","TR",$B$3,C172,"_","TR",$B$3,C172,"_",G172),AND(D172="SECC",C172="BT"),CONCATENATE(B172,"_","TR",$B$3,C172,"_",$B$9,"_",G172),AND(D172="SECF",C172="AT"),CONCATENATE(B172,"_","TR",$B$3,C172,"_",$B$6,"_",G172),AND(D172="SECT",C172="AT"),CONCATENATE(B172,"_","TR",$B$3,C172,"_",$B$7,"_",G172),AND(D172="DJ",C172="AT"),CONCATENATE(B172,"_","TR",$B$3,C172,"_",$B$4,"_",G172),AND(D172="DJ",C172="BT"),CONCATENATE(B172,"_","TR",$B$3,C172,"_",$B$8,"_",G172),AND(C172="TR",D172="TR"),CONCATENATE(B172,"_","TR",$B$3,"_","TR",$B$3,"_",G172),AND(D172="SECT",C172="BT"),CONCATENATE(B172,"_","TR",$B$3,C172,"_",$B$11,"_",G172),AND(D172="SECF",C172="BT"),CONCATENATE(B172,"_","TR",$B$3,C172,"_",$B$10,"_",G172),AND(D172="SECC",C172="AT"),CONCATENATE(B172,"_","TR",$B$3,C172,"_",$B$5,"_",G172),AND(C172="AT",D172="TR_A"),CONCATENATE(B172,"_","TR",$B$3,C172,"_","TR",$B$3,C172,"_A","_",G172),AND(C172="AT",D172="TR_P"),CONCATENATE(B172,"_","TR",$B$3,C172,"_","TR",$B$3,C172,"_P","_",G172),AND(C172="BT",D172="TR_A"),CONCATENATE(B172,"_","TR",$B$3,C172,"_","TR",$B$3,C172,"_A","_",G172),AND(C172="BT",D172="TR_P"),CONCATENATE(B172,"_","TR",$B$3,C172,"_","TR",$B$3,C172,"_P","_",G172),AND(C172="TR",D172="TR_P"),CONCATENATE(B172,"_","TR",$B$3,"_","TR",$B$3,"_P","_",G172),AND(C172="TR",D172="TR_A"),CONCATENATE(B172,"_","TR",$B$3,"_","TR",$B$3,"_A","_",G172))</f>
        <v>IMA_TR7_TR7_FC14</v>
      </c>
      <c r="I172" s="6"/>
      <c r="J172" s="6" t="s">
        <v>182</v>
      </c>
      <c r="K172" s="6" t="s">
        <v>180</v>
      </c>
      <c r="L172" s="6" t="s">
        <v>188</v>
      </c>
      <c r="M172" s="6" t="s">
        <v>188</v>
      </c>
      <c r="N172" s="6">
        <f t="shared" si="5"/>
        <v>383</v>
      </c>
    </row>
    <row r="173" spans="1:14" x14ac:dyDescent="0.25">
      <c r="A173" s="95" t="s">
        <v>190</v>
      </c>
      <c r="B173" s="95" t="str">
        <f>Informações!$C$3</f>
        <v>IMA</v>
      </c>
      <c r="C173" s="95" t="s">
        <v>102</v>
      </c>
      <c r="D173" s="95" t="s">
        <v>102</v>
      </c>
      <c r="E173" s="2" t="s">
        <v>25</v>
      </c>
      <c r="F173" s="95" t="str">
        <f>VLOOKUP(G173,[1]Discrete!$A:$B,2,FALSE)</f>
        <v>CDC LOCAL AUTOMATICO</v>
      </c>
      <c r="G173" s="6" t="s">
        <v>706</v>
      </c>
      <c r="H173" s="6" t="str" cm="1">
        <f t="array" ref="H173">_xlfn.IFS(OR(D173="TC",D173="TP",AND(D173="TR",C173="AT"),AND(D173="TR",C173="BT")),CONCATENATE(B173,"_","TR",$B$3,C173,"_","TR",$B$3,C173,"_",G173),AND(D173="SECC",C173="BT"),CONCATENATE(B173,"_","TR",$B$3,C173,"_",$B$9,"_",G173),AND(D173="SECF",C173="AT"),CONCATENATE(B173,"_","TR",$B$3,C173,"_",$B$6,"_",G173),AND(D173="SECT",C173="AT"),CONCATENATE(B173,"_","TR",$B$3,C173,"_",$B$7,"_",G173),AND(D173="DJ",C173="AT"),CONCATENATE(B173,"_","TR",$B$3,C173,"_",$B$4,"_",G173),AND(D173="DJ",C173="BT"),CONCATENATE(B173,"_","TR",$B$3,C173,"_",$B$8,"_",G173),AND(C173="TR",D173="TR"),CONCATENATE(B173,"_","TR",$B$3,"_","TR",$B$3,"_",G173),AND(D173="SECT",C173="BT"),CONCATENATE(B173,"_","TR",$B$3,C173,"_",$B$11,"_",G173),AND(D173="SECF",C173="BT"),CONCATENATE(B173,"_","TR",$B$3,C173,"_",$B$10,"_",G173),AND(D173="SECC",C173="AT"),CONCATENATE(B173,"_","TR",$B$3,C173,"_",$B$5,"_",G173),AND(C173="AT",D173="TR_A"),CONCATENATE(B173,"_","TR",$B$3,C173,"_","TR",$B$3,C173,"_A","_",G173),AND(C173="AT",D173="TR_P"),CONCATENATE(B173,"_","TR",$B$3,C173,"_","TR",$B$3,C173,"_P","_",G173),AND(C173="BT",D173="TR_A"),CONCATENATE(B173,"_","TR",$B$3,C173,"_","TR",$B$3,C173,"_A","_",G173),AND(C173="BT",D173="TR_P"),CONCATENATE(B173,"_","TR",$B$3,C173,"_","TR",$B$3,C173,"_P","_",G173),AND(C173="TR",D173="TR_P"),CONCATENATE(B173,"_","TR",$B$3,"_","TR",$B$3,"_P","_",G173),AND(C173="TR",D173="TR_A"),CONCATENATE(B173,"_","TR",$B$3,"_","TR",$B$3,"_A","_",G173))</f>
        <v>IMA_TR7_TR7_CDLA</v>
      </c>
      <c r="I173" s="6"/>
      <c r="J173" s="6" t="s">
        <v>184</v>
      </c>
      <c r="K173" s="6" t="s">
        <v>183</v>
      </c>
      <c r="L173" s="6" t="s">
        <v>188</v>
      </c>
      <c r="M173" s="6" t="s">
        <v>188</v>
      </c>
      <c r="N173" s="95">
        <f>'TR 1'!N212+1</f>
        <v>977</v>
      </c>
    </row>
    <row r="174" spans="1:14" x14ac:dyDescent="0.25">
      <c r="A174" s="95" t="s">
        <v>190</v>
      </c>
      <c r="B174" s="95" t="str">
        <f>Informações!$C$3</f>
        <v>IMA</v>
      </c>
      <c r="C174" s="95" t="s">
        <v>102</v>
      </c>
      <c r="D174" s="95" t="s">
        <v>102</v>
      </c>
      <c r="E174" s="2" t="s">
        <v>25</v>
      </c>
      <c r="F174" s="95" t="str">
        <f>VLOOKUP(G174,[1]Discrete!$A:$B,2,FALSE)</f>
        <v>CDC LOCAL MANUAL</v>
      </c>
      <c r="G174" s="6" t="s">
        <v>707</v>
      </c>
      <c r="H174" s="6" t="str" cm="1">
        <f t="array" ref="H174">_xlfn.IFS(OR(D174="TC",D174="TP",AND(D174="TR",C174="AT"),AND(D174="TR",C174="BT")),CONCATENATE(B174,"_","TR",$B$3,C174,"_","TR",$B$3,C174,"_",G174),AND(D174="SECC",C174="BT"),CONCATENATE(B174,"_","TR",$B$3,C174,"_",$B$9,"_",G174),AND(D174="SECF",C174="AT"),CONCATENATE(B174,"_","TR",$B$3,C174,"_",$B$6,"_",G174),AND(D174="SECT",C174="AT"),CONCATENATE(B174,"_","TR",$B$3,C174,"_",$B$7,"_",G174),AND(D174="DJ",C174="AT"),CONCATENATE(B174,"_","TR",$B$3,C174,"_",$B$4,"_",G174),AND(D174="DJ",C174="BT"),CONCATENATE(B174,"_","TR",$B$3,C174,"_",$B$8,"_",G174),AND(C174="TR",D174="TR"),CONCATENATE(B174,"_","TR",$B$3,"_","TR",$B$3,"_",G174),AND(D174="SECT",C174="BT"),CONCATENATE(B174,"_","TR",$B$3,C174,"_",$B$11,"_",G174),AND(D174="SECF",C174="BT"),CONCATENATE(B174,"_","TR",$B$3,C174,"_",$B$10,"_",G174),AND(D174="SECC",C174="AT"),CONCATENATE(B174,"_","TR",$B$3,C174,"_",$B$5,"_",G174),AND(C174="AT",D174="TR_A"),CONCATENATE(B174,"_","TR",$B$3,C174,"_","TR",$B$3,C174,"_A","_",G174),AND(C174="AT",D174="TR_P"),CONCATENATE(B174,"_","TR",$B$3,C174,"_","TR",$B$3,C174,"_P","_",G174),AND(C174="BT",D174="TR_A"),CONCATENATE(B174,"_","TR",$B$3,C174,"_","TR",$B$3,C174,"_A","_",G174),AND(C174="BT",D174="TR_P"),CONCATENATE(B174,"_","TR",$B$3,C174,"_","TR",$B$3,C174,"_P","_",G174),AND(C174="TR",D174="TR_P"),CONCATENATE(B174,"_","TR",$B$3,"_","TR",$B$3,"_P","_",G174),AND(C174="TR",D174="TR_A"),CONCATENATE(B174,"_","TR",$B$3,"_","TR",$B$3,"_A","_",G174))</f>
        <v>IMA_TR7_TR7_CDLM</v>
      </c>
      <c r="I174" s="6"/>
      <c r="J174" s="6" t="s">
        <v>184</v>
      </c>
      <c r="K174" s="6" t="s">
        <v>183</v>
      </c>
      <c r="L174" s="6" t="s">
        <v>188</v>
      </c>
      <c r="M174" s="6" t="s">
        <v>188</v>
      </c>
      <c r="N174" s="95">
        <f>N173+1</f>
        <v>978</v>
      </c>
    </row>
    <row r="175" spans="1:14" x14ac:dyDescent="0.25">
      <c r="A175" s="95" t="s">
        <v>190</v>
      </c>
      <c r="B175" s="95" t="str">
        <f>Informações!$C$3</f>
        <v>IMA</v>
      </c>
      <c r="C175" s="95" t="s">
        <v>102</v>
      </c>
      <c r="D175" s="95" t="s">
        <v>102</v>
      </c>
      <c r="E175" s="2" t="s">
        <v>25</v>
      </c>
      <c r="F175" s="95" t="str">
        <f>VLOOKUP(G175,[1]Discrete!$A:$B,2,FALSE)</f>
        <v>CDC REMOTO AUTOMATICO</v>
      </c>
      <c r="G175" s="6" t="s">
        <v>708</v>
      </c>
      <c r="H175" s="6" t="str" cm="1">
        <f t="array" ref="H175">_xlfn.IFS(OR(D175="TC",D175="TP",AND(D175="TR",C175="AT"),AND(D175="TR",C175="BT")),CONCATENATE(B175,"_","TR",$B$3,C175,"_","TR",$B$3,C175,"_",G175),AND(D175="SECC",C175="BT"),CONCATENATE(B175,"_","TR",$B$3,C175,"_",$B$9,"_",G175),AND(D175="SECF",C175="AT"),CONCATENATE(B175,"_","TR",$B$3,C175,"_",$B$6,"_",G175),AND(D175="SECT",C175="AT"),CONCATENATE(B175,"_","TR",$B$3,C175,"_",$B$7,"_",G175),AND(D175="DJ",C175="AT"),CONCATENATE(B175,"_","TR",$B$3,C175,"_",$B$4,"_",G175),AND(D175="DJ",C175="BT"),CONCATENATE(B175,"_","TR",$B$3,C175,"_",$B$8,"_",G175),AND(C175="TR",D175="TR"),CONCATENATE(B175,"_","TR",$B$3,"_","TR",$B$3,"_",G175),AND(D175="SECT",C175="BT"),CONCATENATE(B175,"_","TR",$B$3,C175,"_",$B$11,"_",G175),AND(D175="SECF",C175="BT"),CONCATENATE(B175,"_","TR",$B$3,C175,"_",$B$10,"_",G175),AND(D175="SECC",C175="AT"),CONCATENATE(B175,"_","TR",$B$3,C175,"_",$B$5,"_",G175),AND(C175="AT",D175="TR_A"),CONCATENATE(B175,"_","TR",$B$3,C175,"_","TR",$B$3,C175,"_A","_",G175),AND(C175="AT",D175="TR_P"),CONCATENATE(B175,"_","TR",$B$3,C175,"_","TR",$B$3,C175,"_P","_",G175),AND(C175="BT",D175="TR_A"),CONCATENATE(B175,"_","TR",$B$3,C175,"_","TR",$B$3,C175,"_A","_",G175),AND(C175="BT",D175="TR_P"),CONCATENATE(B175,"_","TR",$B$3,C175,"_","TR",$B$3,C175,"_P","_",G175),AND(C175="TR",D175="TR_P"),CONCATENATE(B175,"_","TR",$B$3,"_","TR",$B$3,"_P","_",G175),AND(C175="TR",D175="TR_A"),CONCATENATE(B175,"_","TR",$B$3,"_","TR",$B$3,"_A","_",G175))</f>
        <v>IMA_TR7_TR7_CDRA</v>
      </c>
      <c r="I175" s="6"/>
      <c r="J175" s="6" t="s">
        <v>184</v>
      </c>
      <c r="K175" s="6" t="s">
        <v>183</v>
      </c>
      <c r="L175" s="6" t="s">
        <v>188</v>
      </c>
      <c r="M175" s="6" t="s">
        <v>188</v>
      </c>
      <c r="N175" s="95">
        <f t="shared" ref="N175:N212" si="6">N174+1</f>
        <v>979</v>
      </c>
    </row>
    <row r="176" spans="1:14" x14ac:dyDescent="0.25">
      <c r="A176" s="95" t="s">
        <v>190</v>
      </c>
      <c r="B176" s="95" t="str">
        <f>Informações!$C$3</f>
        <v>IMA</v>
      </c>
      <c r="C176" s="95" t="s">
        <v>102</v>
      </c>
      <c r="D176" s="95" t="s">
        <v>102</v>
      </c>
      <c r="E176" s="2" t="s">
        <v>25</v>
      </c>
      <c r="F176" s="95" t="str">
        <f>VLOOKUP(G176,[1]Discrete!$A:$B,2,FALSE)</f>
        <v>CDC REMOTO MANUAL</v>
      </c>
      <c r="G176" s="6" t="s">
        <v>709</v>
      </c>
      <c r="H176" s="6" t="str" cm="1">
        <f t="array" ref="H176">_xlfn.IFS(OR(D176="TC",D176="TP",AND(D176="TR",C176="AT"),AND(D176="TR",C176="BT")),CONCATENATE(B176,"_","TR",$B$3,C176,"_","TR",$B$3,C176,"_",G176),AND(D176="SECC",C176="BT"),CONCATENATE(B176,"_","TR",$B$3,C176,"_",$B$9,"_",G176),AND(D176="SECF",C176="AT"),CONCATENATE(B176,"_","TR",$B$3,C176,"_",$B$6,"_",G176),AND(D176="SECT",C176="AT"),CONCATENATE(B176,"_","TR",$B$3,C176,"_",$B$7,"_",G176),AND(D176="DJ",C176="AT"),CONCATENATE(B176,"_","TR",$B$3,C176,"_",$B$4,"_",G176),AND(D176="DJ",C176="BT"),CONCATENATE(B176,"_","TR",$B$3,C176,"_",$B$8,"_",G176),AND(C176="TR",D176="TR"),CONCATENATE(B176,"_","TR",$B$3,"_","TR",$B$3,"_",G176),AND(D176="SECT",C176="BT"),CONCATENATE(B176,"_","TR",$B$3,C176,"_",$B$11,"_",G176),AND(D176="SECF",C176="BT"),CONCATENATE(B176,"_","TR",$B$3,C176,"_",$B$10,"_",G176),AND(D176="SECC",C176="AT"),CONCATENATE(B176,"_","TR",$B$3,C176,"_",$B$5,"_",G176),AND(C176="AT",D176="TR_A"),CONCATENATE(B176,"_","TR",$B$3,C176,"_","TR",$B$3,C176,"_A","_",G176),AND(C176="AT",D176="TR_P"),CONCATENATE(B176,"_","TR",$B$3,C176,"_","TR",$B$3,C176,"_P","_",G176),AND(C176="BT",D176="TR_A"),CONCATENATE(B176,"_","TR",$B$3,C176,"_","TR",$B$3,C176,"_A","_",G176),AND(C176="BT",D176="TR_P"),CONCATENATE(B176,"_","TR",$B$3,C176,"_","TR",$B$3,C176,"_P","_",G176),AND(C176="TR",D176="TR_P"),CONCATENATE(B176,"_","TR",$B$3,"_","TR",$B$3,"_P","_",G176),AND(C176="TR",D176="TR_A"),CONCATENATE(B176,"_","TR",$B$3,"_","TR",$B$3,"_A","_",G176))</f>
        <v>IMA_TR7_TR7_CDRM</v>
      </c>
      <c r="I176" s="6"/>
      <c r="J176" s="6" t="s">
        <v>184</v>
      </c>
      <c r="K176" s="6" t="s">
        <v>183</v>
      </c>
      <c r="L176" s="6" t="s">
        <v>188</v>
      </c>
      <c r="M176" s="6" t="s">
        <v>188</v>
      </c>
      <c r="N176" s="95">
        <f t="shared" si="6"/>
        <v>980</v>
      </c>
    </row>
    <row r="177" spans="1:14" x14ac:dyDescent="0.25">
      <c r="A177" s="95" t="s">
        <v>190</v>
      </c>
      <c r="B177" s="95" t="str">
        <f>Informações!$C$3</f>
        <v>IMA</v>
      </c>
      <c r="C177" s="95" t="s">
        <v>102</v>
      </c>
      <c r="D177" s="95" t="s">
        <v>102</v>
      </c>
      <c r="E177" s="2" t="s">
        <v>25</v>
      </c>
      <c r="F177" s="95" t="str">
        <f>VLOOKUP(G177,[1]Discrete!$A:$B,2,FALSE)</f>
        <v>FALHA SINCRONISMO HORA</v>
      </c>
      <c r="G177" s="6" t="s">
        <v>162</v>
      </c>
      <c r="H177" s="6" t="str" cm="1">
        <f t="array" ref="H177">_xlfn.IFS(OR(D177="TC",D177="TP",AND(D177="TR",C177="AT"),AND(D177="TR",C177="BT")),CONCATENATE(B177,"_","TR",$B$3,C177,"_","TR",$B$3,C177,"_",G177),AND(D177="SECC",C177="BT"),CONCATENATE(B177,"_","TR",$B$3,C177,"_",$B$9,"_",G177),AND(D177="SECF",C177="AT"),CONCATENATE(B177,"_","TR",$B$3,C177,"_",$B$6,"_",G177),AND(D177="SECT",C177="AT"),CONCATENATE(B177,"_","TR",$B$3,C177,"_",$B$7,"_",G177),AND(D177="DJ",C177="AT"),CONCATENATE(B177,"_","TR",$B$3,C177,"_",$B$4,"_",G177),AND(D177="DJ",C177="BT"),CONCATENATE(B177,"_","TR",$B$3,C177,"_",$B$8,"_",G177),AND(C177="TR",D177="TR"),CONCATENATE(B177,"_","TR",$B$3,"_","TR",$B$3,"_",G177),AND(D177="SECT",C177="BT"),CONCATENATE(B177,"_","TR",$B$3,C177,"_",$B$11,"_",G177),AND(D177="SECF",C177="BT"),CONCATENATE(B177,"_","TR",$B$3,C177,"_",$B$10,"_",G177),AND(D177="SECC",C177="AT"),CONCATENATE(B177,"_","TR",$B$3,C177,"_",$B$5,"_",G177),AND(C177="AT",D177="TR_A"),CONCATENATE(B177,"_","TR",$B$3,C177,"_","TR",$B$3,C177,"_A","_",G177),AND(C177="AT",D177="TR_P"),CONCATENATE(B177,"_","TR",$B$3,C177,"_","TR",$B$3,C177,"_P","_",G177),AND(C177="BT",D177="TR_A"),CONCATENATE(B177,"_","TR",$B$3,C177,"_","TR",$B$3,C177,"_A","_",G177),AND(C177="BT",D177="TR_P"),CONCATENATE(B177,"_","TR",$B$3,C177,"_","TR",$B$3,C177,"_P","_",G177),AND(C177="TR",D177="TR_P"),CONCATENATE(B177,"_","TR",$B$3,"_","TR",$B$3,"_P","_",G177),AND(C177="TR",D177="TR_A"),CONCATENATE(B177,"_","TR",$B$3,"_","TR",$B$3,"_A","_",G177))</f>
        <v>IMA_TR7_TR7_FSIH</v>
      </c>
      <c r="I177" s="6"/>
      <c r="J177" s="6" t="s">
        <v>182</v>
      </c>
      <c r="K177" s="6" t="s">
        <v>179</v>
      </c>
      <c r="L177" s="6" t="s">
        <v>188</v>
      </c>
      <c r="M177" s="6" t="s">
        <v>188</v>
      </c>
      <c r="N177" s="95">
        <f t="shared" si="6"/>
        <v>981</v>
      </c>
    </row>
    <row r="178" spans="1:14" x14ac:dyDescent="0.25">
      <c r="A178" s="95" t="s">
        <v>190</v>
      </c>
      <c r="B178" s="95" t="str">
        <f>Informações!$C$3</f>
        <v>IMA</v>
      </c>
      <c r="C178" s="95" t="s">
        <v>100</v>
      </c>
      <c r="D178" s="95" t="s">
        <v>102</v>
      </c>
      <c r="E178" s="2" t="s">
        <v>25</v>
      </c>
      <c r="F178" s="95" t="str">
        <f>VLOOKUP(G178,[1]Discrete!$A:$B,2,FALSE)</f>
        <v>FALTA POTENCIAL BARRA</v>
      </c>
      <c r="G178" s="6" t="s">
        <v>723</v>
      </c>
      <c r="H178" s="6" t="str" cm="1">
        <f t="array" ref="H178">_xlfn.IFS(OR(D178="TC",D178="TP",AND(D178="TR",C178="AT"),AND(D178="TR",C178="BT")),CONCATENATE(B178,"_","TR",$B$3,C178,"_","TR",$B$3,C178,"_",G178),AND(D178="SECC",C178="BT"),CONCATENATE(B178,"_","TR",$B$3,C178,"_",$B$9,"_",G178),AND(D178="SECF",C178="AT"),CONCATENATE(B178,"_","TR",$B$3,C178,"_",$B$6,"_",G178),AND(D178="SECT",C178="AT"),CONCATENATE(B178,"_","TR",$B$3,C178,"_",$B$7,"_",G178),AND(D178="DJ",C178="AT"),CONCATENATE(B178,"_","TR",$B$3,C178,"_",$B$4,"_",G178),AND(D178="DJ",C178="BT"),CONCATENATE(B178,"_","TR",$B$3,C178,"_",$B$8,"_",G178),AND(C178="TR",D178="TR"),CONCATENATE(B178,"_","TR",$B$3,"_","TR",$B$3,"_",G178),AND(D178="SECT",C178="BT"),CONCATENATE(B178,"_","TR",$B$3,C178,"_",$B$11,"_",G178),AND(D178="SECF",C178="BT"),CONCATENATE(B178,"_","TR",$B$3,C178,"_",$B$10,"_",G178),AND(D178="SECC",C178="AT"),CONCATENATE(B178,"_","TR",$B$3,C178,"_",$B$5,"_",G178),AND(C178="AT",D178="TR_A"),CONCATENATE(B178,"_","TR",$B$3,C178,"_","TR",$B$3,C178,"_A","_",G178),AND(C178="AT",D178="TR_P"),CONCATENATE(B178,"_","TR",$B$3,C178,"_","TR",$B$3,C178,"_P","_",G178),AND(C178="BT",D178="TR_A"),CONCATENATE(B178,"_","TR",$B$3,C178,"_","TR",$B$3,C178,"_A","_",G178),AND(C178="BT",D178="TR_P"),CONCATENATE(B178,"_","TR",$B$3,C178,"_","TR",$B$3,C178,"_P","_",G178),AND(C178="TR",D178="TR_P"),CONCATENATE(B178,"_","TR",$B$3,"_","TR",$B$3,"_P","_",G178),AND(C178="TR",D178="TR_A"),CONCATENATE(B178,"_","TR",$B$3,"_","TR",$B$3,"_A","_",G178))</f>
        <v>IMA_TR7AT_TR7AT_FPBR</v>
      </c>
      <c r="I178" s="6"/>
      <c r="J178" s="6" t="s">
        <v>182</v>
      </c>
      <c r="K178" s="6" t="s">
        <v>179</v>
      </c>
      <c r="L178" s="6" t="s">
        <v>188</v>
      </c>
      <c r="M178" s="6" t="s">
        <v>188</v>
      </c>
      <c r="N178" s="95">
        <f t="shared" si="6"/>
        <v>982</v>
      </c>
    </row>
    <row r="179" spans="1:14" x14ac:dyDescent="0.25">
      <c r="A179" s="95" t="s">
        <v>190</v>
      </c>
      <c r="B179" s="95" t="str">
        <f>Informações!$C$3</f>
        <v>IMA</v>
      </c>
      <c r="C179" s="95" t="s">
        <v>101</v>
      </c>
      <c r="D179" s="95" t="s">
        <v>102</v>
      </c>
      <c r="E179" s="2" t="s">
        <v>25</v>
      </c>
      <c r="F179" s="95" t="str">
        <f>VLOOKUP(G179,[1]Discrete!$A:$B,2,FALSE)</f>
        <v>FALTA POTENCIAL BARRA</v>
      </c>
      <c r="G179" s="6" t="s">
        <v>723</v>
      </c>
      <c r="H179" s="6" t="str" cm="1">
        <f t="array" ref="H179">_xlfn.IFS(OR(D179="TC",D179="TP",AND(D179="TR",C179="AT"),AND(D179="TR",C179="BT")),CONCATENATE(B179,"_","TR",$B$3,C179,"_","TR",$B$3,C179,"_",G179),AND(D179="SECC",C179="BT"),CONCATENATE(B179,"_","TR",$B$3,C179,"_",$B$9,"_",G179),AND(D179="SECF",C179="AT"),CONCATENATE(B179,"_","TR",$B$3,C179,"_",$B$6,"_",G179),AND(D179="SECT",C179="AT"),CONCATENATE(B179,"_","TR",$B$3,C179,"_",$B$7,"_",G179),AND(D179="DJ",C179="AT"),CONCATENATE(B179,"_","TR",$B$3,C179,"_",$B$4,"_",G179),AND(D179="DJ",C179="BT"),CONCATENATE(B179,"_","TR",$B$3,C179,"_",$B$8,"_",G179),AND(C179="TR",D179="TR"),CONCATENATE(B179,"_","TR",$B$3,"_","TR",$B$3,"_",G179),AND(D179="SECT",C179="BT"),CONCATENATE(B179,"_","TR",$B$3,C179,"_",$B$11,"_",G179),AND(D179="SECF",C179="BT"),CONCATENATE(B179,"_","TR",$B$3,C179,"_",$B$10,"_",G179),AND(D179="SECC",C179="AT"),CONCATENATE(B179,"_","TR",$B$3,C179,"_",$B$5,"_",G179),AND(C179="AT",D179="TR_A"),CONCATENATE(B179,"_","TR",$B$3,C179,"_","TR",$B$3,C179,"_A","_",G179),AND(C179="AT",D179="TR_P"),CONCATENATE(B179,"_","TR",$B$3,C179,"_","TR",$B$3,C179,"_P","_",G179),AND(C179="BT",D179="TR_A"),CONCATENATE(B179,"_","TR",$B$3,C179,"_","TR",$B$3,C179,"_A","_",G179),AND(C179="BT",D179="TR_P"),CONCATENATE(B179,"_","TR",$B$3,C179,"_","TR",$B$3,C179,"_P","_",G179),AND(C179="TR",D179="TR_P"),CONCATENATE(B179,"_","TR",$B$3,"_","TR",$B$3,"_P","_",G179),AND(C179="TR",D179="TR_A"),CONCATENATE(B179,"_","TR",$B$3,"_","TR",$B$3,"_A","_",G179))</f>
        <v>IMA_TR7BT_TR7BT_FPBR</v>
      </c>
      <c r="I179" s="6"/>
      <c r="J179" s="6" t="s">
        <v>182</v>
      </c>
      <c r="K179" s="6" t="s">
        <v>179</v>
      </c>
      <c r="L179" s="6" t="s">
        <v>188</v>
      </c>
      <c r="M179" s="6" t="s">
        <v>188</v>
      </c>
      <c r="N179" s="95">
        <f t="shared" si="6"/>
        <v>983</v>
      </c>
    </row>
    <row r="180" spans="1:14" x14ac:dyDescent="0.25">
      <c r="A180" s="95" t="s">
        <v>190</v>
      </c>
      <c r="B180" s="95" t="str">
        <f>Informações!$C$3</f>
        <v>IMA</v>
      </c>
      <c r="C180" s="95" t="s">
        <v>101</v>
      </c>
      <c r="D180" s="95" t="s">
        <v>33</v>
      </c>
      <c r="E180" s="2" t="s">
        <v>25</v>
      </c>
      <c r="F180" s="95" t="str">
        <f>VLOOKUP(G180,[1]Discrete!$A:$B,2,FALSE)</f>
        <v>43 - CHAVE LOCAL REMOTO</v>
      </c>
      <c r="G180" s="6" t="s">
        <v>39</v>
      </c>
      <c r="H180" s="6" t="str" cm="1">
        <f t="array" ref="H180">_xlfn.IFS(OR(D180="TC",D180="TP",AND(D180="TR",C180="AT"),AND(D180="TR",C180="BT")),CONCATENATE(B180,"_","TR",$B$3,C180,"_","TR",$B$3,C180,"_",G180),AND(D180="SECC",C180="BT"),CONCATENATE(B180,"_","TR",$B$3,C180,"_",$B$9,"_",G180),AND(D180="SECF",C180="AT"),CONCATENATE(B180,"_","TR",$B$3,C180,"_",$B$6,"_",G180),AND(D180="SECT",C180="AT"),CONCATENATE(B180,"_","TR",$B$3,C180,"_",$B$7,"_",G180),AND(D180="DJ",C180="AT"),CONCATENATE(B180,"_","TR",$B$3,C180,"_",$B$4,"_",G180),AND(D180="DJ",C180="BT"),CONCATENATE(B180,"_","TR",$B$3,C180,"_",$B$8,"_",G180),AND(C180="TR",D180="TR"),CONCATENATE(B180,"_","TR",$B$3,"_","TR",$B$3,"_",G180),AND(D180="SECT",C180="BT"),CONCATENATE(B180,"_","TR",$B$3,C180,"_",$B$11,"_",G180),AND(D180="SECF",C180="BT"),CONCATENATE(B180,"_","TR",$B$3,C180,"_",$B$10,"_",G180),AND(D180="SECC",C180="AT"),CONCATENATE(B180,"_","TR",$B$3,C180,"_",$B$5,"_",G180),AND(C180="AT",D180="TR_A"),CONCATENATE(B180,"_","TR",$B$3,C180,"_","TR",$B$3,C180,"_A","_",G180),AND(C180="AT",D180="TR_P"),CONCATENATE(B180,"_","TR",$B$3,C180,"_","TR",$B$3,C180,"_P","_",G180),AND(C180="BT",D180="TR_A"),CONCATENATE(B180,"_","TR",$B$3,C180,"_","TR",$B$3,C180,"_A","_",G180),AND(C180="BT",D180="TR_P"),CONCATENATE(B180,"_","TR",$B$3,C180,"_","TR",$B$3,C180,"_P","_",G180),AND(C180="TR",D180="TR_P"),CONCATENATE(B180,"_","TR",$B$3,"_","TR",$B$3,"_P","_",G180),AND(C180="TR",D180="TR_A"),CONCATENATE(B180,"_","TR",$B$3,"_","TR",$B$3,"_A","_",G180))</f>
        <v>IMA_TR7BT_89-40_43LR</v>
      </c>
      <c r="I180" s="6"/>
      <c r="J180" s="6" t="s">
        <v>186</v>
      </c>
      <c r="K180" s="6" t="s">
        <v>185</v>
      </c>
      <c r="L180" s="6" t="s">
        <v>188</v>
      </c>
      <c r="M180" s="6" t="s">
        <v>188</v>
      </c>
      <c r="N180" s="95">
        <f t="shared" si="6"/>
        <v>984</v>
      </c>
    </row>
    <row r="181" spans="1:14" x14ac:dyDescent="0.25">
      <c r="A181" s="95" t="s">
        <v>190</v>
      </c>
      <c r="B181" s="95" t="str">
        <f>Informações!$C$3</f>
        <v>IMA</v>
      </c>
      <c r="C181" s="95" t="s">
        <v>101</v>
      </c>
      <c r="D181" s="95" t="s">
        <v>33</v>
      </c>
      <c r="E181" s="2" t="s">
        <v>25</v>
      </c>
      <c r="F181" s="95" t="str">
        <f>VLOOKUP(G181,[1]Discrete!$A:$B,2,FALSE)</f>
        <v>FALTA VCC</v>
      </c>
      <c r="G181" s="6" t="s">
        <v>42</v>
      </c>
      <c r="H181" s="6" t="str" cm="1">
        <f t="array" ref="H181">_xlfn.IFS(OR(D181="TC",D181="TP",AND(D181="TR",C181="AT"),AND(D181="TR",C181="BT")),CONCATENATE(B181,"_","TR",$B$3,C181,"_","TR",$B$3,C181,"_",G181),AND(D181="SECC",C181="BT"),CONCATENATE(B181,"_","TR",$B$3,C181,"_",$B$9,"_",G181),AND(D181="SECF",C181="AT"),CONCATENATE(B181,"_","TR",$B$3,C181,"_",$B$6,"_",G181),AND(D181="SECT",C181="AT"),CONCATENATE(B181,"_","TR",$B$3,C181,"_",$B$7,"_",G181),AND(D181="DJ",C181="AT"),CONCATENATE(B181,"_","TR",$B$3,C181,"_",$B$4,"_",G181),AND(D181="DJ",C181="BT"),CONCATENATE(B181,"_","TR",$B$3,C181,"_",$B$8,"_",G181),AND(C181="TR",D181="TR"),CONCATENATE(B181,"_","TR",$B$3,"_","TR",$B$3,"_",G181),AND(D181="SECT",C181="BT"),CONCATENATE(B181,"_","TR",$B$3,C181,"_",$B$11,"_",G181),AND(D181="SECF",C181="BT"),CONCATENATE(B181,"_","TR",$B$3,C181,"_",$B$10,"_",G181),AND(D181="SECC",C181="AT"),CONCATENATE(B181,"_","TR",$B$3,C181,"_",$B$5,"_",G181),AND(C181="AT",D181="TR_A"),CONCATENATE(B181,"_","TR",$B$3,C181,"_","TR",$B$3,C181,"_A","_",G181),AND(C181="AT",D181="TR_P"),CONCATENATE(B181,"_","TR",$B$3,C181,"_","TR",$B$3,C181,"_P","_",G181),AND(C181="BT",D181="TR_A"),CONCATENATE(B181,"_","TR",$B$3,C181,"_","TR",$B$3,C181,"_A","_",G181),AND(C181="BT",D181="TR_P"),CONCATENATE(B181,"_","TR",$B$3,C181,"_","TR",$B$3,C181,"_P","_",G181),AND(C181="TR",D181="TR_P"),CONCATENATE(B181,"_","TR",$B$3,"_","TR",$B$3,"_P","_",G181),AND(C181="TR",D181="TR_A"),CONCATENATE(B181,"_","TR",$B$3,"_","TR",$B$3,"_A","_",G181))</f>
        <v>IMA_TR7BT_89-40_CCFL</v>
      </c>
      <c r="I181" s="6"/>
      <c r="J181" s="6" t="s">
        <v>182</v>
      </c>
      <c r="K181" s="6" t="s">
        <v>180</v>
      </c>
      <c r="L181" s="6" t="s">
        <v>188</v>
      </c>
      <c r="M181" s="6" t="s">
        <v>188</v>
      </c>
      <c r="N181" s="95">
        <f t="shared" si="6"/>
        <v>985</v>
      </c>
    </row>
    <row r="182" spans="1:14" x14ac:dyDescent="0.25">
      <c r="A182" s="95" t="s">
        <v>190</v>
      </c>
      <c r="B182" s="95" t="str">
        <f>Informações!$C$3</f>
        <v>IMA</v>
      </c>
      <c r="C182" s="95" t="s">
        <v>101</v>
      </c>
      <c r="D182" s="95" t="s">
        <v>33</v>
      </c>
      <c r="E182" s="2" t="s">
        <v>25</v>
      </c>
      <c r="F182" s="95" t="str">
        <f>VLOOKUP(G182,[1]Discrete!$A:$B,2,FALSE)</f>
        <v>LIBERA MANOBRA</v>
      </c>
      <c r="G182" s="6" t="s">
        <v>112</v>
      </c>
      <c r="H182" s="6" t="str" cm="1">
        <f t="array" ref="H182">_xlfn.IFS(OR(D182="TC",D182="TP",AND(D182="TR",C182="AT"),AND(D182="TR",C182="BT")),CONCATENATE(B182,"_","TR",$B$3,C182,"_","TR",$B$3,C182,"_",G182),AND(D182="SECC",C182="BT"),CONCATENATE(B182,"_","TR",$B$3,C182,"_",$B$9,"_",G182),AND(D182="SECF",C182="AT"),CONCATENATE(B182,"_","TR",$B$3,C182,"_",$B$6,"_",G182),AND(D182="SECT",C182="AT"),CONCATENATE(B182,"_","TR",$B$3,C182,"_",$B$7,"_",G182),AND(D182="DJ",C182="AT"),CONCATENATE(B182,"_","TR",$B$3,C182,"_",$B$4,"_",G182),AND(D182="DJ",C182="BT"),CONCATENATE(B182,"_","TR",$B$3,C182,"_",$B$8,"_",G182),AND(C182="TR",D182="TR"),CONCATENATE(B182,"_","TR",$B$3,"_","TR",$B$3,"_",G182),AND(D182="SECT",C182="BT"),CONCATENATE(B182,"_","TR",$B$3,C182,"_",$B$11,"_",G182),AND(D182="SECF",C182="BT"),CONCATENATE(B182,"_","TR",$B$3,C182,"_",$B$10,"_",G182),AND(D182="SECC",C182="AT"),CONCATENATE(B182,"_","TR",$B$3,C182,"_",$B$5,"_",G182),AND(C182="AT",D182="TR_A"),CONCATENATE(B182,"_","TR",$B$3,C182,"_","TR",$B$3,C182,"_A","_",G182),AND(C182="AT",D182="TR_P"),CONCATENATE(B182,"_","TR",$B$3,C182,"_","TR",$B$3,C182,"_P","_",G182),AND(C182="BT",D182="TR_A"),CONCATENATE(B182,"_","TR",$B$3,C182,"_","TR",$B$3,C182,"_A","_",G182),AND(C182="BT",D182="TR_P"),CONCATENATE(B182,"_","TR",$B$3,C182,"_","TR",$B$3,C182,"_P","_",G182),AND(C182="TR",D182="TR_P"),CONCATENATE(B182,"_","TR",$B$3,"_","TR",$B$3,"_P","_",G182),AND(C182="TR",D182="TR_A"),CONCATENATE(B182,"_","TR",$B$3,"_","TR",$B$3,"_A","_",G182))</f>
        <v>IMA_TR7BT_89-40_LIBM</v>
      </c>
      <c r="I182" s="6"/>
      <c r="J182" s="6" t="s">
        <v>182</v>
      </c>
      <c r="K182" s="6" t="s">
        <v>179</v>
      </c>
      <c r="L182" s="6" t="s">
        <v>188</v>
      </c>
      <c r="M182" s="6" t="s">
        <v>188</v>
      </c>
      <c r="N182" s="95">
        <f t="shared" si="6"/>
        <v>986</v>
      </c>
    </row>
    <row r="183" spans="1:14" x14ac:dyDescent="0.25">
      <c r="A183" s="95" t="s">
        <v>190</v>
      </c>
      <c r="B183" s="95" t="str">
        <f>Informações!$C$3</f>
        <v>IMA</v>
      </c>
      <c r="C183" s="95" t="s">
        <v>102</v>
      </c>
      <c r="D183" s="95" t="s">
        <v>102</v>
      </c>
      <c r="E183" s="2" t="s">
        <v>25</v>
      </c>
      <c r="F183" s="95" t="str">
        <f>VLOOKUP(G183,[1]Discrete!$A:$B,2,FALSE)</f>
        <v>FALHA VENTILACAO FORCADA</v>
      </c>
      <c r="G183" s="6" t="s">
        <v>715</v>
      </c>
      <c r="H183" s="6" t="str" cm="1">
        <f t="array" ref="H183">_xlfn.IFS(OR(D183="TC",D183="TP",AND(D183="TR",C183="AT"),AND(D183="TR",C183="BT")),CONCATENATE(B183,"_","TR",$B$3,C183,"_","TR",$B$3,C183,"_",G183),AND(D183="SECC",C183="BT"),CONCATENATE(B183,"_","TR",$B$3,C183,"_",$B$9,"_",G183),AND(D183="SECF",C183="AT"),CONCATENATE(B183,"_","TR",$B$3,C183,"_",$B$6,"_",G183),AND(D183="SECT",C183="AT"),CONCATENATE(B183,"_","TR",$B$3,C183,"_",$B$7,"_",G183),AND(D183="DJ",C183="AT"),CONCATENATE(B183,"_","TR",$B$3,C183,"_",$B$4,"_",G183),AND(D183="DJ",C183="BT"),CONCATENATE(B183,"_","TR",$B$3,C183,"_",$B$8,"_",G183),AND(C183="TR",D183="TR"),CONCATENATE(B183,"_","TR",$B$3,"_","TR",$B$3,"_",G183),AND(D183="SECT",C183="BT"),CONCATENATE(B183,"_","TR",$B$3,C183,"_",$B$11,"_",G183),AND(D183="SECF",C183="BT"),CONCATENATE(B183,"_","TR",$B$3,C183,"_",$B$10,"_",G183),AND(D183="SECC",C183="AT"),CONCATENATE(B183,"_","TR",$B$3,C183,"_",$B$5,"_",G183),AND(C183="AT",D183="TR_A"),CONCATENATE(B183,"_","TR",$B$3,C183,"_","TR",$B$3,C183,"_A","_",G183),AND(C183="AT",D183="TR_P"),CONCATENATE(B183,"_","TR",$B$3,C183,"_","TR",$B$3,C183,"_P","_",G183),AND(C183="BT",D183="TR_A"),CONCATENATE(B183,"_","TR",$B$3,C183,"_","TR",$B$3,C183,"_A","_",G183),AND(C183="BT",D183="TR_P"),CONCATENATE(B183,"_","TR",$B$3,C183,"_","TR",$B$3,C183,"_P","_",G183),AND(C183="TR",D183="TR_P"),CONCATENATE(B183,"_","TR",$B$3,"_","TR",$B$3,"_P","_",G183),AND(C183="TR",D183="TR_A"),CONCATENATE(B183,"_","TR",$B$3,"_","TR",$B$3,"_A","_",G183))</f>
        <v>IMA_TR7_TR7_FVF</v>
      </c>
      <c r="I183" s="6"/>
      <c r="J183" s="6" t="s">
        <v>182</v>
      </c>
      <c r="K183" s="6" t="s">
        <v>179</v>
      </c>
      <c r="L183" s="6" t="s">
        <v>188</v>
      </c>
      <c r="M183" s="6" t="s">
        <v>188</v>
      </c>
      <c r="N183" s="95">
        <f t="shared" si="6"/>
        <v>987</v>
      </c>
    </row>
    <row r="184" spans="1:14" x14ac:dyDescent="0.25">
      <c r="A184" s="95" t="s">
        <v>190</v>
      </c>
      <c r="B184" s="95" t="str">
        <f>Informações!$C$3</f>
        <v>IMA</v>
      </c>
      <c r="C184" s="95" t="s">
        <v>101</v>
      </c>
      <c r="D184" s="95" t="s">
        <v>102</v>
      </c>
      <c r="E184" s="2" t="s">
        <v>25</v>
      </c>
      <c r="F184" s="95" t="s">
        <v>710</v>
      </c>
      <c r="G184" s="6" t="s">
        <v>119</v>
      </c>
      <c r="H184" s="6" t="str" cm="1">
        <f t="array" ref="H184">_xlfn.IFS(OR(D184="TC",D184="TP",AND(D184="TR",C184="AT"),AND(D184="TR",C184="BT")),CONCATENATE(B184,"_","TR",$B$3,C184,"_","TR",$B$3,C184,"_",G184),AND(D184="SECC",C184="BT"),CONCATENATE(B184,"_","TR",$B$3,C184,"_",$B$9,"_",G184),AND(D184="SECF",C184="AT"),CONCATENATE(B184,"_","TR",$B$3,C184,"_",$B$6,"_",G184),AND(D184="SECT",C184="AT"),CONCATENATE(B184,"_","TR",$B$3,C184,"_",$B$7,"_",G184),AND(D184="DJ",C184="AT"),CONCATENATE(B184,"_","TR",$B$3,C184,"_",$B$4,"_",G184),AND(D184="DJ",C184="BT"),CONCATENATE(B184,"_","TR",$B$3,C184,"_",$B$8,"_",G184),AND(C184="TR",D184="TR"),CONCATENATE(B184,"_","TR",$B$3,"_","TR",$B$3,"_",G184),AND(D184="SECT",C184="BT"),CONCATENATE(B184,"_","TR",$B$3,C184,"_",$B$11,"_",G184),AND(D184="SECF",C184="BT"),CONCATENATE(B184,"_","TR",$B$3,C184,"_",$B$10,"_",G184),AND(D184="SECC",C184="AT"),CONCATENATE(B184,"_","TR",$B$3,C184,"_",$B$5,"_",G184),AND(C184="AT",D184="TR_A"),CONCATENATE(B184,"_","TR",$B$3,C184,"_","TR",$B$3,C184,"_A","_",G184),AND(C184="AT",D184="TR_P"),CONCATENATE(B184,"_","TR",$B$3,C184,"_","TR",$B$3,C184,"_P","_",G184),AND(C184="BT",D184="TR_A"),CONCATENATE(B184,"_","TR",$B$3,C184,"_","TR",$B$3,C184,"_A","_",G184),AND(C184="BT",D184="TR_P"),CONCATENATE(B184,"_","TR",$B$3,C184,"_","TR",$B$3,C184,"_P","_",G184),AND(C184="TR",D184="TR_P"),CONCATENATE(B184,"_","TR",$B$3,"_","TR",$B$3,"_P","_",G184),AND(C184="TR",D184="TR_A"),CONCATENATE(B184,"_","TR",$B$3,"_","TR",$B$3,"_A","_",G184))</f>
        <v>IMA_TR7BT_TR7BT_TEA</v>
      </c>
      <c r="I184" s="6"/>
      <c r="J184" s="6" t="s">
        <v>182</v>
      </c>
      <c r="K184" s="6" t="s">
        <v>179</v>
      </c>
      <c r="L184" s="6" t="s">
        <v>188</v>
      </c>
      <c r="M184" s="6" t="s">
        <v>188</v>
      </c>
      <c r="N184" s="95">
        <f t="shared" si="6"/>
        <v>988</v>
      </c>
    </row>
    <row r="185" spans="1:14" x14ac:dyDescent="0.25">
      <c r="A185" s="95" t="s">
        <v>190</v>
      </c>
      <c r="B185" s="95" t="str">
        <f>Informações!$C$3</f>
        <v>IMA</v>
      </c>
      <c r="C185" s="95" t="s">
        <v>101</v>
      </c>
      <c r="D185" s="95" t="s">
        <v>102</v>
      </c>
      <c r="E185" s="2" t="s">
        <v>25</v>
      </c>
      <c r="F185" s="95" t="s">
        <v>711</v>
      </c>
      <c r="G185" s="6" t="s">
        <v>120</v>
      </c>
      <c r="H185" s="6" t="str" cm="1">
        <f t="array" ref="H185">_xlfn.IFS(OR(D185="TC",D185="TP",AND(D185="TR",C185="AT"),AND(D185="TR",C185="BT")),CONCATENATE(B185,"_","TR",$B$3,C185,"_","TR",$B$3,C185,"_",G185),AND(D185="SECC",C185="BT"),CONCATENATE(B185,"_","TR",$B$3,C185,"_",$B$9,"_",G185),AND(D185="SECF",C185="AT"),CONCATENATE(B185,"_","TR",$B$3,C185,"_",$B$6,"_",G185),AND(D185="SECT",C185="AT"),CONCATENATE(B185,"_","TR",$B$3,C185,"_",$B$7,"_",G185),AND(D185="DJ",C185="AT"),CONCATENATE(B185,"_","TR",$B$3,C185,"_",$B$4,"_",G185),AND(D185="DJ",C185="BT"),CONCATENATE(B185,"_","TR",$B$3,C185,"_",$B$8,"_",G185),AND(C185="TR",D185="TR"),CONCATENATE(B185,"_","TR",$B$3,"_","TR",$B$3,"_",G185),AND(D185="SECT",C185="BT"),CONCATENATE(B185,"_","TR",$B$3,C185,"_",$B$11,"_",G185),AND(D185="SECF",C185="BT"),CONCATENATE(B185,"_","TR",$B$3,C185,"_",$B$10,"_",G185),AND(D185="SECC",C185="AT"),CONCATENATE(B185,"_","TR",$B$3,C185,"_",$B$5,"_",G185),AND(C185="AT",D185="TR_A"),CONCATENATE(B185,"_","TR",$B$3,C185,"_","TR",$B$3,C185,"_A","_",G185),AND(C185="AT",D185="TR_P"),CONCATENATE(B185,"_","TR",$B$3,C185,"_","TR",$B$3,C185,"_P","_",G185),AND(C185="BT",D185="TR_A"),CONCATENATE(B185,"_","TR",$B$3,C185,"_","TR",$B$3,C185,"_A","_",G185),AND(C185="BT",D185="TR_P"),CONCATENATE(B185,"_","TR",$B$3,C185,"_","TR",$B$3,C185,"_P","_",G185),AND(C185="TR",D185="TR_P"),CONCATENATE(B185,"_","TR",$B$3,"_","TR",$B$3,"_P","_",G185),AND(C185="TR",D185="TR_A"),CONCATENATE(B185,"_","TR",$B$3,"_","TR",$B$3,"_A","_",G185))</f>
        <v>IMA_TR7BT_TR7BT_TED</v>
      </c>
      <c r="I185" s="6"/>
      <c r="J185" s="6" t="s">
        <v>182</v>
      </c>
      <c r="K185" s="6" t="s">
        <v>179</v>
      </c>
      <c r="L185" s="6" t="s">
        <v>188</v>
      </c>
      <c r="M185" s="6" t="s">
        <v>188</v>
      </c>
      <c r="N185" s="95">
        <f t="shared" si="6"/>
        <v>989</v>
      </c>
    </row>
    <row r="186" spans="1:14" x14ac:dyDescent="0.25">
      <c r="A186" s="95" t="s">
        <v>190</v>
      </c>
      <c r="B186" s="95" t="str">
        <f>Informações!$C$3</f>
        <v>IMA</v>
      </c>
      <c r="C186" s="95" t="s">
        <v>100</v>
      </c>
      <c r="D186" s="95" t="s">
        <v>211</v>
      </c>
      <c r="E186" s="2" t="s">
        <v>25</v>
      </c>
      <c r="F186" s="95" t="str">
        <f>VLOOKUP(G186,[1]Discrete!$A:$B,2,FALSE)</f>
        <v>FASE A</v>
      </c>
      <c r="G186" s="6" t="s">
        <v>54</v>
      </c>
      <c r="H186" s="6" t="str" cm="1">
        <f t="array" ref="H186">_xlfn.IFS(OR(D186="TC",D186="TP",AND(D186="TR",C186="AT"),AND(D186="TR",C186="BT")),CONCATENATE(B186,"_","TR",$B$3,C186,"_","TR",$B$3,C186,"_",G186),AND(D186="SECC",C186="BT"),CONCATENATE(B186,"_","TR",$B$3,C186,"_",$B$9,"_",G186),AND(D186="SECF",C186="AT"),CONCATENATE(B186,"_","TR",$B$3,C186,"_",$B$6,"_",G186),AND(D186="SECT",C186="AT"),CONCATENATE(B186,"_","TR",$B$3,C186,"_",$B$7,"_",G186),AND(D186="DJ",C186="AT"),CONCATENATE(B186,"_","TR",$B$3,C186,"_",$B$4,"_",G186),AND(D186="DJ",C186="BT"),CONCATENATE(B186,"_","TR",$B$3,C186,"_",$B$8,"_",G186),AND(C186="TR",D186="TR"),CONCATENATE(B186,"_","TR",$B$3,"_","TR",$B$3,"_",G186),AND(D186="SECT",C186="BT"),CONCATENATE(B186,"_","TR",$B$3,C186,"_",$B$11,"_",G186),AND(D186="SECF",C186="BT"),CONCATENATE(B186,"_","TR",$B$3,C186,"_",$B$10,"_",G186),AND(D186="SECC",C186="AT"),CONCATENATE(B186,"_","TR",$B$3,C186,"_",$B$5,"_",G186),AND(C186="AT",D186="TR_A"),CONCATENATE(B186,"_","TR",$B$3,C186,"_","TR",$B$3,C186,"_A","_",G186),AND(C186="AT",D186="TR_P"),CONCATENATE(B186,"_","TR",$B$3,C186,"_","TR",$B$3,C186,"_P","_",G186),AND(C186="BT",D186="TR_A"),CONCATENATE(B186,"_","TR",$B$3,C186,"_","TR",$B$3,C186,"_A","_",G186),AND(C186="BT",D186="TR_P"),CONCATENATE(B186,"_","TR",$B$3,C186,"_","TR",$B$3,C186,"_P","_",G186),AND(C186="TR",D186="TR_P"),CONCATENATE(B186,"_","TR",$B$3,"_","TR",$B$3,"_P","_",G186),AND(C186="TR",D186="TR_A"),CONCATENATE(B186,"_","TR",$B$3,"_","TR",$B$3,"_A","_",G186))</f>
        <v>IMA_TR7AT_TR7AT_A_FA</v>
      </c>
      <c r="I186" s="6"/>
      <c r="J186" s="6" t="s">
        <v>182</v>
      </c>
      <c r="K186" s="6" t="s">
        <v>179</v>
      </c>
      <c r="L186" s="6" t="s">
        <v>188</v>
      </c>
      <c r="M186" s="6" t="s">
        <v>188</v>
      </c>
      <c r="N186" s="95">
        <f t="shared" si="6"/>
        <v>990</v>
      </c>
    </row>
    <row r="187" spans="1:14" x14ac:dyDescent="0.25">
      <c r="A187" s="95" t="s">
        <v>190</v>
      </c>
      <c r="B187" s="95" t="str">
        <f>Informações!$C$3</f>
        <v>IMA</v>
      </c>
      <c r="C187" s="95" t="s">
        <v>100</v>
      </c>
      <c r="D187" s="95" t="s">
        <v>211</v>
      </c>
      <c r="E187" s="2" t="s">
        <v>25</v>
      </c>
      <c r="F187" s="95" t="str">
        <f>VLOOKUP(G187,[1]Discrete!$A:$B,2,FALSE)</f>
        <v>FASE B</v>
      </c>
      <c r="G187" s="6" t="s">
        <v>55</v>
      </c>
      <c r="H187" s="6" t="str" cm="1">
        <f t="array" ref="H187">_xlfn.IFS(OR(D187="TC",D187="TP",AND(D187="TR",C187="AT"),AND(D187="TR",C187="BT")),CONCATENATE(B187,"_","TR",$B$3,C187,"_","TR",$B$3,C187,"_",G187),AND(D187="SECC",C187="BT"),CONCATENATE(B187,"_","TR",$B$3,C187,"_",$B$9,"_",G187),AND(D187="SECF",C187="AT"),CONCATENATE(B187,"_","TR",$B$3,C187,"_",$B$6,"_",G187),AND(D187="SECT",C187="AT"),CONCATENATE(B187,"_","TR",$B$3,C187,"_",$B$7,"_",G187),AND(D187="DJ",C187="AT"),CONCATENATE(B187,"_","TR",$B$3,C187,"_",$B$4,"_",G187),AND(D187="DJ",C187="BT"),CONCATENATE(B187,"_","TR",$B$3,C187,"_",$B$8,"_",G187),AND(C187="TR",D187="TR"),CONCATENATE(B187,"_","TR",$B$3,"_","TR",$B$3,"_",G187),AND(D187="SECT",C187="BT"),CONCATENATE(B187,"_","TR",$B$3,C187,"_",$B$11,"_",G187),AND(D187="SECF",C187="BT"),CONCATENATE(B187,"_","TR",$B$3,C187,"_",$B$10,"_",G187),AND(D187="SECC",C187="AT"),CONCATENATE(B187,"_","TR",$B$3,C187,"_",$B$5,"_",G187),AND(C187="AT",D187="TR_A"),CONCATENATE(B187,"_","TR",$B$3,C187,"_","TR",$B$3,C187,"_A","_",G187),AND(C187="AT",D187="TR_P"),CONCATENATE(B187,"_","TR",$B$3,C187,"_","TR",$B$3,C187,"_P","_",G187),AND(C187="BT",D187="TR_A"),CONCATENATE(B187,"_","TR",$B$3,C187,"_","TR",$B$3,C187,"_A","_",G187),AND(C187="BT",D187="TR_P"),CONCATENATE(B187,"_","TR",$B$3,C187,"_","TR",$B$3,C187,"_P","_",G187),AND(C187="TR",D187="TR_P"),CONCATENATE(B187,"_","TR",$B$3,"_","TR",$B$3,"_P","_",G187),AND(C187="TR",D187="TR_A"),CONCATENATE(B187,"_","TR",$B$3,"_","TR",$B$3,"_A","_",G187))</f>
        <v>IMA_TR7AT_TR7AT_A_FB</v>
      </c>
      <c r="I187" s="6"/>
      <c r="J187" s="6" t="s">
        <v>182</v>
      </c>
      <c r="K187" s="6" t="s">
        <v>179</v>
      </c>
      <c r="L187" s="6" t="s">
        <v>188</v>
      </c>
      <c r="M187" s="6" t="s">
        <v>188</v>
      </c>
      <c r="N187" s="95">
        <f t="shared" si="6"/>
        <v>991</v>
      </c>
    </row>
    <row r="188" spans="1:14" x14ac:dyDescent="0.25">
      <c r="A188" s="95" t="s">
        <v>190</v>
      </c>
      <c r="B188" s="95" t="str">
        <f>Informações!$C$3</f>
        <v>IMA</v>
      </c>
      <c r="C188" s="95" t="s">
        <v>100</v>
      </c>
      <c r="D188" s="95" t="s">
        <v>211</v>
      </c>
      <c r="E188" s="2" t="s">
        <v>25</v>
      </c>
      <c r="F188" s="95" t="str">
        <f>VLOOKUP(G188,[1]Discrete!$A:$B,2,FALSE)</f>
        <v>FASE C</v>
      </c>
      <c r="G188" s="6" t="s">
        <v>56</v>
      </c>
      <c r="H188" s="6" t="str" cm="1">
        <f t="array" ref="H188">_xlfn.IFS(OR(D188="TC",D188="TP",AND(D188="TR",C188="AT"),AND(D188="TR",C188="BT")),CONCATENATE(B188,"_","TR",$B$3,C188,"_","TR",$B$3,C188,"_",G188),AND(D188="SECC",C188="BT"),CONCATENATE(B188,"_","TR",$B$3,C188,"_",$B$9,"_",G188),AND(D188="SECF",C188="AT"),CONCATENATE(B188,"_","TR",$B$3,C188,"_",$B$6,"_",G188),AND(D188="SECT",C188="AT"),CONCATENATE(B188,"_","TR",$B$3,C188,"_",$B$7,"_",G188),AND(D188="DJ",C188="AT"),CONCATENATE(B188,"_","TR",$B$3,C188,"_",$B$4,"_",G188),AND(D188="DJ",C188="BT"),CONCATENATE(B188,"_","TR",$B$3,C188,"_",$B$8,"_",G188),AND(C188="TR",D188="TR"),CONCATENATE(B188,"_","TR",$B$3,"_","TR",$B$3,"_",G188),AND(D188="SECT",C188="BT"),CONCATENATE(B188,"_","TR",$B$3,C188,"_",$B$11,"_",G188),AND(D188="SECF",C188="BT"),CONCATENATE(B188,"_","TR",$B$3,C188,"_",$B$10,"_",G188),AND(D188="SECC",C188="AT"),CONCATENATE(B188,"_","TR",$B$3,C188,"_",$B$5,"_",G188),AND(C188="AT",D188="TR_A"),CONCATENATE(B188,"_","TR",$B$3,C188,"_","TR",$B$3,C188,"_A","_",G188),AND(C188="AT",D188="TR_P"),CONCATENATE(B188,"_","TR",$B$3,C188,"_","TR",$B$3,C188,"_P","_",G188),AND(C188="BT",D188="TR_A"),CONCATENATE(B188,"_","TR",$B$3,C188,"_","TR",$B$3,C188,"_A","_",G188),AND(C188="BT",D188="TR_P"),CONCATENATE(B188,"_","TR",$B$3,C188,"_","TR",$B$3,C188,"_P","_",G188),AND(C188="TR",D188="TR_P"),CONCATENATE(B188,"_","TR",$B$3,"_","TR",$B$3,"_P","_",G188),AND(C188="TR",D188="TR_A"),CONCATENATE(B188,"_","TR",$B$3,"_","TR",$B$3,"_A","_",G188))</f>
        <v>IMA_TR7AT_TR7AT_A_FC</v>
      </c>
      <c r="I188" s="6"/>
      <c r="J188" s="6" t="s">
        <v>182</v>
      </c>
      <c r="K188" s="6" t="s">
        <v>179</v>
      </c>
      <c r="L188" s="6" t="s">
        <v>188</v>
      </c>
      <c r="M188" s="6" t="s">
        <v>188</v>
      </c>
      <c r="N188" s="95">
        <f t="shared" si="6"/>
        <v>992</v>
      </c>
    </row>
    <row r="189" spans="1:14" x14ac:dyDescent="0.25">
      <c r="A189" s="95" t="s">
        <v>190</v>
      </c>
      <c r="B189" s="95" t="str">
        <f>Informações!$C$3</f>
        <v>IMA</v>
      </c>
      <c r="C189" s="95" t="s">
        <v>100</v>
      </c>
      <c r="D189" s="95" t="s">
        <v>211</v>
      </c>
      <c r="E189" s="2" t="s">
        <v>25</v>
      </c>
      <c r="F189" s="95" t="str">
        <f>VLOOKUP(G189,[1]Discrete!$A:$B,2,FALSE)</f>
        <v>NEUTRO</v>
      </c>
      <c r="G189" s="6" t="s">
        <v>420</v>
      </c>
      <c r="H189" s="6" t="str" cm="1">
        <f t="array" ref="H189">_xlfn.IFS(OR(D189="TC",D189="TP",AND(D189="TR",C189="AT"),AND(D189="TR",C189="BT")),CONCATENATE(B189,"_","TR",$B$3,C189,"_","TR",$B$3,C189,"_",G189),AND(D189="SECC",C189="BT"),CONCATENATE(B189,"_","TR",$B$3,C189,"_",$B$9,"_",G189),AND(D189="SECF",C189="AT"),CONCATENATE(B189,"_","TR",$B$3,C189,"_",$B$6,"_",G189),AND(D189="SECT",C189="AT"),CONCATENATE(B189,"_","TR",$B$3,C189,"_",$B$7,"_",G189),AND(D189="DJ",C189="AT"),CONCATENATE(B189,"_","TR",$B$3,C189,"_",$B$4,"_",G189),AND(D189="DJ",C189="BT"),CONCATENATE(B189,"_","TR",$B$3,C189,"_",$B$8,"_",G189),AND(C189="TR",D189="TR"),CONCATENATE(B189,"_","TR",$B$3,"_","TR",$B$3,"_",G189),AND(D189="SECT",C189="BT"),CONCATENATE(B189,"_","TR",$B$3,C189,"_",$B$11,"_",G189),AND(D189="SECF",C189="BT"),CONCATENATE(B189,"_","TR",$B$3,C189,"_",$B$10,"_",G189),AND(D189="SECC",C189="AT"),CONCATENATE(B189,"_","TR",$B$3,C189,"_",$B$5,"_",G189),AND(C189="AT",D189="TR_A"),CONCATENATE(B189,"_","TR",$B$3,C189,"_","TR",$B$3,C189,"_A","_",G189),AND(C189="AT",D189="TR_P"),CONCATENATE(B189,"_","TR",$B$3,C189,"_","TR",$B$3,C189,"_P","_",G189),AND(C189="BT",D189="TR_A"),CONCATENATE(B189,"_","TR",$B$3,C189,"_","TR",$B$3,C189,"_A","_",G189),AND(C189="BT",D189="TR_P"),CONCATENATE(B189,"_","TR",$B$3,C189,"_","TR",$B$3,C189,"_P","_",G189),AND(C189="TR",D189="TR_P"),CONCATENATE(B189,"_","TR",$B$3,"_","TR",$B$3,"_P","_",G189),AND(C189="TR",D189="TR_A"),CONCATENATE(B189,"_","TR",$B$3,"_","TR",$B$3,"_A","_",G189))</f>
        <v>IMA_TR7AT_TR7AT_A_N</v>
      </c>
      <c r="I189" s="6"/>
      <c r="J189" s="6" t="s">
        <v>182</v>
      </c>
      <c r="K189" s="6" t="s">
        <v>179</v>
      </c>
      <c r="L189" s="6" t="s">
        <v>188</v>
      </c>
      <c r="M189" s="6" t="s">
        <v>188</v>
      </c>
      <c r="N189" s="95">
        <f t="shared" si="6"/>
        <v>993</v>
      </c>
    </row>
    <row r="190" spans="1:14" x14ac:dyDescent="0.25">
      <c r="A190" s="95" t="s">
        <v>190</v>
      </c>
      <c r="B190" s="95" t="str">
        <f>Informações!$C$3</f>
        <v>IMA</v>
      </c>
      <c r="C190" s="95" t="s">
        <v>100</v>
      </c>
      <c r="D190" s="95" t="s">
        <v>211</v>
      </c>
      <c r="E190" s="2" t="s">
        <v>25</v>
      </c>
      <c r="F190" s="95" t="str">
        <f>VLOOKUP(G190,[1]Discrete!$A:$B,2,FALSE)</f>
        <v>67 - DIRECIONAL SOBRECORRENTE FASE TEMPORIZADO</v>
      </c>
      <c r="G190" s="6" t="s">
        <v>60</v>
      </c>
      <c r="H190" s="6" t="str" cm="1">
        <f t="array" ref="H190">_xlfn.IFS(OR(D190="TC",D190="TP",AND(D190="TR",C190="AT"),AND(D190="TR",C190="BT")),CONCATENATE(B190,"_","TR",$B$3,C190,"_","TR",$B$3,C190,"_",G190),AND(D190="SECC",C190="BT"),CONCATENATE(B190,"_","TR",$B$3,C190,"_",$B$9,"_",G190),AND(D190="SECF",C190="AT"),CONCATENATE(B190,"_","TR",$B$3,C190,"_",$B$6,"_",G190),AND(D190="SECT",C190="AT"),CONCATENATE(B190,"_","TR",$B$3,C190,"_",$B$7,"_",G190),AND(D190="DJ",C190="AT"),CONCATENATE(B190,"_","TR",$B$3,C190,"_",$B$4,"_",G190),AND(D190="DJ",C190="BT"),CONCATENATE(B190,"_","TR",$B$3,C190,"_",$B$8,"_",G190),AND(C190="TR",D190="TR"),CONCATENATE(B190,"_","TR",$B$3,"_","TR",$B$3,"_",G190),AND(D190="SECT",C190="BT"),CONCATENATE(B190,"_","TR",$B$3,C190,"_",$B$11,"_",G190),AND(D190="SECF",C190="BT"),CONCATENATE(B190,"_","TR",$B$3,C190,"_",$B$10,"_",G190),AND(D190="SECC",C190="AT"),CONCATENATE(B190,"_","TR",$B$3,C190,"_",$B$5,"_",G190),AND(C190="AT",D190="TR_A"),CONCATENATE(B190,"_","TR",$B$3,C190,"_","TR",$B$3,C190,"_A","_",G190),AND(C190="AT",D190="TR_P"),CONCATENATE(B190,"_","TR",$B$3,C190,"_","TR",$B$3,C190,"_P","_",G190),AND(C190="BT",D190="TR_A"),CONCATENATE(B190,"_","TR",$B$3,C190,"_","TR",$B$3,C190,"_A","_",G190),AND(C190="BT",D190="TR_P"),CONCATENATE(B190,"_","TR",$B$3,C190,"_","TR",$B$3,C190,"_P","_",G190),AND(C190="TR",D190="TR_P"),CONCATENATE(B190,"_","TR",$B$3,"_","TR",$B$3,"_P","_",G190),AND(C190="TR",D190="TR_A"),CONCATENATE(B190,"_","TR",$B$3,"_","TR",$B$3,"_A","_",G190))</f>
        <v>IMA_TR7AT_TR7AT_A_67FT</v>
      </c>
      <c r="I190" s="6"/>
      <c r="J190" s="6" t="s">
        <v>182</v>
      </c>
      <c r="K190" s="6" t="s">
        <v>179</v>
      </c>
      <c r="L190" s="6" t="s">
        <v>188</v>
      </c>
      <c r="M190" s="6" t="s">
        <v>188</v>
      </c>
      <c r="N190" s="95">
        <f t="shared" si="6"/>
        <v>994</v>
      </c>
    </row>
    <row r="191" spans="1:14" x14ac:dyDescent="0.25">
      <c r="A191" s="95" t="s">
        <v>190</v>
      </c>
      <c r="B191" s="95" t="str">
        <f>Informações!$C$3</f>
        <v>IMA</v>
      </c>
      <c r="C191" s="95" t="s">
        <v>100</v>
      </c>
      <c r="D191" s="95" t="s">
        <v>211</v>
      </c>
      <c r="E191" s="2" t="s">
        <v>25</v>
      </c>
      <c r="F191" s="95" t="str">
        <f>VLOOKUP(G191,[1]Discrete!$A:$B,2,FALSE)</f>
        <v>67 - DIRECIONAL SOBRECORRENTE NEUTRO TEMPORIZADO</v>
      </c>
      <c r="G191" s="6" t="s">
        <v>63</v>
      </c>
      <c r="H191" s="6" t="str" cm="1">
        <f t="array" ref="H191">_xlfn.IFS(OR(D191="TC",D191="TP",AND(D191="TR",C191="AT"),AND(D191="TR",C191="BT")),CONCATENATE(B191,"_","TR",$B$3,C191,"_","TR",$B$3,C191,"_",G191),AND(D191="SECC",C191="BT"),CONCATENATE(B191,"_","TR",$B$3,C191,"_",$B$9,"_",G191),AND(D191="SECF",C191="AT"),CONCATENATE(B191,"_","TR",$B$3,C191,"_",$B$6,"_",G191),AND(D191="SECT",C191="AT"),CONCATENATE(B191,"_","TR",$B$3,C191,"_",$B$7,"_",G191),AND(D191="DJ",C191="AT"),CONCATENATE(B191,"_","TR",$B$3,C191,"_",$B$4,"_",G191),AND(D191="DJ",C191="BT"),CONCATENATE(B191,"_","TR",$B$3,C191,"_",$B$8,"_",G191),AND(C191="TR",D191="TR"),CONCATENATE(B191,"_","TR",$B$3,"_","TR",$B$3,"_",G191),AND(D191="SECT",C191="BT"),CONCATENATE(B191,"_","TR",$B$3,C191,"_",$B$11,"_",G191),AND(D191="SECF",C191="BT"),CONCATENATE(B191,"_","TR",$B$3,C191,"_",$B$10,"_",G191),AND(D191="SECC",C191="AT"),CONCATENATE(B191,"_","TR",$B$3,C191,"_",$B$5,"_",G191),AND(C191="AT",D191="TR_A"),CONCATENATE(B191,"_","TR",$B$3,C191,"_","TR",$B$3,C191,"_A","_",G191),AND(C191="AT",D191="TR_P"),CONCATENATE(B191,"_","TR",$B$3,C191,"_","TR",$B$3,C191,"_P","_",G191),AND(C191="BT",D191="TR_A"),CONCATENATE(B191,"_","TR",$B$3,C191,"_","TR",$B$3,C191,"_A","_",G191),AND(C191="BT",D191="TR_P"),CONCATENATE(B191,"_","TR",$B$3,C191,"_","TR",$B$3,C191,"_P","_",G191),AND(C191="TR",D191="TR_P"),CONCATENATE(B191,"_","TR",$B$3,"_","TR",$B$3,"_P","_",G191),AND(C191="TR",D191="TR_A"),CONCATENATE(B191,"_","TR",$B$3,"_","TR",$B$3,"_A","_",G191))</f>
        <v>IMA_TR7AT_TR7AT_A_67NT</v>
      </c>
      <c r="I191" s="6"/>
      <c r="J191" s="6" t="s">
        <v>182</v>
      </c>
      <c r="K191" s="6" t="s">
        <v>179</v>
      </c>
      <c r="L191" s="6" t="s">
        <v>188</v>
      </c>
      <c r="M191" s="6" t="s">
        <v>188</v>
      </c>
      <c r="N191" s="95">
        <f t="shared" si="6"/>
        <v>995</v>
      </c>
    </row>
    <row r="192" spans="1:14" x14ac:dyDescent="0.25">
      <c r="A192" s="95" t="s">
        <v>190</v>
      </c>
      <c r="B192" s="95" t="str">
        <f>Informações!$C$3</f>
        <v>IMA</v>
      </c>
      <c r="C192" s="95" t="s">
        <v>100</v>
      </c>
      <c r="D192" s="95" t="s">
        <v>211</v>
      </c>
      <c r="E192" s="2" t="s">
        <v>25</v>
      </c>
      <c r="F192" s="95" t="str">
        <f>VLOOKUP(G192,[1]Discrete!$A:$B,2,FALSE)</f>
        <v>50 - SOBRECORRENTE INSTANTANEA FASE</v>
      </c>
      <c r="G192" s="6" t="s">
        <v>416</v>
      </c>
      <c r="H192" s="6" t="str" cm="1">
        <f t="array" ref="H192">_xlfn.IFS(OR(D192="TC",D192="TP",AND(D192="TR",C192="AT"),AND(D192="TR",C192="BT")),CONCATENATE(B192,"_","TR",$B$3,C192,"_","TR",$B$3,C192,"_",G192),AND(D192="SECC",C192="BT"),CONCATENATE(B192,"_","TR",$B$3,C192,"_",$B$9,"_",G192),AND(D192="SECF",C192="AT"),CONCATENATE(B192,"_","TR",$B$3,C192,"_",$B$6,"_",G192),AND(D192="SECT",C192="AT"),CONCATENATE(B192,"_","TR",$B$3,C192,"_",$B$7,"_",G192),AND(D192="DJ",C192="AT"),CONCATENATE(B192,"_","TR",$B$3,C192,"_",$B$4,"_",G192),AND(D192="DJ",C192="BT"),CONCATENATE(B192,"_","TR",$B$3,C192,"_",$B$8,"_",G192),AND(C192="TR",D192="TR"),CONCATENATE(B192,"_","TR",$B$3,"_","TR",$B$3,"_",G192),AND(D192="SECT",C192="BT"),CONCATENATE(B192,"_","TR",$B$3,C192,"_",$B$11,"_",G192),AND(D192="SECF",C192="BT"),CONCATENATE(B192,"_","TR",$B$3,C192,"_",$B$10,"_",G192),AND(D192="SECC",C192="AT"),CONCATENATE(B192,"_","TR",$B$3,C192,"_",$B$5,"_",G192),AND(C192="AT",D192="TR_A"),CONCATENATE(B192,"_","TR",$B$3,C192,"_","TR",$B$3,C192,"_A","_",G192),AND(C192="AT",D192="TR_P"),CONCATENATE(B192,"_","TR",$B$3,C192,"_","TR",$B$3,C192,"_P","_",G192),AND(C192="BT",D192="TR_A"),CONCATENATE(B192,"_","TR",$B$3,C192,"_","TR",$B$3,C192,"_A","_",G192),AND(C192="BT",D192="TR_P"),CONCATENATE(B192,"_","TR",$B$3,C192,"_","TR",$B$3,C192,"_P","_",G192),AND(C192="TR",D192="TR_P"),CONCATENATE(B192,"_","TR",$B$3,"_","TR",$B$3,"_P","_",G192),AND(C192="TR",D192="TR_A"),CONCATENATE(B192,"_","TR",$B$3,"_","TR",$B$3,"_A","_",G192))</f>
        <v>IMA_TR7AT_TR7AT_A_50F</v>
      </c>
      <c r="I192" s="6"/>
      <c r="J192" s="6" t="s">
        <v>182</v>
      </c>
      <c r="K192" s="6" t="s">
        <v>179</v>
      </c>
      <c r="L192" s="6" t="s">
        <v>188</v>
      </c>
      <c r="M192" s="6" t="s">
        <v>188</v>
      </c>
      <c r="N192" s="95">
        <f t="shared" si="6"/>
        <v>996</v>
      </c>
    </row>
    <row r="193" spans="1:14" x14ac:dyDescent="0.25">
      <c r="A193" s="95" t="s">
        <v>190</v>
      </c>
      <c r="B193" s="95" t="str">
        <f>Informações!$C$3</f>
        <v>IMA</v>
      </c>
      <c r="C193" s="95" t="s">
        <v>100</v>
      </c>
      <c r="D193" s="95" t="s">
        <v>211</v>
      </c>
      <c r="E193" s="2" t="s">
        <v>25</v>
      </c>
      <c r="F193" s="95" t="str">
        <f>VLOOKUP(G193,[1]Discrete!$A:$B,2,FALSE)</f>
        <v>50 - SOBRECORRENTE INSTANTANEA FASE NEUTRO</v>
      </c>
      <c r="G193" s="6" t="s">
        <v>428</v>
      </c>
      <c r="H193" s="6" t="str" cm="1">
        <f t="array" ref="H193">_xlfn.IFS(OR(D193="TC",D193="TP",AND(D193="TR",C193="AT"),AND(D193="TR",C193="BT")),CONCATENATE(B193,"_","TR",$B$3,C193,"_","TR",$B$3,C193,"_",G193),AND(D193="SECC",C193="BT"),CONCATENATE(B193,"_","TR",$B$3,C193,"_",$B$9,"_",G193),AND(D193="SECF",C193="AT"),CONCATENATE(B193,"_","TR",$B$3,C193,"_",$B$6,"_",G193),AND(D193="SECT",C193="AT"),CONCATENATE(B193,"_","TR",$B$3,C193,"_",$B$7,"_",G193),AND(D193="DJ",C193="AT"),CONCATENATE(B193,"_","TR",$B$3,C193,"_",$B$4,"_",G193),AND(D193="DJ",C193="BT"),CONCATENATE(B193,"_","TR",$B$3,C193,"_",$B$8,"_",G193),AND(C193="TR",D193="TR"),CONCATENATE(B193,"_","TR",$B$3,"_","TR",$B$3,"_",G193),AND(D193="SECT",C193="BT"),CONCATENATE(B193,"_","TR",$B$3,C193,"_",$B$11,"_",G193),AND(D193="SECF",C193="BT"),CONCATENATE(B193,"_","TR",$B$3,C193,"_",$B$10,"_",G193),AND(D193="SECC",C193="AT"),CONCATENATE(B193,"_","TR",$B$3,C193,"_",$B$5,"_",G193),AND(C193="AT",D193="TR_A"),CONCATENATE(B193,"_","TR",$B$3,C193,"_","TR",$B$3,C193,"_A","_",G193),AND(C193="AT",D193="TR_P"),CONCATENATE(B193,"_","TR",$B$3,C193,"_","TR",$B$3,C193,"_P","_",G193),AND(C193="BT",D193="TR_A"),CONCATENATE(B193,"_","TR",$B$3,C193,"_","TR",$B$3,C193,"_A","_",G193),AND(C193="BT",D193="TR_P"),CONCATENATE(B193,"_","TR",$B$3,C193,"_","TR",$B$3,C193,"_P","_",G193),AND(C193="TR",D193="TR_P"),CONCATENATE(B193,"_","TR",$B$3,"_","TR",$B$3,"_P","_",G193),AND(C193="TR",D193="TR_A"),CONCATENATE(B193,"_","TR",$B$3,"_","TR",$B$3,"_A","_",G193))</f>
        <v>IMA_TR7AT_TR7AT_A_50FN</v>
      </c>
      <c r="I193" s="6"/>
      <c r="J193" s="6" t="s">
        <v>182</v>
      </c>
      <c r="K193" s="6" t="s">
        <v>179</v>
      </c>
      <c r="L193" s="6" t="s">
        <v>188</v>
      </c>
      <c r="M193" s="6" t="s">
        <v>188</v>
      </c>
      <c r="N193" s="95">
        <f t="shared" si="6"/>
        <v>997</v>
      </c>
    </row>
    <row r="194" spans="1:14" x14ac:dyDescent="0.25">
      <c r="A194" s="95" t="s">
        <v>190</v>
      </c>
      <c r="B194" s="95" t="str">
        <f>Informações!$C$3</f>
        <v>IMA</v>
      </c>
      <c r="C194" s="95" t="s">
        <v>100</v>
      </c>
      <c r="D194" s="95" t="s">
        <v>211</v>
      </c>
      <c r="E194" s="2" t="s">
        <v>25</v>
      </c>
      <c r="F194" s="95" t="str">
        <f>VLOOKUP(G194,[1]Discrete!$A:$B,2,FALSE)</f>
        <v>51 - SOBRECORRENTE TEMPORIZADA FASE</v>
      </c>
      <c r="G194" s="6" t="s">
        <v>98</v>
      </c>
      <c r="H194" s="6" t="str" cm="1">
        <f t="array" ref="H194">_xlfn.IFS(OR(D194="TC",D194="TP",AND(D194="TR",C194="AT"),AND(D194="TR",C194="BT")),CONCATENATE(B194,"_","TR",$B$3,C194,"_","TR",$B$3,C194,"_",G194),AND(D194="SECC",C194="BT"),CONCATENATE(B194,"_","TR",$B$3,C194,"_",$B$9,"_",G194),AND(D194="SECF",C194="AT"),CONCATENATE(B194,"_","TR",$B$3,C194,"_",$B$6,"_",G194),AND(D194="SECT",C194="AT"),CONCATENATE(B194,"_","TR",$B$3,C194,"_",$B$7,"_",G194),AND(D194="DJ",C194="AT"),CONCATENATE(B194,"_","TR",$B$3,C194,"_",$B$4,"_",G194),AND(D194="DJ",C194="BT"),CONCATENATE(B194,"_","TR",$B$3,C194,"_",$B$8,"_",G194),AND(C194="TR",D194="TR"),CONCATENATE(B194,"_","TR",$B$3,"_","TR",$B$3,"_",G194),AND(D194="SECT",C194="BT"),CONCATENATE(B194,"_","TR",$B$3,C194,"_",$B$11,"_",G194),AND(D194="SECF",C194="BT"),CONCATENATE(B194,"_","TR",$B$3,C194,"_",$B$10,"_",G194),AND(D194="SECC",C194="AT"),CONCATENATE(B194,"_","TR",$B$3,C194,"_",$B$5,"_",G194),AND(C194="AT",D194="TR_A"),CONCATENATE(B194,"_","TR",$B$3,C194,"_","TR",$B$3,C194,"_A","_",G194),AND(C194="AT",D194="TR_P"),CONCATENATE(B194,"_","TR",$B$3,C194,"_","TR",$B$3,C194,"_P","_",G194),AND(C194="BT",D194="TR_A"),CONCATENATE(B194,"_","TR",$B$3,C194,"_","TR",$B$3,C194,"_A","_",G194),AND(C194="BT",D194="TR_P"),CONCATENATE(B194,"_","TR",$B$3,C194,"_","TR",$B$3,C194,"_P","_",G194),AND(C194="TR",D194="TR_P"),CONCATENATE(B194,"_","TR",$B$3,"_","TR",$B$3,"_P","_",G194),AND(C194="TR",D194="TR_A"),CONCATENATE(B194,"_","TR",$B$3,"_","TR",$B$3,"_A","_",G194))</f>
        <v>IMA_TR7AT_TR7AT_A_51F</v>
      </c>
      <c r="I194" s="6"/>
      <c r="J194" s="6" t="s">
        <v>182</v>
      </c>
      <c r="K194" s="6" t="s">
        <v>179</v>
      </c>
      <c r="L194" s="6" t="s">
        <v>188</v>
      </c>
      <c r="M194" s="6" t="s">
        <v>188</v>
      </c>
      <c r="N194" s="95">
        <f t="shared" si="6"/>
        <v>998</v>
      </c>
    </row>
    <row r="195" spans="1:14" x14ac:dyDescent="0.25">
      <c r="A195" s="95" t="s">
        <v>190</v>
      </c>
      <c r="B195" s="95" t="str">
        <f>Informações!$C$3</f>
        <v>IMA</v>
      </c>
      <c r="C195" s="95" t="s">
        <v>100</v>
      </c>
      <c r="D195" s="95" t="s">
        <v>211</v>
      </c>
      <c r="E195" s="2" t="s">
        <v>25</v>
      </c>
      <c r="F195" s="95" t="str">
        <f>VLOOKUP(G195,[1]Discrete!$A:$B,2,FALSE)</f>
        <v>51 - SOBRECORRENTE TEMPORIZADA FASE NEUTRO</v>
      </c>
      <c r="G195" s="6" t="s">
        <v>427</v>
      </c>
      <c r="H195" s="6" t="str" cm="1">
        <f t="array" ref="H195">_xlfn.IFS(OR(D195="TC",D195="TP",AND(D195="TR",C195="AT"),AND(D195="TR",C195="BT")),CONCATENATE(B195,"_","TR",$B$3,C195,"_","TR",$B$3,C195,"_",G195),AND(D195="SECC",C195="BT"),CONCATENATE(B195,"_","TR",$B$3,C195,"_",$B$9,"_",G195),AND(D195="SECF",C195="AT"),CONCATENATE(B195,"_","TR",$B$3,C195,"_",$B$6,"_",G195),AND(D195="SECT",C195="AT"),CONCATENATE(B195,"_","TR",$B$3,C195,"_",$B$7,"_",G195),AND(D195="DJ",C195="AT"),CONCATENATE(B195,"_","TR",$B$3,C195,"_",$B$4,"_",G195),AND(D195="DJ",C195="BT"),CONCATENATE(B195,"_","TR",$B$3,C195,"_",$B$8,"_",G195),AND(C195="TR",D195="TR"),CONCATENATE(B195,"_","TR",$B$3,"_","TR",$B$3,"_",G195),AND(D195="SECT",C195="BT"),CONCATENATE(B195,"_","TR",$B$3,C195,"_",$B$11,"_",G195),AND(D195="SECF",C195="BT"),CONCATENATE(B195,"_","TR",$B$3,C195,"_",$B$10,"_",G195),AND(D195="SECC",C195="AT"),CONCATENATE(B195,"_","TR",$B$3,C195,"_",$B$5,"_",G195),AND(C195="AT",D195="TR_A"),CONCATENATE(B195,"_","TR",$B$3,C195,"_","TR",$B$3,C195,"_A","_",G195),AND(C195="AT",D195="TR_P"),CONCATENATE(B195,"_","TR",$B$3,C195,"_","TR",$B$3,C195,"_P","_",G195),AND(C195="BT",D195="TR_A"),CONCATENATE(B195,"_","TR",$B$3,C195,"_","TR",$B$3,C195,"_A","_",G195),AND(C195="BT",D195="TR_P"),CONCATENATE(B195,"_","TR",$B$3,C195,"_","TR",$B$3,C195,"_P","_",G195),AND(C195="TR",D195="TR_P"),CONCATENATE(B195,"_","TR",$B$3,"_","TR",$B$3,"_P","_",G195),AND(C195="TR",D195="TR_A"),CONCATENATE(B195,"_","TR",$B$3,"_","TR",$B$3,"_A","_",G195))</f>
        <v>IMA_TR7AT_TR7AT_A_51FN</v>
      </c>
      <c r="I195" s="6"/>
      <c r="J195" s="6" t="s">
        <v>182</v>
      </c>
      <c r="K195" s="6" t="s">
        <v>179</v>
      </c>
      <c r="L195" s="6" t="s">
        <v>188</v>
      </c>
      <c r="M195" s="6" t="s">
        <v>188</v>
      </c>
      <c r="N195" s="95">
        <f t="shared" si="6"/>
        <v>999</v>
      </c>
    </row>
    <row r="196" spans="1:14" x14ac:dyDescent="0.25">
      <c r="A196" s="95" t="s">
        <v>190</v>
      </c>
      <c r="B196" s="95" t="str">
        <f>Informações!$C$3</f>
        <v>IMA</v>
      </c>
      <c r="C196" s="95" t="s">
        <v>101</v>
      </c>
      <c r="D196" s="95" t="s">
        <v>211</v>
      </c>
      <c r="E196" s="2" t="s">
        <v>25</v>
      </c>
      <c r="F196" s="95" t="str">
        <f>VLOOKUP(G196,[1]Discrete!$A:$B,2,FALSE)</f>
        <v>FASE A</v>
      </c>
      <c r="G196" s="6" t="s">
        <v>54</v>
      </c>
      <c r="H196" s="6" t="str" cm="1">
        <f t="array" ref="H196">_xlfn.IFS(OR(D196="TC",D196="TP",AND(D196="TR",C196="AT"),AND(D196="TR",C196="BT")),CONCATENATE(B196,"_","TR",$B$3,C196,"_","TR",$B$3,C196,"_",G196),AND(D196="SECC",C196="BT"),CONCATENATE(B196,"_","TR",$B$3,C196,"_",$B$9,"_",G196),AND(D196="SECF",C196="AT"),CONCATENATE(B196,"_","TR",$B$3,C196,"_",$B$6,"_",G196),AND(D196="SECT",C196="AT"),CONCATENATE(B196,"_","TR",$B$3,C196,"_",$B$7,"_",G196),AND(D196="DJ",C196="AT"),CONCATENATE(B196,"_","TR",$B$3,C196,"_",$B$4,"_",G196),AND(D196="DJ",C196="BT"),CONCATENATE(B196,"_","TR",$B$3,C196,"_",$B$8,"_",G196),AND(C196="TR",D196="TR"),CONCATENATE(B196,"_","TR",$B$3,"_","TR",$B$3,"_",G196),AND(D196="SECT",C196="BT"),CONCATENATE(B196,"_","TR",$B$3,C196,"_",$B$11,"_",G196),AND(D196="SECF",C196="BT"),CONCATENATE(B196,"_","TR",$B$3,C196,"_",$B$10,"_",G196),AND(D196="SECC",C196="AT"),CONCATENATE(B196,"_","TR",$B$3,C196,"_",$B$5,"_",G196),AND(C196="AT",D196="TR_A"),CONCATENATE(B196,"_","TR",$B$3,C196,"_","TR",$B$3,C196,"_A","_",G196),AND(C196="AT",D196="TR_P"),CONCATENATE(B196,"_","TR",$B$3,C196,"_","TR",$B$3,C196,"_P","_",G196),AND(C196="BT",D196="TR_A"),CONCATENATE(B196,"_","TR",$B$3,C196,"_","TR",$B$3,C196,"_A","_",G196),AND(C196="BT",D196="TR_P"),CONCATENATE(B196,"_","TR",$B$3,C196,"_","TR",$B$3,C196,"_P","_",G196),AND(C196="TR",D196="TR_P"),CONCATENATE(B196,"_","TR",$B$3,"_","TR",$B$3,"_P","_",G196),AND(C196="TR",D196="TR_A"),CONCATENATE(B196,"_","TR",$B$3,"_","TR",$B$3,"_A","_",G196))</f>
        <v>IMA_TR7BT_TR7BT_A_FA</v>
      </c>
      <c r="I196" s="6"/>
      <c r="J196" s="6" t="s">
        <v>182</v>
      </c>
      <c r="K196" s="6" t="s">
        <v>179</v>
      </c>
      <c r="L196" s="6" t="s">
        <v>188</v>
      </c>
      <c r="M196" s="6" t="s">
        <v>188</v>
      </c>
      <c r="N196" s="95">
        <f t="shared" si="6"/>
        <v>1000</v>
      </c>
    </row>
    <row r="197" spans="1:14" x14ac:dyDescent="0.25">
      <c r="A197" s="95" t="s">
        <v>190</v>
      </c>
      <c r="B197" s="95" t="str">
        <f>Informações!$C$3</f>
        <v>IMA</v>
      </c>
      <c r="C197" s="95" t="s">
        <v>101</v>
      </c>
      <c r="D197" s="95" t="s">
        <v>211</v>
      </c>
      <c r="E197" s="2" t="s">
        <v>25</v>
      </c>
      <c r="F197" s="95" t="str">
        <f>VLOOKUP(G197,[1]Discrete!$A:$B,2,FALSE)</f>
        <v>FASE B</v>
      </c>
      <c r="G197" s="6" t="s">
        <v>55</v>
      </c>
      <c r="H197" s="6" t="str" cm="1">
        <f t="array" ref="H197">_xlfn.IFS(OR(D197="TC",D197="TP",AND(D197="TR",C197="AT"),AND(D197="TR",C197="BT")),CONCATENATE(B197,"_","TR",$B$3,C197,"_","TR",$B$3,C197,"_",G197),AND(D197="SECC",C197="BT"),CONCATENATE(B197,"_","TR",$B$3,C197,"_",$B$9,"_",G197),AND(D197="SECF",C197="AT"),CONCATENATE(B197,"_","TR",$B$3,C197,"_",$B$6,"_",G197),AND(D197="SECT",C197="AT"),CONCATENATE(B197,"_","TR",$B$3,C197,"_",$B$7,"_",G197),AND(D197="DJ",C197="AT"),CONCATENATE(B197,"_","TR",$B$3,C197,"_",$B$4,"_",G197),AND(D197="DJ",C197="BT"),CONCATENATE(B197,"_","TR",$B$3,C197,"_",$B$8,"_",G197),AND(C197="TR",D197="TR"),CONCATENATE(B197,"_","TR",$B$3,"_","TR",$B$3,"_",G197),AND(D197="SECT",C197="BT"),CONCATENATE(B197,"_","TR",$B$3,C197,"_",$B$11,"_",G197),AND(D197="SECF",C197="BT"),CONCATENATE(B197,"_","TR",$B$3,C197,"_",$B$10,"_",G197),AND(D197="SECC",C197="AT"),CONCATENATE(B197,"_","TR",$B$3,C197,"_",$B$5,"_",G197),AND(C197="AT",D197="TR_A"),CONCATENATE(B197,"_","TR",$B$3,C197,"_","TR",$B$3,C197,"_A","_",G197),AND(C197="AT",D197="TR_P"),CONCATENATE(B197,"_","TR",$B$3,C197,"_","TR",$B$3,C197,"_P","_",G197),AND(C197="BT",D197="TR_A"),CONCATENATE(B197,"_","TR",$B$3,C197,"_","TR",$B$3,C197,"_A","_",G197),AND(C197="BT",D197="TR_P"),CONCATENATE(B197,"_","TR",$B$3,C197,"_","TR",$B$3,C197,"_P","_",G197),AND(C197="TR",D197="TR_P"),CONCATENATE(B197,"_","TR",$B$3,"_","TR",$B$3,"_P","_",G197),AND(C197="TR",D197="TR_A"),CONCATENATE(B197,"_","TR",$B$3,"_","TR",$B$3,"_A","_",G197))</f>
        <v>IMA_TR7BT_TR7BT_A_FB</v>
      </c>
      <c r="I197" s="6"/>
      <c r="J197" s="6" t="s">
        <v>182</v>
      </c>
      <c r="K197" s="6" t="s">
        <v>179</v>
      </c>
      <c r="L197" s="6" t="s">
        <v>188</v>
      </c>
      <c r="M197" s="6" t="s">
        <v>188</v>
      </c>
      <c r="N197" s="95">
        <f t="shared" si="6"/>
        <v>1001</v>
      </c>
    </row>
    <row r="198" spans="1:14" x14ac:dyDescent="0.25">
      <c r="A198" s="95" t="s">
        <v>190</v>
      </c>
      <c r="B198" s="95" t="str">
        <f>Informações!$C$3</f>
        <v>IMA</v>
      </c>
      <c r="C198" s="95" t="s">
        <v>101</v>
      </c>
      <c r="D198" s="95" t="s">
        <v>211</v>
      </c>
      <c r="E198" s="2" t="s">
        <v>25</v>
      </c>
      <c r="F198" s="95" t="str">
        <f>VLOOKUP(G198,[1]Discrete!$A:$B,2,FALSE)</f>
        <v>FASE C</v>
      </c>
      <c r="G198" s="6" t="s">
        <v>56</v>
      </c>
      <c r="H198" s="6" t="str" cm="1">
        <f t="array" ref="H198">_xlfn.IFS(OR(D198="TC",D198="TP",AND(D198="TR",C198="AT"),AND(D198="TR",C198="BT")),CONCATENATE(B198,"_","TR",$B$3,C198,"_","TR",$B$3,C198,"_",G198),AND(D198="SECC",C198="BT"),CONCATENATE(B198,"_","TR",$B$3,C198,"_",$B$9,"_",G198),AND(D198="SECF",C198="AT"),CONCATENATE(B198,"_","TR",$B$3,C198,"_",$B$6,"_",G198),AND(D198="SECT",C198="AT"),CONCATENATE(B198,"_","TR",$B$3,C198,"_",$B$7,"_",G198),AND(D198="DJ",C198="AT"),CONCATENATE(B198,"_","TR",$B$3,C198,"_",$B$4,"_",G198),AND(D198="DJ",C198="BT"),CONCATENATE(B198,"_","TR",$B$3,C198,"_",$B$8,"_",G198),AND(C198="TR",D198="TR"),CONCATENATE(B198,"_","TR",$B$3,"_","TR",$B$3,"_",G198),AND(D198="SECT",C198="BT"),CONCATENATE(B198,"_","TR",$B$3,C198,"_",$B$11,"_",G198),AND(D198="SECF",C198="BT"),CONCATENATE(B198,"_","TR",$B$3,C198,"_",$B$10,"_",G198),AND(D198="SECC",C198="AT"),CONCATENATE(B198,"_","TR",$B$3,C198,"_",$B$5,"_",G198),AND(C198="AT",D198="TR_A"),CONCATENATE(B198,"_","TR",$B$3,C198,"_","TR",$B$3,C198,"_A","_",G198),AND(C198="AT",D198="TR_P"),CONCATENATE(B198,"_","TR",$B$3,C198,"_","TR",$B$3,C198,"_P","_",G198),AND(C198="BT",D198="TR_A"),CONCATENATE(B198,"_","TR",$B$3,C198,"_","TR",$B$3,C198,"_A","_",G198),AND(C198="BT",D198="TR_P"),CONCATENATE(B198,"_","TR",$B$3,C198,"_","TR",$B$3,C198,"_P","_",G198),AND(C198="TR",D198="TR_P"),CONCATENATE(B198,"_","TR",$B$3,"_","TR",$B$3,"_P","_",G198),AND(C198="TR",D198="TR_A"),CONCATENATE(B198,"_","TR",$B$3,"_","TR",$B$3,"_A","_",G198))</f>
        <v>IMA_TR7BT_TR7BT_A_FC</v>
      </c>
      <c r="I198" s="6"/>
      <c r="J198" s="6" t="s">
        <v>182</v>
      </c>
      <c r="K198" s="6" t="s">
        <v>179</v>
      </c>
      <c r="L198" s="6" t="s">
        <v>188</v>
      </c>
      <c r="M198" s="6" t="s">
        <v>188</v>
      </c>
      <c r="N198" s="95">
        <f t="shared" si="6"/>
        <v>1002</v>
      </c>
    </row>
    <row r="199" spans="1:14" x14ac:dyDescent="0.25">
      <c r="A199" s="95" t="s">
        <v>190</v>
      </c>
      <c r="B199" s="95" t="str">
        <f>Informações!$C$3</f>
        <v>IMA</v>
      </c>
      <c r="C199" s="95" t="s">
        <v>101</v>
      </c>
      <c r="D199" s="95" t="s">
        <v>211</v>
      </c>
      <c r="E199" s="2" t="s">
        <v>25</v>
      </c>
      <c r="F199" s="95" t="str">
        <f>VLOOKUP(G199,[1]Discrete!$A:$B,2,FALSE)</f>
        <v>NEUTRO</v>
      </c>
      <c r="G199" s="6" t="s">
        <v>420</v>
      </c>
      <c r="H199" s="6" t="str" cm="1">
        <f t="array" ref="H199">_xlfn.IFS(OR(D199="TC",D199="TP",AND(D199="TR",C199="AT"),AND(D199="TR",C199="BT")),CONCATENATE(B199,"_","TR",$B$3,C199,"_","TR",$B$3,C199,"_",G199),AND(D199="SECC",C199="BT"),CONCATENATE(B199,"_","TR",$B$3,C199,"_",$B$9,"_",G199),AND(D199="SECF",C199="AT"),CONCATENATE(B199,"_","TR",$B$3,C199,"_",$B$6,"_",G199),AND(D199="SECT",C199="AT"),CONCATENATE(B199,"_","TR",$B$3,C199,"_",$B$7,"_",G199),AND(D199="DJ",C199="AT"),CONCATENATE(B199,"_","TR",$B$3,C199,"_",$B$4,"_",G199),AND(D199="DJ",C199="BT"),CONCATENATE(B199,"_","TR",$B$3,C199,"_",$B$8,"_",G199),AND(C199="TR",D199="TR"),CONCATENATE(B199,"_","TR",$B$3,"_","TR",$B$3,"_",G199),AND(D199="SECT",C199="BT"),CONCATENATE(B199,"_","TR",$B$3,C199,"_",$B$11,"_",G199),AND(D199="SECF",C199="BT"),CONCATENATE(B199,"_","TR",$B$3,C199,"_",$B$10,"_",G199),AND(D199="SECC",C199="AT"),CONCATENATE(B199,"_","TR",$B$3,C199,"_",$B$5,"_",G199),AND(C199="AT",D199="TR_A"),CONCATENATE(B199,"_","TR",$B$3,C199,"_","TR",$B$3,C199,"_A","_",G199),AND(C199="AT",D199="TR_P"),CONCATENATE(B199,"_","TR",$B$3,C199,"_","TR",$B$3,C199,"_P","_",G199),AND(C199="BT",D199="TR_A"),CONCATENATE(B199,"_","TR",$B$3,C199,"_","TR",$B$3,C199,"_A","_",G199),AND(C199="BT",D199="TR_P"),CONCATENATE(B199,"_","TR",$B$3,C199,"_","TR",$B$3,C199,"_P","_",G199),AND(C199="TR",D199="TR_P"),CONCATENATE(B199,"_","TR",$B$3,"_","TR",$B$3,"_P","_",G199),AND(C199="TR",D199="TR_A"),CONCATENATE(B199,"_","TR",$B$3,"_","TR",$B$3,"_A","_",G199))</f>
        <v>IMA_TR7BT_TR7BT_A_N</v>
      </c>
      <c r="I199" s="6"/>
      <c r="J199" s="6" t="s">
        <v>182</v>
      </c>
      <c r="K199" s="6" t="s">
        <v>179</v>
      </c>
      <c r="L199" s="6" t="s">
        <v>188</v>
      </c>
      <c r="M199" s="6" t="s">
        <v>188</v>
      </c>
      <c r="N199" s="95">
        <f t="shared" si="6"/>
        <v>1003</v>
      </c>
    </row>
    <row r="200" spans="1:14" x14ac:dyDescent="0.25">
      <c r="A200" s="95" t="s">
        <v>190</v>
      </c>
      <c r="B200" s="95" t="str">
        <f>Informações!$C$3</f>
        <v>IMA</v>
      </c>
      <c r="C200" s="95" t="s">
        <v>100</v>
      </c>
      <c r="D200" s="98" t="s">
        <v>211</v>
      </c>
      <c r="E200" s="2" t="s">
        <v>25</v>
      </c>
      <c r="F200" s="95" t="str">
        <f>VLOOKUP(G200,[1]Discrete!$A:$B,2,FALSE)</f>
        <v>81 - TRIP SUB FREQUENCIA</v>
      </c>
      <c r="G200" s="6" t="s">
        <v>71</v>
      </c>
      <c r="H200" s="6" t="str" cm="1">
        <f t="array" ref="H200">_xlfn.IFS(OR(D200="TC",D200="TP",AND(D200="TR",C200="AT"),AND(D200="TR",C200="BT")),CONCATENATE(B200,"_","TR",$B$3,C200,"_","TR",$B$3,C200,"_",G200),AND(D200="SECC",C200="BT"),CONCATENATE(B200,"_","TR",$B$3,C200,"_",$B$9,"_",G200),AND(D200="SECF",C200="AT"),CONCATENATE(B200,"_","TR",$B$3,C200,"_",$B$6,"_",G200),AND(D200="SECT",C200="AT"),CONCATENATE(B200,"_","TR",$B$3,C200,"_",$B$7,"_",G200),AND(D200="DJ",C200="AT"),CONCATENATE(B200,"_","TR",$B$3,C200,"_",$B$4,"_",G200),AND(D200="DJ",C200="BT"),CONCATENATE(B200,"_","TR",$B$3,C200,"_",$B$8,"_",G200),AND(C200="TR",D200="TR"),CONCATENATE(B200,"_","TR",$B$3,"_","TR",$B$3,"_",G200),AND(D200="SECT",C200="BT"),CONCATENATE(B200,"_","TR",$B$3,C200,"_",$B$11,"_",G200),AND(D200="SECF",C200="BT"),CONCATENATE(B200,"_","TR",$B$3,C200,"_",$B$10,"_",G200),AND(D200="SECC",C200="AT"),CONCATENATE(B200,"_","TR",$B$3,C200,"_",$B$5,"_",G200),AND(C200="AT",D200="TR_A"),CONCATENATE(B200,"_","TR",$B$3,C200,"_","TR",$B$3,C200,"_A","_",G200),AND(C200="AT",D200="TR_P"),CONCATENATE(B200,"_","TR",$B$3,C200,"_","TR",$B$3,C200,"_P","_",G200),AND(C200="BT",D200="TR_A"),CONCATENATE(B200,"_","TR",$B$3,C200,"_","TR",$B$3,C200,"_A","_",G200),AND(C200="BT",D200="TR_P"),CONCATENATE(B200,"_","TR",$B$3,C200,"_","TR",$B$3,C200,"_P","_",G200),AND(C200="TR",D200="TR_P"),CONCATENATE(B200,"_","TR",$B$3,"_","TR",$B$3,"_P","_",G200),AND(C200="TR",D200="TR_A"),CONCATENATE(B200,"_","TR",$B$3,"_","TR",$B$3,"_A","_",G200))</f>
        <v>IMA_TR7AT_TR7AT_A_81SU</v>
      </c>
      <c r="I200" s="6"/>
      <c r="J200" s="6" t="s">
        <v>182</v>
      </c>
      <c r="K200" s="6" t="s">
        <v>179</v>
      </c>
      <c r="L200" s="6" t="s">
        <v>188</v>
      </c>
      <c r="M200" s="6" t="s">
        <v>188</v>
      </c>
      <c r="N200" s="95">
        <f t="shared" si="6"/>
        <v>1004</v>
      </c>
    </row>
    <row r="201" spans="1:14" x14ac:dyDescent="0.25">
      <c r="A201" s="95" t="s">
        <v>190</v>
      </c>
      <c r="B201" s="95" t="str">
        <f>Informações!$C$3</f>
        <v>IMA</v>
      </c>
      <c r="C201" s="95" t="s">
        <v>100</v>
      </c>
      <c r="D201" s="98" t="s">
        <v>211</v>
      </c>
      <c r="E201" s="2" t="s">
        <v>25</v>
      </c>
      <c r="F201" s="95" t="str">
        <f>VLOOKUP(G201,[1]Discrete!$A:$B,2,FALSE)</f>
        <v>81 - TRIP SUB/SOBRE FREQUENCIA E1</v>
      </c>
      <c r="G201" s="17" t="s">
        <v>353</v>
      </c>
      <c r="H201" s="6" t="str" cm="1">
        <f t="array" ref="H201">_xlfn.IFS(OR(D201="TC",D201="TP",AND(D201="TR",C201="AT"),AND(D201="TR",C201="BT")),CONCATENATE(B201,"_","TR",$B$3,C201,"_","TR",$B$3,C201,"_",G201),AND(D201="SECC",C201="BT"),CONCATENATE(B201,"_","TR",$B$3,C201,"_",$B$9,"_",G201),AND(D201="SECF",C201="AT"),CONCATENATE(B201,"_","TR",$B$3,C201,"_",$B$6,"_",G201),AND(D201="SECT",C201="AT"),CONCATENATE(B201,"_","TR",$B$3,C201,"_",$B$7,"_",G201),AND(D201="DJ",C201="AT"),CONCATENATE(B201,"_","TR",$B$3,C201,"_",$B$4,"_",G201),AND(D201="DJ",C201="BT"),CONCATENATE(B201,"_","TR",$B$3,C201,"_",$B$8,"_",G201),AND(C201="TR",D201="TR"),CONCATENATE(B201,"_","TR",$B$3,"_","TR",$B$3,"_",G201),AND(D201="SECT",C201="BT"),CONCATENATE(B201,"_","TR",$B$3,C201,"_",$B$11,"_",G201),AND(D201="SECF",C201="BT"),CONCATENATE(B201,"_","TR",$B$3,C201,"_",$B$10,"_",G201),AND(D201="SECC",C201="AT"),CONCATENATE(B201,"_","TR",$B$3,C201,"_",$B$5,"_",G201),AND(C201="AT",D201="TR_A"),CONCATENATE(B201,"_","TR",$B$3,C201,"_","TR",$B$3,C201,"_A","_",G201),AND(C201="AT",D201="TR_P"),CONCATENATE(B201,"_","TR",$B$3,C201,"_","TR",$B$3,C201,"_P","_",G201),AND(C201="BT",D201="TR_A"),CONCATENATE(B201,"_","TR",$B$3,C201,"_","TR",$B$3,C201,"_A","_",G201),AND(C201="BT",D201="TR_P"),CONCATENATE(B201,"_","TR",$B$3,C201,"_","TR",$B$3,C201,"_P","_",G201),AND(C201="TR",D201="TR_P"),CONCATENATE(B201,"_","TR",$B$3,"_","TR",$B$3,"_P","_",G201),AND(C201="TR",D201="TR_A"),CONCATENATE(B201,"_","TR",$B$3,"_","TR",$B$3,"_A","_",G201))</f>
        <v>IMA_TR7AT_TR7AT_A_81E1</v>
      </c>
      <c r="I201" s="6"/>
      <c r="J201" s="6" t="s">
        <v>182</v>
      </c>
      <c r="K201" s="6" t="s">
        <v>179</v>
      </c>
      <c r="L201" s="6" t="s">
        <v>188</v>
      </c>
      <c r="M201" s="6" t="s">
        <v>188</v>
      </c>
      <c r="N201" s="95">
        <f t="shared" si="6"/>
        <v>1005</v>
      </c>
    </row>
    <row r="202" spans="1:14" x14ac:dyDescent="0.25">
      <c r="A202" s="95" t="s">
        <v>190</v>
      </c>
      <c r="B202" s="95" t="str">
        <f>Informações!$C$3</f>
        <v>IMA</v>
      </c>
      <c r="C202" s="95" t="s">
        <v>100</v>
      </c>
      <c r="D202" s="98" t="s">
        <v>211</v>
      </c>
      <c r="E202" s="2" t="s">
        <v>25</v>
      </c>
      <c r="F202" s="95" t="str">
        <f>VLOOKUP(G202,[1]Discrete!$A:$B,2,FALSE)</f>
        <v>81 - TRIP SUB/SOBRE FREQUENCIA E2</v>
      </c>
      <c r="G202" s="17" t="s">
        <v>354</v>
      </c>
      <c r="H202" s="6" t="str" cm="1">
        <f t="array" ref="H202">_xlfn.IFS(OR(D202="TC",D202="TP",AND(D202="TR",C202="AT"),AND(D202="TR",C202="BT")),CONCATENATE(B202,"_","TR",$B$3,C202,"_","TR",$B$3,C202,"_",G202),AND(D202="SECC",C202="BT"),CONCATENATE(B202,"_","TR",$B$3,C202,"_",$B$9,"_",G202),AND(D202="SECF",C202="AT"),CONCATENATE(B202,"_","TR",$B$3,C202,"_",$B$6,"_",G202),AND(D202="SECT",C202="AT"),CONCATENATE(B202,"_","TR",$B$3,C202,"_",$B$7,"_",G202),AND(D202="DJ",C202="AT"),CONCATENATE(B202,"_","TR",$B$3,C202,"_",$B$4,"_",G202),AND(D202="DJ",C202="BT"),CONCATENATE(B202,"_","TR",$B$3,C202,"_",$B$8,"_",G202),AND(C202="TR",D202="TR"),CONCATENATE(B202,"_","TR",$B$3,"_","TR",$B$3,"_",G202),AND(D202="SECT",C202="BT"),CONCATENATE(B202,"_","TR",$B$3,C202,"_",$B$11,"_",G202),AND(D202="SECF",C202="BT"),CONCATENATE(B202,"_","TR",$B$3,C202,"_",$B$10,"_",G202),AND(D202="SECC",C202="AT"),CONCATENATE(B202,"_","TR",$B$3,C202,"_",$B$5,"_",G202),AND(C202="AT",D202="TR_A"),CONCATENATE(B202,"_","TR",$B$3,C202,"_","TR",$B$3,C202,"_A","_",G202),AND(C202="AT",D202="TR_P"),CONCATENATE(B202,"_","TR",$B$3,C202,"_","TR",$B$3,C202,"_P","_",G202),AND(C202="BT",D202="TR_A"),CONCATENATE(B202,"_","TR",$B$3,C202,"_","TR",$B$3,C202,"_A","_",G202),AND(C202="BT",D202="TR_P"),CONCATENATE(B202,"_","TR",$B$3,C202,"_","TR",$B$3,C202,"_P","_",G202),AND(C202="TR",D202="TR_P"),CONCATENATE(B202,"_","TR",$B$3,"_","TR",$B$3,"_P","_",G202),AND(C202="TR",D202="TR_A"),CONCATENATE(B202,"_","TR",$B$3,"_","TR",$B$3,"_A","_",G202))</f>
        <v>IMA_TR7AT_TR7AT_A_81E2</v>
      </c>
      <c r="I202" s="6"/>
      <c r="J202" s="6" t="s">
        <v>182</v>
      </c>
      <c r="K202" s="6" t="s">
        <v>179</v>
      </c>
      <c r="L202" s="6" t="s">
        <v>188</v>
      </c>
      <c r="M202" s="6" t="s">
        <v>188</v>
      </c>
      <c r="N202" s="95">
        <f t="shared" si="6"/>
        <v>1006</v>
      </c>
    </row>
    <row r="203" spans="1:14" x14ac:dyDescent="0.25">
      <c r="A203" s="95" t="s">
        <v>190</v>
      </c>
      <c r="B203" s="95" t="str">
        <f>Informações!$C$3</f>
        <v>IMA</v>
      </c>
      <c r="C203" s="95" t="s">
        <v>100</v>
      </c>
      <c r="D203" s="98" t="s">
        <v>211</v>
      </c>
      <c r="E203" s="2" t="s">
        <v>25</v>
      </c>
      <c r="F203" s="95" t="str">
        <f>VLOOKUP(G203,[1]Discrete!$A:$B,2,FALSE)</f>
        <v>81 - TRIP SUB/SOBRE FREQUENCIA E3</v>
      </c>
      <c r="G203" s="17" t="s">
        <v>355</v>
      </c>
      <c r="H203" s="6" t="str" cm="1">
        <f t="array" ref="H203">_xlfn.IFS(OR(D203="TC",D203="TP",AND(D203="TR",C203="AT"),AND(D203="TR",C203="BT")),CONCATENATE(B203,"_","TR",$B$3,C203,"_","TR",$B$3,C203,"_",G203),AND(D203="SECC",C203="BT"),CONCATENATE(B203,"_","TR",$B$3,C203,"_",$B$9,"_",G203),AND(D203="SECF",C203="AT"),CONCATENATE(B203,"_","TR",$B$3,C203,"_",$B$6,"_",G203),AND(D203="SECT",C203="AT"),CONCATENATE(B203,"_","TR",$B$3,C203,"_",$B$7,"_",G203),AND(D203="DJ",C203="AT"),CONCATENATE(B203,"_","TR",$B$3,C203,"_",$B$4,"_",G203),AND(D203="DJ",C203="BT"),CONCATENATE(B203,"_","TR",$B$3,C203,"_",$B$8,"_",G203),AND(C203="TR",D203="TR"),CONCATENATE(B203,"_","TR",$B$3,"_","TR",$B$3,"_",G203),AND(D203="SECT",C203="BT"),CONCATENATE(B203,"_","TR",$B$3,C203,"_",$B$11,"_",G203),AND(D203="SECF",C203="BT"),CONCATENATE(B203,"_","TR",$B$3,C203,"_",$B$10,"_",G203),AND(D203="SECC",C203="AT"),CONCATENATE(B203,"_","TR",$B$3,C203,"_",$B$5,"_",G203),AND(C203="AT",D203="TR_A"),CONCATENATE(B203,"_","TR",$B$3,C203,"_","TR",$B$3,C203,"_A","_",G203),AND(C203="AT",D203="TR_P"),CONCATENATE(B203,"_","TR",$B$3,C203,"_","TR",$B$3,C203,"_P","_",G203),AND(C203="BT",D203="TR_A"),CONCATENATE(B203,"_","TR",$B$3,C203,"_","TR",$B$3,C203,"_A","_",G203),AND(C203="BT",D203="TR_P"),CONCATENATE(B203,"_","TR",$B$3,C203,"_","TR",$B$3,C203,"_P","_",G203),AND(C203="TR",D203="TR_P"),CONCATENATE(B203,"_","TR",$B$3,"_","TR",$B$3,"_P","_",G203),AND(C203="TR",D203="TR_A"),CONCATENATE(B203,"_","TR",$B$3,"_","TR",$B$3,"_A","_",G203))</f>
        <v>IMA_TR7AT_TR7AT_A_81E3</v>
      </c>
      <c r="I203" s="6"/>
      <c r="J203" s="6" t="s">
        <v>182</v>
      </c>
      <c r="K203" s="6" t="s">
        <v>179</v>
      </c>
      <c r="L203" s="6" t="s">
        <v>188</v>
      </c>
      <c r="M203" s="6" t="s">
        <v>188</v>
      </c>
      <c r="N203" s="95">
        <f t="shared" si="6"/>
        <v>1007</v>
      </c>
    </row>
    <row r="204" spans="1:14" x14ac:dyDescent="0.25">
      <c r="A204" s="95" t="s">
        <v>190</v>
      </c>
      <c r="B204" s="95" t="str">
        <f>Informações!$C$3</f>
        <v>IMA</v>
      </c>
      <c r="C204" s="95" t="s">
        <v>100</v>
      </c>
      <c r="D204" s="98" t="s">
        <v>211</v>
      </c>
      <c r="E204" s="2" t="s">
        <v>25</v>
      </c>
      <c r="F204" s="95" t="str">
        <f>VLOOKUP(G204,[1]Discrete!$A:$B,2,FALSE)</f>
        <v>81 - TRIP SUB/SOBRE FREQUENCIA E4</v>
      </c>
      <c r="G204" s="17" t="s">
        <v>356</v>
      </c>
      <c r="H204" s="6" t="str" cm="1">
        <f t="array" ref="H204">_xlfn.IFS(OR(D204="TC",D204="TP",AND(D204="TR",C204="AT"),AND(D204="TR",C204="BT")),CONCATENATE(B204,"_","TR",$B$3,C204,"_","TR",$B$3,C204,"_",G204),AND(D204="SECC",C204="BT"),CONCATENATE(B204,"_","TR",$B$3,C204,"_",$B$9,"_",G204),AND(D204="SECF",C204="AT"),CONCATENATE(B204,"_","TR",$B$3,C204,"_",$B$6,"_",G204),AND(D204="SECT",C204="AT"),CONCATENATE(B204,"_","TR",$B$3,C204,"_",$B$7,"_",G204),AND(D204="DJ",C204="AT"),CONCATENATE(B204,"_","TR",$B$3,C204,"_",$B$4,"_",G204),AND(D204="DJ",C204="BT"),CONCATENATE(B204,"_","TR",$B$3,C204,"_",$B$8,"_",G204),AND(C204="TR",D204="TR"),CONCATENATE(B204,"_","TR",$B$3,"_","TR",$B$3,"_",G204),AND(D204="SECT",C204="BT"),CONCATENATE(B204,"_","TR",$B$3,C204,"_",$B$11,"_",G204),AND(D204="SECF",C204="BT"),CONCATENATE(B204,"_","TR",$B$3,C204,"_",$B$10,"_",G204),AND(D204="SECC",C204="AT"),CONCATENATE(B204,"_","TR",$B$3,C204,"_",$B$5,"_",G204),AND(C204="AT",D204="TR_A"),CONCATENATE(B204,"_","TR",$B$3,C204,"_","TR",$B$3,C204,"_A","_",G204),AND(C204="AT",D204="TR_P"),CONCATENATE(B204,"_","TR",$B$3,C204,"_","TR",$B$3,C204,"_P","_",G204),AND(C204="BT",D204="TR_A"),CONCATENATE(B204,"_","TR",$B$3,C204,"_","TR",$B$3,C204,"_A","_",G204),AND(C204="BT",D204="TR_P"),CONCATENATE(B204,"_","TR",$B$3,C204,"_","TR",$B$3,C204,"_P","_",G204),AND(C204="TR",D204="TR_P"),CONCATENATE(B204,"_","TR",$B$3,"_","TR",$B$3,"_P","_",G204),AND(C204="TR",D204="TR_A"),CONCATENATE(B204,"_","TR",$B$3,"_","TR",$B$3,"_A","_",G204))</f>
        <v>IMA_TR7AT_TR7AT_A_81E4</v>
      </c>
      <c r="I204" s="6"/>
      <c r="J204" s="6" t="s">
        <v>182</v>
      </c>
      <c r="K204" s="6" t="s">
        <v>179</v>
      </c>
      <c r="L204" s="6" t="s">
        <v>188</v>
      </c>
      <c r="M204" s="6" t="s">
        <v>188</v>
      </c>
      <c r="N204" s="95">
        <f t="shared" si="6"/>
        <v>1008</v>
      </c>
    </row>
    <row r="205" spans="1:14" x14ac:dyDescent="0.25">
      <c r="A205" s="95" t="s">
        <v>190</v>
      </c>
      <c r="B205" s="95" t="str">
        <f>Informações!$C$3</f>
        <v>IMA</v>
      </c>
      <c r="C205" s="95" t="s">
        <v>100</v>
      </c>
      <c r="D205" s="98" t="s">
        <v>211</v>
      </c>
      <c r="E205" s="2" t="s">
        <v>25</v>
      </c>
      <c r="F205" s="95" t="s">
        <v>358</v>
      </c>
      <c r="G205" s="17" t="s">
        <v>357</v>
      </c>
      <c r="H205" s="6" t="str" cm="1">
        <f t="array" ref="H205">_xlfn.IFS(OR(D205="TC",D205="TP",AND(D205="TR",C205="AT"),AND(D205="TR",C205="BT")),CONCATENATE(B205,"_","TR",$B$3,C205,"_","TR",$B$3,C205,"_",G205),AND(D205="SECC",C205="BT"),CONCATENATE(B205,"_","TR",$B$3,C205,"_",$B$9,"_",G205),AND(D205="SECF",C205="AT"),CONCATENATE(B205,"_","TR",$B$3,C205,"_",$B$6,"_",G205),AND(D205="SECT",C205="AT"),CONCATENATE(B205,"_","TR",$B$3,C205,"_",$B$7,"_",G205),AND(D205="DJ",C205="AT"),CONCATENATE(B205,"_","TR",$B$3,C205,"_",$B$4,"_",G205),AND(D205="DJ",C205="BT"),CONCATENATE(B205,"_","TR",$B$3,C205,"_",$B$8,"_",G205),AND(C205="TR",D205="TR"),CONCATENATE(B205,"_","TR",$B$3,"_","TR",$B$3,"_",G205),AND(D205="SECT",C205="BT"),CONCATENATE(B205,"_","TR",$B$3,C205,"_",$B$11,"_",G205),AND(D205="SECF",C205="BT"),CONCATENATE(B205,"_","TR",$B$3,C205,"_",$B$10,"_",G205),AND(D205="SECC",C205="AT"),CONCATENATE(B205,"_","TR",$B$3,C205,"_",$B$5,"_",G205),AND(C205="AT",D205="TR_A"),CONCATENATE(B205,"_","TR",$B$3,C205,"_","TR",$B$3,C205,"_A","_",G205),AND(C205="AT",D205="TR_P"),CONCATENATE(B205,"_","TR",$B$3,C205,"_","TR",$B$3,C205,"_P","_",G205),AND(C205="BT",D205="TR_A"),CONCATENATE(B205,"_","TR",$B$3,C205,"_","TR",$B$3,C205,"_A","_",G205),AND(C205="BT",D205="TR_P"),CONCATENATE(B205,"_","TR",$B$3,C205,"_","TR",$B$3,C205,"_P","_",G205),AND(C205="TR",D205="TR_P"),CONCATENATE(B205,"_","TR",$B$3,"_","TR",$B$3,"_P","_",G205),AND(C205="TR",D205="TR_A"),CONCATENATE(B205,"_","TR",$B$3,"_","TR",$B$3,"_A","_",G205))</f>
        <v>IMA_TR7AT_TR7AT_A_81E5</v>
      </c>
      <c r="I205" s="6"/>
      <c r="J205" s="6" t="s">
        <v>182</v>
      </c>
      <c r="K205" s="6" t="s">
        <v>179</v>
      </c>
      <c r="L205" s="6" t="s">
        <v>188</v>
      </c>
      <c r="M205" s="6" t="s">
        <v>188</v>
      </c>
      <c r="N205" s="95">
        <f t="shared" si="6"/>
        <v>1009</v>
      </c>
    </row>
    <row r="206" spans="1:14" x14ac:dyDescent="0.25">
      <c r="A206" s="95" t="s">
        <v>190</v>
      </c>
      <c r="B206" s="95" t="str">
        <f>Informações!$C$3</f>
        <v>IMA</v>
      </c>
      <c r="C206" s="95" t="s">
        <v>102</v>
      </c>
      <c r="D206" s="95" t="s">
        <v>102</v>
      </c>
      <c r="E206" s="2" t="s">
        <v>25</v>
      </c>
      <c r="F206" s="95" t="str">
        <f>VLOOKUP(G206,[1]Discrete!$A:$B,2,FALSE)</f>
        <v>SECADOR DE AR</v>
      </c>
      <c r="G206" s="6" t="s">
        <v>714</v>
      </c>
      <c r="H206" s="6" t="str" cm="1">
        <f t="array" ref="H206">_xlfn.IFS(OR(D206="TC",D206="TP",AND(D206="TR",C206="AT"),AND(D206="TR",C206="BT")),CONCATENATE(B206,"_","TR",$B$3,C206,"_","TR",$B$3,C206,"_",G206),AND(D206="SECC",C206="BT"),CONCATENATE(B206,"_","TR",$B$3,C206,"_",$B$9,"_",G206),AND(D206="SECF",C206="AT"),CONCATENATE(B206,"_","TR",$B$3,C206,"_",$B$6,"_",G206),AND(D206="SECT",C206="AT"),CONCATENATE(B206,"_","TR",$B$3,C206,"_",$B$7,"_",G206),AND(D206="DJ",C206="AT"),CONCATENATE(B206,"_","TR",$B$3,C206,"_",$B$4,"_",G206),AND(D206="DJ",C206="BT"),CONCATENATE(B206,"_","TR",$B$3,C206,"_",$B$8,"_",G206),AND(C206="TR",D206="TR"),CONCATENATE(B206,"_","TR",$B$3,"_","TR",$B$3,"_",G206),AND(D206="SECT",C206="BT"),CONCATENATE(B206,"_","TR",$B$3,C206,"_",$B$11,"_",G206),AND(D206="SECF",C206="BT"),CONCATENATE(B206,"_","TR",$B$3,C206,"_",$B$10,"_",G206),AND(D206="SECC",C206="AT"),CONCATENATE(B206,"_","TR",$B$3,C206,"_",$B$5,"_",G206),AND(C206="AT",D206="TR_A"),CONCATENATE(B206,"_","TR",$B$3,C206,"_","TR",$B$3,C206,"_A","_",G206),AND(C206="AT",D206="TR_P"),CONCATENATE(B206,"_","TR",$B$3,C206,"_","TR",$B$3,C206,"_P","_",G206),AND(C206="BT",D206="TR_A"),CONCATENATE(B206,"_","TR",$B$3,C206,"_","TR",$B$3,C206,"_A","_",G206),AND(C206="BT",D206="TR_P"),CONCATENATE(B206,"_","TR",$B$3,C206,"_","TR",$B$3,C206,"_P","_",G206),AND(C206="TR",D206="TR_P"),CONCATENATE(B206,"_","TR",$B$3,"_","TR",$B$3,"_P","_",G206),AND(C206="TR",D206="TR_A"),CONCATENATE(B206,"_","TR",$B$3,"_","TR",$B$3,"_A","_",G206))</f>
        <v>IMA_TR7_TR7_SCAR</v>
      </c>
      <c r="I206" s="6"/>
      <c r="J206" s="6" t="s">
        <v>182</v>
      </c>
      <c r="K206" s="6" t="s">
        <v>179</v>
      </c>
      <c r="L206" s="6" t="s">
        <v>188</v>
      </c>
      <c r="M206" s="6" t="s">
        <v>188</v>
      </c>
      <c r="N206" s="95">
        <f t="shared" si="6"/>
        <v>1010</v>
      </c>
    </row>
    <row r="207" spans="1:14" x14ac:dyDescent="0.25">
      <c r="A207" s="95" t="s">
        <v>190</v>
      </c>
      <c r="B207" s="95" t="str">
        <f>Informações!$C$3</f>
        <v>IMA</v>
      </c>
      <c r="C207" s="95" t="s">
        <v>102</v>
      </c>
      <c r="D207" s="95" t="s">
        <v>102</v>
      </c>
      <c r="E207" s="2" t="s">
        <v>25</v>
      </c>
      <c r="F207" s="95" t="s">
        <v>720</v>
      </c>
      <c r="G207" s="6" t="s">
        <v>719</v>
      </c>
      <c r="H207" s="6" t="str" cm="1">
        <f t="array" ref="H207">_xlfn.IFS(OR(D207="TC",D207="TP",AND(D207="TR",C207="AT"),AND(D207="TR",C207="BT")),CONCATENATE(B207,"_","TR",$B$3,C207,"_","TR",$B$3,C207,"_",G207),AND(D207="SECC",C207="BT"),CONCATENATE(B207,"_","TR",$B$3,C207,"_",$B$9,"_",G207),AND(D207="SECF",C207="AT"),CONCATENATE(B207,"_","TR",$B$3,C207,"_",$B$6,"_",G207),AND(D207="SECT",C207="AT"),CONCATENATE(B207,"_","TR",$B$3,C207,"_",$B$7,"_",G207),AND(D207="DJ",C207="AT"),CONCATENATE(B207,"_","TR",$B$3,C207,"_",$B$4,"_",G207),AND(D207="DJ",C207="BT"),CONCATENATE(B207,"_","TR",$B$3,C207,"_",$B$8,"_",G207),AND(C207="TR",D207="TR"),CONCATENATE(B207,"_","TR",$B$3,"_","TR",$B$3,"_",G207),AND(D207="SECT",C207="BT"),CONCATENATE(B207,"_","TR",$B$3,C207,"_",$B$11,"_",G207),AND(D207="SECF",C207="BT"),CONCATENATE(B207,"_","TR",$B$3,C207,"_",$B$10,"_",G207),AND(D207="SECC",C207="AT"),CONCATENATE(B207,"_","TR",$B$3,C207,"_",$B$5,"_",G207),AND(C207="AT",D207="TR_A"),CONCATENATE(B207,"_","TR",$B$3,C207,"_","TR",$B$3,C207,"_A","_",G207),AND(C207="AT",D207="TR_P"),CONCATENATE(B207,"_","TR",$B$3,C207,"_","TR",$B$3,C207,"_P","_",G207),AND(C207="BT",D207="TR_A"),CONCATENATE(B207,"_","TR",$B$3,C207,"_","TR",$B$3,C207,"_A","_",G207),AND(C207="BT",D207="TR_P"),CONCATENATE(B207,"_","TR",$B$3,C207,"_","TR",$B$3,C207,"_P","_",G207),AND(C207="TR",D207="TR_P"),CONCATENATE(B207,"_","TR",$B$3,"_","TR",$B$3,"_P","_",G207),AND(C207="TR",D207="TR_A"),CONCATENATE(B207,"_","TR",$B$3,"_","TR",$B$3,"_A","_",G207))</f>
        <v>IMA_TR7_TR7_MEMB</v>
      </c>
      <c r="I207" s="6"/>
      <c r="J207" s="6" t="s">
        <v>182</v>
      </c>
      <c r="K207" s="6" t="s">
        <v>179</v>
      </c>
      <c r="L207" s="6" t="s">
        <v>188</v>
      </c>
      <c r="M207" s="6" t="s">
        <v>188</v>
      </c>
      <c r="N207" s="95">
        <f t="shared" si="6"/>
        <v>1011</v>
      </c>
    </row>
    <row r="208" spans="1:14" x14ac:dyDescent="0.25">
      <c r="A208" s="95" t="s">
        <v>190</v>
      </c>
      <c r="B208" s="95" t="str">
        <f>Informações!$C$3</f>
        <v>IMA</v>
      </c>
      <c r="C208" s="95" t="s">
        <v>102</v>
      </c>
      <c r="D208" s="95" t="s">
        <v>212</v>
      </c>
      <c r="E208" s="2" t="s">
        <v>25</v>
      </c>
      <c r="F208" s="95" t="str">
        <f>VLOOKUP(G208,[1]Discrete!$A:$B,2,FALSE)</f>
        <v>26 49 - TRIP TEMPERATURA</v>
      </c>
      <c r="G208" s="6" t="s">
        <v>93</v>
      </c>
      <c r="H208" s="6" t="str" cm="1">
        <f t="array" ref="H208">_xlfn.IFS(OR(D208="TC",D208="TP",AND(D208="TR",C208="AT"),AND(D208="TR",C208="BT")),CONCATENATE(B208,"_","TR",$B$3,C208,"_","TR",$B$3,C208,"_",G208),AND(D208="SECC",C208="BT"),CONCATENATE(B208,"_","TR",$B$3,C208,"_",$B$9,"_",G208),AND(D208="SECF",C208="AT"),CONCATENATE(B208,"_","TR",$B$3,C208,"_",$B$6,"_",G208),AND(D208="SECT",C208="AT"),CONCATENATE(B208,"_","TR",$B$3,C208,"_",$B$7,"_",G208),AND(D208="DJ",C208="AT"),CONCATENATE(B208,"_","TR",$B$3,C208,"_",$B$4,"_",G208),AND(D208="DJ",C208="BT"),CONCATENATE(B208,"_","TR",$B$3,C208,"_",$B$8,"_",G208),AND(C208="TR",D208="TR"),CONCATENATE(B208,"_","TR",$B$3,"_","TR",$B$3,"_",G208),AND(D208="SECT",C208="BT"),CONCATENATE(B208,"_","TR",$B$3,C208,"_",$B$11,"_",G208),AND(D208="SECF",C208="BT"),CONCATENATE(B208,"_","TR",$B$3,C208,"_",$B$10,"_",G208),AND(D208="SECC",C208="AT"),CONCATENATE(B208,"_","TR",$B$3,C208,"_",$B$5,"_",G208),AND(C208="AT",D208="TR_A"),CONCATENATE(B208,"_","TR",$B$3,C208,"_","TR",$B$3,C208,"_A","_",G208),AND(C208="AT",D208="TR_P"),CONCATENATE(B208,"_","TR",$B$3,C208,"_","TR",$B$3,C208,"_P","_",G208),AND(C208="BT",D208="TR_A"),CONCATENATE(B208,"_","TR",$B$3,C208,"_","TR",$B$3,C208,"_A","_",G208),AND(C208="BT",D208="TR_P"),CONCATENATE(B208,"_","TR",$B$3,C208,"_","TR",$B$3,C208,"_P","_",G208),AND(C208="TR",D208="TR_P"),CONCATENATE(B208,"_","TR",$B$3,"_","TR",$B$3,"_P","_",G208),AND(C208="TR",D208="TR_A"),CONCATENATE(B208,"_","TR",$B$3,"_","TR",$B$3,"_A","_",G208))</f>
        <v>IMA_TR7_TR7_P_TOED</v>
      </c>
      <c r="I208" s="6"/>
      <c r="J208" s="6" t="s">
        <v>182</v>
      </c>
      <c r="K208" s="6" t="s">
        <v>179</v>
      </c>
      <c r="L208" s="6" t="s">
        <v>188</v>
      </c>
      <c r="M208" s="6" t="s">
        <v>188</v>
      </c>
      <c r="N208" s="95">
        <f t="shared" si="6"/>
        <v>1012</v>
      </c>
    </row>
    <row r="209" spans="1:14" x14ac:dyDescent="0.25">
      <c r="A209" s="95" t="s">
        <v>190</v>
      </c>
      <c r="B209" s="95" t="str">
        <f>Informações!$C$3</f>
        <v>IMA</v>
      </c>
      <c r="C209" s="95" t="s">
        <v>102</v>
      </c>
      <c r="D209" s="95" t="s">
        <v>211</v>
      </c>
      <c r="E209" s="2" t="s">
        <v>25</v>
      </c>
      <c r="F209" s="95" t="str">
        <f>VLOOKUP(G209,[1]Discrete!$A:$B,2,FALSE)</f>
        <v>26 49 - TRIP TEMPERATURA</v>
      </c>
      <c r="G209" s="6" t="s">
        <v>93</v>
      </c>
      <c r="H209" s="6" t="str" cm="1">
        <f t="array" ref="H209">_xlfn.IFS(OR(D209="TC",D209="TP",AND(D209="TR",C209="AT"),AND(D209="TR",C209="BT")),CONCATENATE(B209,"_","TR",$B$3,C209,"_","TR",$B$3,C209,"_",G209),AND(D209="SECC",C209="BT"),CONCATENATE(B209,"_","TR",$B$3,C209,"_",$B$9,"_",G209),AND(D209="SECF",C209="AT"),CONCATENATE(B209,"_","TR",$B$3,C209,"_",$B$6,"_",G209),AND(D209="SECT",C209="AT"),CONCATENATE(B209,"_","TR",$B$3,C209,"_",$B$7,"_",G209),AND(D209="DJ",C209="AT"),CONCATENATE(B209,"_","TR",$B$3,C209,"_",$B$4,"_",G209),AND(D209="DJ",C209="BT"),CONCATENATE(B209,"_","TR",$B$3,C209,"_",$B$8,"_",G209),AND(C209="TR",D209="TR"),CONCATENATE(B209,"_","TR",$B$3,"_","TR",$B$3,"_",G209),AND(D209="SECT",C209="BT"),CONCATENATE(B209,"_","TR",$B$3,C209,"_",$B$11,"_",G209),AND(D209="SECF",C209="BT"),CONCATENATE(B209,"_","TR",$B$3,C209,"_",$B$10,"_",G209),AND(D209="SECC",C209="AT"),CONCATENATE(B209,"_","TR",$B$3,C209,"_",$B$5,"_",G209),AND(C209="AT",D209="TR_A"),CONCATENATE(B209,"_","TR",$B$3,C209,"_","TR",$B$3,C209,"_A","_",G209),AND(C209="AT",D209="TR_P"),CONCATENATE(B209,"_","TR",$B$3,C209,"_","TR",$B$3,C209,"_P","_",G209),AND(C209="BT",D209="TR_A"),CONCATENATE(B209,"_","TR",$B$3,C209,"_","TR",$B$3,C209,"_A","_",G209),AND(C209="BT",D209="TR_P"),CONCATENATE(B209,"_","TR",$B$3,C209,"_","TR",$B$3,C209,"_P","_",G209),AND(C209="TR",D209="TR_P"),CONCATENATE(B209,"_","TR",$B$3,"_","TR",$B$3,"_P","_",G209),AND(C209="TR",D209="TR_A"),CONCATENATE(B209,"_","TR",$B$3,"_","TR",$B$3,"_A","_",G209))</f>
        <v>IMA_TR7_TR7_A_TOED</v>
      </c>
      <c r="I209" s="6"/>
      <c r="J209" s="6" t="s">
        <v>182</v>
      </c>
      <c r="K209" s="6" t="s">
        <v>179</v>
      </c>
      <c r="L209" s="6" t="s">
        <v>188</v>
      </c>
      <c r="M209" s="6" t="s">
        <v>188</v>
      </c>
      <c r="N209" s="95">
        <f t="shared" si="6"/>
        <v>1013</v>
      </c>
    </row>
    <row r="210" spans="1:14" x14ac:dyDescent="0.25">
      <c r="A210" s="95" t="s">
        <v>190</v>
      </c>
      <c r="B210" s="95" t="str">
        <f>Informações!$C$3</f>
        <v>IMA</v>
      </c>
      <c r="C210" s="95" t="s">
        <v>102</v>
      </c>
      <c r="D210" s="95" t="s">
        <v>102</v>
      </c>
      <c r="E210" s="2" t="s">
        <v>25</v>
      </c>
      <c r="F210" s="95" t="str">
        <f>VLOOKUP(G210,[1]Discrete!$A:$B,2,FALSE)</f>
        <v>DEFEITO CDC</v>
      </c>
      <c r="G210" s="6" t="s">
        <v>716</v>
      </c>
      <c r="H210" s="6" t="str" cm="1">
        <f t="array" ref="H210">_xlfn.IFS(OR(D210="TC",D210="TP",AND(D210="TR",C210="AT"),AND(D210="TR",C210="BT")),CONCATENATE(B210,"_","TR",$B$3,C210,"_","TR",$B$3,C210,"_",G210),AND(D210="SECC",C210="BT"),CONCATENATE(B210,"_","TR",$B$3,C210,"_",$B$9,"_",G210),AND(D210="SECF",C210="AT"),CONCATENATE(B210,"_","TR",$B$3,C210,"_",$B$6,"_",G210),AND(D210="SECT",C210="AT"),CONCATENATE(B210,"_","TR",$B$3,C210,"_",$B$7,"_",G210),AND(D210="DJ",C210="AT"),CONCATENATE(B210,"_","TR",$B$3,C210,"_",$B$4,"_",G210),AND(D210="DJ",C210="BT"),CONCATENATE(B210,"_","TR",$B$3,C210,"_",$B$8,"_",G210),AND(C210="TR",D210="TR"),CONCATENATE(B210,"_","TR",$B$3,"_","TR",$B$3,"_",G210),AND(D210="SECT",C210="BT"),CONCATENATE(B210,"_","TR",$B$3,C210,"_",$B$11,"_",G210),AND(D210="SECF",C210="BT"),CONCATENATE(B210,"_","TR",$B$3,C210,"_",$B$10,"_",G210),AND(D210="SECC",C210="AT"),CONCATENATE(B210,"_","TR",$B$3,C210,"_",$B$5,"_",G210),AND(C210="AT",D210="TR_A"),CONCATENATE(B210,"_","TR",$B$3,C210,"_","TR",$B$3,C210,"_A","_",G210),AND(C210="AT",D210="TR_P"),CONCATENATE(B210,"_","TR",$B$3,C210,"_","TR",$B$3,C210,"_P","_",G210),AND(C210="BT",D210="TR_A"),CONCATENATE(B210,"_","TR",$B$3,C210,"_","TR",$B$3,C210,"_A","_",G210),AND(C210="BT",D210="TR_P"),CONCATENATE(B210,"_","TR",$B$3,C210,"_","TR",$B$3,C210,"_P","_",G210),AND(C210="TR",D210="TR_P"),CONCATENATE(B210,"_","TR",$B$3,"_","TR",$B$3,"_P","_",G210),AND(C210="TR",D210="TR_A"),CONCATENATE(B210,"_","TR",$B$3,"_","TR",$B$3,"_A","_",G210))</f>
        <v>IMA_TR7_TR7_DCDC</v>
      </c>
      <c r="I210" s="6"/>
      <c r="J210" s="6" t="s">
        <v>182</v>
      </c>
      <c r="K210" s="6" t="s">
        <v>179</v>
      </c>
      <c r="L210" s="6" t="s">
        <v>188</v>
      </c>
      <c r="M210" s="6" t="s">
        <v>188</v>
      </c>
      <c r="N210" s="95">
        <f t="shared" si="6"/>
        <v>1014</v>
      </c>
    </row>
    <row r="211" spans="1:14" x14ac:dyDescent="0.25">
      <c r="A211" s="95" t="s">
        <v>190</v>
      </c>
      <c r="B211" s="95" t="str">
        <f>Informações!$C$3</f>
        <v>IMA</v>
      </c>
      <c r="C211" s="95" t="s">
        <v>102</v>
      </c>
      <c r="D211" s="95" t="s">
        <v>102</v>
      </c>
      <c r="E211" s="2" t="s">
        <v>25</v>
      </c>
      <c r="F211" s="95" t="str">
        <f>VLOOKUP(G211,[1]Discrete!$A:$B,2,FALSE)</f>
        <v>DEFEITO MOTOR CDC</v>
      </c>
      <c r="G211" s="6" t="s">
        <v>717</v>
      </c>
      <c r="H211" s="6" t="str" cm="1">
        <f t="array" ref="H211">_xlfn.IFS(OR(D211="TC",D211="TP",AND(D211="TR",C211="AT"),AND(D211="TR",C211="BT")),CONCATENATE(B211,"_","TR",$B$3,C211,"_","TR",$B$3,C211,"_",G211),AND(D211="SECC",C211="BT"),CONCATENATE(B211,"_","TR",$B$3,C211,"_",$B$9,"_",G211),AND(D211="SECF",C211="AT"),CONCATENATE(B211,"_","TR",$B$3,C211,"_",$B$6,"_",G211),AND(D211="SECT",C211="AT"),CONCATENATE(B211,"_","TR",$B$3,C211,"_",$B$7,"_",G211),AND(D211="DJ",C211="AT"),CONCATENATE(B211,"_","TR",$B$3,C211,"_",$B$4,"_",G211),AND(D211="DJ",C211="BT"),CONCATENATE(B211,"_","TR",$B$3,C211,"_",$B$8,"_",G211),AND(C211="TR",D211="TR"),CONCATENATE(B211,"_","TR",$B$3,"_","TR",$B$3,"_",G211),AND(D211="SECT",C211="BT"),CONCATENATE(B211,"_","TR",$B$3,C211,"_",$B$11,"_",G211),AND(D211="SECF",C211="BT"),CONCATENATE(B211,"_","TR",$B$3,C211,"_",$B$10,"_",G211),AND(D211="SECC",C211="AT"),CONCATENATE(B211,"_","TR",$B$3,C211,"_",$B$5,"_",G211),AND(C211="AT",D211="TR_A"),CONCATENATE(B211,"_","TR",$B$3,C211,"_","TR",$B$3,C211,"_A","_",G211),AND(C211="AT",D211="TR_P"),CONCATENATE(B211,"_","TR",$B$3,C211,"_","TR",$B$3,C211,"_P","_",G211),AND(C211="BT",D211="TR_A"),CONCATENATE(B211,"_","TR",$B$3,C211,"_","TR",$B$3,C211,"_A","_",G211),AND(C211="BT",D211="TR_P"),CONCATENATE(B211,"_","TR",$B$3,C211,"_","TR",$B$3,C211,"_P","_",G211),AND(C211="TR",D211="TR_P"),CONCATENATE(B211,"_","TR",$B$3,"_","TR",$B$3,"_P","_",G211),AND(C211="TR",D211="TR_A"),CONCATENATE(B211,"_","TR",$B$3,"_","TR",$B$3,"_A","_",G211))</f>
        <v>IMA_TR7_TR7_CDMT</v>
      </c>
      <c r="I211" s="6"/>
      <c r="J211" s="6" t="s">
        <v>182</v>
      </c>
      <c r="K211" s="6" t="s">
        <v>179</v>
      </c>
      <c r="L211" s="6" t="s">
        <v>188</v>
      </c>
      <c r="M211" s="6" t="s">
        <v>188</v>
      </c>
      <c r="N211" s="95">
        <f t="shared" si="6"/>
        <v>1015</v>
      </c>
    </row>
    <row r="212" spans="1:14" x14ac:dyDescent="0.25">
      <c r="A212" s="95" t="s">
        <v>190</v>
      </c>
      <c r="B212" s="95" t="str">
        <f>Informações!$C$3</f>
        <v>IMA</v>
      </c>
      <c r="C212" s="95" t="s">
        <v>102</v>
      </c>
      <c r="D212" s="95" t="s">
        <v>102</v>
      </c>
      <c r="E212" s="2" t="s">
        <v>25</v>
      </c>
      <c r="F212" s="95" t="str">
        <f>VLOOKUP(G212,[1]Discrete!$A:$B,2,FALSE)</f>
        <v>TRIP EXTERNO</v>
      </c>
      <c r="G212" s="6" t="s">
        <v>718</v>
      </c>
      <c r="H212" s="6" t="str" cm="1">
        <f t="array" ref="H212">_xlfn.IFS(OR(D212="TC",D212="TP",AND(D212="TR",C212="AT"),AND(D212="TR",C212="BT")),CONCATENATE(B212,"_","TR",$B$3,C212,"_","TR",$B$3,C212,"_",G212),AND(D212="SECC",C212="BT"),CONCATENATE(B212,"_","TR",$B$3,C212,"_",$B$9,"_",G212),AND(D212="SECF",C212="AT"),CONCATENATE(B212,"_","TR",$B$3,C212,"_",$B$6,"_",G212),AND(D212="SECT",C212="AT"),CONCATENATE(B212,"_","TR",$B$3,C212,"_",$B$7,"_",G212),AND(D212="DJ",C212="AT"),CONCATENATE(B212,"_","TR",$B$3,C212,"_",$B$4,"_",G212),AND(D212="DJ",C212="BT"),CONCATENATE(B212,"_","TR",$B$3,C212,"_",$B$8,"_",G212),AND(C212="TR",D212="TR"),CONCATENATE(B212,"_","TR",$B$3,"_","TR",$B$3,"_",G212),AND(D212="SECT",C212="BT"),CONCATENATE(B212,"_","TR",$B$3,C212,"_",$B$11,"_",G212),AND(D212="SECF",C212="BT"),CONCATENATE(B212,"_","TR",$B$3,C212,"_",$B$10,"_",G212),AND(D212="SECC",C212="AT"),CONCATENATE(B212,"_","TR",$B$3,C212,"_",$B$5,"_",G212),AND(C212="AT",D212="TR_A"),CONCATENATE(B212,"_","TR",$B$3,C212,"_","TR",$B$3,C212,"_A","_",G212),AND(C212="AT",D212="TR_P"),CONCATENATE(B212,"_","TR",$B$3,C212,"_","TR",$B$3,C212,"_P","_",G212),AND(C212="BT",D212="TR_A"),CONCATENATE(B212,"_","TR",$B$3,C212,"_","TR",$B$3,C212,"_A","_",G212),AND(C212="BT",D212="TR_P"),CONCATENATE(B212,"_","TR",$B$3,C212,"_","TR",$B$3,C212,"_P","_",G212),AND(C212="TR",D212="TR_P"),CONCATENATE(B212,"_","TR",$B$3,"_","TR",$B$3,"_P","_",G212),AND(C212="TR",D212="TR_A"),CONCATENATE(B212,"_","TR",$B$3,"_","TR",$B$3,"_A","_",G212))</f>
        <v>IMA_TR7_TR7_TEXT</v>
      </c>
      <c r="I212" s="6"/>
      <c r="J212" s="6" t="s">
        <v>182</v>
      </c>
      <c r="K212" s="6" t="s">
        <v>179</v>
      </c>
      <c r="L212" s="6" t="s">
        <v>188</v>
      </c>
      <c r="M212" s="6" t="s">
        <v>188</v>
      </c>
      <c r="N212" s="95">
        <f t="shared" si="6"/>
        <v>1016</v>
      </c>
    </row>
    <row r="214" spans="1:14" x14ac:dyDescent="0.25">
      <c r="A214" s="108" t="s">
        <v>215</v>
      </c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</row>
    <row r="215" spans="1:14" ht="30" x14ac:dyDescent="0.25">
      <c r="A215" s="3" t="s">
        <v>189</v>
      </c>
      <c r="B215" s="3" t="s">
        <v>1</v>
      </c>
      <c r="C215" s="3" t="s">
        <v>83</v>
      </c>
      <c r="D215" s="3" t="s">
        <v>26</v>
      </c>
      <c r="E215" s="3" t="s">
        <v>7</v>
      </c>
      <c r="F215" s="3" t="s">
        <v>84</v>
      </c>
      <c r="G215" s="3" t="s">
        <v>85</v>
      </c>
      <c r="H215" s="3" t="s">
        <v>86</v>
      </c>
      <c r="I215" s="3" t="s">
        <v>254</v>
      </c>
      <c r="J215" s="3" t="s">
        <v>177</v>
      </c>
      <c r="K215" s="3" t="s">
        <v>178</v>
      </c>
      <c r="L215" s="3" t="s">
        <v>260</v>
      </c>
      <c r="M215" s="3" t="s">
        <v>266</v>
      </c>
      <c r="N215" s="3" t="s">
        <v>192</v>
      </c>
    </row>
    <row r="216" spans="1:14" x14ac:dyDescent="0.25">
      <c r="A216" s="6" t="s">
        <v>190</v>
      </c>
      <c r="B216" s="6" t="str">
        <f>Informações!$C$3</f>
        <v>IMA</v>
      </c>
      <c r="C216" s="6" t="s">
        <v>102</v>
      </c>
      <c r="D216" s="6" t="s">
        <v>212</v>
      </c>
      <c r="E216" s="2" t="s">
        <v>25</v>
      </c>
      <c r="F216" s="6" t="s">
        <v>238</v>
      </c>
      <c r="G216" s="6" t="s">
        <v>239</v>
      </c>
      <c r="H216" s="6" t="str" cm="1">
        <f t="array" ref="H216">_xlfn.IFS(OR(D216="TC",D216="TP",AND(D216="TR",C216="AT"),AND(D216="TR",C216="BT")),CONCATENATE(B216,"_","TR",$B$3,C216,"_","TR",$B$3,C216,"_",G216),AND(D216="SECC",C216="BT"),CONCATENATE(B216,"_","TR",$B$3,C216,"_",$B$9,"_",G216),AND(D216="SECF",C216="AT"),CONCATENATE(B216,"_","TR",$B$3,C216,"_",$B$6,"_",G216),AND(D216="SECT",C216="AT"),CONCATENATE(B216,"_","TR",$B$3,C216,"_",$B$7,"_",G216),AND(D216="DJ",C216="AT"),CONCATENATE(B216,"_","TR",$B$3,C216,"_",$B$4,"_",G216),AND(D216="DJ",C216="BT"),CONCATENATE(B216,"_","TR",$B$3,C216,"_",$B$8,"_",G216),AND(C216="TR",D216="TR"),CONCATENATE(B216,"_","TR",$B$3,"_","TR",$B$3,"_",G216),AND(D216="SECT",C216="BT"),CONCATENATE(B216,"_","TR",$B$3,C216,"_",$B$11,"_",G216),AND(D216="SECF",C216="BT"),CONCATENATE(B216,"_","TR",$B$3,C216,"_",$B$10,"_",G216),AND(D216="SECC",C216="AT"),CONCATENATE(B216,"_","TR",$B$3,C216,"_",$B$5,"_",G216),AND(C216="AT",D216="TR_A"),CONCATENATE(B216,"_","TR",$B$3,C216,"_","TR",$B$3,C216,"_A","_",G216),AND(C216="AT",D216="TR_P"),CONCATENATE(B216,"_","TR",$B$3,C216,"_","TR",$B$3,C216,"_P","_",G216),AND(C216="BT",D216="TR_A"),CONCATENATE(B216,"_","TR",$B$3,C216,"_","TR",$B$3,C216,"_A","_",G216),AND(C216="BT",D216="TR_P"),CONCATENATE(B216,"_","TR",$B$3,C216,"_","TR",$B$3,C216,"_P","_",G216),AND(C216="TR",D216="TR_P"),CONCATENATE(B216,"_","TR",$B$3,"_","TR",$B$3,"_P","_",G216),AND(C216="TR",D216="TR_A"),CONCATENATE(B216,"_","TR",$B$3,"_","TR",$B$3,"_A","_",G216))</f>
        <v>IMA_TR7_TR7_P_FGOO</v>
      </c>
      <c r="I216" s="6"/>
      <c r="J216" s="6" t="s">
        <v>182</v>
      </c>
      <c r="K216" s="6" t="s">
        <v>180</v>
      </c>
      <c r="L216" s="6" t="s">
        <v>188</v>
      </c>
      <c r="M216" s="6" t="s">
        <v>188</v>
      </c>
      <c r="N216" s="6">
        <f>N172+1</f>
        <v>384</v>
      </c>
    </row>
    <row r="217" spans="1:14" x14ac:dyDescent="0.25">
      <c r="A217" s="6" t="s">
        <v>190</v>
      </c>
      <c r="B217" s="6" t="str">
        <f>Informações!$C$3</f>
        <v>IMA</v>
      </c>
      <c r="C217" s="6" t="s">
        <v>102</v>
      </c>
      <c r="D217" s="6" t="s">
        <v>211</v>
      </c>
      <c r="E217" s="2" t="s">
        <v>25</v>
      </c>
      <c r="F217" s="6" t="s">
        <v>238</v>
      </c>
      <c r="G217" s="6" t="s">
        <v>239</v>
      </c>
      <c r="H217" s="6" t="str" cm="1">
        <f t="array" ref="H217">_xlfn.IFS(OR(D217="TC",D217="TP",AND(D217="TR",C217="AT"),AND(D217="TR",C217="BT")),CONCATENATE(B217,"_","TR",$B$3,C217,"_","TR",$B$3,C217,"_",G217),AND(D217="SECC",C217="BT"),CONCATENATE(B217,"_","TR",$B$3,C217,"_",$B$9,"_",G217),AND(D217="SECF",C217="AT"),CONCATENATE(B217,"_","TR",$B$3,C217,"_",$B$6,"_",G217),AND(D217="SECT",C217="AT"),CONCATENATE(B217,"_","TR",$B$3,C217,"_",$B$7,"_",G217),AND(D217="DJ",C217="AT"),CONCATENATE(B217,"_","TR",$B$3,C217,"_",$B$4,"_",G217),AND(D217="DJ",C217="BT"),CONCATENATE(B217,"_","TR",$B$3,C217,"_",$B$8,"_",G217),AND(C217="TR",D217="TR"),CONCATENATE(B217,"_","TR",$B$3,"_","TR",$B$3,"_",G217),AND(D217="SECT",C217="BT"),CONCATENATE(B217,"_","TR",$B$3,C217,"_",$B$11,"_",G217),AND(D217="SECF",C217="BT"),CONCATENATE(B217,"_","TR",$B$3,C217,"_",$B$10,"_",G217),AND(D217="SECC",C217="AT"),CONCATENATE(B217,"_","TR",$B$3,C217,"_",$B$5,"_",G217),AND(C217="AT",D217="TR_A"),CONCATENATE(B217,"_","TR",$B$3,C217,"_","TR",$B$3,C217,"_A","_",G217),AND(C217="AT",D217="TR_P"),CONCATENATE(B217,"_","TR",$B$3,C217,"_","TR",$B$3,C217,"_P","_",G217),AND(C217="BT",D217="TR_A"),CONCATENATE(B217,"_","TR",$B$3,C217,"_","TR",$B$3,C217,"_A","_",G217),AND(C217="BT",D217="TR_P"),CONCATENATE(B217,"_","TR",$B$3,C217,"_","TR",$B$3,C217,"_P","_",G217),AND(C217="TR",D217="TR_P"),CONCATENATE(B217,"_","TR",$B$3,"_","TR",$B$3,"_P","_",G217),AND(C217="TR",D217="TR_A"),CONCATENATE(B217,"_","TR",$B$3,"_","TR",$B$3,"_A","_",G217))</f>
        <v>IMA_TR7_TR7_A_FGOO</v>
      </c>
      <c r="I217" s="6"/>
      <c r="J217" s="6" t="s">
        <v>182</v>
      </c>
      <c r="K217" s="6" t="s">
        <v>180</v>
      </c>
      <c r="L217" s="6" t="s">
        <v>188</v>
      </c>
      <c r="M217" s="6" t="s">
        <v>188</v>
      </c>
      <c r="N217" s="6">
        <f>N216+1</f>
        <v>385</v>
      </c>
    </row>
  </sheetData>
  <autoFilter ref="A13:N240" xr:uid="{61560A97-3B71-4C44-B30F-033D0D1A470A}"/>
  <mergeCells count="12">
    <mergeCell ref="B6:N6"/>
    <mergeCell ref="A214:N214"/>
    <mergeCell ref="A1:N1"/>
    <mergeCell ref="B2:N2"/>
    <mergeCell ref="B3:N3"/>
    <mergeCell ref="B4:N4"/>
    <mergeCell ref="B5:N5"/>
    <mergeCell ref="B7:N7"/>
    <mergeCell ref="B8:N8"/>
    <mergeCell ref="B9:N9"/>
    <mergeCell ref="B10:N10"/>
    <mergeCell ref="B11:N11"/>
  </mergeCells>
  <phoneticPr fontId="5" type="noConversion"/>
  <conditionalFormatting sqref="E12:E1048576">
    <cfRule type="cellIs" dxfId="131" priority="1" operator="equal">
      <formula>"D"</formula>
    </cfRule>
    <cfRule type="cellIs" dxfId="130" priority="2" operator="equal">
      <formula>"C"</formula>
    </cfRule>
    <cfRule type="cellIs" dxfId="129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7BEE88-6970-4627-843A-61F494DC105A}">
          <x14:formula1>
            <xm:f>Lista!$B$2:$B$3</xm:f>
          </x14:formula1>
          <xm:sqref>A14:A217</xm:sqref>
        </x14:dataValidation>
        <x14:dataValidation type="list" allowBlank="1" showInputMessage="1" showErrorMessage="1" xr:uid="{EB726EF9-031D-421C-BB96-D3A3B6AE4A8E}">
          <x14:formula1>
            <xm:f>Lista!$A$2:$A$19</xm:f>
          </x14:formula1>
          <xm:sqref>J14:K217</xm:sqref>
        </x14:dataValidation>
        <x14:dataValidation type="list" allowBlank="1" showInputMessage="1" showErrorMessage="1" xr:uid="{F4AFC52D-B77D-4AFE-BF65-54A8B477B83D}">
          <x14:formula1>
            <xm:f>Lista!$E$2:$E$4</xm:f>
          </x14:formula1>
          <xm:sqref>I14:I217</xm:sqref>
        </x14:dataValidation>
        <x14:dataValidation type="list" allowBlank="1" showInputMessage="1" showErrorMessage="1" xr:uid="{3744EC57-2140-4BBD-B180-C909E339C7AF}">
          <x14:formula1>
            <xm:f>Lista!$D$2:$D$4</xm:f>
          </x14:formula1>
          <xm:sqref>M14:M217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2829-BC8C-4123-B6A3-3D480DF047B6}">
  <sheetPr>
    <tabColor theme="6"/>
  </sheetPr>
  <dimension ref="A1:N78"/>
  <sheetViews>
    <sheetView topLeftCell="E48" zoomScaleNormal="10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11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330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39" t="s">
        <v>332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4" x14ac:dyDescent="0.25">
      <c r="A6" s="2" t="s">
        <v>32</v>
      </c>
      <c r="B6" s="139" t="s">
        <v>331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1:14" x14ac:dyDescent="0.25">
      <c r="A7" s="2" t="s">
        <v>33</v>
      </c>
      <c r="B7" s="139" t="s">
        <v>333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IMA_AL11_AL11_IA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'TR 2'!N39+1</f>
        <v>70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IMA_AL11_AL11_IB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71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IMA_AL11_AL11_IC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72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IMA_AL11_AL11_IN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73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IMA_AL11_AL11_V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74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IMA_AL11_AL11_P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75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IMA_AL11_AL11_Q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76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IMA_AL11_AL11_IACC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77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IMA_AL11_AL11_IBCC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78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IMA_AL11_AL11_ICCC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79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IMA_AL11_AL11_INCC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80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IMA_AL11_52-11_DJF1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VALUE(LEFT('TR 2'!N56, FIND(";",'TR 2'!N56)-1)) + 1 &amp; ";" &amp; VALUE(LEFT('TR 2'!N56, FIND(";",'TR 2'!N56)-1)) + 1</f>
        <v>48;48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IMA_AL11_52-11_2649</v>
      </c>
      <c r="I22" s="6"/>
      <c r="J22" s="6"/>
      <c r="K22" s="6"/>
      <c r="L22" s="6" t="s">
        <v>188</v>
      </c>
      <c r="M22" s="6"/>
      <c r="N22" s="6" t="str">
        <f t="shared" ref="N22:N30" si="1">VALUE(LEFT(N21, FIND(";",N21)-1)) + 1 &amp; ";" &amp; VALUE(LEFT(N21, FIND(";",N21)-1)) + 1</f>
        <v>49;49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IMA_AL11_52-11_79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si="1"/>
        <v>50;50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IMA_AL11_52-11_51N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1"/>
        <v>51;51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IMA_AL11_52-11_81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1"/>
        <v>52;52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IMA_AL11_52-11_81U1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1"/>
        <v>53;53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IMA_AL11_52-11_81U2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1"/>
        <v>54;54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IMA_AL11_52-11_81U3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1"/>
        <v>55;55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IMA_AL11_52-11_81U4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1"/>
        <v>56;56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IMA_AL11_52-11_81U5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1"/>
        <v>57;57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IMA_AL11_52-11_SGF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BARRA!N46+1</f>
        <v>1065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IMA_AL11_52-11_DJF1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VALUE(LEFT('TR 2'!N73, FIND(";",'TR 2'!N73)-1)) + 2 &amp; ";" &amp; VALUE(LEFT('TR 2'!N73, FIND(";",'TR 2'!N73)-1)) + 3</f>
        <v>1144;1145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IMA_AL11_52-11_79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387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IMA_AL11_52-11_51N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2">N33+1</f>
        <v>388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IMA_AL11_52-11_81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2"/>
        <v>389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IMA_AL11_52-11_81U1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2"/>
        <v>390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IMA_AL11_52-11_81U2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2"/>
        <v>391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IMA_AL11_52-11_81U3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2"/>
        <v>392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IMA_AL11_52-11_81U4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2"/>
        <v>393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IMA_AL11_52-11_81U5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2"/>
        <v>394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IMA_AL11_52-11_2649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2"/>
        <v>395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IMA_AL11_52-11_FA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2"/>
        <v>396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IMA_AL11_52-11_FB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2"/>
        <v>397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IMA_AL11_52-11_FC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2"/>
        <v>398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IMA_AL11_52-11_N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2"/>
        <v>399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IMA_AL11_52-11_81SU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2"/>
        <v>400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IMA_AL11_52-11_81E1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2"/>
        <v>401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IMA_AL11_52-11_81E2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2"/>
        <v>402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IMA_AL11_52-11_81E3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2"/>
        <v>403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IMA_AL11_52-11_81E4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2"/>
        <v>404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IMA_AL11_52-11_81E5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2"/>
        <v>405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IMA_AL11_52-11_43LR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2"/>
        <v>406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IMA_AL11_52-11_43TC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2"/>
        <v>407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IMA_AL11_52-11_50F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2"/>
        <v>408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IMA_AL11_52-11_50N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2"/>
        <v>409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IMA_AL11_52-11_51F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2"/>
        <v>410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IMA_AL11_52-11_51FN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2"/>
        <v>411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IMA_AL11_52-11_79OK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2"/>
        <v>412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IMA_AL11_52-11_79RE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2"/>
        <v>413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IMA_AL11_52-11_79_1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2"/>
        <v>414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IMA_AL11_52-11_62BF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415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IMA_AL11_52-11_DR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si="2"/>
        <v>416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IMA_AL11_52-11_BBAB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2"/>
        <v>417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IMA_AL11_52-11_BBFC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2"/>
        <v>418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IMA_AL11_52-11_SGFT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2"/>
        <v>419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IMA_AL11_52-11_MOLA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2"/>
        <v>420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IMA_AL11_52-11_FUTP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2"/>
        <v>421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IMA_AL11_52-11_FCOM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2"/>
        <v>422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IMA_AL11_52-11_CCMO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2"/>
        <v>423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IMA_AL11_52-11_CCCO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2"/>
        <v>424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IMA_AL11_52-11_79LO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'TR 2'!N212+1</f>
        <v>1017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IMA_AL11_52-11_SGF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1018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IMA_AL11_52-11_TEXT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1019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IMA_AL11_52-11_FSIH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3">N73+1</f>
        <v>1020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IMA_AL11_52-11_FGOO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425</v>
      </c>
    </row>
  </sheetData>
  <mergeCells count="8">
    <mergeCell ref="A76:N76"/>
    <mergeCell ref="A1:N1"/>
    <mergeCell ref="B2:N2"/>
    <mergeCell ref="B3:N3"/>
    <mergeCell ref="B4:N4"/>
    <mergeCell ref="B5:N5"/>
    <mergeCell ref="B6:N6"/>
    <mergeCell ref="B7:N7"/>
  </mergeCells>
  <phoneticPr fontId="5" type="noConversion"/>
  <conditionalFormatting sqref="E8:E75">
    <cfRule type="cellIs" dxfId="128" priority="1" operator="equal">
      <formula>"D"</formula>
    </cfRule>
    <cfRule type="cellIs" dxfId="127" priority="2" operator="equal">
      <formula>"C"</formula>
    </cfRule>
    <cfRule type="cellIs" dxfId="126" priority="3" operator="equal">
      <formula>"A"</formula>
    </cfRule>
  </conditionalFormatting>
  <conditionalFormatting sqref="E77:E1048576">
    <cfRule type="cellIs" dxfId="125" priority="10" operator="equal">
      <formula>"D"</formula>
    </cfRule>
    <cfRule type="cellIs" dxfId="124" priority="11" operator="equal">
      <formula>"C"</formula>
    </cfRule>
    <cfRule type="cellIs" dxfId="123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B512960-0620-4E6E-B346-A235208C7485}">
          <x14:formula1>
            <xm:f>Lista!$B$2:$B$3</xm:f>
          </x14:formula1>
          <xm:sqref>A78 A10:A74</xm:sqref>
        </x14:dataValidation>
        <x14:dataValidation type="list" allowBlank="1" showInputMessage="1" showErrorMessage="1" xr:uid="{D5AE8E19-5118-4EBA-A02F-9C8FC154B45A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598285A3-4B78-4F58-B26A-AD1B296B9F1A}">
          <x14:formula1>
            <xm:f>Lista!$E$2:$E$4</xm:f>
          </x14:formula1>
          <xm:sqref>I78 I10:I74</xm:sqref>
        </x14:dataValidation>
        <x14:dataValidation type="list" allowBlank="1" showInputMessage="1" showErrorMessage="1" xr:uid="{E3277305-D3A4-4EF0-9A8C-31F406E89323}">
          <x14:formula1>
            <xm:f>Lista!$D$2:$D$4</xm:f>
          </x14:formula1>
          <xm:sqref>M78 M10:M74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74B7-49A4-453A-8EB1-94FB3577E668}">
  <sheetPr>
    <tabColor theme="6"/>
  </sheetPr>
  <dimension ref="A1:N78"/>
  <sheetViews>
    <sheetView topLeftCell="E55" zoomScale="115" zoomScaleNormal="115" workbookViewId="0">
      <selection activeCell="G65" sqref="G65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hidden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43" t="s">
        <v>88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5"/>
    </row>
    <row r="2" spans="1:14" ht="15" customHeight="1" x14ac:dyDescent="0.25">
      <c r="A2" s="3" t="s">
        <v>26</v>
      </c>
      <c r="B2" s="146" t="s">
        <v>166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8"/>
    </row>
    <row r="3" spans="1:14" x14ac:dyDescent="0.25">
      <c r="A3" s="2" t="s">
        <v>87</v>
      </c>
      <c r="B3" s="140">
        <v>12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</row>
    <row r="4" spans="1:14" x14ac:dyDescent="0.25">
      <c r="A4" s="2" t="s">
        <v>30</v>
      </c>
      <c r="B4" s="140" t="s">
        <v>334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2"/>
    </row>
    <row r="5" spans="1:14" x14ac:dyDescent="0.25">
      <c r="A5" s="2" t="s">
        <v>31</v>
      </c>
      <c r="B5" s="140" t="s">
        <v>409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2"/>
    </row>
    <row r="6" spans="1:14" x14ac:dyDescent="0.25">
      <c r="A6" s="2" t="s">
        <v>32</v>
      </c>
      <c r="B6" s="149" t="s">
        <v>411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1"/>
    </row>
    <row r="7" spans="1:14" x14ac:dyDescent="0.25">
      <c r="A7" s="2" t="s">
        <v>33</v>
      </c>
      <c r="B7" s="140" t="s">
        <v>410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2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IMA_AL12_AL12_IA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11'!N20+1</f>
        <v>81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IMA_AL12_AL12_IB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82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IMA_AL12_AL12_IC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83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IMA_AL12_AL12_IN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84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IMA_AL12_AL12_V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85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IMA_AL12_AL12_P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86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IMA_AL12_AL12_Q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87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IMA_AL12_AL12_IACC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88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IMA_AL12_AL12_IBCC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89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IMA_AL12_AL12_ICCC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90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IMA_AL12_AL12_INCC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91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IMA_AL12_52-12_DJF1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11'!N30, FIND(";",'AL 11'!N30)-1)) + 1 &amp; ";" &amp; VALUE(LEFT('AL 11'!N30, FIND(";",'AL 11'!N30)-1)) + 1</f>
        <v>58;58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IMA_AL12_52-12_2649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59;59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IMA_AL12_52-12_79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60;60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IMA_AL12_52-12_51N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61;61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IMA_AL12_52-12_81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62;62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IMA_AL12_52-12_81U1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63;63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IMA_AL12_52-12_81U2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64;64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IMA_AL12_52-12_81U3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65;65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IMA_AL12_52-12_81U4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66;66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IMA_AL12_52-12_81U5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67;67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IMA_AL12_52-12_SGF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11'!N31+1</f>
        <v>1066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IMA_AL12_52-12_DJF1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11'!N32, FIND(";",'AL 11'!N32)-1)) + 2 &amp; ";" &amp; VALUE(LEFT('AL 11'!N32, FIND(";",'AL 11'!N32)-1)) + 3</f>
        <v>1146;1147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IMA_AL12_52-12_79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427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IMA_AL12_52-12_51N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428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IMA_AL12_52-12_81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429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IMA_AL12_52-12_81U1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430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IMA_AL12_52-12_81U2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431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IMA_AL12_52-12_81U3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432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IMA_AL12_52-12_81U4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433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IMA_AL12_52-12_81U5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434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IMA_AL12_52-12_2649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435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IMA_AL12_52-12_FA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436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IMA_AL12_52-12_FB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437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IMA_AL12_52-12_FC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438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IMA_AL12_52-12_N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439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IMA_AL12_52-12_81SU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440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IMA_AL12_52-12_81E1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441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IMA_AL12_52-12_81E2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442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IMA_AL12_52-12_81E3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443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IMA_AL12_52-12_81E4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444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IMA_AL12_52-12_81E5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445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IMA_AL12_52-12_43LR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446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IMA_AL12_52-12_43TC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447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IMA_AL12_52-12_50F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448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IMA_AL12_52-12_50N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449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IMA_AL12_52-12_51F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450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IMA_AL12_52-12_51FN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451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IMA_AL12_52-12_79OK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452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IMA_AL12_52-12_79RE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453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IMA_AL12_52-12_79_1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454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IMA_AL12_52-12_62BF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455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IMA_AL12_52-12_DR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456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IMA_AL12_52-12_BBAB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457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IMA_AL12_52-12_BBFC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458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IMA_AL12_52-12_SGFT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459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IMA_AL12_52-12_MOLA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460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IMA_AL12_52-12_FUTP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461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IMA_AL12_52-12_FCOM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462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IMA_AL12_52-12_CCMO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463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IMA_AL12_52-12_CCCO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464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IMA_AL12_52-12_79LO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11'!N74+1</f>
        <v>1021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IMA_AL12_52-12_SGF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1022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IMA_AL12_52-12_TEXT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1023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IMA_AL12_52-12_FSIH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1024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IMA_AL12_52-12_FGOO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465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122" priority="1" operator="equal">
      <formula>"D"</formula>
    </cfRule>
    <cfRule type="cellIs" dxfId="121" priority="2" operator="equal">
      <formula>"C"</formula>
    </cfRule>
    <cfRule type="cellIs" dxfId="120" priority="3" operator="equal">
      <formula>"A"</formula>
    </cfRule>
  </conditionalFormatting>
  <conditionalFormatting sqref="E77:E1048576">
    <cfRule type="cellIs" dxfId="119" priority="67" operator="equal">
      <formula>"D"</formula>
    </cfRule>
    <cfRule type="cellIs" dxfId="118" priority="68" operator="equal">
      <formula>"C"</formula>
    </cfRule>
    <cfRule type="cellIs" dxfId="117" priority="6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88282E-53EE-4E6F-B95B-D7F39FBDC9AF}">
          <x14:formula1>
            <xm:f>Lista!$D$2:$D$4</xm:f>
          </x14:formula1>
          <xm:sqref>M78 M10:M74</xm:sqref>
        </x14:dataValidation>
        <x14:dataValidation type="list" allowBlank="1" showInputMessage="1" showErrorMessage="1" xr:uid="{E44FA5C2-E6D0-431B-9D4E-EC8D88857086}">
          <x14:formula1>
            <xm:f>Lista!$E$2:$E$4</xm:f>
          </x14:formula1>
          <xm:sqref>I78 I10:I74</xm:sqref>
        </x14:dataValidation>
        <x14:dataValidation type="list" allowBlank="1" showInputMessage="1" showErrorMessage="1" xr:uid="{27EDD8CC-30EF-494A-AA3B-33BD7D906451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B54B51D7-4A14-4B22-A2BC-6C64383A7FF8}">
          <x14:formula1>
            <xm:f>Lista!$B$2:$B$3</xm:f>
          </x14:formula1>
          <xm:sqref>A78 A10:A74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F269-A670-4BAF-9179-40B152E75909}">
  <sheetPr>
    <tabColor theme="2"/>
  </sheetPr>
  <dimension ref="A1:N100"/>
  <sheetViews>
    <sheetView topLeftCell="E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14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336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370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369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371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IMA_AL14_AL14_IA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IMA_AL14_AL14_IB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IMA_AL14_AL14_IC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IMA_AL14_AL14_IN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IMA_AL14_AL14_V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IMA_AL14_AL14_P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IMA_AL14_AL14_Q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IMA_AL14_AL14_IACC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IMA_AL14_AL14_IBCC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IMA_AL14_AL14_ICCC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IMA_AL14_AL14_INCC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IMA_AL14_52-14_DJF1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IMA_TRF14_52-14_2649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IMA_AL14_52-14_79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IMA_AL14_52-14_51N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IMA_AL14_52-14_81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IMA_AL14_52-14_81U1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IMA_AL14_52-14_81U2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IMA_AL14_52-14_81U3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IMA_AL14_52-14_81U4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IMA_AL14_52-14_81U5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IMA_AL14_29-94_SECT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IMA_AL14_52-14_DJF1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IMA_AL14_52-14_79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IMA_AL14_52-14_51N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IMA_AL14_52-14_81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IMA_AL14_52-14_81U1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IMA_AL14_52-14_81U2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IMA_AL14_52-14_81U3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IMA_AL14_52-14_81U4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IMA_AL14_52-14_81U5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IMA_AL14_52-14_TOED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IMA_AL14_52-14_46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IMA_AL14_52-14_FA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IMA_AL14_52-14_FB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IMA_AL14_52-14_FC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IMA_AL14_52-14_N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IMA_AL14_52-14_81SU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IMA_AL14_52-14_81E1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IMA_AL14_52-14_81E2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IMA_AL14_52-14_81E3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IMA_AL14_52-14_81E4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IMA_AL14_52-14_81E5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IMA_AL14_52-14_43LR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IMA_AL14_52-14_43TC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IMA_AL14_52-14_50F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IMA_AL14_52-14_50N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IMA_AL14_52-14_50F1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IMA_AL14_52-14_50F2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IMA_AL14_52-14_50N1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IMA_AL14_52-14_50N2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IMA_AL14_52-14_51F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IMA_AL14_52-14_51N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IMA_AL14_52-14_51F1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IMA_AL14_52-14_51F2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IMA_AL14_52-14_51N1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IMA_AL14_52-14_51N2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IMA_AL14_52-14_79OK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IMA_AL14_52-14_79RE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IMA_AL14_52-14_79_1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IMA_AL14_52-14_62BF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IMA_AL14_52-14_DR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IMA_AL14_52-14_BBAB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IMA_AL14_52-14_BBFC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IMA_AL14_52-14_SGFT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IMA_AL14_52-14_MOLA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IMA_AL14_52-14_FUTP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IMA_AL14_52-14_FCOM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IMA_AL14_52-14_CCMO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IMA_AL14_52-14_CCCO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IMA_AL14_52-14_FSIN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8" t="s">
        <v>215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IMA_AL14_52-14_ETH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IMA_AL14_52-14_FGOO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  <row r="97" s="1" customFormat="1" x14ac:dyDescent="0.25"/>
    <row r="98" s="1" customFormat="1" x14ac:dyDescent="0.25"/>
    <row r="99" s="1" customFormat="1" x14ac:dyDescent="0.25"/>
    <row r="100" s="1" customFormat="1" x14ac:dyDescent="0.25"/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110" priority="1" operator="equal">
      <formula>"D"</formula>
    </cfRule>
    <cfRule type="cellIs" dxfId="109" priority="2" operator="equal">
      <formula>"C"</formula>
    </cfRule>
    <cfRule type="cellIs" dxfId="108" priority="3" operator="equal">
      <formula>"A"</formula>
    </cfRule>
  </conditionalFormatting>
  <conditionalFormatting sqref="E83:E1048576">
    <cfRule type="cellIs" dxfId="107" priority="4" operator="equal">
      <formula>"D"</formula>
    </cfRule>
    <cfRule type="cellIs" dxfId="106" priority="5" operator="equal">
      <formula>"C"</formula>
    </cfRule>
    <cfRule type="cellIs" dxfId="105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ECF8E9C-0B36-49BD-BC82-417B7DDE54A6}">
          <x14:formula1>
            <xm:f>Lista!$B$2:$B$3</xm:f>
          </x14:formula1>
          <xm:sqref>A84:A85 A10:A80</xm:sqref>
        </x14:dataValidation>
        <x14:dataValidation type="list" allowBlank="1" showInputMessage="1" showErrorMessage="1" xr:uid="{EF5ECC88-0FE6-489B-8C68-70821E9182E6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644F4C35-D0D3-4D90-BBD6-D8E8772B4647}">
          <x14:formula1>
            <xm:f>Lista!$E$2:$E$4</xm:f>
          </x14:formula1>
          <xm:sqref>I84:I85 I10:I80</xm:sqref>
        </x14:dataValidation>
        <x14:dataValidation type="list" allowBlank="1" showInputMessage="1" showErrorMessage="1" xr:uid="{B08BA056-ADC3-4F9E-A433-1E79238AFFB1}">
          <x14:formula1>
            <xm:f>Lista!$D$2:$D$4</xm:f>
          </x14:formula1>
          <xm:sqref>M84:M85 M10:M80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DDE4-E20F-4B38-96E5-17EA36EEF92C}">
  <sheetPr>
    <tabColor theme="2"/>
  </sheetPr>
  <dimension ref="A1:N100"/>
  <sheetViews>
    <sheetView topLeftCell="F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15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337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373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372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374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IMA_AL15_AL15_IA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IMA_AL15_AL15_IB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IMA_AL15_AL15_IC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IMA_AL15_AL15_IN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IMA_AL15_AL15_V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IMA_AL15_AL15_P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IMA_AL15_AL15_Q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IMA_AL15_AL15_IACC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IMA_AL15_AL15_IBCC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IMA_AL15_AL15_ICCC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IMA_AL15_AL15_INCC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IMA_AL15_52-15_DJF1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IMA_TRF15_52-15_2649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IMA_AL15_52-15_79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IMA_AL15_52-15_51N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IMA_AL15_52-15_81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IMA_AL15_52-15_81U1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IMA_AL15_52-15_81U2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IMA_AL15_52-15_81U3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IMA_AL15_52-15_81U4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IMA_AL15_52-15_81U5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IMA_AL15_29-100_SECT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IMA_AL15_52-15_DJF1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IMA_AL15_52-15_79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IMA_AL15_52-15_51N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IMA_AL15_52-15_81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IMA_AL15_52-15_81U1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IMA_AL15_52-15_81U2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IMA_AL15_52-15_81U3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IMA_AL15_52-15_81U4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IMA_AL15_52-15_81U5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IMA_AL15_52-15_TOED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IMA_AL15_52-15_46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IMA_AL15_52-15_FA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IMA_AL15_52-15_FB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IMA_AL15_52-15_FC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IMA_AL15_52-15_N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IMA_AL15_52-15_81SU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IMA_AL15_52-15_81E1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IMA_AL15_52-15_81E2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IMA_AL15_52-15_81E3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IMA_AL15_52-15_81E4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IMA_AL15_52-15_81E5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IMA_AL15_52-15_43LR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IMA_AL15_52-15_43TC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IMA_AL15_52-15_50F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IMA_AL15_52-15_50N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IMA_AL15_52-15_50F1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IMA_AL15_52-15_50F2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IMA_AL15_52-15_50N1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IMA_AL15_52-15_50N2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IMA_AL15_52-15_51F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IMA_AL15_52-15_51N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IMA_AL15_52-15_51F1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IMA_AL15_52-15_51F2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IMA_AL15_52-15_51N1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IMA_AL15_52-15_51N2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IMA_AL15_52-15_79OK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IMA_AL15_52-15_79RE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IMA_AL15_52-15_79_1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IMA_AL15_52-15_62BF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IMA_AL15_52-15_DR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IMA_AL15_52-15_BBAB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IMA_AL15_52-15_BBFC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IMA_AL15_52-15_SGFT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IMA_AL15_52-15_MOLA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IMA_AL15_52-15_FUTP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IMA_AL15_52-15_FCOM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IMA_AL15_52-15_CCMO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IMA_AL15_52-15_CCCO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IMA_AL15_52-15_FSIN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8" t="s">
        <v>215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IMA_AL15_52-15_ETH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IMA_AL15_52-15_FGOO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  <row r="97" s="1" customFormat="1" x14ac:dyDescent="0.25"/>
    <row r="98" s="1" customFormat="1" x14ac:dyDescent="0.25"/>
    <row r="99" s="1" customFormat="1" x14ac:dyDescent="0.25"/>
    <row r="100" s="1" customFormat="1" x14ac:dyDescent="0.25"/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104" priority="1" operator="equal">
      <formula>"D"</formula>
    </cfRule>
    <cfRule type="cellIs" dxfId="103" priority="2" operator="equal">
      <formula>"C"</formula>
    </cfRule>
    <cfRule type="cellIs" dxfId="102" priority="3" operator="equal">
      <formula>"A"</formula>
    </cfRule>
  </conditionalFormatting>
  <conditionalFormatting sqref="E83:E1048576">
    <cfRule type="cellIs" dxfId="101" priority="4" operator="equal">
      <formula>"D"</formula>
    </cfRule>
    <cfRule type="cellIs" dxfId="100" priority="5" operator="equal">
      <formula>"C"</formula>
    </cfRule>
    <cfRule type="cellIs" dxfId="99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09F4BD5-79A1-435C-98AE-3CB5282B20FE}">
          <x14:formula1>
            <xm:f>Lista!$B$2:$B$3</xm:f>
          </x14:formula1>
          <xm:sqref>A84:A85 A10:A80</xm:sqref>
        </x14:dataValidation>
        <x14:dataValidation type="list" allowBlank="1" showInputMessage="1" showErrorMessage="1" xr:uid="{85FE8AD1-663F-4AFC-8BAB-04214478B281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8926C610-ED8F-49B3-A44E-B4F8D77B24C3}">
          <x14:formula1>
            <xm:f>Lista!$E$2:$E$4</xm:f>
          </x14:formula1>
          <xm:sqref>I84:I85 I10:I80</xm:sqref>
        </x14:dataValidation>
        <x14:dataValidation type="list" allowBlank="1" showInputMessage="1" showErrorMessage="1" xr:uid="{F265A11D-8DBA-43D4-9B2A-FA6F4024A20A}">
          <x14:formula1>
            <xm:f>Lista!$D$2:$D$4</xm:f>
          </x14:formula1>
          <xm:sqref>M84:M85 M10:M80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3C0-D777-4466-8ADF-2CAD69A22858}">
  <sheetPr>
    <tabColor theme="2"/>
  </sheetPr>
  <dimension ref="A1:N85"/>
  <sheetViews>
    <sheetView topLeftCell="F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16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338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375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376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377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IMA_AL16_AL16_IA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IMA_AL16_AL16_IB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IMA_AL16_AL16_IC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IMA_AL16_AL16_IN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IMA_AL16_AL16_V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IMA_AL16_AL16_P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IMA_AL16_AL16_Q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IMA_AL16_AL16_IACC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IMA_AL16_AL16_IBCC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IMA_AL16_AL16_ICCC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IMA_AL16_AL16_INCC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IMA_AL16_52-16_DJF1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IMA_TRF16_52-16_2649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IMA_AL16_52-16_79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IMA_AL16_52-16_51N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IMA_AL16_52-16_81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IMA_AL16_52-16_81U1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IMA_AL16_52-16_81U2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IMA_AL16_52-16_81U3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IMA_AL16_52-16_81U4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IMA_AL16_52-16_81U5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IMA_AL16_29-108_SECT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IMA_AL16_52-16_DJF1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IMA_AL16_52-16_79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IMA_AL16_52-16_51N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IMA_AL16_52-16_81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IMA_AL16_52-16_81U1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IMA_AL16_52-16_81U2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IMA_AL16_52-16_81U3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IMA_AL16_52-16_81U4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IMA_AL16_52-16_81U5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IMA_AL16_52-16_TOED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IMA_AL16_52-16_46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IMA_AL16_52-16_FA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IMA_AL16_52-16_FB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IMA_AL16_52-16_FC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IMA_AL16_52-16_N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IMA_AL16_52-16_81SU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IMA_AL16_52-16_81E1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IMA_AL16_52-16_81E2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IMA_AL16_52-16_81E3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IMA_AL16_52-16_81E4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IMA_AL16_52-16_81E5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IMA_AL16_52-16_43LR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IMA_AL16_52-16_43TC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IMA_AL16_52-16_50F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IMA_AL16_52-16_50N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IMA_AL16_52-16_50F1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IMA_AL16_52-16_50F2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IMA_AL16_52-16_50N1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IMA_AL16_52-16_50N2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IMA_AL16_52-16_51F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IMA_AL16_52-16_51N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IMA_AL16_52-16_51F1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IMA_AL16_52-16_51F2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IMA_AL16_52-16_51N1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IMA_AL16_52-16_51N2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IMA_AL16_52-16_79OK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IMA_AL16_52-16_79RE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IMA_AL16_52-16_79_1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IMA_AL16_52-16_62BF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IMA_AL16_52-16_DR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IMA_AL16_52-16_BBAB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IMA_AL16_52-16_BBFC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IMA_AL16_52-16_SGFT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IMA_AL16_52-16_MOLA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IMA_AL16_52-16_FUTP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IMA_AL16_52-16_FCOM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IMA_AL16_52-16_CCMO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IMA_AL16_52-16_CCCO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IMA_AL16_52-16_FSIN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8" t="s">
        <v>215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IMA_AL16_52-16_ETH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IMA_AL16_52-16_FGOO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98" priority="1" operator="equal">
      <formula>"D"</formula>
    </cfRule>
    <cfRule type="cellIs" dxfId="97" priority="2" operator="equal">
      <formula>"C"</formula>
    </cfRule>
    <cfRule type="cellIs" dxfId="96" priority="3" operator="equal">
      <formula>"A"</formula>
    </cfRule>
  </conditionalFormatting>
  <conditionalFormatting sqref="E83:E1048576">
    <cfRule type="cellIs" dxfId="95" priority="4" operator="equal">
      <formula>"D"</formula>
    </cfRule>
    <cfRule type="cellIs" dxfId="94" priority="5" operator="equal">
      <formula>"C"</formula>
    </cfRule>
    <cfRule type="cellIs" dxfId="93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9678FB9-9A63-42B1-AE94-46A16A837B4C}">
          <x14:formula1>
            <xm:f>Lista!$B$2:$B$3</xm:f>
          </x14:formula1>
          <xm:sqref>A84:A85 A10:A80</xm:sqref>
        </x14:dataValidation>
        <x14:dataValidation type="list" allowBlank="1" showInputMessage="1" showErrorMessage="1" xr:uid="{BCECD0A7-7408-40DF-9414-9F9B28ADA926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42AB6978-158F-4A3B-80CE-C6DFA27AA9D1}">
          <x14:formula1>
            <xm:f>Lista!$E$2:$E$4</xm:f>
          </x14:formula1>
          <xm:sqref>I84:I85 I10:I80</xm:sqref>
        </x14:dataValidation>
        <x14:dataValidation type="list" allowBlank="1" showInputMessage="1" showErrorMessage="1" xr:uid="{3886FEB2-44AE-4679-9C5E-D09DF9D919F4}">
          <x14:formula1>
            <xm:f>Lista!$D$2:$D$4</xm:f>
          </x14:formula1>
          <xm:sqref>M84:M85 M10:M80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8F53-BB72-4EAC-AA37-1A570D33BBE7}">
  <sheetPr>
    <tabColor theme="6"/>
  </sheetPr>
  <dimension ref="A1:N78"/>
  <sheetViews>
    <sheetView topLeftCell="E53" zoomScaleNormal="10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0.5703125" style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13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335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413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412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414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IMA_AL13_AL13_IA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12'!N20+1</f>
        <v>92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IMA_AL13_AL13_IB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93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IMA_AL13_AL13_IC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94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IMA_AL13_AL13_IN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95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IMA_AL13_AL13_V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96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IMA_AL13_AL13_P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97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IMA_AL13_AL13_Q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98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IMA_AL13_AL13_IACC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99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IMA_AL13_AL13_IBCC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100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IMA_AL13_AL13_ICCC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101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IMA_AL13_AL13_INCC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102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IMA_AL13_52-13_DJF1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12'!N30, FIND(";",'AL 12'!N30)-1)) + 1 &amp; ";" &amp; VALUE(LEFT('AL 12'!N30, FIND(";",'AL 12'!N30)-1)) + 1</f>
        <v>68;68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IMA_AL13_52-13_2649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69;69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IMA_AL13_52-13_79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70;70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IMA_AL13_52-13_51N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71;71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IMA_AL13_52-13_81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72;72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IMA_AL13_52-13_81U1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73;73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IMA_AL13_52-13_81U2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74;74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IMA_AL13_52-13_81U3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75;75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IMA_AL13_52-13_81U4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76;76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IMA_AL13_52-13_81U5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77;77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IMA_AL13_52-13_SGF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12'!N31+1</f>
        <v>1067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IMA_AL13_52-13_DJF1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12'!N32, FIND(";",'AL 12'!N32)-1)) + 2 &amp; ";" &amp; VALUE(LEFT('AL 12'!N32, FIND(";",'AL 12'!N32)-1)) + 3</f>
        <v>1148;1149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IMA_AL13_52-13_79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467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IMA_AL13_52-13_51N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468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IMA_AL13_52-13_81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469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IMA_AL13_52-13_81U1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470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IMA_AL13_52-13_81U2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471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IMA_AL13_52-13_81U3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472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IMA_AL13_52-13_81U4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473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IMA_AL13_52-13_81U5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474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IMA_AL13_52-13_2649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475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IMA_AL13_52-13_FA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476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IMA_AL13_52-13_FB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477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IMA_AL13_52-13_FC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478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IMA_AL13_52-13_N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479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IMA_AL13_52-13_81SU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480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IMA_AL13_52-13_81E1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481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IMA_AL13_52-13_81E2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482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IMA_AL13_52-13_81E3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483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IMA_AL13_52-13_81E4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484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IMA_AL13_52-13_81E5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485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IMA_AL13_52-13_43LR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486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IMA_AL13_52-13_43TC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487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IMA_AL13_52-13_50F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488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IMA_AL13_52-13_50N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489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IMA_AL13_52-13_51F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490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IMA_AL13_52-13_51FN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491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IMA_AL13_52-13_79OK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492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IMA_AL13_52-13_79RE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493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IMA_AL13_52-13_79_1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494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IMA_AL13_52-13_62BF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495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IMA_AL13_52-13_DR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496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IMA_AL13_52-13_BBAB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497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IMA_AL13_52-13_BBFC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498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IMA_AL13_52-13_SGFT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499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IMA_AL13_52-13_MOLA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500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IMA_AL13_52-13_FUTP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501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IMA_AL13_52-13_FCOM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502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IMA_AL13_52-13_CCMO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503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IMA_AL13_52-13_CCCO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504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IMA_AL13_52-13_79LO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12'!N74+1</f>
        <v>1025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IMA_AL13_52-13_SGF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1026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IMA_AL13_52-13_TEXT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1027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IMA_AL13_52-13_FSIH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1028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IMA_AL13_52-13_FGOO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505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116" priority="1" operator="equal">
      <formula>"D"</formula>
    </cfRule>
    <cfRule type="cellIs" dxfId="115" priority="2" operator="equal">
      <formula>"C"</formula>
    </cfRule>
    <cfRule type="cellIs" dxfId="114" priority="3" operator="equal">
      <formula>"A"</formula>
    </cfRule>
  </conditionalFormatting>
  <conditionalFormatting sqref="E77:E1048576">
    <cfRule type="cellIs" dxfId="113" priority="76" operator="equal">
      <formula>"D"</formula>
    </cfRule>
    <cfRule type="cellIs" dxfId="112" priority="77" operator="equal">
      <formula>"C"</formula>
    </cfRule>
    <cfRule type="cellIs" dxfId="111" priority="78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DC86CA0-DC22-44C6-8C78-792E5403894F}">
          <x14:formula1>
            <xm:f>Lista!$D$2:$D$4</xm:f>
          </x14:formula1>
          <xm:sqref>M78 M10:M74</xm:sqref>
        </x14:dataValidation>
        <x14:dataValidation type="list" allowBlank="1" showInputMessage="1" showErrorMessage="1" xr:uid="{8891CE07-0B44-4977-B26D-38791A14DBB9}">
          <x14:formula1>
            <xm:f>Lista!$E$2:$E$4</xm:f>
          </x14:formula1>
          <xm:sqref>I78 I10:I74</xm:sqref>
        </x14:dataValidation>
        <x14:dataValidation type="list" allowBlank="1" showInputMessage="1" showErrorMessage="1" xr:uid="{25ECF6F9-16ED-4D2B-BEA5-CAE3B58C1657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464CE641-EB03-4327-BDA5-79FF0D650306}">
          <x14:formula1>
            <xm:f>Lista!$B$2:$B$3</xm:f>
          </x14:formula1>
          <xm:sqref>A78 A10:A74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FA61-4459-4F15-A517-A73255C6CD8B}">
  <sheetPr>
    <tabColor theme="6"/>
  </sheetPr>
  <dimension ref="A1:N78"/>
  <sheetViews>
    <sheetView topLeftCell="A49" zoomScale="80" zoomScaleNormal="8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4.28515625" style="1" customWidth="1"/>
    <col min="9" max="9" width="13.85546875" style="1" hidden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19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39" t="s">
        <v>365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2" t="s">
        <v>31</v>
      </c>
      <c r="B5" s="139" t="s">
        <v>366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</row>
    <row r="6" spans="1:14" x14ac:dyDescent="0.25">
      <c r="A6" s="2" t="s">
        <v>32</v>
      </c>
      <c r="B6" s="139" t="s">
        <v>367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1:14" x14ac:dyDescent="0.25">
      <c r="A7" s="2" t="s">
        <v>33</v>
      </c>
      <c r="B7" s="139" t="s">
        <v>368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94" t="s">
        <v>364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IMA_TRF19_TRF19_IA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13'!N20+1</f>
        <v>103</v>
      </c>
    </row>
    <row r="11" spans="1:14" x14ac:dyDescent="0.25">
      <c r="A11" s="6" t="s">
        <v>190</v>
      </c>
      <c r="B11" s="6" t="str">
        <f>Informações!$C$3</f>
        <v>IMA</v>
      </c>
      <c r="C11" s="94" t="s">
        <v>364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IMA_TRF19_TRF19_IB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104</v>
      </c>
    </row>
    <row r="12" spans="1:14" x14ac:dyDescent="0.25">
      <c r="A12" s="6" t="s">
        <v>190</v>
      </c>
      <c r="B12" s="6" t="str">
        <f>Informações!$C$3</f>
        <v>IMA</v>
      </c>
      <c r="C12" s="94" t="s">
        <v>364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IMA_TRF19_TRF19_IC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105</v>
      </c>
    </row>
    <row r="13" spans="1:14" x14ac:dyDescent="0.25">
      <c r="A13" s="6" t="s">
        <v>190</v>
      </c>
      <c r="B13" s="6" t="str">
        <f>Informações!$C$3</f>
        <v>IMA</v>
      </c>
      <c r="C13" s="94" t="s">
        <v>364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IMA_TRF19_TRF19_IN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106</v>
      </c>
    </row>
    <row r="14" spans="1:14" x14ac:dyDescent="0.25">
      <c r="A14" s="6" t="s">
        <v>190</v>
      </c>
      <c r="B14" s="6" t="str">
        <f>Informações!$C$3</f>
        <v>IMA</v>
      </c>
      <c r="C14" s="94" t="s">
        <v>364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IMA_TRF19_TRF19_V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107</v>
      </c>
    </row>
    <row r="15" spans="1:14" x14ac:dyDescent="0.25">
      <c r="A15" s="6" t="s">
        <v>190</v>
      </c>
      <c r="B15" s="6" t="str">
        <f>Informações!$C$3</f>
        <v>IMA</v>
      </c>
      <c r="C15" s="94" t="s">
        <v>364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IMA_TRF19_TRF19_P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108</v>
      </c>
    </row>
    <row r="16" spans="1:14" x14ac:dyDescent="0.25">
      <c r="A16" s="6" t="s">
        <v>190</v>
      </c>
      <c r="B16" s="6" t="str">
        <f>Informações!$C$3</f>
        <v>IMA</v>
      </c>
      <c r="C16" s="94" t="s">
        <v>364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IMA_TRF19_TRF19_Q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109</v>
      </c>
    </row>
    <row r="17" spans="1:14" x14ac:dyDescent="0.25">
      <c r="A17" s="6" t="s">
        <v>190</v>
      </c>
      <c r="B17" s="6" t="str">
        <f>Informações!$C$3</f>
        <v>IMA</v>
      </c>
      <c r="C17" s="94" t="s">
        <v>364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IMA_TRF19_TRF19_IACC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110</v>
      </c>
    </row>
    <row r="18" spans="1:14" x14ac:dyDescent="0.25">
      <c r="A18" s="6" t="s">
        <v>190</v>
      </c>
      <c r="B18" s="6" t="str">
        <f>Informações!$C$3</f>
        <v>IMA</v>
      </c>
      <c r="C18" s="94" t="s">
        <v>364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IMA_TRF19_TRF19_IBCC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111</v>
      </c>
    </row>
    <row r="19" spans="1:14" x14ac:dyDescent="0.25">
      <c r="A19" s="6" t="s">
        <v>190</v>
      </c>
      <c r="B19" s="6" t="str">
        <f>Informações!$C$3</f>
        <v>IMA</v>
      </c>
      <c r="C19" s="94" t="s">
        <v>364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IMA_TRF19_TRF19_ICCC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112</v>
      </c>
    </row>
    <row r="20" spans="1:14" x14ac:dyDescent="0.25">
      <c r="A20" s="6" t="s">
        <v>190</v>
      </c>
      <c r="B20" s="6" t="str">
        <f>Informações!$C$3</f>
        <v>IMA</v>
      </c>
      <c r="C20" s="94" t="s">
        <v>364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IMA_TRF19_TRF19_INCC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113</v>
      </c>
    </row>
    <row r="21" spans="1:14" x14ac:dyDescent="0.25">
      <c r="A21" s="6" t="s">
        <v>190</v>
      </c>
      <c r="B21" s="6" t="str">
        <f>Informações!$C$3</f>
        <v>IMA</v>
      </c>
      <c r="C21" s="94" t="s">
        <v>364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IMA_TRF19_24-1_DJF1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13'!N30, FIND(";",'AL 13'!N30)-1)) + 1 &amp; ";" &amp; VALUE(LEFT('AL 13'!N30, FIND(";",'AL 13'!N30)-1)) + 1</f>
        <v>78;78</v>
      </c>
    </row>
    <row r="22" spans="1:14" x14ac:dyDescent="0.25">
      <c r="A22" s="6" t="s">
        <v>190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IMA_TRF19_24-1_2649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79;79</v>
      </c>
    </row>
    <row r="23" spans="1:14" x14ac:dyDescent="0.25">
      <c r="A23" s="6" t="s">
        <v>190</v>
      </c>
      <c r="B23" s="6" t="str">
        <f>Informações!$C$3</f>
        <v>IMA</v>
      </c>
      <c r="C23" s="94" t="s">
        <v>364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IMA_TRF19_24-1_79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80;80</v>
      </c>
    </row>
    <row r="24" spans="1:14" x14ac:dyDescent="0.25">
      <c r="A24" s="6" t="s">
        <v>190</v>
      </c>
      <c r="B24" s="6" t="str">
        <f>Informações!$C$3</f>
        <v>IMA</v>
      </c>
      <c r="C24" s="94" t="s">
        <v>364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IMA_TRF19_24-1_51N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81;81</v>
      </c>
    </row>
    <row r="25" spans="1:14" x14ac:dyDescent="0.25">
      <c r="A25" s="6" t="s">
        <v>190</v>
      </c>
      <c r="B25" s="6" t="str">
        <f>Informações!$C$3</f>
        <v>IMA</v>
      </c>
      <c r="C25" s="94" t="s">
        <v>364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IMA_TRF19_24-1_81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82;82</v>
      </c>
    </row>
    <row r="26" spans="1:14" x14ac:dyDescent="0.25">
      <c r="A26" s="6" t="s">
        <v>190</v>
      </c>
      <c r="B26" s="6" t="str">
        <f>Informações!$C$3</f>
        <v>IMA</v>
      </c>
      <c r="C26" s="94" t="s">
        <v>364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IMA_TRF19_24-1_81U1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83;83</v>
      </c>
    </row>
    <row r="27" spans="1:14" x14ac:dyDescent="0.25">
      <c r="A27" s="6" t="s">
        <v>190</v>
      </c>
      <c r="B27" s="6" t="str">
        <f>Informações!$C$3</f>
        <v>IMA</v>
      </c>
      <c r="C27" s="94" t="s">
        <v>364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IMA_TRF19_24-1_81U2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84;84</v>
      </c>
    </row>
    <row r="28" spans="1:14" x14ac:dyDescent="0.25">
      <c r="A28" s="6" t="s">
        <v>190</v>
      </c>
      <c r="B28" s="6" t="str">
        <f>Informações!$C$3</f>
        <v>IMA</v>
      </c>
      <c r="C28" s="94" t="s">
        <v>364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IMA_TRF19_24-1_81U3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85;85</v>
      </c>
    </row>
    <row r="29" spans="1:14" x14ac:dyDescent="0.25">
      <c r="A29" s="6" t="s">
        <v>190</v>
      </c>
      <c r="B29" s="6" t="str">
        <f>Informações!$C$3</f>
        <v>IMA</v>
      </c>
      <c r="C29" s="94" t="s">
        <v>364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IMA_TRF19_24-1_81U4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86;86</v>
      </c>
    </row>
    <row r="30" spans="1:14" x14ac:dyDescent="0.25">
      <c r="A30" s="6" t="s">
        <v>190</v>
      </c>
      <c r="B30" s="6" t="str">
        <f>Informações!$C$3</f>
        <v>IMA</v>
      </c>
      <c r="C30" s="94" t="s">
        <v>364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IMA_TRF19_24-1_81U5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87;87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364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IMA_TRF19_24-1_SGF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13'!N31+1</f>
        <v>1068</v>
      </c>
    </row>
    <row r="32" spans="1:14" x14ac:dyDescent="0.25">
      <c r="A32" s="6" t="s">
        <v>190</v>
      </c>
      <c r="B32" s="6" t="str">
        <f>Informações!$C$3</f>
        <v>IMA</v>
      </c>
      <c r="C32" s="94" t="s">
        <v>364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IMA_TRF19_24-1_DJF1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13'!N32, FIND(";",'AL 13'!N32)-1)) + 2 &amp; ";" &amp; VALUE(LEFT('AL 13'!N32, FIND(";",'AL 13'!N32)-1)) + 3</f>
        <v>1150;1151</v>
      </c>
    </row>
    <row r="33" spans="1:14" x14ac:dyDescent="0.25">
      <c r="A33" s="6" t="s">
        <v>190</v>
      </c>
      <c r="B33" s="6" t="str">
        <f>Informações!$C$3</f>
        <v>IMA</v>
      </c>
      <c r="C33" s="94" t="s">
        <v>364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IMA_TRF19_24-1_79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507</v>
      </c>
    </row>
    <row r="34" spans="1:14" x14ac:dyDescent="0.25">
      <c r="A34" s="6" t="s">
        <v>190</v>
      </c>
      <c r="B34" s="6" t="str">
        <f>Informações!$C$3</f>
        <v>IMA</v>
      </c>
      <c r="C34" s="94" t="s">
        <v>364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IMA_TRF19_24-1_51N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508</v>
      </c>
    </row>
    <row r="35" spans="1:14" x14ac:dyDescent="0.25">
      <c r="A35" s="6" t="s">
        <v>190</v>
      </c>
      <c r="B35" s="6" t="str">
        <f>Informações!$C$3</f>
        <v>IMA</v>
      </c>
      <c r="C35" s="94" t="s">
        <v>364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IMA_TRF19_24-1_81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509</v>
      </c>
    </row>
    <row r="36" spans="1:14" x14ac:dyDescent="0.25">
      <c r="A36" s="6" t="s">
        <v>190</v>
      </c>
      <c r="B36" s="6" t="str">
        <f>Informações!$C$3</f>
        <v>IMA</v>
      </c>
      <c r="C36" s="94" t="s">
        <v>364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IMA_TRF19_24-1_81U1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510</v>
      </c>
    </row>
    <row r="37" spans="1:14" x14ac:dyDescent="0.25">
      <c r="A37" s="6" t="s">
        <v>190</v>
      </c>
      <c r="B37" s="6" t="str">
        <f>Informações!$C$3</f>
        <v>IMA</v>
      </c>
      <c r="C37" s="94" t="s">
        <v>364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IMA_TRF19_24-1_81U2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511</v>
      </c>
    </row>
    <row r="38" spans="1:14" x14ac:dyDescent="0.25">
      <c r="A38" s="6" t="s">
        <v>190</v>
      </c>
      <c r="B38" s="6" t="str">
        <f>Informações!$C$3</f>
        <v>IMA</v>
      </c>
      <c r="C38" s="94" t="s">
        <v>364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IMA_TRF19_24-1_81U3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512</v>
      </c>
    </row>
    <row r="39" spans="1:14" x14ac:dyDescent="0.25">
      <c r="A39" s="6" t="s">
        <v>190</v>
      </c>
      <c r="B39" s="6" t="str">
        <f>Informações!$C$3</f>
        <v>IMA</v>
      </c>
      <c r="C39" s="94" t="s">
        <v>364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IMA_TRF19_24-1_81U4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513</v>
      </c>
    </row>
    <row r="40" spans="1:14" x14ac:dyDescent="0.25">
      <c r="A40" s="6" t="s">
        <v>190</v>
      </c>
      <c r="B40" s="6" t="str">
        <f>Informações!$C$3</f>
        <v>IMA</v>
      </c>
      <c r="C40" s="94" t="s">
        <v>364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IMA_TRF19_24-1_81U5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514</v>
      </c>
    </row>
    <row r="41" spans="1:14" x14ac:dyDescent="0.25">
      <c r="A41" s="6" t="s">
        <v>190</v>
      </c>
      <c r="B41" s="6" t="str">
        <f>Informações!$C$3</f>
        <v>IMA</v>
      </c>
      <c r="C41" s="94" t="s">
        <v>364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IMA_TRF19_24-1_2649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515</v>
      </c>
    </row>
    <row r="42" spans="1:14" x14ac:dyDescent="0.25">
      <c r="A42" s="6" t="s">
        <v>190</v>
      </c>
      <c r="B42" s="6" t="str">
        <f>Informações!$C$3</f>
        <v>IMA</v>
      </c>
      <c r="C42" s="94" t="s">
        <v>364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IMA_TRF19_24-1_FA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516</v>
      </c>
    </row>
    <row r="43" spans="1:14" x14ac:dyDescent="0.25">
      <c r="A43" s="6" t="s">
        <v>190</v>
      </c>
      <c r="B43" s="6" t="str">
        <f>Informações!$C$3</f>
        <v>IMA</v>
      </c>
      <c r="C43" s="94" t="s">
        <v>364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IMA_TRF19_24-1_FB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517</v>
      </c>
    </row>
    <row r="44" spans="1:14" x14ac:dyDescent="0.25">
      <c r="A44" s="6" t="s">
        <v>190</v>
      </c>
      <c r="B44" s="6" t="str">
        <f>Informações!$C$3</f>
        <v>IMA</v>
      </c>
      <c r="C44" s="94" t="s">
        <v>364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IMA_TRF19_24-1_FC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518</v>
      </c>
    </row>
    <row r="45" spans="1:14" x14ac:dyDescent="0.25">
      <c r="A45" s="6" t="s">
        <v>190</v>
      </c>
      <c r="B45" s="6" t="str">
        <f>Informações!$C$3</f>
        <v>IMA</v>
      </c>
      <c r="C45" s="94" t="s">
        <v>364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IMA_TRF19_24-1_N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519</v>
      </c>
    </row>
    <row r="46" spans="1:14" x14ac:dyDescent="0.25">
      <c r="A46" s="6" t="s">
        <v>190</v>
      </c>
      <c r="B46" s="6" t="str">
        <f>Informações!$C$3</f>
        <v>IMA</v>
      </c>
      <c r="C46" s="94" t="s">
        <v>364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IMA_TRF19_24-1_81SU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520</v>
      </c>
    </row>
    <row r="47" spans="1:14" x14ac:dyDescent="0.25">
      <c r="A47" s="6" t="s">
        <v>190</v>
      </c>
      <c r="B47" s="6" t="str">
        <f>Informações!$C$3</f>
        <v>IMA</v>
      </c>
      <c r="C47" s="94" t="s">
        <v>364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IMA_TRF19_24-1_81E1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521</v>
      </c>
    </row>
    <row r="48" spans="1:14" x14ac:dyDescent="0.25">
      <c r="A48" s="6" t="s">
        <v>190</v>
      </c>
      <c r="B48" s="6" t="str">
        <f>Informações!$C$3</f>
        <v>IMA</v>
      </c>
      <c r="C48" s="94" t="s">
        <v>364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IMA_TRF19_24-1_81E2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522</v>
      </c>
    </row>
    <row r="49" spans="1:14" x14ac:dyDescent="0.25">
      <c r="A49" s="6" t="s">
        <v>190</v>
      </c>
      <c r="B49" s="6" t="str">
        <f>Informações!$C$3</f>
        <v>IMA</v>
      </c>
      <c r="C49" s="94" t="s">
        <v>364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IMA_TRF19_24-1_81E3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523</v>
      </c>
    </row>
    <row r="50" spans="1:14" x14ac:dyDescent="0.25">
      <c r="A50" s="6" t="s">
        <v>190</v>
      </c>
      <c r="B50" s="6" t="str">
        <f>Informações!$C$3</f>
        <v>IMA</v>
      </c>
      <c r="C50" s="94" t="s">
        <v>364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IMA_TRF19_24-1_81E4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524</v>
      </c>
    </row>
    <row r="51" spans="1:14" x14ac:dyDescent="0.25">
      <c r="A51" s="6" t="s">
        <v>190</v>
      </c>
      <c r="B51" s="6" t="str">
        <f>Informações!$C$3</f>
        <v>IMA</v>
      </c>
      <c r="C51" s="94" t="s">
        <v>364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IMA_TRF19_24-1_81E5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525</v>
      </c>
    </row>
    <row r="52" spans="1:14" x14ac:dyDescent="0.25">
      <c r="A52" s="6" t="s">
        <v>190</v>
      </c>
      <c r="B52" s="6" t="str">
        <f>Informações!$C$3</f>
        <v>IMA</v>
      </c>
      <c r="C52" s="94" t="s">
        <v>364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IMA_TRF19_24-1_43LR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526</v>
      </c>
    </row>
    <row r="53" spans="1:14" x14ac:dyDescent="0.25">
      <c r="A53" s="6" t="s">
        <v>190</v>
      </c>
      <c r="B53" s="6" t="str">
        <f>Informações!$C$3</f>
        <v>IMA</v>
      </c>
      <c r="C53" s="94" t="s">
        <v>364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IMA_TRF19_24-1_43TC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527</v>
      </c>
    </row>
    <row r="54" spans="1:14" x14ac:dyDescent="0.25">
      <c r="A54" s="6" t="s">
        <v>190</v>
      </c>
      <c r="B54" s="6" t="str">
        <f>Informações!$C$3</f>
        <v>IMA</v>
      </c>
      <c r="C54" s="94" t="s">
        <v>364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IMA_TRF19_24-1_50F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528</v>
      </c>
    </row>
    <row r="55" spans="1:14" x14ac:dyDescent="0.25">
      <c r="A55" s="6" t="s">
        <v>190</v>
      </c>
      <c r="B55" s="6" t="str">
        <f>Informações!$C$3</f>
        <v>IMA</v>
      </c>
      <c r="C55" s="94" t="s">
        <v>364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IMA_TRF19_24-1_50N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529</v>
      </c>
    </row>
    <row r="56" spans="1:14" x14ac:dyDescent="0.25">
      <c r="A56" s="6" t="s">
        <v>190</v>
      </c>
      <c r="B56" s="6" t="str">
        <f>Informações!$C$3</f>
        <v>IMA</v>
      </c>
      <c r="C56" s="94" t="s">
        <v>364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IMA_TRF19_24-1_51F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530</v>
      </c>
    </row>
    <row r="57" spans="1:14" x14ac:dyDescent="0.25">
      <c r="A57" s="6" t="s">
        <v>190</v>
      </c>
      <c r="B57" s="6" t="str">
        <f>Informações!$C$3</f>
        <v>IMA</v>
      </c>
      <c r="C57" s="94" t="s">
        <v>364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IMA_TRF19_24-1_51FN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531</v>
      </c>
    </row>
    <row r="58" spans="1:14" x14ac:dyDescent="0.25">
      <c r="A58" s="6" t="s">
        <v>190</v>
      </c>
      <c r="B58" s="6" t="str">
        <f>Informações!$C$3</f>
        <v>IMA</v>
      </c>
      <c r="C58" s="94" t="s">
        <v>364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IMA_TRF19_24-1_79OK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532</v>
      </c>
    </row>
    <row r="59" spans="1:14" x14ac:dyDescent="0.25">
      <c r="A59" s="6" t="s">
        <v>190</v>
      </c>
      <c r="B59" s="6" t="str">
        <f>Informações!$C$3</f>
        <v>IMA</v>
      </c>
      <c r="C59" s="94" t="s">
        <v>364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IMA_TRF19_24-1_79RE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533</v>
      </c>
    </row>
    <row r="60" spans="1:14" x14ac:dyDescent="0.25">
      <c r="A60" s="6" t="s">
        <v>190</v>
      </c>
      <c r="B60" s="6" t="str">
        <f>Informações!$C$3</f>
        <v>IMA</v>
      </c>
      <c r="C60" s="94" t="s">
        <v>364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IMA_TRF19_24-1_79_1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534</v>
      </c>
    </row>
    <row r="61" spans="1:14" x14ac:dyDescent="0.25">
      <c r="A61" s="6" t="s">
        <v>190</v>
      </c>
      <c r="B61" s="6" t="str">
        <f>Informações!$C$3</f>
        <v>IMA</v>
      </c>
      <c r="C61" s="94" t="s">
        <v>364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IMA_TRF19_24-1_62BF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535</v>
      </c>
    </row>
    <row r="62" spans="1:14" x14ac:dyDescent="0.25">
      <c r="A62" s="6" t="s">
        <v>190</v>
      </c>
      <c r="B62" s="6" t="str">
        <f>Informações!$C$3</f>
        <v>IMA</v>
      </c>
      <c r="C62" s="94" t="s">
        <v>364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IMA_TRF19_24-1_DR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536</v>
      </c>
    </row>
    <row r="63" spans="1:14" x14ac:dyDescent="0.25">
      <c r="A63" s="6" t="s">
        <v>190</v>
      </c>
      <c r="B63" s="6" t="str">
        <f>Informações!$C$3</f>
        <v>IMA</v>
      </c>
      <c r="C63" s="94" t="s">
        <v>364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IMA_TRF19_24-1_BBAB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537</v>
      </c>
    </row>
    <row r="64" spans="1:14" x14ac:dyDescent="0.25">
      <c r="A64" s="6" t="s">
        <v>190</v>
      </c>
      <c r="B64" s="6" t="str">
        <f>Informações!$C$3</f>
        <v>IMA</v>
      </c>
      <c r="C64" s="94" t="s">
        <v>364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IMA_TRF19_24-1_BBFC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538</v>
      </c>
    </row>
    <row r="65" spans="1:14" x14ac:dyDescent="0.25">
      <c r="A65" s="6" t="s">
        <v>190</v>
      </c>
      <c r="B65" s="6" t="str">
        <f>Informações!$C$3</f>
        <v>IMA</v>
      </c>
      <c r="C65" s="94" t="s">
        <v>364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IMA_TRF19_24-1_SGFT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539</v>
      </c>
    </row>
    <row r="66" spans="1:14" x14ac:dyDescent="0.25">
      <c r="A66" s="6" t="s">
        <v>190</v>
      </c>
      <c r="B66" s="6" t="str">
        <f>Informações!$C$3</f>
        <v>IMA</v>
      </c>
      <c r="C66" s="94" t="s">
        <v>364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IMA_TRF19_24-1_MOLA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540</v>
      </c>
    </row>
    <row r="67" spans="1:14" x14ac:dyDescent="0.25">
      <c r="A67" s="6" t="s">
        <v>190</v>
      </c>
      <c r="B67" s="6" t="str">
        <f>Informações!$C$3</f>
        <v>IMA</v>
      </c>
      <c r="C67" s="94" t="s">
        <v>364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IMA_TRF19_24-1_FUTP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541</v>
      </c>
    </row>
    <row r="68" spans="1:14" x14ac:dyDescent="0.25">
      <c r="A68" s="6" t="s">
        <v>190</v>
      </c>
      <c r="B68" s="6" t="str">
        <f>Informações!$C$3</f>
        <v>IMA</v>
      </c>
      <c r="C68" s="94" t="s">
        <v>364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IMA_TRF19_24-1_FCOM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542</v>
      </c>
    </row>
    <row r="69" spans="1:14" x14ac:dyDescent="0.25">
      <c r="A69" s="6" t="s">
        <v>190</v>
      </c>
      <c r="B69" s="6" t="str">
        <f>Informações!$C$3</f>
        <v>IMA</v>
      </c>
      <c r="C69" s="94" t="s">
        <v>364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IMA_TRF19_24-1_CCMO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543</v>
      </c>
    </row>
    <row r="70" spans="1:14" x14ac:dyDescent="0.25">
      <c r="A70" s="6" t="s">
        <v>190</v>
      </c>
      <c r="B70" s="6" t="str">
        <f>Informações!$C$3</f>
        <v>IMA</v>
      </c>
      <c r="C70" s="94" t="s">
        <v>364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IMA_TRF19_24-1_CCCO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544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364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IMA_TRF19_24-1_79LO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13'!N74+1</f>
        <v>1029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364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IMA_TRF19_24-1_SGF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1030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364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IMA_TRF19_24-1_TEXT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1031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364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IMA_TRF19_24-1_FSIH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1032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94" t="s">
        <v>364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IMA_TRF19_24-1_FGOO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545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phoneticPr fontId="5" type="noConversion"/>
  <conditionalFormatting sqref="E8:E75">
    <cfRule type="cellIs" dxfId="92" priority="1" operator="equal">
      <formula>"D"</formula>
    </cfRule>
    <cfRule type="cellIs" dxfId="91" priority="2" operator="equal">
      <formula>"C"</formula>
    </cfRule>
    <cfRule type="cellIs" dxfId="90" priority="3" operator="equal">
      <formula>"A"</formula>
    </cfRule>
  </conditionalFormatting>
  <conditionalFormatting sqref="E77:E1048576">
    <cfRule type="cellIs" dxfId="89" priority="64" operator="equal">
      <formula>"D"</formula>
    </cfRule>
    <cfRule type="cellIs" dxfId="88" priority="65" operator="equal">
      <formula>"C"</formula>
    </cfRule>
    <cfRule type="cellIs" dxfId="87" priority="6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9D0B853-022F-46AF-800E-040145A93B0E}">
          <x14:formula1>
            <xm:f>Lista!$D$2:$D$4</xm:f>
          </x14:formula1>
          <xm:sqref>M78 M10:M74</xm:sqref>
        </x14:dataValidation>
        <x14:dataValidation type="list" allowBlank="1" showInputMessage="1" showErrorMessage="1" xr:uid="{8594B29B-ED39-4843-A0BE-CCB038A4BEF5}">
          <x14:formula1>
            <xm:f>Lista!$E$2:$E$4</xm:f>
          </x14:formula1>
          <xm:sqref>I78 I10:I74</xm:sqref>
        </x14:dataValidation>
        <x14:dataValidation type="list" allowBlank="1" showInputMessage="1" showErrorMessage="1" xr:uid="{E57E0D39-93B0-4FD4-B6ED-DAB7B4F97E2E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9940CADE-419E-4591-9621-433F3403D492}">
          <x14:formula1>
            <xm:f>Lista!$B$2:$B$3</xm:f>
          </x14:formula1>
          <xm:sqref>A78 A10:A74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0246-4965-44F9-860E-9A4ADE723A1E}">
  <sheetPr>
    <tabColor theme="6"/>
  </sheetPr>
  <dimension ref="A1:N76"/>
  <sheetViews>
    <sheetView topLeftCell="E8" zoomScaleNormal="100" workbookViewId="0">
      <selection activeCell="H22" sqref="H22:H2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customWidth="1"/>
    <col min="10" max="12" width="13.28515625" style="1" customWidth="1"/>
    <col min="13" max="13" width="14" style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339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379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378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287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10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IMA_IB20_IB20_IA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'TRANSF 24-1'!N20+1</f>
        <v>114</v>
      </c>
    </row>
    <row r="11" spans="1:14" x14ac:dyDescent="0.25">
      <c r="A11" s="6" t="s">
        <v>190</v>
      </c>
      <c r="B11" s="6" t="str">
        <f>Informações!$C$3</f>
        <v>IMA</v>
      </c>
      <c r="C11" s="6" t="s">
        <v>10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IMA_IB20_IB20_IB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115</v>
      </c>
    </row>
    <row r="12" spans="1:14" x14ac:dyDescent="0.25">
      <c r="A12" s="6" t="s">
        <v>190</v>
      </c>
      <c r="B12" s="6" t="str">
        <f>Informações!$C$3</f>
        <v>IMA</v>
      </c>
      <c r="C12" s="6" t="s">
        <v>10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IMA_IB20_IB20_IC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116</v>
      </c>
    </row>
    <row r="13" spans="1:14" x14ac:dyDescent="0.25">
      <c r="A13" s="6" t="s">
        <v>190</v>
      </c>
      <c r="B13" s="6" t="str">
        <f>Informações!$C$3</f>
        <v>IMA</v>
      </c>
      <c r="C13" s="6" t="s">
        <v>10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IMA_IB20_IB20_IN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117</v>
      </c>
    </row>
    <row r="14" spans="1:14" x14ac:dyDescent="0.25">
      <c r="A14" s="6" t="s">
        <v>190</v>
      </c>
      <c r="B14" s="6" t="str">
        <f>Informações!$C$3</f>
        <v>IMA</v>
      </c>
      <c r="C14" s="6" t="s">
        <v>10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IMA_IB20_IB20_V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118</v>
      </c>
    </row>
    <row r="15" spans="1:14" x14ac:dyDescent="0.25">
      <c r="A15" s="6" t="s">
        <v>190</v>
      </c>
      <c r="B15" s="6" t="str">
        <f>Informações!$C$3</f>
        <v>IMA</v>
      </c>
      <c r="C15" s="6" t="s">
        <v>10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IMA_IB20_IB20_P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119</v>
      </c>
    </row>
    <row r="16" spans="1:14" x14ac:dyDescent="0.25">
      <c r="A16" s="6" t="s">
        <v>190</v>
      </c>
      <c r="B16" s="6" t="str">
        <f>Informações!$C$3</f>
        <v>IMA</v>
      </c>
      <c r="C16" s="6" t="s">
        <v>10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IMA_IB20_IB20_Q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120</v>
      </c>
    </row>
    <row r="17" spans="1:14" x14ac:dyDescent="0.25">
      <c r="A17" s="6" t="s">
        <v>190</v>
      </c>
      <c r="B17" s="6" t="str">
        <f>Informações!$C$3</f>
        <v>IMA</v>
      </c>
      <c r="C17" s="6" t="s">
        <v>10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IMA_IB20_IB20_IACC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121</v>
      </c>
    </row>
    <row r="18" spans="1:14" x14ac:dyDescent="0.25">
      <c r="A18" s="6" t="s">
        <v>190</v>
      </c>
      <c r="B18" s="6" t="str">
        <f>Informações!$C$3</f>
        <v>IMA</v>
      </c>
      <c r="C18" s="6" t="s">
        <v>10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IMA_IB20_IB20_IBCC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122</v>
      </c>
    </row>
    <row r="19" spans="1:14" x14ac:dyDescent="0.25">
      <c r="A19" s="6" t="s">
        <v>190</v>
      </c>
      <c r="B19" s="6" t="str">
        <f>Informações!$C$3</f>
        <v>IMA</v>
      </c>
      <c r="C19" s="6" t="s">
        <v>10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IMA_IB20_IB20_ICCC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123</v>
      </c>
    </row>
    <row r="20" spans="1:14" x14ac:dyDescent="0.25">
      <c r="A20" s="6" t="s">
        <v>190</v>
      </c>
      <c r="B20" s="6" t="str">
        <f>Informações!$C$3</f>
        <v>IMA</v>
      </c>
      <c r="C20" s="6" t="s">
        <v>10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IMA_IB20_IB20_INCC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124</v>
      </c>
    </row>
    <row r="21" spans="1:14" x14ac:dyDescent="0.25">
      <c r="A21" s="6" t="s">
        <v>190</v>
      </c>
      <c r="B21" s="6" t="str">
        <f>Informações!$C$3</f>
        <v>IMA</v>
      </c>
      <c r="C21" s="6" t="s">
        <v>10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IMA_IB20_52-20_DJF1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VALUE(LEFT('TRANSF 24-1'!N30, FIND(";",'TRANSF 24-1'!N30)-1)) + 1 &amp; ";" &amp; VALUE(LEFT('TRANSF 24-1'!N30, FIND(";",'TRANSF 24-1'!N30)-1)) + 1</f>
        <v>88;88</v>
      </c>
    </row>
    <row r="22" spans="1:14" x14ac:dyDescent="0.25">
      <c r="A22" s="93" t="s">
        <v>191</v>
      </c>
      <c r="B22" s="6" t="str">
        <f>Informações!$C$3</f>
        <v>IMA</v>
      </c>
      <c r="C22" s="6" t="s">
        <v>10</v>
      </c>
      <c r="D22" s="6" t="s">
        <v>30</v>
      </c>
      <c r="E22" s="2" t="s">
        <v>24</v>
      </c>
      <c r="F22" s="93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IMA_IB20_52-20_2649</v>
      </c>
      <c r="I22" s="6"/>
      <c r="J22" s="6"/>
      <c r="K22" s="6"/>
      <c r="L22" s="6" t="s">
        <v>188</v>
      </c>
      <c r="M22" s="6"/>
      <c r="N22" s="93" t="str">
        <f t="shared" ref="N22" si="1">VALUE(LEFT(N21, FIND(";",N21)-1)) + 1 &amp; ";" &amp; VALUE(LEFT(N21, FIND(";",N21)-1)) + 1</f>
        <v>89;89</v>
      </c>
    </row>
    <row r="23" spans="1:14" x14ac:dyDescent="0.25">
      <c r="A23" s="6" t="s">
        <v>190</v>
      </c>
      <c r="B23" s="6" t="str">
        <f>Informações!$C$3</f>
        <v>IMA</v>
      </c>
      <c r="C23" s="6" t="s">
        <v>10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IMA_IB20_52-20_79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90;90</v>
      </c>
    </row>
    <row r="24" spans="1:14" x14ac:dyDescent="0.25">
      <c r="A24" s="6" t="s">
        <v>190</v>
      </c>
      <c r="B24" s="6" t="str">
        <f>Informações!$C$3</f>
        <v>IMA</v>
      </c>
      <c r="C24" s="6" t="s">
        <v>10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IMA_IB20_52-20_51N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91;91</v>
      </c>
    </row>
    <row r="25" spans="1:14" x14ac:dyDescent="0.25">
      <c r="A25" s="6" t="s">
        <v>190</v>
      </c>
      <c r="B25" s="6" t="str">
        <f>Informações!$C$3</f>
        <v>IMA</v>
      </c>
      <c r="C25" s="6" t="s">
        <v>10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IMA_IB20_52-20_81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92;92</v>
      </c>
    </row>
    <row r="26" spans="1:14" x14ac:dyDescent="0.25">
      <c r="A26" s="6" t="s">
        <v>190</v>
      </c>
      <c r="B26" s="6" t="str">
        <f>Informações!$C$3</f>
        <v>IMA</v>
      </c>
      <c r="C26" s="6" t="s">
        <v>10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IMA_IB20_52-20_81U1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93;93</v>
      </c>
    </row>
    <row r="27" spans="1:14" x14ac:dyDescent="0.25">
      <c r="A27" s="6" t="s">
        <v>190</v>
      </c>
      <c r="B27" s="6" t="str">
        <f>Informações!$C$3</f>
        <v>IMA</v>
      </c>
      <c r="C27" s="6" t="s">
        <v>10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IMA_IB20_52-20_81U2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94;94</v>
      </c>
    </row>
    <row r="28" spans="1:14" x14ac:dyDescent="0.25">
      <c r="A28" s="6" t="s">
        <v>190</v>
      </c>
      <c r="B28" s="6" t="str">
        <f>Informações!$C$3</f>
        <v>IMA</v>
      </c>
      <c r="C28" s="6" t="s">
        <v>10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IMA_IB20_52-20_81U3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95;95</v>
      </c>
    </row>
    <row r="29" spans="1:14" x14ac:dyDescent="0.25">
      <c r="A29" s="6" t="s">
        <v>190</v>
      </c>
      <c r="B29" s="6" t="str">
        <f>Informações!$C$3</f>
        <v>IMA</v>
      </c>
      <c r="C29" s="6" t="s">
        <v>10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IMA_IB20_52-20_81U4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96;96</v>
      </c>
    </row>
    <row r="30" spans="1:14" x14ac:dyDescent="0.25">
      <c r="A30" s="6" t="s">
        <v>190</v>
      </c>
      <c r="B30" s="6" t="str">
        <f>Informações!$C$3</f>
        <v>IMA</v>
      </c>
      <c r="C30" s="6" t="s">
        <v>10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IMA_IB20_52-20_81U5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97;97</v>
      </c>
    </row>
    <row r="31" spans="1:14" x14ac:dyDescent="0.25">
      <c r="A31" s="6" t="s">
        <v>190</v>
      </c>
      <c r="B31" s="6" t="str">
        <f>Informações!$C$3</f>
        <v>IMA</v>
      </c>
      <c r="C31" s="6" t="s">
        <v>10</v>
      </c>
      <c r="D31" s="6" t="s">
        <v>30</v>
      </c>
      <c r="E31" s="2" t="s">
        <v>25</v>
      </c>
      <c r="F31" s="104" t="str">
        <f>VLOOKUP(G31,[1]Discrete!$A:$B,2,FALSE)</f>
        <v>DISJUNTOR NF</v>
      </c>
      <c r="G31" s="6" t="s">
        <v>34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IMA_IB20_52-20_DJF1</v>
      </c>
      <c r="I31" s="6"/>
      <c r="J31" s="104" t="s">
        <v>284</v>
      </c>
      <c r="K31" s="104" t="s">
        <v>286</v>
      </c>
      <c r="L31" s="6" t="s">
        <v>188</v>
      </c>
      <c r="M31" s="6" t="s">
        <v>188</v>
      </c>
      <c r="N31" s="104" t="str">
        <f>VALUE(LEFT('TRANSF 24-1'!N32, FIND(";",'TRANSF 24-1'!N32)-1)) + 2 &amp; ";" &amp; VALUE(LEFT('TRANSF 24-1'!N32, FIND(";",'TRANSF 24-1'!N32)-1)) + 3</f>
        <v>1152;1153</v>
      </c>
    </row>
    <row r="32" spans="1:14" x14ac:dyDescent="0.25">
      <c r="A32" s="6" t="s">
        <v>190</v>
      </c>
      <c r="B32" s="6" t="str">
        <f>Informações!$C$3</f>
        <v>IMA</v>
      </c>
      <c r="C32" s="6" t="s">
        <v>10</v>
      </c>
      <c r="D32" s="6" t="s">
        <v>30</v>
      </c>
      <c r="E32" s="2" t="s">
        <v>25</v>
      </c>
      <c r="F32" s="6" t="e">
        <f>VLOOKUP(G32,[1]Discrete!$A:$B,2,FALSE)</f>
        <v>#N/A</v>
      </c>
      <c r="G32" s="6">
        <v>79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IMA_IB20_52-20_79</v>
      </c>
      <c r="I32" s="6"/>
      <c r="J32" s="6" t="s">
        <v>183</v>
      </c>
      <c r="K32" s="6" t="s">
        <v>184</v>
      </c>
      <c r="L32" s="6" t="s">
        <v>188</v>
      </c>
      <c r="M32" s="6" t="s">
        <v>188</v>
      </c>
      <c r="N32" s="6">
        <v>547</v>
      </c>
    </row>
    <row r="33" spans="1:14" x14ac:dyDescent="0.25">
      <c r="A33" s="6" t="s">
        <v>190</v>
      </c>
      <c r="B33" s="6" t="str">
        <f>Informações!$C$3</f>
        <v>IMA</v>
      </c>
      <c r="C33" s="6" t="s">
        <v>10</v>
      </c>
      <c r="D33" s="6" t="s">
        <v>30</v>
      </c>
      <c r="E33" s="2" t="s">
        <v>25</v>
      </c>
      <c r="F33" s="6" t="str">
        <f>VLOOKUP(G33,[1]Discrete!$A:$B,2,FALSE)</f>
        <v>51 - FUNCAO SOBRECORRENTE TEMPORIZADA NEUTRO</v>
      </c>
      <c r="G33" s="6" t="s">
        <v>35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IMA_IB20_52-20_51N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f t="shared" ref="N33:N69" si="3">N32+1</f>
        <v>548</v>
      </c>
    </row>
    <row r="34" spans="1:14" x14ac:dyDescent="0.25">
      <c r="A34" s="6" t="s">
        <v>190</v>
      </c>
      <c r="B34" s="6" t="str">
        <f>Informações!$C$3</f>
        <v>IMA</v>
      </c>
      <c r="C34" s="6" t="s">
        <v>10</v>
      </c>
      <c r="D34" s="6" t="s">
        <v>30</v>
      </c>
      <c r="E34" s="2" t="s">
        <v>25</v>
      </c>
      <c r="F34" s="6" t="e">
        <f>VLOOKUP(G34,[1]Discrete!$A:$B,2,FALSE)</f>
        <v>#N/A</v>
      </c>
      <c r="G34" s="6">
        <v>81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IMA_IB20_52-20_81</v>
      </c>
      <c r="I34" s="6"/>
      <c r="J34" s="94" t="s">
        <v>183</v>
      </c>
      <c r="K34" s="94" t="s">
        <v>184</v>
      </c>
      <c r="L34" s="6" t="s">
        <v>188</v>
      </c>
      <c r="M34" s="6" t="s">
        <v>188</v>
      </c>
      <c r="N34" s="6">
        <f t="shared" si="3"/>
        <v>549</v>
      </c>
    </row>
    <row r="35" spans="1:14" x14ac:dyDescent="0.25">
      <c r="A35" s="6" t="s">
        <v>190</v>
      </c>
      <c r="B35" s="6" t="str">
        <f>Informações!$C$3</f>
        <v>IMA</v>
      </c>
      <c r="C35" s="6" t="s">
        <v>10</v>
      </c>
      <c r="D35" s="6" t="s">
        <v>30</v>
      </c>
      <c r="E35" s="2" t="s">
        <v>25</v>
      </c>
      <c r="F35" s="6" t="str">
        <f>VLOOKUP(G35,[1]Discrete!$A:$B,2,FALSE)</f>
        <v>AJUSTE PARA 81 E1</v>
      </c>
      <c r="G35" s="17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IMA_IB20_52-20_81U1</v>
      </c>
      <c r="I35" s="6"/>
      <c r="J35" s="94" t="s">
        <v>184</v>
      </c>
      <c r="K35" s="94" t="s">
        <v>183</v>
      </c>
      <c r="L35" s="6" t="s">
        <v>188</v>
      </c>
      <c r="M35" s="6" t="s">
        <v>188</v>
      </c>
      <c r="N35" s="6">
        <f t="shared" si="3"/>
        <v>550</v>
      </c>
    </row>
    <row r="36" spans="1:14" x14ac:dyDescent="0.25">
      <c r="A36" s="6" t="s">
        <v>190</v>
      </c>
      <c r="B36" s="6" t="str">
        <f>Informações!$C$3</f>
        <v>IMA</v>
      </c>
      <c r="C36" s="6" t="s">
        <v>10</v>
      </c>
      <c r="D36" s="6" t="s">
        <v>30</v>
      </c>
      <c r="E36" s="2" t="s">
        <v>25</v>
      </c>
      <c r="F36" s="6" t="str">
        <f>VLOOKUP(G36,[1]Discrete!$A:$B,2,FALSE)</f>
        <v>AJUSTE PARA 81 E2</v>
      </c>
      <c r="G36" s="17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IMA_IB20_52-20_81U2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551</v>
      </c>
    </row>
    <row r="37" spans="1:14" x14ac:dyDescent="0.25">
      <c r="A37" s="6" t="s">
        <v>190</v>
      </c>
      <c r="B37" s="6" t="str">
        <f>Informações!$C$3</f>
        <v>IMA</v>
      </c>
      <c r="C37" s="6" t="s">
        <v>10</v>
      </c>
      <c r="D37" s="6" t="s">
        <v>30</v>
      </c>
      <c r="E37" s="2" t="s">
        <v>25</v>
      </c>
      <c r="F37" s="6" t="str">
        <f>VLOOKUP(G37,[1]Discrete!$A:$B,2,FALSE)</f>
        <v>AJUSTE PARA 81 E3</v>
      </c>
      <c r="G37" s="17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IMA_IB20_52-20_81U3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552</v>
      </c>
    </row>
    <row r="38" spans="1:14" x14ac:dyDescent="0.25">
      <c r="A38" s="6" t="s">
        <v>190</v>
      </c>
      <c r="B38" s="6" t="str">
        <f>Informações!$C$3</f>
        <v>IMA</v>
      </c>
      <c r="C38" s="6" t="s">
        <v>10</v>
      </c>
      <c r="D38" s="6" t="s">
        <v>30</v>
      </c>
      <c r="E38" s="2" t="s">
        <v>25</v>
      </c>
      <c r="F38" s="6" t="str">
        <f>VLOOKUP(G38,[1]Discrete!$A:$B,2,FALSE)</f>
        <v>AJUSTE PARA 81 E4</v>
      </c>
      <c r="G38" s="17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IMA_IB20_52-20_81U4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553</v>
      </c>
    </row>
    <row r="39" spans="1:14" x14ac:dyDescent="0.25">
      <c r="A39" s="6" t="s">
        <v>190</v>
      </c>
      <c r="B39" s="6" t="str">
        <f>Informações!$C$3</f>
        <v>IMA</v>
      </c>
      <c r="C39" s="6" t="s">
        <v>10</v>
      </c>
      <c r="D39" s="6" t="s">
        <v>30</v>
      </c>
      <c r="E39" s="2" t="s">
        <v>25</v>
      </c>
      <c r="F39" s="6" t="s">
        <v>296</v>
      </c>
      <c r="G39" s="17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IMA_IB20_52-20_81U5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554</v>
      </c>
    </row>
    <row r="40" spans="1:14" x14ac:dyDescent="0.25">
      <c r="A40" s="93" t="s">
        <v>191</v>
      </c>
      <c r="B40" s="6" t="str">
        <f>Informações!$C$3</f>
        <v>IMA</v>
      </c>
      <c r="C40" s="6" t="s">
        <v>10</v>
      </c>
      <c r="D40" s="6" t="s">
        <v>30</v>
      </c>
      <c r="E40" s="2" t="s">
        <v>25</v>
      </c>
      <c r="F40" s="93" t="str">
        <f>VLOOKUP(G40,[1]Discrete!$A:$B,2,FALSE)</f>
        <v>26 49 - TRIP TEMPERATURA</v>
      </c>
      <c r="G40" s="6" t="s">
        <v>93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IMA_IB20_52-20_TOED</v>
      </c>
      <c r="I40" s="6"/>
      <c r="J40" s="6" t="s">
        <v>182</v>
      </c>
      <c r="K40" s="6" t="s">
        <v>179</v>
      </c>
      <c r="L40" s="6" t="s">
        <v>188</v>
      </c>
      <c r="M40" s="6" t="s">
        <v>188</v>
      </c>
      <c r="N40" s="93">
        <f t="shared" si="3"/>
        <v>555</v>
      </c>
    </row>
    <row r="41" spans="1:14" x14ac:dyDescent="0.25">
      <c r="A41" s="6" t="s">
        <v>190</v>
      </c>
      <c r="B41" s="6" t="str">
        <f>Informações!$C$3</f>
        <v>IMA</v>
      </c>
      <c r="C41" s="6" t="s">
        <v>10</v>
      </c>
      <c r="D41" s="6" t="s">
        <v>30</v>
      </c>
      <c r="E41" s="2" t="s">
        <v>25</v>
      </c>
      <c r="F41" s="6" t="str">
        <f>VLOOKUP(G41,[1]Discrete!$A:$B,2,FALSE)</f>
        <v>FASE A</v>
      </c>
      <c r="G41" s="6" t="s">
        <v>54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IMA_IB20_52-20_FA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3"/>
        <v>556</v>
      </c>
    </row>
    <row r="42" spans="1:14" x14ac:dyDescent="0.25">
      <c r="A42" s="6" t="s">
        <v>190</v>
      </c>
      <c r="B42" s="6" t="str">
        <f>Informações!$C$3</f>
        <v>IMA</v>
      </c>
      <c r="C42" s="6" t="s">
        <v>10</v>
      </c>
      <c r="D42" s="6" t="s">
        <v>30</v>
      </c>
      <c r="E42" s="2" t="s">
        <v>25</v>
      </c>
      <c r="F42" s="6" t="str">
        <f>VLOOKUP(G42,[1]Discrete!$A:$B,2,FALSE)</f>
        <v>FASE B</v>
      </c>
      <c r="G42" s="6" t="s">
        <v>55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IMA_IB20_52-20_FB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557</v>
      </c>
    </row>
    <row r="43" spans="1:14" x14ac:dyDescent="0.25">
      <c r="A43" s="6" t="s">
        <v>190</v>
      </c>
      <c r="B43" s="6" t="str">
        <f>Informações!$C$3</f>
        <v>IMA</v>
      </c>
      <c r="C43" s="6" t="s">
        <v>10</v>
      </c>
      <c r="D43" s="6" t="s">
        <v>30</v>
      </c>
      <c r="E43" s="2" t="s">
        <v>25</v>
      </c>
      <c r="F43" s="6" t="str">
        <f>VLOOKUP(G43,[1]Discrete!$A:$B,2,FALSE)</f>
        <v>FASE C</v>
      </c>
      <c r="G43" s="6" t="s">
        <v>56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IMA_IB20_52-20_FC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558</v>
      </c>
    </row>
    <row r="44" spans="1:14" x14ac:dyDescent="0.25">
      <c r="A44" s="6" t="s">
        <v>190</v>
      </c>
      <c r="B44" s="6" t="str">
        <f>Informações!$C$3</f>
        <v>IMA</v>
      </c>
      <c r="C44" s="6" t="s">
        <v>10</v>
      </c>
      <c r="D44" s="6" t="s">
        <v>30</v>
      </c>
      <c r="E44" s="2" t="s">
        <v>25</v>
      </c>
      <c r="F44" s="6" t="str">
        <f>VLOOKUP(G44,[1]Discrete!$A:$B,2,FALSE)</f>
        <v>NEUTRO</v>
      </c>
      <c r="G44" s="6" t="s">
        <v>420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IMA_IB20_52-20_N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559</v>
      </c>
    </row>
    <row r="45" spans="1:14" x14ac:dyDescent="0.25">
      <c r="A45" s="6" t="s">
        <v>190</v>
      </c>
      <c r="B45" s="6" t="str">
        <f>Informações!$C$3</f>
        <v>IMA</v>
      </c>
      <c r="C45" s="6" t="s">
        <v>10</v>
      </c>
      <c r="D45" s="6" t="s">
        <v>30</v>
      </c>
      <c r="E45" s="2" t="s">
        <v>25</v>
      </c>
      <c r="F45" s="6" t="str">
        <f>VLOOKUP(G45,[1]Discrete!$A:$B,2,FALSE)</f>
        <v>81 - TRIP SUB FREQUENCIA</v>
      </c>
      <c r="G45" s="6" t="s">
        <v>71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IMA_IB20_52-20_81SU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560</v>
      </c>
    </row>
    <row r="46" spans="1:14" x14ac:dyDescent="0.25">
      <c r="A46" s="6" t="s">
        <v>190</v>
      </c>
      <c r="B46" s="6" t="str">
        <f>Informações!$C$3</f>
        <v>IMA</v>
      </c>
      <c r="C46" s="6" t="s">
        <v>10</v>
      </c>
      <c r="D46" s="6" t="s">
        <v>30</v>
      </c>
      <c r="E46" s="2" t="s">
        <v>25</v>
      </c>
      <c r="F46" s="6" t="str">
        <f>VLOOKUP(G46,[1]Discrete!$A:$B,2,FALSE)</f>
        <v>81 - TRIP SUB/SOBRE FREQUENCIA E1</v>
      </c>
      <c r="G46" s="17" t="s">
        <v>353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IMA_IB20_52-20_81E1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561</v>
      </c>
    </row>
    <row r="47" spans="1:14" x14ac:dyDescent="0.25">
      <c r="A47" s="6" t="s">
        <v>190</v>
      </c>
      <c r="B47" s="6" t="str">
        <f>Informações!$C$3</f>
        <v>IMA</v>
      </c>
      <c r="C47" s="6" t="s">
        <v>10</v>
      </c>
      <c r="D47" s="6" t="s">
        <v>30</v>
      </c>
      <c r="E47" s="2" t="s">
        <v>25</v>
      </c>
      <c r="F47" s="6" t="str">
        <f>VLOOKUP(G47,[1]Discrete!$A:$B,2,FALSE)</f>
        <v>81 - TRIP SUB/SOBRE FREQUENCIA E2</v>
      </c>
      <c r="G47" s="17" t="s">
        <v>354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IMA_IB20_52-20_81E2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562</v>
      </c>
    </row>
    <row r="48" spans="1:14" x14ac:dyDescent="0.25">
      <c r="A48" s="6" t="s">
        <v>190</v>
      </c>
      <c r="B48" s="6" t="str">
        <f>Informações!$C$3</f>
        <v>IMA</v>
      </c>
      <c r="C48" s="6" t="s">
        <v>10</v>
      </c>
      <c r="D48" s="6" t="s">
        <v>30</v>
      </c>
      <c r="E48" s="2" t="s">
        <v>25</v>
      </c>
      <c r="F48" s="6" t="str">
        <f>VLOOKUP(G48,[1]Discrete!$A:$B,2,FALSE)</f>
        <v>81 - TRIP SUB/SOBRE FREQUENCIA E3</v>
      </c>
      <c r="G48" s="17" t="s">
        <v>355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IMA_IB20_52-20_81E3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563</v>
      </c>
    </row>
    <row r="49" spans="1:14" x14ac:dyDescent="0.25">
      <c r="A49" s="6" t="s">
        <v>190</v>
      </c>
      <c r="B49" s="6" t="str">
        <f>Informações!$C$3</f>
        <v>IMA</v>
      </c>
      <c r="C49" s="6" t="s">
        <v>10</v>
      </c>
      <c r="D49" s="6" t="s">
        <v>30</v>
      </c>
      <c r="E49" s="2" t="s">
        <v>25</v>
      </c>
      <c r="F49" s="6" t="str">
        <f>VLOOKUP(G49,[1]Discrete!$A:$B,2,FALSE)</f>
        <v>81 - TRIP SUB/SOBRE FREQUENCIA E4</v>
      </c>
      <c r="G49" s="17" t="s">
        <v>356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IMA_IB20_52-20_81E4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564</v>
      </c>
    </row>
    <row r="50" spans="1:14" x14ac:dyDescent="0.25">
      <c r="A50" s="6" t="s">
        <v>190</v>
      </c>
      <c r="B50" s="6" t="str">
        <f>Informações!$C$3</f>
        <v>IMA</v>
      </c>
      <c r="C50" s="6" t="s">
        <v>10</v>
      </c>
      <c r="D50" s="6" t="s">
        <v>30</v>
      </c>
      <c r="E50" s="2" t="s">
        <v>25</v>
      </c>
      <c r="F50" s="6" t="s">
        <v>358</v>
      </c>
      <c r="G50" s="17" t="s">
        <v>357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IMA_IB20_52-20_81E5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565</v>
      </c>
    </row>
    <row r="51" spans="1:14" x14ac:dyDescent="0.25">
      <c r="A51" s="6" t="s">
        <v>190</v>
      </c>
      <c r="B51" s="6" t="str">
        <f>Informações!$C$3</f>
        <v>IMA</v>
      </c>
      <c r="C51" s="94" t="s">
        <v>10</v>
      </c>
      <c r="D51" s="6" t="s">
        <v>30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IMA_IB20_52-20_43LR</v>
      </c>
      <c r="I51" s="6"/>
      <c r="J51" s="94" t="s">
        <v>186</v>
      </c>
      <c r="K51" s="94" t="s">
        <v>185</v>
      </c>
      <c r="L51" s="6" t="s">
        <v>188</v>
      </c>
      <c r="M51" s="6" t="s">
        <v>188</v>
      </c>
      <c r="N51" s="6">
        <f t="shared" si="3"/>
        <v>566</v>
      </c>
    </row>
    <row r="52" spans="1:14" x14ac:dyDescent="0.25">
      <c r="A52" s="6" t="s">
        <v>190</v>
      </c>
      <c r="B52" s="6" t="str">
        <f>Informações!$C$3</f>
        <v>IMA</v>
      </c>
      <c r="C52" s="6" t="s">
        <v>10</v>
      </c>
      <c r="D52" s="6" t="s">
        <v>30</v>
      </c>
      <c r="E52" s="2" t="s">
        <v>25</v>
      </c>
      <c r="F52" s="6" t="str">
        <f>VLOOKUP(G52,[1]Discrete!$A:$B,2,FALSE)</f>
        <v>43 - CHAVE TELECOMANDO</v>
      </c>
      <c r="G52" s="6" t="s">
        <v>40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IMA_IB20_52-20_43TC</v>
      </c>
      <c r="I52" s="6"/>
      <c r="J52" s="6" t="s">
        <v>183</v>
      </c>
      <c r="K52" s="6" t="s">
        <v>184</v>
      </c>
      <c r="L52" s="6" t="s">
        <v>188</v>
      </c>
      <c r="M52" s="6" t="s">
        <v>188</v>
      </c>
      <c r="N52" s="6">
        <f t="shared" si="3"/>
        <v>567</v>
      </c>
    </row>
    <row r="53" spans="1:14" x14ac:dyDescent="0.25">
      <c r="A53" s="6" t="s">
        <v>190</v>
      </c>
      <c r="B53" s="6" t="str">
        <f>Informações!$C$3</f>
        <v>IMA</v>
      </c>
      <c r="C53" s="6" t="s">
        <v>10</v>
      </c>
      <c r="D53" s="6" t="s">
        <v>30</v>
      </c>
      <c r="E53" s="2" t="s">
        <v>25</v>
      </c>
      <c r="F53" s="6" t="str">
        <f>VLOOKUP(G53,[1]Discrete!$A:$B,2,FALSE)</f>
        <v>50 - SOBRECORRENTE INSTANTANEA FASE</v>
      </c>
      <c r="G53" s="6" t="s">
        <v>416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IMA_IB20_52-20_50F</v>
      </c>
      <c r="I53" s="6"/>
      <c r="J53" s="6" t="s">
        <v>182</v>
      </c>
      <c r="K53" s="6" t="s">
        <v>179</v>
      </c>
      <c r="L53" s="6" t="s">
        <v>188</v>
      </c>
      <c r="M53" s="6" t="s">
        <v>188</v>
      </c>
      <c r="N53" s="6">
        <f t="shared" si="3"/>
        <v>568</v>
      </c>
    </row>
    <row r="54" spans="1:14" x14ac:dyDescent="0.25">
      <c r="A54" s="6" t="s">
        <v>190</v>
      </c>
      <c r="B54" s="6" t="str">
        <f>Informações!$C$3</f>
        <v>IMA</v>
      </c>
      <c r="C54" s="6" t="s">
        <v>10</v>
      </c>
      <c r="D54" s="6" t="s">
        <v>30</v>
      </c>
      <c r="E54" s="2" t="s">
        <v>25</v>
      </c>
      <c r="F54" s="6" t="str">
        <f>VLOOKUP(G54,[1]Discrete!$A:$B,2,FALSE)</f>
        <v>50 - SOBRECORRENTE INSTANTANEA NEUTRO</v>
      </c>
      <c r="G54" s="6" t="s">
        <v>417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IMA_IB20_52-20_50N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569</v>
      </c>
    </row>
    <row r="55" spans="1:14" x14ac:dyDescent="0.25">
      <c r="A55" s="6" t="s">
        <v>190</v>
      </c>
      <c r="B55" s="6" t="str">
        <f>Informações!$C$3</f>
        <v>IMA</v>
      </c>
      <c r="C55" s="6" t="s">
        <v>10</v>
      </c>
      <c r="D55" s="6" t="s">
        <v>30</v>
      </c>
      <c r="E55" s="2" t="s">
        <v>25</v>
      </c>
      <c r="F55" s="6" t="str">
        <f>VLOOKUP(G55,[1]Discrete!$A:$B,2,FALSE)</f>
        <v>51 - SOBRECORRENTE TEMPORIZADA FASE</v>
      </c>
      <c r="G55" s="6" t="s">
        <v>98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IMA_IB20_52-20_51F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570</v>
      </c>
    </row>
    <row r="56" spans="1:14" x14ac:dyDescent="0.25">
      <c r="A56" s="6" t="s">
        <v>190</v>
      </c>
      <c r="B56" s="6" t="str">
        <f>Informações!$C$3</f>
        <v>IMA</v>
      </c>
      <c r="C56" s="6" t="s">
        <v>10</v>
      </c>
      <c r="D56" s="6" t="s">
        <v>30</v>
      </c>
      <c r="E56" s="2" t="s">
        <v>25</v>
      </c>
      <c r="F56" s="6" t="str">
        <f>VLOOKUP(G56,[1]Discrete!$A:$B,2,FALSE)</f>
        <v>51 - SOBRECORRENTE TEMPORIZADA FASE NEUTRO</v>
      </c>
      <c r="G56" s="6" t="s">
        <v>427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IMA_IB20_52-20_51FN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571</v>
      </c>
    </row>
    <row r="57" spans="1:14" x14ac:dyDescent="0.25">
      <c r="A57" s="6" t="s">
        <v>190</v>
      </c>
      <c r="B57" s="6" t="str">
        <f>Informações!$C$3</f>
        <v>IMA</v>
      </c>
      <c r="C57" s="6" t="s">
        <v>10</v>
      </c>
      <c r="D57" s="6" t="s">
        <v>30</v>
      </c>
      <c r="E57" s="2" t="s">
        <v>25</v>
      </c>
      <c r="F57" s="6" t="str">
        <f>VLOOKUP(G57,[1]Discrete!$A:$B,2,FALSE)</f>
        <v>79 - RELIGAMENTO COM SUCESSO</v>
      </c>
      <c r="G57" s="6" t="s">
        <v>46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IMA_IB20_52-20_79OK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572</v>
      </c>
    </row>
    <row r="58" spans="1:14" x14ac:dyDescent="0.25">
      <c r="A58" s="6" t="s">
        <v>190</v>
      </c>
      <c r="B58" s="6" t="str">
        <f>Informações!$C$3</f>
        <v>IMA</v>
      </c>
      <c r="C58" s="6" t="s">
        <v>10</v>
      </c>
      <c r="D58" s="6" t="s">
        <v>30</v>
      </c>
      <c r="E58" s="2" t="s">
        <v>25</v>
      </c>
      <c r="F58" s="6" t="str">
        <f>VLOOKUP(G58,[1]Discrete!$A:$B,2,FALSE)</f>
        <v>79 - RELIGAMENTO PRONTO</v>
      </c>
      <c r="G58" s="6" t="s">
        <v>47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IMA_IB20_52-20_79RE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573</v>
      </c>
    </row>
    <row r="59" spans="1:14" x14ac:dyDescent="0.25">
      <c r="A59" s="6" t="s">
        <v>190</v>
      </c>
      <c r="B59" s="6" t="str">
        <f>Informações!$C$3</f>
        <v>IMA</v>
      </c>
      <c r="C59" s="6" t="s">
        <v>10</v>
      </c>
      <c r="D59" s="6" t="s">
        <v>30</v>
      </c>
      <c r="E59" s="2" t="s">
        <v>25</v>
      </c>
      <c r="F59" s="6" t="str">
        <f>VLOOKUP(G59,[1]Discrete!$A:$B,2,FALSE)</f>
        <v>79 - PARTIDA RELIGAMENTO</v>
      </c>
      <c r="G59" s="6" t="s">
        <v>48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IMA_IB20_52-20_79_1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574</v>
      </c>
    </row>
    <row r="60" spans="1:14" x14ac:dyDescent="0.25">
      <c r="A60" s="6" t="s">
        <v>190</v>
      </c>
      <c r="B60" s="6" t="str">
        <f>Informações!$C$3</f>
        <v>IMA</v>
      </c>
      <c r="C60" s="6" t="s">
        <v>10</v>
      </c>
      <c r="D60" s="6" t="s">
        <v>30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IMA_IB20_52-20_62BF</v>
      </c>
      <c r="I60" s="6"/>
      <c r="J60" s="94" t="s">
        <v>182</v>
      </c>
      <c r="K60" s="94" t="s">
        <v>179</v>
      </c>
      <c r="L60" s="6" t="s">
        <v>188</v>
      </c>
      <c r="M60" s="6" t="s">
        <v>188</v>
      </c>
      <c r="N60" s="6">
        <f>N59+1</f>
        <v>575</v>
      </c>
    </row>
    <row r="61" spans="1:14" x14ac:dyDescent="0.25">
      <c r="A61" s="6" t="s">
        <v>190</v>
      </c>
      <c r="B61" s="6" t="str">
        <f>Informações!$C$3</f>
        <v>IMA</v>
      </c>
      <c r="C61" s="6" t="s">
        <v>10</v>
      </c>
      <c r="D61" s="6" t="s">
        <v>30</v>
      </c>
      <c r="E61" s="2" t="s">
        <v>25</v>
      </c>
      <c r="F61" s="6" t="str">
        <f>VLOOKUP(G61,[1]Discrete!$A:$B,2,FALSE)</f>
        <v>DEFEITO RELE</v>
      </c>
      <c r="G61" s="6" t="s">
        <v>51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IMA_IB20_52-20_DR</v>
      </c>
      <c r="I61" s="6"/>
      <c r="J61" s="6" t="s">
        <v>182</v>
      </c>
      <c r="K61" s="6" t="s">
        <v>181</v>
      </c>
      <c r="L61" s="6" t="s">
        <v>188</v>
      </c>
      <c r="M61" s="6" t="s">
        <v>188</v>
      </c>
      <c r="N61" s="6">
        <f t="shared" ref="N61:N64" si="4">N60+1</f>
        <v>576</v>
      </c>
    </row>
    <row r="62" spans="1:14" x14ac:dyDescent="0.25">
      <c r="A62" s="6" t="s">
        <v>190</v>
      </c>
      <c r="B62" s="6" t="str">
        <f>Informações!$C$3</f>
        <v>IMA</v>
      </c>
      <c r="C62" s="6" t="s">
        <v>10</v>
      </c>
      <c r="D62" s="6" t="s">
        <v>30</v>
      </c>
      <c r="E62" s="2" t="s">
        <v>25</v>
      </c>
      <c r="F62" s="6" t="str">
        <f>VLOOKUP(G62,[1]Discrete!$A:$B,2,FALSE)</f>
        <v>BOBINA ABERTURA</v>
      </c>
      <c r="G62" s="6" t="s">
        <v>41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IMA_IB20_52-20_BBAB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4"/>
        <v>577</v>
      </c>
    </row>
    <row r="63" spans="1:14" x14ac:dyDescent="0.25">
      <c r="A63" s="6" t="s">
        <v>190</v>
      </c>
      <c r="B63" s="6" t="str">
        <f>Informações!$C$3</f>
        <v>IMA</v>
      </c>
      <c r="C63" s="6" t="s">
        <v>10</v>
      </c>
      <c r="D63" s="6" t="s">
        <v>30</v>
      </c>
      <c r="E63" s="2" t="s">
        <v>25</v>
      </c>
      <c r="F63" s="6" t="str">
        <f>VLOOKUP(G63,[1]Discrete!$A:$B,2,FALSE)</f>
        <v>BOBINA FECHAMENTO</v>
      </c>
      <c r="G63" s="6" t="s">
        <v>50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IMA_IB20_52-20_BBFC</v>
      </c>
      <c r="I63" s="6"/>
      <c r="J63" s="6" t="s">
        <v>182</v>
      </c>
      <c r="K63" s="6" t="s">
        <v>180</v>
      </c>
      <c r="L63" s="6" t="s">
        <v>188</v>
      </c>
      <c r="M63" s="6" t="s">
        <v>188</v>
      </c>
      <c r="N63" s="6">
        <f t="shared" si="4"/>
        <v>578</v>
      </c>
    </row>
    <row r="64" spans="1:14" x14ac:dyDescent="0.25">
      <c r="A64" s="93" t="s">
        <v>191</v>
      </c>
      <c r="B64" s="6" t="str">
        <f>Informações!$C$3</f>
        <v>IMA</v>
      </c>
      <c r="C64" s="6" t="s">
        <v>10</v>
      </c>
      <c r="D64" s="6" t="s">
        <v>30</v>
      </c>
      <c r="E64" s="2" t="s">
        <v>25</v>
      </c>
      <c r="F64" s="93" t="str">
        <f>VLOOKUP(G64,[1]Discrete!$A:$B,2,FALSE)</f>
        <v>TRIP SGF</v>
      </c>
      <c r="G64" s="6" t="s">
        <v>99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IMA_IB20_52-20_SGFT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93">
        <f t="shared" si="4"/>
        <v>579</v>
      </c>
    </row>
    <row r="65" spans="1:14" x14ac:dyDescent="0.25">
      <c r="A65" s="6" t="s">
        <v>190</v>
      </c>
      <c r="B65" s="6" t="str">
        <f>Informações!$C$3</f>
        <v>IMA</v>
      </c>
      <c r="C65" s="6" t="s">
        <v>10</v>
      </c>
      <c r="D65" s="6" t="s">
        <v>30</v>
      </c>
      <c r="E65" s="2" t="s">
        <v>25</v>
      </c>
      <c r="F65" s="6" t="str">
        <f>VLOOKUP(G65,[1]Discrete!$A:$B,2,FALSE)</f>
        <v>MOLA</v>
      </c>
      <c r="G65" s="6" t="s">
        <v>38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IMA_IB20_52-20_MOLA</v>
      </c>
      <c r="I65" s="6"/>
      <c r="J65" s="94" t="s">
        <v>282</v>
      </c>
      <c r="K65" s="94" t="s">
        <v>283</v>
      </c>
      <c r="L65" s="6" t="s">
        <v>188</v>
      </c>
      <c r="M65" s="6" t="s">
        <v>188</v>
      </c>
      <c r="N65" s="6">
        <f t="shared" si="3"/>
        <v>580</v>
      </c>
    </row>
    <row r="66" spans="1:14" x14ac:dyDescent="0.25">
      <c r="A66" s="6" t="s">
        <v>190</v>
      </c>
      <c r="B66" s="6" t="str">
        <f>Informações!$C$3</f>
        <v>IMA</v>
      </c>
      <c r="C66" s="6" t="s">
        <v>10</v>
      </c>
      <c r="D66" s="6" t="s">
        <v>30</v>
      </c>
      <c r="E66" s="2" t="s">
        <v>25</v>
      </c>
      <c r="F66" s="6" t="str">
        <f>VLOOKUP(G66,[1]Discrete!$A:$B,2,FALSE)</f>
        <v>FALHA FUSIVEL TP</v>
      </c>
      <c r="G66" s="6" t="s">
        <v>81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IMA_IB20_52-20_FUTP</v>
      </c>
      <c r="I66" s="6"/>
      <c r="J66" s="6" t="s">
        <v>182</v>
      </c>
      <c r="K66" s="6" t="s">
        <v>180</v>
      </c>
      <c r="L66" s="6" t="s">
        <v>188</v>
      </c>
      <c r="M66" s="6" t="s">
        <v>188</v>
      </c>
      <c r="N66" s="6">
        <f t="shared" si="3"/>
        <v>581</v>
      </c>
    </row>
    <row r="67" spans="1:14" x14ac:dyDescent="0.25">
      <c r="A67" s="6" t="s">
        <v>190</v>
      </c>
      <c r="B67" s="6" t="str">
        <f>Informações!$C$3</f>
        <v>IMA</v>
      </c>
      <c r="C67" s="6" t="s">
        <v>10</v>
      </c>
      <c r="D67" s="6" t="s">
        <v>30</v>
      </c>
      <c r="E67" s="2" t="s">
        <v>25</v>
      </c>
      <c r="F67" s="6" t="str">
        <f>VLOOKUP(G67,[1]Discrete!$A:$B,2,FALSE)</f>
        <v>FALHA COMUNICACAO</v>
      </c>
      <c r="G67" s="6" t="s">
        <v>78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IMA_IB20_52-20_FCOM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582</v>
      </c>
    </row>
    <row r="68" spans="1:14" x14ac:dyDescent="0.25">
      <c r="A68" s="6" t="s">
        <v>190</v>
      </c>
      <c r="B68" s="6" t="str">
        <f>Informações!$C$3</f>
        <v>IMA</v>
      </c>
      <c r="C68" s="6" t="s">
        <v>10</v>
      </c>
      <c r="D68" s="6" t="s">
        <v>30</v>
      </c>
      <c r="E68" s="2" t="s">
        <v>25</v>
      </c>
      <c r="F68" s="6" t="str">
        <f>VLOOKUP(G68,[1]Discrete!$A:$B,2,FALSE)</f>
        <v>FALTA VCC MOTOR</v>
      </c>
      <c r="G68" s="6" t="s">
        <v>80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IMA_IB20_52-20_CCMO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>
        <f t="shared" si="3"/>
        <v>583</v>
      </c>
    </row>
    <row r="69" spans="1:14" x14ac:dyDescent="0.25">
      <c r="A69" s="6" t="s">
        <v>190</v>
      </c>
      <c r="B69" s="6" t="str">
        <f>Informações!$C$3</f>
        <v>IMA</v>
      </c>
      <c r="C69" s="6" t="s">
        <v>10</v>
      </c>
      <c r="D69" s="6" t="s">
        <v>30</v>
      </c>
      <c r="E69" s="2" t="s">
        <v>25</v>
      </c>
      <c r="F69" s="6" t="str">
        <f>VLOOKUP(G69,[1]Discrete!$A:$B,2,FALSE)</f>
        <v>FALTA VCC COMANDO</v>
      </c>
      <c r="G69" s="6" t="s">
        <v>79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IMA_IB20_52-20_CCCO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584</v>
      </c>
    </row>
    <row r="70" spans="1:14" x14ac:dyDescent="0.25">
      <c r="A70" s="95" t="s">
        <v>190</v>
      </c>
      <c r="B70" s="95" t="str">
        <f>Informações!$C$3</f>
        <v>IMA</v>
      </c>
      <c r="C70" s="95" t="s">
        <v>10</v>
      </c>
      <c r="D70" s="95" t="s">
        <v>30</v>
      </c>
      <c r="E70" s="2" t="s">
        <v>25</v>
      </c>
      <c r="F70" s="95" t="str">
        <f>VLOOKUP(G70,[1]Discrete!$A:$B,2,FALSE)</f>
        <v>79 - RELIGAMENTO BLOQUEADO</v>
      </c>
      <c r="G70" s="6" t="s">
        <v>45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IMA_IB20_52-20_79LO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95">
        <f>'TRANSF 24-1'!N74+1</f>
        <v>1033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10</v>
      </c>
      <c r="D71" s="95" t="s">
        <v>30</v>
      </c>
      <c r="E71" s="2" t="s">
        <v>25</v>
      </c>
      <c r="F71" s="95" t="str">
        <f>VLOOKUP(G71,[1]Discrete!$A:$B,2,FALSE)</f>
        <v>TRIP EXTERNO</v>
      </c>
      <c r="G71" s="6" t="s">
        <v>718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IMA_IB20_52-20_TEXT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N70+1</f>
        <v>1034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10</v>
      </c>
      <c r="D72" s="95" t="s">
        <v>30</v>
      </c>
      <c r="E72" s="2" t="s">
        <v>25</v>
      </c>
      <c r="F72" s="95" t="str">
        <f>VLOOKUP(G72,[1]Discrete!$A:$B,2,FALSE)</f>
        <v>FALHA SINCRONISMO HORA</v>
      </c>
      <c r="G72" s="6" t="s">
        <v>162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IMA_IB20_52-20_FSIH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95">
        <f t="shared" ref="N72" si="5">N71+1</f>
        <v>1035</v>
      </c>
    </row>
    <row r="74" spans="1:14" x14ac:dyDescent="0.25">
      <c r="A74" s="108" t="s">
        <v>215</v>
      </c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</row>
    <row r="75" spans="1:14" ht="30" x14ac:dyDescent="0.25">
      <c r="A75" s="3" t="s">
        <v>189</v>
      </c>
      <c r="B75" s="3" t="s">
        <v>1</v>
      </c>
      <c r="C75" s="3" t="s">
        <v>83</v>
      </c>
      <c r="D75" s="3" t="s">
        <v>26</v>
      </c>
      <c r="E75" s="3" t="s">
        <v>7</v>
      </c>
      <c r="F75" s="3" t="s">
        <v>84</v>
      </c>
      <c r="G75" s="3" t="s">
        <v>85</v>
      </c>
      <c r="H75" s="3" t="s">
        <v>86</v>
      </c>
      <c r="I75" s="3" t="s">
        <v>254</v>
      </c>
      <c r="J75" s="3" t="s">
        <v>177</v>
      </c>
      <c r="K75" s="3" t="s">
        <v>178</v>
      </c>
      <c r="L75" s="3" t="s">
        <v>260</v>
      </c>
      <c r="M75" s="3" t="s">
        <v>266</v>
      </c>
      <c r="N75" s="3" t="s">
        <v>192</v>
      </c>
    </row>
    <row r="76" spans="1:14" x14ac:dyDescent="0.25">
      <c r="A76" s="6" t="s">
        <v>190</v>
      </c>
      <c r="B76" s="6" t="str">
        <f>Informações!$C$3</f>
        <v>IMA</v>
      </c>
      <c r="C76" s="94" t="s">
        <v>10</v>
      </c>
      <c r="D76" s="6" t="s">
        <v>30</v>
      </c>
      <c r="E76" s="2" t="s">
        <v>25</v>
      </c>
      <c r="F76" s="6" t="s">
        <v>238</v>
      </c>
      <c r="G76" s="6" t="s">
        <v>239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IMA_IB20_52-20_FGOO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>
        <f>N69+1</f>
        <v>585</v>
      </c>
    </row>
  </sheetData>
  <mergeCells count="8">
    <mergeCell ref="A74:N74"/>
    <mergeCell ref="B7:N7"/>
    <mergeCell ref="A1:N1"/>
    <mergeCell ref="B2:N2"/>
    <mergeCell ref="B3:N3"/>
    <mergeCell ref="B4:N4"/>
    <mergeCell ref="B5:N5"/>
    <mergeCell ref="B6:N6"/>
  </mergeCells>
  <conditionalFormatting sqref="E8:E73">
    <cfRule type="cellIs" dxfId="86" priority="1" operator="equal">
      <formula>"D"</formula>
    </cfRule>
    <cfRule type="cellIs" dxfId="85" priority="2" operator="equal">
      <formula>"C"</formula>
    </cfRule>
    <cfRule type="cellIs" dxfId="84" priority="3" operator="equal">
      <formula>"A"</formula>
    </cfRule>
  </conditionalFormatting>
  <conditionalFormatting sqref="E75:E1048576">
    <cfRule type="cellIs" dxfId="83" priority="28" operator="equal">
      <formula>"D"</formula>
    </cfRule>
    <cfRule type="cellIs" dxfId="82" priority="29" operator="equal">
      <formula>"C"</formula>
    </cfRule>
    <cfRule type="cellIs" dxfId="81" priority="30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609B61C-029C-4F9C-A6D5-E6CBB93BD8BF}">
          <x14:formula1>
            <xm:f>Lista!$B$2:$B$3</xm:f>
          </x14:formula1>
          <xm:sqref>A76 A10:A72</xm:sqref>
        </x14:dataValidation>
        <x14:dataValidation type="list" allowBlank="1" showInputMessage="1" showErrorMessage="1" xr:uid="{4A4C3ABC-2C83-449B-9186-4F6C69FB9B4B}">
          <x14:formula1>
            <xm:f>Lista!$A$2:$A$19</xm:f>
          </x14:formula1>
          <xm:sqref>J76:K76 J10:K72</xm:sqref>
        </x14:dataValidation>
        <x14:dataValidation type="list" allowBlank="1" showInputMessage="1" showErrorMessage="1" xr:uid="{B0A5C00C-DF71-4054-BE24-EE30D0A1AEDA}">
          <x14:formula1>
            <xm:f>Lista!$E$2:$E$4</xm:f>
          </x14:formula1>
          <xm:sqref>I76 I10:I72</xm:sqref>
        </x14:dataValidation>
        <x14:dataValidation type="list" allowBlank="1" showInputMessage="1" showErrorMessage="1" xr:uid="{B137A88D-D33C-4CFD-B611-3E594E0CF686}">
          <x14:formula1>
            <xm:f>Lista!$D$2:$D$4</xm:f>
          </x14:formula1>
          <xm:sqref>M76 M10:M72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EB50-B18D-4087-9240-4F4ECE68E306}">
  <sheetPr>
    <tabColor theme="2"/>
  </sheetPr>
  <dimension ref="A1:N85"/>
  <sheetViews>
    <sheetView topLeftCell="E74" workbookViewId="0">
      <selection activeCell="N1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340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380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377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381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IMA_AL21_AL21_IA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IMA_AL21_AL21_IB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IMA_AL21_AL21_IC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IMA_AL21_AL21_IN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IMA_AL21_AL21_V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IMA_AL21_AL21_P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IMA_AL21_AL21_Q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IMA_AL21_AL21_IACC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IMA_AL21_AL21_IBCC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IMA_AL21_AL21_ICCC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IMA_AL21_AL21_INCC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IMA_AL21_52-21_DJF1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IMA_TRF21_52-21_2649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IMA_AL21_52-21_79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IMA_AL21_52-21_51N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IMA_AL21_52-21_81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IMA_AL21_52-21_81U1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IMA_AL21_52-21_81U2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IMA_AL21_52-21_81U3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IMA_AL21_52-21_81U4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IMA_AL21_52-21_81U5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IMA_AL21_29-112_SECT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IMA_AL21_52-21_DJF1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IMA_AL21_52-21_79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IMA_AL21_52-21_51N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IMA_AL21_52-21_81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IMA_AL21_52-21_81U1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IMA_AL21_52-21_81U2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IMA_AL21_52-21_81U3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IMA_AL21_52-21_81U4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IMA_AL21_52-21_81U5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IMA_AL21_52-21_TOED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IMA_AL21_52-21_46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IMA_AL21_52-21_FA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IMA_AL21_52-21_FB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IMA_AL21_52-21_FC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IMA_AL21_52-21_N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IMA_AL21_52-21_81SU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IMA_AL21_52-21_81E1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IMA_AL21_52-21_81E2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IMA_AL21_52-21_81E3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IMA_AL21_52-21_81E4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IMA_AL21_52-21_81E5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IMA_AL21_52-21_43LR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IMA_AL21_52-21_43TC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IMA_AL21_52-21_50F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IMA_AL21_52-21_50N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IMA_AL21_52-21_50F1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IMA_AL21_52-21_50F2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IMA_AL21_52-21_50N1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IMA_AL21_52-21_50N2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IMA_AL21_52-21_51F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IMA_AL21_52-21_51N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IMA_AL21_52-21_51F1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IMA_AL21_52-21_51F2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IMA_AL21_52-21_51N1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IMA_AL21_52-21_51N2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IMA_AL21_52-21_79OK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IMA_AL21_52-21_79RE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IMA_AL21_52-21_79_1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IMA_AL21_52-21_62BF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IMA_AL21_52-21_DR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IMA_AL21_52-21_BBAB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IMA_AL21_52-21_BBFC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IMA_AL21_52-21_SGFT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IMA_AL21_52-21_MOLA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IMA_AL21_52-21_FUTP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IMA_AL21_52-21_FCOM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IMA_AL21_52-21_CCMO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IMA_AL21_52-21_CCCO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IMA_AL21_52-21_FSIN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8" t="s">
        <v>215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IMA_AL21_52-21_ETH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IMA_AL21_52-21_FGOO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80" priority="1" operator="equal">
      <formula>"D"</formula>
    </cfRule>
    <cfRule type="cellIs" dxfId="79" priority="2" operator="equal">
      <formula>"C"</formula>
    </cfRule>
    <cfRule type="cellIs" dxfId="78" priority="3" operator="equal">
      <formula>"A"</formula>
    </cfRule>
  </conditionalFormatting>
  <conditionalFormatting sqref="E83:E1048576">
    <cfRule type="cellIs" dxfId="77" priority="4" operator="equal">
      <formula>"D"</formula>
    </cfRule>
    <cfRule type="cellIs" dxfId="76" priority="5" operator="equal">
      <formula>"C"</formula>
    </cfRule>
    <cfRule type="cellIs" dxfId="75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8A91D39-F477-4832-87DD-BBCD594D7C23}">
          <x14:formula1>
            <xm:f>Lista!$D$2:$D$4</xm:f>
          </x14:formula1>
          <xm:sqref>M84:M85 M10:M80</xm:sqref>
        </x14:dataValidation>
        <x14:dataValidation type="list" allowBlank="1" showInputMessage="1" showErrorMessage="1" xr:uid="{86A47A25-F0AF-4298-8AF2-15CF83615F0E}">
          <x14:formula1>
            <xm:f>Lista!$E$2:$E$4</xm:f>
          </x14:formula1>
          <xm:sqref>I84:I85 I10:I80</xm:sqref>
        </x14:dataValidation>
        <x14:dataValidation type="list" allowBlank="1" showInputMessage="1" showErrorMessage="1" xr:uid="{F13ADEBE-2BD6-49B9-A420-29AF2B4CCE3F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1C7A594A-BEA0-44E8-A973-763A895AEE76}">
          <x14:formula1>
            <xm:f>Lista!$B$2:$B$3</xm:f>
          </x14:formula1>
          <xm:sqref>A84:A85 A10:A80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520B-1536-4A20-869B-B5AA8910E398}">
  <sheetPr>
    <tabColor theme="2"/>
  </sheetPr>
  <dimension ref="A1:N85"/>
  <sheetViews>
    <sheetView topLeftCell="F67" workbookViewId="0">
      <selection activeCell="N80" sqref="N10:N8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22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341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383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382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384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191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IMA_AL22_AL22_IA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IMA_AL22_AL22_IB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IMA_AL22_AL22_IC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IMA_AL22_AL22_IN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IMA_AL22_AL22_V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/>
    </row>
    <row r="15" spans="1:14" x14ac:dyDescent="0.25">
      <c r="A15" s="6" t="s">
        <v>191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IMA_AL22_AL22_P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/>
    </row>
    <row r="16" spans="1:14" x14ac:dyDescent="0.25">
      <c r="A16" s="6" t="s">
        <v>191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IMA_AL22_AL22_Q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/>
    </row>
    <row r="17" spans="1:14" x14ac:dyDescent="0.25">
      <c r="A17" s="6" t="s">
        <v>191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IMA_AL22_AL22_IACC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/>
    </row>
    <row r="18" spans="1:14" x14ac:dyDescent="0.25">
      <c r="A18" s="6" t="s">
        <v>191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IMA_AL22_AL22_IBCC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IMA_AL22_AL22_ICCC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/>
    </row>
    <row r="20" spans="1:14" x14ac:dyDescent="0.25">
      <c r="A20" s="6" t="s">
        <v>191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IMA_AL22_AL22_INCC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/>
    </row>
    <row r="21" spans="1:14" x14ac:dyDescent="0.25">
      <c r="A21" s="6" t="s">
        <v>191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IMA_AL22_52-22_DJF1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/>
    </row>
    <row r="22" spans="1:14" x14ac:dyDescent="0.25">
      <c r="A22" s="6" t="s">
        <v>191</v>
      </c>
      <c r="B22" s="6" t="str">
        <f>Informações!$C$3</f>
        <v>IMA</v>
      </c>
      <c r="C22" s="6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IMA_TRF22_52-22_2649</v>
      </c>
      <c r="I22" s="6"/>
      <c r="J22" s="6"/>
      <c r="K22" s="6"/>
      <c r="L22" s="6" t="s">
        <v>188</v>
      </c>
      <c r="M22" s="6"/>
      <c r="N22" s="6"/>
    </row>
    <row r="23" spans="1:14" x14ac:dyDescent="0.25">
      <c r="A23" s="6" t="s">
        <v>191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IMA_AL22_52-22_79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/>
    </row>
    <row r="24" spans="1:14" x14ac:dyDescent="0.25">
      <c r="A24" s="6" t="s">
        <v>191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IMA_AL22_52-22_51N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/>
    </row>
    <row r="25" spans="1:14" x14ac:dyDescent="0.25">
      <c r="A25" s="6" t="s">
        <v>191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IMA_AL22_52-22_81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/>
    </row>
    <row r="26" spans="1:14" x14ac:dyDescent="0.25">
      <c r="A26" s="6" t="s">
        <v>191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IMA_AL22_52-22_81U1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/>
    </row>
    <row r="27" spans="1:14" x14ac:dyDescent="0.25">
      <c r="A27" s="6" t="s">
        <v>191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IMA_AL22_52-22_81U2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/>
    </row>
    <row r="28" spans="1:14" x14ac:dyDescent="0.25">
      <c r="A28" s="6" t="s">
        <v>191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IMA_AL22_52-22_81U3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/>
    </row>
    <row r="29" spans="1:14" x14ac:dyDescent="0.25">
      <c r="A29" s="6" t="s">
        <v>191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IMA_AL22_52-22_81U4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/>
    </row>
    <row r="30" spans="1:14" x14ac:dyDescent="0.25">
      <c r="A30" s="6" t="s">
        <v>191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IMA_AL22_52-22_81U5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/>
    </row>
    <row r="31" spans="1:14" x14ac:dyDescent="0.25">
      <c r="A31" s="6" t="s">
        <v>191</v>
      </c>
      <c r="B31" s="6" t="str">
        <f>Informações!$C$3</f>
        <v>IMA</v>
      </c>
      <c r="C31" s="6" t="s">
        <v>89</v>
      </c>
      <c r="D31" s="6" t="s">
        <v>33</v>
      </c>
      <c r="E31" s="2" t="s">
        <v>25</v>
      </c>
      <c r="F31" s="6" t="str">
        <f>VLOOKUP(G31,[1]Discrete!$A:$B,2,FALSE)</f>
        <v>SECCIONADORA TRANSFERENCIA</v>
      </c>
      <c r="G31" s="6" t="s">
        <v>33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IMA_AL22_29-118_SECT</v>
      </c>
      <c r="I31" s="6"/>
      <c r="J31" s="6" t="s">
        <v>281</v>
      </c>
      <c r="K31" s="6" t="s">
        <v>285</v>
      </c>
      <c r="L31" s="6" t="s">
        <v>188</v>
      </c>
      <c r="M31" s="6" t="s">
        <v>188</v>
      </c>
      <c r="N31" s="6"/>
    </row>
    <row r="32" spans="1:14" x14ac:dyDescent="0.25">
      <c r="A32" s="6" t="s">
        <v>191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IMA_AL22_52-22_DJF1</v>
      </c>
      <c r="I32" s="6"/>
      <c r="J32" s="6" t="s">
        <v>286</v>
      </c>
      <c r="K32" s="6" t="s">
        <v>284</v>
      </c>
      <c r="L32" s="6" t="s">
        <v>188</v>
      </c>
      <c r="M32" s="6" t="s">
        <v>188</v>
      </c>
      <c r="N32" s="6"/>
    </row>
    <row r="33" spans="1:14" x14ac:dyDescent="0.25">
      <c r="A33" s="6" t="s">
        <v>191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IMA_AL22_52-22_79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/>
    </row>
    <row r="34" spans="1:14" x14ac:dyDescent="0.25">
      <c r="A34" s="6" t="s">
        <v>191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IMA_AL22_52-22_51N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/>
    </row>
    <row r="35" spans="1:14" x14ac:dyDescent="0.25">
      <c r="A35" s="6" t="s">
        <v>191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IMA_AL22_52-22_81</v>
      </c>
      <c r="I35" s="6"/>
      <c r="J35" s="6" t="s">
        <v>183</v>
      </c>
      <c r="K35" s="6" t="s">
        <v>184</v>
      </c>
      <c r="L35" s="6" t="s">
        <v>188</v>
      </c>
      <c r="M35" s="6" t="s">
        <v>188</v>
      </c>
      <c r="N35" s="6"/>
    </row>
    <row r="36" spans="1:14" x14ac:dyDescent="0.25">
      <c r="A36" s="6" t="s">
        <v>191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IMA_AL22_52-22_81U1</v>
      </c>
      <c r="I36" s="6"/>
      <c r="J36" s="6" t="s">
        <v>183</v>
      </c>
      <c r="K36" s="6" t="s">
        <v>184</v>
      </c>
      <c r="L36" s="6" t="s">
        <v>188</v>
      </c>
      <c r="M36" s="6" t="s">
        <v>188</v>
      </c>
      <c r="N36" s="6"/>
    </row>
    <row r="37" spans="1:14" x14ac:dyDescent="0.25">
      <c r="A37" s="6" t="s">
        <v>191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IMA_AL22_52-22_81U2</v>
      </c>
      <c r="I37" s="6"/>
      <c r="J37" s="6" t="s">
        <v>183</v>
      </c>
      <c r="K37" s="6" t="s">
        <v>184</v>
      </c>
      <c r="L37" s="6" t="s">
        <v>188</v>
      </c>
      <c r="M37" s="6" t="s">
        <v>188</v>
      </c>
      <c r="N37" s="6"/>
    </row>
    <row r="38" spans="1:14" x14ac:dyDescent="0.25">
      <c r="A38" s="6" t="s">
        <v>191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IMA_AL22_52-22_81U3</v>
      </c>
      <c r="I38" s="6"/>
      <c r="J38" s="6" t="s">
        <v>183</v>
      </c>
      <c r="K38" s="6" t="s">
        <v>184</v>
      </c>
      <c r="L38" s="6" t="s">
        <v>188</v>
      </c>
      <c r="M38" s="6" t="s">
        <v>188</v>
      </c>
      <c r="N38" s="6"/>
    </row>
    <row r="39" spans="1:14" x14ac:dyDescent="0.25">
      <c r="A39" s="6" t="s">
        <v>191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IMA_AL22_52-22_81U4</v>
      </c>
      <c r="I39" s="6"/>
      <c r="J39" s="6" t="s">
        <v>183</v>
      </c>
      <c r="K39" s="6" t="s">
        <v>184</v>
      </c>
      <c r="L39" s="6" t="s">
        <v>188</v>
      </c>
      <c r="M39" s="6" t="s">
        <v>188</v>
      </c>
      <c r="N39" s="6"/>
    </row>
    <row r="40" spans="1:14" x14ac:dyDescent="0.25">
      <c r="A40" s="6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IMA_AL22_52-22_81U5</v>
      </c>
      <c r="I40" s="6"/>
      <c r="J40" s="6" t="s">
        <v>183</v>
      </c>
      <c r="K40" s="6" t="s">
        <v>184</v>
      </c>
      <c r="L40" s="6" t="s">
        <v>188</v>
      </c>
      <c r="M40" s="6" t="s">
        <v>188</v>
      </c>
      <c r="N40" s="6"/>
    </row>
    <row r="41" spans="1:14" x14ac:dyDescent="0.25">
      <c r="A41" s="6" t="s">
        <v>191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26 49 - TRIP TEMPERATURA</v>
      </c>
      <c r="G41" s="6" t="s">
        <v>93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IMA_AL22_52-22_TOED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/>
    </row>
    <row r="42" spans="1:14" x14ac:dyDescent="0.25">
      <c r="A42" s="6" t="s">
        <v>191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e">
        <f>VLOOKUP(G42,[1]Discrete!$A:$B,2,FALSE)</f>
        <v>#N/A</v>
      </c>
      <c r="G42" s="6">
        <v>46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IMA_AL22_52-22_46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/>
    </row>
    <row r="43" spans="1:14" x14ac:dyDescent="0.25">
      <c r="A43" s="6" t="s">
        <v>191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A</v>
      </c>
      <c r="G43" s="6" t="s">
        <v>54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IMA_AL22_52-22_FA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/>
    </row>
    <row r="44" spans="1:14" x14ac:dyDescent="0.25">
      <c r="A44" s="6" t="s">
        <v>191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B</v>
      </c>
      <c r="G44" s="6" t="s">
        <v>55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IMA_AL22_52-22_FB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/>
    </row>
    <row r="45" spans="1:14" x14ac:dyDescent="0.25">
      <c r="A45" s="6" t="s">
        <v>191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FASE C</v>
      </c>
      <c r="G45" s="6" t="s">
        <v>56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IMA_AL22_52-22_FC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/>
    </row>
    <row r="46" spans="1:14" x14ac:dyDescent="0.25">
      <c r="A46" s="6" t="s">
        <v>191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NEUTRO</v>
      </c>
      <c r="G46" s="6" t="s">
        <v>420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IMA_AL22_52-22_N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/>
    </row>
    <row r="47" spans="1:14" x14ac:dyDescent="0.25">
      <c r="A47" s="6" t="s">
        <v>191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 FREQUENCIA</v>
      </c>
      <c r="G47" s="6" t="s">
        <v>71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IMA_AL22_52-22_81SU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/>
    </row>
    <row r="48" spans="1:14" x14ac:dyDescent="0.25">
      <c r="A48" s="6" t="s">
        <v>191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E1</v>
      </c>
      <c r="G48" s="17" t="s">
        <v>353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IMA_AL22_52-22_81E1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/>
    </row>
    <row r="49" spans="1:14" x14ac:dyDescent="0.25">
      <c r="A49" s="6" t="s">
        <v>191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E2</v>
      </c>
      <c r="G49" s="17" t="s">
        <v>354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IMA_AL22_52-22_81E2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/>
    </row>
    <row r="50" spans="1:14" x14ac:dyDescent="0.25">
      <c r="A50" s="6" t="s">
        <v>191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E3</v>
      </c>
      <c r="G50" s="17" t="s">
        <v>355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IMA_AL22_52-22_81E3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/>
    </row>
    <row r="51" spans="1:14" x14ac:dyDescent="0.25">
      <c r="A51" s="6" t="s">
        <v>191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81 - TRIP SUB/SOBRE FREQUENCIA E4</v>
      </c>
      <c r="G51" s="17" t="s">
        <v>356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IMA_AL22_52-22_81E4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/>
    </row>
    <row r="52" spans="1:14" x14ac:dyDescent="0.25">
      <c r="A52" s="6" t="s">
        <v>191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">
        <v>358</v>
      </c>
      <c r="G52" s="17" t="s">
        <v>357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IMA_AL22_52-22_81E5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/>
    </row>
    <row r="53" spans="1:14" x14ac:dyDescent="0.25">
      <c r="A53" s="6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IMA_AL22_52-22_43LR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6"/>
    </row>
    <row r="54" spans="1:14" x14ac:dyDescent="0.25">
      <c r="A54" s="6" t="s">
        <v>191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IMA_AL22_52-22_43TC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/>
    </row>
    <row r="55" spans="1:14" x14ac:dyDescent="0.25">
      <c r="A55" s="6" t="s">
        <v>191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IMA_AL22_52-22_50F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/>
    </row>
    <row r="56" spans="1:14" x14ac:dyDescent="0.25">
      <c r="A56" s="6" t="s">
        <v>191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IMA_AL22_52-22_50N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/>
    </row>
    <row r="57" spans="1:14" x14ac:dyDescent="0.25">
      <c r="A57" s="6" t="s">
        <v>191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50 - SOBRECORRENTE INSTANTANEA FASE E1</v>
      </c>
      <c r="G57" s="6" t="s">
        <v>94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IMA_AL22_52-22_50F1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/>
    </row>
    <row r="58" spans="1:14" x14ac:dyDescent="0.25">
      <c r="A58" s="6" t="s">
        <v>191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50 - SOBRECORRENTE INSTANTANEA FASE E2</v>
      </c>
      <c r="G58" s="6" t="s">
        <v>95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IMA_AL22_52-22_50F2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/>
    </row>
    <row r="59" spans="1:14" x14ac:dyDescent="0.25">
      <c r="A59" s="6" t="s">
        <v>191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50 - SOBRECORRENTE INSTANTANEA NEUTRO E1</v>
      </c>
      <c r="G59" s="6" t="s">
        <v>96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IMA_AL22_52-22_50N1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/>
    </row>
    <row r="60" spans="1:14" x14ac:dyDescent="0.25">
      <c r="A60" s="6" t="s">
        <v>191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50 - SOBRECORRENTE INSTANTANEA NEUTRO E2</v>
      </c>
      <c r="G60" s="6" t="s">
        <v>97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IMA_AL22_52-22_50N2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/>
    </row>
    <row r="61" spans="1:14" x14ac:dyDescent="0.25">
      <c r="A61" s="6" t="s">
        <v>191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51 - SOBRECORRENTE TEMPORIZADA FASE</v>
      </c>
      <c r="G61" s="6" t="s">
        <v>98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IMA_AL22_52-22_51F</v>
      </c>
      <c r="I61" s="6"/>
      <c r="J61" s="6" t="s">
        <v>182</v>
      </c>
      <c r="K61" s="6" t="s">
        <v>179</v>
      </c>
      <c r="L61" s="6" t="s">
        <v>188</v>
      </c>
      <c r="M61" s="6" t="s">
        <v>188</v>
      </c>
      <c r="N61" s="6"/>
    </row>
    <row r="62" spans="1:14" x14ac:dyDescent="0.25">
      <c r="A62" s="6" t="s">
        <v>191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51 - FUNCAO SOBRECORRENTE TEMPORIZADA NEUTRO</v>
      </c>
      <c r="G62" s="6" t="s">
        <v>35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IMA_AL22_52-22_51N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/>
    </row>
    <row r="63" spans="1:14" x14ac:dyDescent="0.25">
      <c r="A63" s="6" t="s">
        <v>191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51 - SOBRECORRENTE TEMPORIZADA FASE E1</v>
      </c>
      <c r="G63" s="6" t="s">
        <v>418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IMA_AL22_52-22_51F1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/>
    </row>
    <row r="64" spans="1:14" x14ac:dyDescent="0.25">
      <c r="A64" s="6" t="s">
        <v>191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51 - SOBRECORRENTE TEMPORIZADA FASE E2</v>
      </c>
      <c r="G64" s="6" t="s">
        <v>419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IMA_AL22_52-22_51F2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/>
    </row>
    <row r="65" spans="1:14" x14ac:dyDescent="0.25">
      <c r="A65" s="6" t="s">
        <v>191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51 - SOBRECORRENTE TEMPORIZADA NEUTRO E1</v>
      </c>
      <c r="G65" s="6" t="s">
        <v>111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IMA_AL22_52-22_51N1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/>
    </row>
    <row r="66" spans="1:14" x14ac:dyDescent="0.25">
      <c r="A66" s="6" t="s">
        <v>191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51 - SOBRECORRENTE TEMPORIZADA NEUTRO E2</v>
      </c>
      <c r="G66" s="6" t="s">
        <v>415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IMA_AL22_52-22_51N2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/>
    </row>
    <row r="67" spans="1:14" x14ac:dyDescent="0.25">
      <c r="A67" s="6" t="s">
        <v>191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79 - RELIGAMENTO COM SUCESSO</v>
      </c>
      <c r="G67" s="6" t="s">
        <v>46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IMA_AL22_52-22_79OK</v>
      </c>
      <c r="I67" s="6"/>
      <c r="J67" s="6" t="s">
        <v>182</v>
      </c>
      <c r="K67" s="6" t="s">
        <v>179</v>
      </c>
      <c r="L67" s="6" t="s">
        <v>188</v>
      </c>
      <c r="M67" s="6" t="s">
        <v>188</v>
      </c>
      <c r="N67" s="6"/>
    </row>
    <row r="68" spans="1:14" x14ac:dyDescent="0.25">
      <c r="A68" s="6" t="s">
        <v>191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79 - RELIGAMENTO PRONTO</v>
      </c>
      <c r="G68" s="6" t="s">
        <v>47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IMA_AL22_52-22_79RE</v>
      </c>
      <c r="I68" s="6"/>
      <c r="J68" s="6" t="s">
        <v>182</v>
      </c>
      <c r="K68" s="6" t="s">
        <v>179</v>
      </c>
      <c r="L68" s="6" t="s">
        <v>188</v>
      </c>
      <c r="M68" s="6" t="s">
        <v>188</v>
      </c>
      <c r="N68" s="6"/>
    </row>
    <row r="69" spans="1:14" x14ac:dyDescent="0.25">
      <c r="A69" s="6" t="s">
        <v>191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79 - PARTIDA RELIGAMENTO</v>
      </c>
      <c r="G69" s="6" t="s">
        <v>48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IMA_AL22_52-22_79_1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/>
    </row>
    <row r="70" spans="1:14" x14ac:dyDescent="0.25">
      <c r="A70" s="6" t="s">
        <v>191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62 - FALHA DISJUNTOR BLOQUEIO</v>
      </c>
      <c r="G70" s="6" t="s">
        <v>44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IMA_AL22_52-22_62BF</v>
      </c>
      <c r="I70" s="6"/>
      <c r="J70" s="6" t="s">
        <v>182</v>
      </c>
      <c r="K70" s="6" t="s">
        <v>180</v>
      </c>
      <c r="L70" s="6" t="s">
        <v>188</v>
      </c>
      <c r="M70" s="6" t="s">
        <v>188</v>
      </c>
      <c r="N70" s="6"/>
    </row>
    <row r="71" spans="1:14" x14ac:dyDescent="0.25">
      <c r="A71" s="6" t="s">
        <v>191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DEFEITO RELE</v>
      </c>
      <c r="G71" s="6" t="s">
        <v>51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IMA_AL22_52-22_DR</v>
      </c>
      <c r="I71" s="6"/>
      <c r="J71" s="6" t="s">
        <v>182</v>
      </c>
      <c r="K71" s="6" t="s">
        <v>181</v>
      </c>
      <c r="L71" s="6" t="s">
        <v>188</v>
      </c>
      <c r="M71" s="6" t="s">
        <v>188</v>
      </c>
      <c r="N71" s="6"/>
    </row>
    <row r="72" spans="1:14" x14ac:dyDescent="0.25">
      <c r="A72" s="6" t="s">
        <v>191</v>
      </c>
      <c r="B72" s="6" t="str">
        <f>Informações!$C$3</f>
        <v>IMA</v>
      </c>
      <c r="C72" s="6" t="s">
        <v>89</v>
      </c>
      <c r="D72" s="6" t="s">
        <v>30</v>
      </c>
      <c r="E72" s="2" t="s">
        <v>25</v>
      </c>
      <c r="F72" s="6" t="str">
        <f>VLOOKUP(G72,[1]Discrete!$A:$B,2,FALSE)</f>
        <v>BOBINA ABERTURA</v>
      </c>
      <c r="G72" s="6" t="s">
        <v>41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IMA_AL22_52-22_BBAB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6"/>
    </row>
    <row r="73" spans="1:14" x14ac:dyDescent="0.25">
      <c r="A73" s="6" t="s">
        <v>191</v>
      </c>
      <c r="B73" s="6" t="str">
        <f>Informações!$C$3</f>
        <v>IMA</v>
      </c>
      <c r="C73" s="6" t="s">
        <v>89</v>
      </c>
      <c r="D73" s="6" t="s">
        <v>30</v>
      </c>
      <c r="E73" s="2" t="s">
        <v>25</v>
      </c>
      <c r="F73" s="6" t="str">
        <f>VLOOKUP(G73,[1]Discrete!$A:$B,2,FALSE)</f>
        <v>BOBINA FECHAMENTO</v>
      </c>
      <c r="G73" s="6" t="s">
        <v>50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IMA_AL22_52-22_BBFC</v>
      </c>
      <c r="I73" s="6"/>
      <c r="J73" s="6" t="s">
        <v>182</v>
      </c>
      <c r="K73" s="6" t="s">
        <v>180</v>
      </c>
      <c r="L73" s="6" t="s">
        <v>188</v>
      </c>
      <c r="M73" s="6" t="s">
        <v>188</v>
      </c>
      <c r="N73" s="6"/>
    </row>
    <row r="74" spans="1:14" x14ac:dyDescent="0.25">
      <c r="A74" s="6" t="s">
        <v>191</v>
      </c>
      <c r="B74" s="6" t="str">
        <f>Informações!$C$3</f>
        <v>IMA</v>
      </c>
      <c r="C74" s="6" t="s">
        <v>89</v>
      </c>
      <c r="D74" s="6" t="s">
        <v>30</v>
      </c>
      <c r="E74" s="2" t="s">
        <v>25</v>
      </c>
      <c r="F74" s="6" t="str">
        <f>VLOOKUP(G74,[1]Discrete!$A:$B,2,FALSE)</f>
        <v>TRIP SGF</v>
      </c>
      <c r="G74" s="6" t="s">
        <v>99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IMA_AL22_52-22_SGFT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6"/>
    </row>
    <row r="75" spans="1:14" x14ac:dyDescent="0.25">
      <c r="A75" s="6" t="s">
        <v>191</v>
      </c>
      <c r="B75" s="6" t="str">
        <f>Informações!$C$3</f>
        <v>IMA</v>
      </c>
      <c r="C75" s="6" t="s">
        <v>89</v>
      </c>
      <c r="D75" s="6" t="s">
        <v>30</v>
      </c>
      <c r="E75" s="2" t="s">
        <v>25</v>
      </c>
      <c r="F75" s="6" t="str">
        <f>VLOOKUP(G75,[1]Discrete!$A:$B,2,FALSE)</f>
        <v>MOLA</v>
      </c>
      <c r="G75" s="6" t="s">
        <v>38</v>
      </c>
      <c r="H75" s="6" t="str" cm="1">
        <f t="array" ref="H75">_xlfn.IFS(OR(D75="TC",D75="TP",D75="LT"),CONCATENATE(B75,"_",C75,$B$3,"_",C75,$B$3,"_",G75),D75="SECC",CONCATENATE(B75,"_",C75,$B$3,"_",$B$5,"_",G75),D75="SECF",CONCATENATE(B75,"_",C75,$B$3,"_",$B$6,"_",G75),D75="SECT",CONCATENATE(B75,"_",C75,$B$3,"_",$B$7,"_",G75),D75="SECG",CONCATENATE(B75,"_",C75,$B$3,"_",#REF!,"_",G75),D75="DJ",CONCATENATE(B75,"_",C75,$B$3,"_",$B$4,"_",G75))</f>
        <v>IMA_AL22_52-22_MOLA</v>
      </c>
      <c r="I75" s="6"/>
      <c r="J75" s="6" t="s">
        <v>283</v>
      </c>
      <c r="K75" s="6" t="s">
        <v>282</v>
      </c>
      <c r="L75" s="6" t="s">
        <v>188</v>
      </c>
      <c r="M75" s="6" t="s">
        <v>188</v>
      </c>
      <c r="N75" s="6"/>
    </row>
    <row r="76" spans="1:14" x14ac:dyDescent="0.25">
      <c r="A76" s="6" t="s">
        <v>191</v>
      </c>
      <c r="B76" s="6" t="str">
        <f>Informações!$C$3</f>
        <v>IMA</v>
      </c>
      <c r="C76" s="6" t="s">
        <v>89</v>
      </c>
      <c r="D76" s="6" t="s">
        <v>30</v>
      </c>
      <c r="E76" s="2" t="s">
        <v>25</v>
      </c>
      <c r="F76" s="6" t="str">
        <f>VLOOKUP(G76,[1]Discrete!$A:$B,2,FALSE)</f>
        <v>FALHA FUSIVEL TP</v>
      </c>
      <c r="G76" s="6" t="s">
        <v>81</v>
      </c>
      <c r="H76" s="6" t="str" cm="1">
        <f t="array" ref="H76">_xlfn.IFS(OR(D76="TC",D76="TP",D76="LT"),CONCATENATE(B76,"_",C76,$B$3,"_",C76,$B$3,"_",G76),D76="SECC",CONCATENATE(B76,"_",C76,$B$3,"_",$B$5,"_",G76),D76="SECF",CONCATENATE(B76,"_",C76,$B$3,"_",$B$6,"_",G76),D76="SECT",CONCATENATE(B76,"_",C76,$B$3,"_",$B$7,"_",G76),D76="SECG",CONCATENATE(B76,"_",C76,$B$3,"_",#REF!,"_",G76),D76="DJ",CONCATENATE(B76,"_",C76,$B$3,"_",$B$4,"_",G76))</f>
        <v>IMA_AL22_52-22_FUTP</v>
      </c>
      <c r="I76" s="6"/>
      <c r="J76" s="6" t="s">
        <v>182</v>
      </c>
      <c r="K76" s="6" t="s">
        <v>180</v>
      </c>
      <c r="L76" s="6" t="s">
        <v>188</v>
      </c>
      <c r="M76" s="6" t="s">
        <v>188</v>
      </c>
      <c r="N76" s="6"/>
    </row>
    <row r="77" spans="1:14" x14ac:dyDescent="0.25">
      <c r="A77" s="6" t="s">
        <v>191</v>
      </c>
      <c r="B77" s="6" t="str">
        <f>Informações!$C$3</f>
        <v>IMA</v>
      </c>
      <c r="C77" s="6" t="s">
        <v>89</v>
      </c>
      <c r="D77" s="6" t="s">
        <v>30</v>
      </c>
      <c r="E77" s="2" t="s">
        <v>25</v>
      </c>
      <c r="F77" s="6" t="str">
        <f>VLOOKUP(G77,[1]Discrete!$A:$B,2,FALSE)</f>
        <v>FALHA COMUNICACAO</v>
      </c>
      <c r="G77" s="6" t="s">
        <v>78</v>
      </c>
      <c r="H77" s="6" t="str" cm="1">
        <f t="array" ref="H77">_xlfn.IFS(OR(D77="TC",D77="TP",D77="LT"),CONCATENATE(B77,"_",C77,$B$3,"_",C77,$B$3,"_",G77),D77="SECC",CONCATENATE(B77,"_",C77,$B$3,"_",$B$5,"_",G77),D77="SECF",CONCATENATE(B77,"_",C77,$B$3,"_",$B$6,"_",G77),D77="SECT",CONCATENATE(B77,"_",C77,$B$3,"_",$B$7,"_",G77),D77="SECG",CONCATENATE(B77,"_",C77,$B$3,"_",#REF!,"_",G77),D77="DJ",CONCATENATE(B77,"_",C77,$B$3,"_",$B$4,"_",G77))</f>
        <v>IMA_AL22_52-22_FCOM</v>
      </c>
      <c r="I77" s="6"/>
      <c r="J77" s="6" t="s">
        <v>182</v>
      </c>
      <c r="K77" s="6" t="s">
        <v>180</v>
      </c>
      <c r="L77" s="6" t="s">
        <v>188</v>
      </c>
      <c r="M77" s="6" t="s">
        <v>188</v>
      </c>
      <c r="N77" s="6"/>
    </row>
    <row r="78" spans="1:14" x14ac:dyDescent="0.25">
      <c r="A78" s="6" t="s">
        <v>191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tr">
        <f>VLOOKUP(G78,[1]Discrete!$A:$B,2,FALSE)</f>
        <v>FALTA VCC MOTOR</v>
      </c>
      <c r="G78" s="6" t="s">
        <v>80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IMA_AL22_52-22_CCMO</v>
      </c>
      <c r="I78" s="6"/>
      <c r="J78" s="6" t="s">
        <v>182</v>
      </c>
      <c r="K78" s="6" t="s">
        <v>179</v>
      </c>
      <c r="L78" s="6" t="s">
        <v>188</v>
      </c>
      <c r="M78" s="6" t="s">
        <v>188</v>
      </c>
      <c r="N78" s="6"/>
    </row>
    <row r="79" spans="1:14" x14ac:dyDescent="0.25">
      <c r="A79" s="6" t="s">
        <v>191</v>
      </c>
      <c r="B79" s="6" t="str">
        <f>Informações!$C$3</f>
        <v>IMA</v>
      </c>
      <c r="C79" s="6" t="s">
        <v>89</v>
      </c>
      <c r="D79" s="6" t="s">
        <v>30</v>
      </c>
      <c r="E79" s="2" t="s">
        <v>25</v>
      </c>
      <c r="F79" s="6" t="str">
        <f>VLOOKUP(G79,[1]Discrete!$A:$B,2,FALSE)</f>
        <v>FALTA VCC COMANDO</v>
      </c>
      <c r="G79" s="6" t="s">
        <v>79</v>
      </c>
      <c r="H79" s="6" t="str" cm="1">
        <f t="array" ref="H79">_xlfn.IFS(OR(D79="TC",D79="TP",D79="LT"),CONCATENATE(B79,"_",C79,$B$3,"_",C79,$B$3,"_",G79),D79="SECC",CONCATENATE(B79,"_",C79,$B$3,"_",$B$5,"_",G79),D79="SECF",CONCATENATE(B79,"_",C79,$B$3,"_",$B$6,"_",G79),D79="SECT",CONCATENATE(B79,"_",C79,$B$3,"_",$B$7,"_",G79),D79="SECG",CONCATENATE(B79,"_",C79,$B$3,"_",#REF!,"_",G79),D79="DJ",CONCATENATE(B79,"_",C79,$B$3,"_",$B$4,"_",G79))</f>
        <v>IMA_AL22_52-22_CCCO</v>
      </c>
      <c r="I79" s="6"/>
      <c r="J79" s="6" t="s">
        <v>182</v>
      </c>
      <c r="K79" s="6" t="s">
        <v>179</v>
      </c>
      <c r="L79" s="6" t="s">
        <v>188</v>
      </c>
      <c r="M79" s="6" t="s">
        <v>188</v>
      </c>
      <c r="N79" s="6"/>
    </row>
    <row r="80" spans="1:14" x14ac:dyDescent="0.25">
      <c r="A80" s="6" t="s">
        <v>191</v>
      </c>
      <c r="B80" s="6" t="str">
        <f>Informações!$C$3</f>
        <v>IMA</v>
      </c>
      <c r="C80" s="6" t="s">
        <v>89</v>
      </c>
      <c r="D80" s="6" t="s">
        <v>30</v>
      </c>
      <c r="E80" s="2" t="s">
        <v>25</v>
      </c>
      <c r="F80" s="6" t="str">
        <f>VLOOKUP(G80,[1]Discrete!$A:$B,2,FALSE)</f>
        <v>FALHA IRIG B - SINCRONISMO</v>
      </c>
      <c r="G80" s="6" t="s">
        <v>148</v>
      </c>
      <c r="H80" s="6" t="str" cm="1">
        <f t="array" ref="H80">_xlfn.IFS(OR(D80="TC",D80="TP",D80="LT"),CONCATENATE(B80,"_",C80,$B$3,"_",C80,$B$3,"_",G80),D80="SECC",CONCATENATE(B80,"_",C80,$B$3,"_",$B$5,"_",G80),D80="SECF",CONCATENATE(B80,"_",C80,$B$3,"_",$B$6,"_",G80),D80="SECT",CONCATENATE(B80,"_",C80,$B$3,"_",$B$7,"_",G80),D80="SECG",CONCATENATE(B80,"_",C80,$B$3,"_",$B$8,"_",G80),D80="DJ",CONCATENATE(B80,"_",C80,$B$3,"_",$B$4,"_",G80),D80="DJ_P",CONCATENATE(B80,"_",C80,$B$3,"_",$B$4,"_P","_",G80),D80="DJ_A",CONCATENATE(B80,"_",C80,$B$3,"_",$B$4,"_A","_",G80),D80="LT_P",CONCATENATE(B80,"_",C80,$B$3,"_",C80,$B$3,"_P","_",G80),D80="LT_A",CONCATENATE(B80,"_",C80,$B$3,"_",C80,$B$3,"_A","_",G80))</f>
        <v>IMA_AL22_52-22_FSIN</v>
      </c>
      <c r="I80" s="6"/>
      <c r="J80" s="6" t="s">
        <v>182</v>
      </c>
      <c r="K80" s="6" t="s">
        <v>180</v>
      </c>
      <c r="L80" s="6" t="s">
        <v>188</v>
      </c>
      <c r="M80" s="6" t="s">
        <v>188</v>
      </c>
      <c r="N80" s="6"/>
    </row>
    <row r="82" spans="1:14" x14ac:dyDescent="0.25">
      <c r="A82" s="108" t="s">
        <v>215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</row>
    <row r="83" spans="1:14" ht="30" x14ac:dyDescent="0.25">
      <c r="A83" s="3" t="s">
        <v>189</v>
      </c>
      <c r="B83" s="3" t="s">
        <v>1</v>
      </c>
      <c r="C83" s="3" t="s">
        <v>83</v>
      </c>
      <c r="D83" s="3" t="s">
        <v>26</v>
      </c>
      <c r="E83" s="3" t="s">
        <v>7</v>
      </c>
      <c r="F83" s="3" t="s">
        <v>84</v>
      </c>
      <c r="G83" s="3" t="s">
        <v>85</v>
      </c>
      <c r="H83" s="3" t="s">
        <v>86</v>
      </c>
      <c r="I83" s="3" t="s">
        <v>254</v>
      </c>
      <c r="J83" s="3" t="s">
        <v>177</v>
      </c>
      <c r="K83" s="3" t="s">
        <v>178</v>
      </c>
      <c r="L83" s="3" t="s">
        <v>260</v>
      </c>
      <c r="M83" s="3" t="s">
        <v>266</v>
      </c>
      <c r="N83" s="3" t="s">
        <v>192</v>
      </c>
    </row>
    <row r="84" spans="1:14" x14ac:dyDescent="0.25">
      <c r="A84" s="6" t="s">
        <v>191</v>
      </c>
      <c r="B84" s="6" t="str">
        <f>Informações!$C$3</f>
        <v>IMA</v>
      </c>
      <c r="C84" s="6" t="s">
        <v>89</v>
      </c>
      <c r="D84" s="6" t="s">
        <v>30</v>
      </c>
      <c r="E84" s="2" t="s">
        <v>25</v>
      </c>
      <c r="F84" s="6" t="s">
        <v>237</v>
      </c>
      <c r="G84" s="6" t="s">
        <v>202</v>
      </c>
      <c r="H84" s="6" t="str" cm="1">
        <f t="array" ref="H84">_xlfn.IFS(OR(D84="TC",D84="TP",D84="LT"),CONCATENATE(B84,"_",C84,$B$3,"_",C84,$B$3,"_",G84),D84="SECC",CONCATENATE(B84,"_",C84,$B$3,"_",$B$5,"_",G84),D84="SECF",CONCATENATE(B84,"_",C84,$B$3,"_",$B$6,"_",G84),D84="SECT",CONCATENATE(B84,"_",C84,$B$3,"_",$B$7,"_",G84),D84="SECG",CONCATENATE(B84,"_",C84,$B$3,"_",$B$8,"_",G84),D84="DJ",CONCATENATE(B84,"_",C84,$B$3,"_",$B$4,"_",G84),D84="DJ_P",CONCATENATE(B84,"_",C84,$B$3,"_",$B$4,"_P","_",G84),D84="DJ_A",CONCATENATE(B84,"_",C84,$B$3,"_",$B$4,"_A","_",G84),D84="LT_P",CONCATENATE(B84,"_",C84,$B$3,"_",C84,$B$3,"_P","_",G84),D84="LT_A",CONCATENATE(B84,"_",C84,$B$3,"_",C84,$B$3,"_A","_",G84))</f>
        <v>IMA_AL22_52-22_ETH</v>
      </c>
      <c r="I84" s="6"/>
      <c r="J84" s="6" t="s">
        <v>182</v>
      </c>
      <c r="K84" s="6" t="s">
        <v>180</v>
      </c>
      <c r="L84" s="6" t="s">
        <v>188</v>
      </c>
      <c r="M84" s="6" t="s">
        <v>188</v>
      </c>
      <c r="N84" s="6"/>
    </row>
    <row r="85" spans="1:14" x14ac:dyDescent="0.25">
      <c r="A85" s="6" t="s">
        <v>191</v>
      </c>
      <c r="B85" s="6" t="str">
        <f>Informações!$C$3</f>
        <v>IMA</v>
      </c>
      <c r="C85" s="6" t="s">
        <v>89</v>
      </c>
      <c r="D85" s="6" t="s">
        <v>30</v>
      </c>
      <c r="E85" s="2" t="s">
        <v>25</v>
      </c>
      <c r="F85" s="6" t="s">
        <v>238</v>
      </c>
      <c r="G85" s="6" t="s">
        <v>239</v>
      </c>
      <c r="H85" s="6" t="str" cm="1">
        <f t="array" ref="H85">_xlfn.IFS(OR(D85="TC",D85="TP",D85="LT"),CONCATENATE(B85,"_",C85,$B$3,"_",C85,$B$3,"_",G85),D85="SECC",CONCATENATE(B85,"_",C85,$B$3,"_",$B$5,"_",G85),D85="SECF",CONCATENATE(B85,"_",C85,$B$3,"_",$B$6,"_",G85),D85="SECT",CONCATENATE(B85,"_",C85,$B$3,"_",$B$7,"_",G85),D85="SECG",CONCATENATE(B85,"_",C85,$B$3,"_",#REF!,"_",G85),D85="DJ",CONCATENATE(B85,"_",C85,$B$3,"_",$B$4,"_",G85))</f>
        <v>IMA_AL22_52-22_FGOO</v>
      </c>
      <c r="I85" s="6"/>
      <c r="J85" s="6" t="s">
        <v>182</v>
      </c>
      <c r="K85" s="6" t="s">
        <v>180</v>
      </c>
      <c r="L85" s="6" t="s">
        <v>188</v>
      </c>
      <c r="M85" s="6" t="s">
        <v>188</v>
      </c>
      <c r="N85" s="6"/>
    </row>
  </sheetData>
  <mergeCells count="8">
    <mergeCell ref="A82:N82"/>
    <mergeCell ref="B7:N7"/>
    <mergeCell ref="A1:N1"/>
    <mergeCell ref="B2:N2"/>
    <mergeCell ref="B3:N3"/>
    <mergeCell ref="B4:N4"/>
    <mergeCell ref="B5:N5"/>
    <mergeCell ref="B6:N6"/>
  </mergeCells>
  <conditionalFormatting sqref="E8:E81">
    <cfRule type="cellIs" dxfId="74" priority="1" operator="equal">
      <formula>"D"</formula>
    </cfRule>
    <cfRule type="cellIs" dxfId="73" priority="2" operator="equal">
      <formula>"C"</formula>
    </cfRule>
    <cfRule type="cellIs" dxfId="72" priority="3" operator="equal">
      <formula>"A"</formula>
    </cfRule>
  </conditionalFormatting>
  <conditionalFormatting sqref="E83:E1048576">
    <cfRule type="cellIs" dxfId="71" priority="4" operator="equal">
      <formula>"D"</formula>
    </cfRule>
    <cfRule type="cellIs" dxfId="70" priority="5" operator="equal">
      <formula>"C"</formula>
    </cfRule>
    <cfRule type="cellIs" dxfId="69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97B2AB-6AB8-4461-8AEF-05BFA3A69734}">
          <x14:formula1>
            <xm:f>Lista!$D$2:$D$4</xm:f>
          </x14:formula1>
          <xm:sqref>M84:M85 M10:M80</xm:sqref>
        </x14:dataValidation>
        <x14:dataValidation type="list" allowBlank="1" showInputMessage="1" showErrorMessage="1" xr:uid="{4404386F-C69A-4F58-87E1-011343B49C18}">
          <x14:formula1>
            <xm:f>Lista!$E$2:$E$4</xm:f>
          </x14:formula1>
          <xm:sqref>I84:I85 I10:I80</xm:sqref>
        </x14:dataValidation>
        <x14:dataValidation type="list" allowBlank="1" showInputMessage="1" showErrorMessage="1" xr:uid="{E7B9F41E-B3EA-4124-BA18-70F3D8382A4A}">
          <x14:formula1>
            <xm:f>Lista!$A$2:$A$19</xm:f>
          </x14:formula1>
          <xm:sqref>J84:K85 J10:K80</xm:sqref>
        </x14:dataValidation>
        <x14:dataValidation type="list" allowBlank="1" showInputMessage="1" showErrorMessage="1" xr:uid="{A6FCA982-FAD6-489B-B2E3-ABA7CAEC5453}">
          <x14:formula1>
            <xm:f>Lista!$B$2:$B$3</xm:f>
          </x14:formula1>
          <xm:sqref>A84:A85 A10:A80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B3C6-B945-4F1D-ACCE-2AA0CF41DC27}">
  <sheetPr>
    <tabColor theme="6"/>
  </sheetPr>
  <dimension ref="A1:N78"/>
  <sheetViews>
    <sheetView topLeftCell="A20" zoomScale="80" zoomScaleNormal="80" workbookViewId="0">
      <selection activeCell="N72" sqref="N7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342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386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385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387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IMA_AL23_AL23_IA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'INTERBARRAS BT'!N20+1</f>
        <v>125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IMA_AL23_AL23_IB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126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IMA_AL23_AL23_IC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127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IMA_AL23_AL23_IN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128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IMA_AL23_AL23_V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129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IMA_AL23_AL23_P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130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IMA_AL23_AL23_Q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131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IMA_AL23_AL23_IACC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132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IMA_AL23_AL23_IBCC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133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IMA_AL23_AL23_ICCC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134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IMA_AL23_AL23_INCC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135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IMA_AL23_52-23_DJF1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VALUE(LEFT('INTERBARRAS BT'!N30, FIND(";",'INTERBARRAS BT'!N30)-1)) + 1 &amp; ";" &amp; VALUE(LEFT('INTERBARRAS BT'!N30, FIND(";",'INTERBARRAS BT'!N30)-1)) + 1</f>
        <v>98;98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IMA_AL23_52-23_2649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99;99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IMA_AL23_52-23_79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100;100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IMA_AL23_52-23_51N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101;101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IMA_AL23_52-23_81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102;102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IMA_AL23_52-23_81U1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103;103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IMA_AL23_52-23_81U2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104;104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IMA_AL23_52-23_81U3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105;105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IMA_AL23_52-23_81U4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106;106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IMA_AL23_52-23_81U5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107;107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IMA_AL23_52-23_SGF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'TRANSF 24-1'!N31+1</f>
        <v>1069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IMA_AL23_52-23_DJF1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VALUE(LEFT('INTERBARRAS BT'!N31, FIND(";",'INTERBARRAS BT'!N31)-1)) + 2 &amp; ";" &amp; VALUE(LEFT('INTERBARRAS BT'!N31, FIND(";",'INTERBARRAS BT'!N31)-1)) + 3</f>
        <v>1154;1155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IMA_AL23_52-23_79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587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IMA_AL23_52-23_51N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588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IMA_AL23_52-23_81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589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IMA_AL23_52-23_81U1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590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IMA_AL23_52-23_81U2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591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IMA_AL23_52-23_81U3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592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IMA_AL23_52-23_81U4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593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IMA_AL23_52-23_81U5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594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IMA_AL23_52-23_2649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595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IMA_AL23_52-23_FA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596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IMA_AL23_52-23_FB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597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IMA_AL23_52-23_FC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598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IMA_AL23_52-23_N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599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IMA_AL23_52-23_81SU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600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IMA_AL23_52-23_81E1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601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IMA_AL23_52-23_81E2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602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IMA_AL23_52-23_81E3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603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IMA_AL23_52-23_81E4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604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IMA_AL23_52-23_81E5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605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IMA_AL23_52-23_43LR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606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IMA_AL23_52-23_43TC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607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IMA_AL23_52-23_50F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608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IMA_AL23_52-23_50N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609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IMA_AL23_52-23_51F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610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IMA_AL23_52-23_51FN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611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IMA_AL23_52-23_79OK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612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IMA_AL23_52-23_79RE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613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IMA_AL23_52-23_79_1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614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IMA_AL23_52-23_62BF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615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IMA_AL23_52-23_DR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616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IMA_AL23_52-23_BBAB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617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IMA_AL23_52-23_BBFC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618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IMA_AL23_52-23_SGFT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619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IMA_AL23_52-23_MOLA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620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IMA_AL23_52-23_FUTP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621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IMA_AL23_52-23_FCOM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622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IMA_AL23_52-23_CCMO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623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IMA_AL23_52-23_CCCO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624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IMA_AL23_52-23_79LO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'INTERBARRAS BT'!N72+1</f>
        <v>1036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IMA_AL23_52-23_SGF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1037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IMA_AL23_52-23_TEXT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1038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IMA_AL23_52-23_FSIH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1039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IMA_AL23_52-23_FGOO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625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68" priority="1" operator="equal">
      <formula>"D"</formula>
    </cfRule>
    <cfRule type="cellIs" dxfId="67" priority="2" operator="equal">
      <formula>"C"</formula>
    </cfRule>
    <cfRule type="cellIs" dxfId="66" priority="3" operator="equal">
      <formula>"A"</formula>
    </cfRule>
  </conditionalFormatting>
  <conditionalFormatting sqref="E77:E1048576">
    <cfRule type="cellIs" dxfId="65" priority="40" operator="equal">
      <formula>"D"</formula>
    </cfRule>
    <cfRule type="cellIs" dxfId="64" priority="41" operator="equal">
      <formula>"C"</formula>
    </cfRule>
    <cfRule type="cellIs" dxfId="63" priority="4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64990C-0186-4879-B88D-7F559E5AA2B5}">
          <x14:formula1>
            <xm:f>Lista!$B$2:$B$3</xm:f>
          </x14:formula1>
          <xm:sqref>A78 A10:A74</xm:sqref>
        </x14:dataValidation>
        <x14:dataValidation type="list" allowBlank="1" showInputMessage="1" showErrorMessage="1" xr:uid="{F24B6450-9CAC-434B-B930-C6DC47EA8073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41979865-81AB-4609-89C6-E9421493EF70}">
          <x14:formula1>
            <xm:f>Lista!$E$2:$E$4</xm:f>
          </x14:formula1>
          <xm:sqref>I78 I10:I74</xm:sqref>
        </x14:dataValidation>
        <x14:dataValidation type="list" allowBlank="1" showInputMessage="1" showErrorMessage="1" xr:uid="{1E38DD11-7EAD-4BCB-8A10-8C6030D9ED06}">
          <x14:formula1>
            <xm:f>Lista!$D$2:$D$4</xm:f>
          </x14:formula1>
          <xm:sqref>M78 M10:M74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84DB-E4A1-4793-971C-EBD1EBFE9F8A}">
  <sheetPr>
    <tabColor theme="6"/>
  </sheetPr>
  <dimension ref="A1:N78"/>
  <sheetViews>
    <sheetView topLeftCell="A32" zoomScale="80" zoomScaleNormal="80" workbookViewId="0">
      <selection activeCell="N41" sqref="N41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24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343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389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388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390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IMA_AL24_AL24_IA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23'!N20+1</f>
        <v>136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IMA_AL24_AL24_IB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137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IMA_AL24_AL24_IC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138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IMA_AL24_AL24_IN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139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IMA_AL24_AL24_V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140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IMA_AL24_AL24_P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141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IMA_AL24_AL24_Q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142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IMA_AL24_AL24_IACC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143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IMA_AL24_AL24_IBCC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144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IMA_AL24_AL24_ICCC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145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IMA_AL24_AL24_INCC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146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IMA_AL24_52-24_DJF1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23'!N30, FIND(";",'AL 23'!N30)-1)) + 1 &amp; ";" &amp; VALUE(LEFT('AL 23'!N30, FIND(";",'AL 23'!N30)-1)) + 1</f>
        <v>108;108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IMA_AL24_52-24_2649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109;109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IMA_AL24_52-24_79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110;110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IMA_AL24_52-24_51N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111;111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IMA_AL24_52-24_81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112;112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IMA_AL24_52-24_81U1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113;113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IMA_AL24_52-24_81U2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114;114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IMA_AL24_52-24_81U3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115;115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IMA_AL24_52-24_81U4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116;116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IMA_AL24_52-24_81U5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117;117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IMA_AL24_52-24_SGF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23'!N31+1</f>
        <v>1070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IMA_AL24_52-24_DJF1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23'!N32, FIND(";",'AL 23'!N32)-1)) + 2 &amp; ";" &amp; VALUE(LEFT('AL 23'!N32, FIND(";",'AL 23'!N32)-1)) + 3</f>
        <v>1156;1157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IMA_AL24_52-24_79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627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IMA_AL24_52-24_51N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628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IMA_AL24_52-24_81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629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IMA_AL24_52-24_81U1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630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IMA_AL24_52-24_81U2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631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IMA_AL24_52-24_81U3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632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IMA_AL24_52-24_81U4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633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IMA_AL24_52-24_81U5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634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IMA_AL24_52-24_2649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635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IMA_AL24_52-24_FA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636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IMA_AL24_52-24_FB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637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IMA_AL24_52-24_FC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638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IMA_AL24_52-24_N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639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IMA_AL24_52-24_81SU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640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IMA_AL24_52-24_81E1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641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IMA_AL24_52-24_81E2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642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IMA_AL24_52-24_81E3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643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IMA_AL24_52-24_81E4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644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IMA_AL24_52-24_81E5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645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IMA_AL24_52-24_43LR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646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IMA_AL24_52-24_43TC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647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IMA_AL24_52-24_50F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648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IMA_AL24_52-24_50N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649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IMA_AL24_52-24_51F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650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IMA_AL24_52-24_51FN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651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IMA_AL24_52-24_79OK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652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IMA_AL24_52-24_79RE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653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IMA_AL24_52-24_79_1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654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IMA_AL24_52-24_62BF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655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IMA_AL24_52-24_DR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si="3"/>
        <v>656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IMA_AL24_52-24_BBAB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3"/>
        <v>657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IMA_AL24_52-24_BBFC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3"/>
        <v>658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IMA_AL24_52-24_SGFT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3"/>
        <v>659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IMA_AL24_52-24_MOLA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660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IMA_AL24_52-24_FUTP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661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IMA_AL24_52-24_FCOM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662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IMA_AL24_52-24_CCMO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663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IMA_AL24_52-24_CCCO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664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IMA_AL24_52-24_79LO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23'!N74+1</f>
        <v>1040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IMA_AL24_52-24_SGF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1041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IMA_AL24_52-24_TEXT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1042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IMA_AL24_52-24_FSIH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4">N73+1</f>
        <v>1043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IMA_AL24_52-24_FGOO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665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62" priority="1" operator="equal">
      <formula>"D"</formula>
    </cfRule>
    <cfRule type="cellIs" dxfId="61" priority="2" operator="equal">
      <formula>"C"</formula>
    </cfRule>
    <cfRule type="cellIs" dxfId="60" priority="3" operator="equal">
      <formula>"A"</formula>
    </cfRule>
  </conditionalFormatting>
  <conditionalFormatting sqref="E77:E1048576">
    <cfRule type="cellIs" dxfId="59" priority="43" operator="equal">
      <formula>"D"</formula>
    </cfRule>
    <cfRule type="cellIs" dxfId="58" priority="44" operator="equal">
      <formula>"C"</formula>
    </cfRule>
    <cfRule type="cellIs" dxfId="57" priority="45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597573A-C852-42E3-817F-E20212784A95}">
          <x14:formula1>
            <xm:f>Lista!$D$2:$D$4</xm:f>
          </x14:formula1>
          <xm:sqref>M78 M10:M74</xm:sqref>
        </x14:dataValidation>
        <x14:dataValidation type="list" allowBlank="1" showInputMessage="1" showErrorMessage="1" xr:uid="{0C5B5A60-7CFF-4F97-B14C-24373D49CD22}">
          <x14:formula1>
            <xm:f>Lista!$E$2:$E$4</xm:f>
          </x14:formula1>
          <xm:sqref>I78 I10:I74</xm:sqref>
        </x14:dataValidation>
        <x14:dataValidation type="list" allowBlank="1" showInputMessage="1" showErrorMessage="1" xr:uid="{979FE9DE-B513-4F8D-A235-4E5867BA631D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99A2266C-F376-4ADE-B1D5-835F94D147BA}">
          <x14:formula1>
            <xm:f>Lista!$B$2:$B$3</xm:f>
          </x14:formula1>
          <xm:sqref>A78 A10:A74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488D-0A09-4C4B-B4FE-830DD46A330C}">
  <sheetPr>
    <tabColor theme="6"/>
  </sheetPr>
  <dimension ref="A1:N78"/>
  <sheetViews>
    <sheetView topLeftCell="A29" zoomScale="80" zoomScaleNormal="80" workbookViewId="0">
      <selection activeCell="N41" sqref="N41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344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392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391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393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IMA_AL25_AL25_IA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24'!N20+1</f>
        <v>147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IMA_AL25_AL25_IB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148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IMA_AL25_AL25_IC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149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IMA_AL25_AL25_IN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150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IMA_AL25_AL25_V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151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IMA_AL25_AL25_P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152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IMA_AL25_AL25_Q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153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IMA_AL25_AL25_IACC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154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IMA_AL25_AL25_IBCC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155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IMA_AL25_AL25_ICCC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156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IMA_AL25_AL25_INCC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157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IMA_AL25_52-25_DJF1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24'!N30, FIND(";",'AL 24'!N30)-1)) + 1 &amp; ";" &amp; VALUE(LEFT('AL 24'!N30, FIND(";",'AL 24'!N30)-1)) + 1</f>
        <v>118;118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IMA_AL25_52-25_2649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119;119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IMA_AL25_52-25_79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120;120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IMA_AL25_52-25_51N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121;121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IMA_AL25_52-25_81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122;122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IMA_AL25_52-25_81U1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123;123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IMA_AL25_52-25_81U2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124;124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IMA_AL25_52-25_81U3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125;125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IMA_AL25_52-25_81U4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126;126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IMA_AL25_52-25_81U5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127;127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IMA_AL25_52-25_SGF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24'!N31+1</f>
        <v>1071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IMA_AL25_52-25_DJF1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24'!N32, FIND(";",'AL 24'!N32)-1)) + 2 &amp; ";" &amp; VALUE(LEFT('AL 24'!N32, FIND(";",'AL 24'!N32)-1)) + 3</f>
        <v>1158;1159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IMA_AL25_52-25_79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667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IMA_AL25_52-25_51N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668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IMA_AL25_52-25_81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669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IMA_AL25_52-25_81U1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670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IMA_AL25_52-25_81U2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671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IMA_AL25_52-25_81U3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672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IMA_AL25_52-25_81U4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673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IMA_AL25_52-25_81U5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674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IMA_AL25_52-25_2649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675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IMA_AL25_52-25_FA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676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IMA_AL25_52-25_FB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677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IMA_AL25_52-25_FC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678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IMA_AL25_52-25_N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679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IMA_AL25_52-25_81SU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680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IMA_AL25_52-25_81E1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681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IMA_AL25_52-25_81E2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682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IMA_AL25_52-25_81E3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683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IMA_AL25_52-25_81E4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684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IMA_AL25_52-25_81E5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685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IMA_AL25_52-25_43LR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686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IMA_AL25_52-25_43TC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687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IMA_AL25_52-25_50F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688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IMA_AL25_52-25_50N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689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IMA_AL25_52-25_51F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690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IMA_AL25_52-25_51FN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691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IMA_AL25_52-25_79OK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692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IMA_AL25_52-25_79RE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693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IMA_AL25_52-25_79_1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694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IMA_AL25_52-25_62BF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695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IMA_AL25_52-25_DR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696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IMA_AL25_52-25_BBAB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697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IMA_AL25_52-25_BBFC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698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IMA_AL25_52-25_SGFT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699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IMA_AL25_52-25_MOLA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700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IMA_AL25_52-25_FUTP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701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IMA_AL25_52-25_FCOM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702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IMA_AL25_52-25_CCMO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703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IMA_AL25_52-25_CCCO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704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IMA_AL25_52-25_79LO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24'!N74+1</f>
        <v>1044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IMA_AL25_52-25_SGF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1045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IMA_AL25_52-25_TEXT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1046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IMA_AL25_52-25_FSIH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1047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IMA_AL25_52-25_FGOO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705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56" priority="1" operator="equal">
      <formula>"D"</formula>
    </cfRule>
    <cfRule type="cellIs" dxfId="55" priority="2" operator="equal">
      <formula>"C"</formula>
    </cfRule>
    <cfRule type="cellIs" dxfId="54" priority="3" operator="equal">
      <formula>"A"</formula>
    </cfRule>
  </conditionalFormatting>
  <conditionalFormatting sqref="E77:E1048576">
    <cfRule type="cellIs" dxfId="53" priority="49" operator="equal">
      <formula>"D"</formula>
    </cfRule>
    <cfRule type="cellIs" dxfId="52" priority="50" operator="equal">
      <formula>"C"</formula>
    </cfRule>
    <cfRule type="cellIs" dxfId="51" priority="51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3560F3A-5AEB-462C-996C-3BDBDE76FBA9}">
          <x14:formula1>
            <xm:f>Lista!$B$2:$B$3</xm:f>
          </x14:formula1>
          <xm:sqref>A78 A10:A74</xm:sqref>
        </x14:dataValidation>
        <x14:dataValidation type="list" allowBlank="1" showInputMessage="1" showErrorMessage="1" xr:uid="{F049DE46-F6D1-4DF2-BCF3-DE9581297E06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77DCF075-031A-4D1A-97CB-BEACAFD67B91}">
          <x14:formula1>
            <xm:f>Lista!$E$2:$E$4</xm:f>
          </x14:formula1>
          <xm:sqref>I78 I10:I74</xm:sqref>
        </x14:dataValidation>
        <x14:dataValidation type="list" allowBlank="1" showInputMessage="1" showErrorMessage="1" xr:uid="{BF9250C0-5198-4A09-8D8B-E6EA7EC7152F}">
          <x14:formula1>
            <xm:f>Lista!$D$2:$D$4</xm:f>
          </x14:formula1>
          <xm:sqref>M78 M10:M74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2419-AAA2-460C-B3F3-710C5B99D771}">
  <sheetPr>
    <tabColor theme="6"/>
  </sheetPr>
  <dimension ref="A1:N78"/>
  <sheetViews>
    <sheetView topLeftCell="A53" zoomScale="80" zoomScaleNormal="80" workbookViewId="0">
      <selection activeCell="N22" sqref="F21:N2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26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30</v>
      </c>
      <c r="B4" s="109" t="s">
        <v>345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395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394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396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IMA_AL26_AL26_IA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25'!N20+1</f>
        <v>158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IMA_AL26_AL26_IB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159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IMA_AL26_AL26_IC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160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IMA_AL26_AL26_IN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161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IMA_AL26_AL26_V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162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IMA_AL26_AL26_P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163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IMA_AL26_AL26_Q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164</v>
      </c>
    </row>
    <row r="17" spans="1:14" x14ac:dyDescent="0.25">
      <c r="A17" s="6" t="s">
        <v>190</v>
      </c>
      <c r="B17" s="6" t="str">
        <f>Informações!$C$3</f>
        <v>IMA</v>
      </c>
      <c r="C17" s="6" t="s">
        <v>89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IMA_AL26_AL26_IACC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165</v>
      </c>
    </row>
    <row r="18" spans="1:14" x14ac:dyDescent="0.25">
      <c r="A18" s="6" t="s">
        <v>190</v>
      </c>
      <c r="B18" s="6" t="str">
        <f>Informações!$C$3</f>
        <v>IMA</v>
      </c>
      <c r="C18" s="6" t="s">
        <v>89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IMA_AL26_AL26_IBCC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166</v>
      </c>
    </row>
    <row r="19" spans="1:14" x14ac:dyDescent="0.25">
      <c r="A19" s="6" t="s">
        <v>190</v>
      </c>
      <c r="B19" s="6" t="str">
        <f>Informações!$C$3</f>
        <v>IMA</v>
      </c>
      <c r="C19" s="6" t="s">
        <v>89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IMA_AL26_AL26_ICCC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167</v>
      </c>
    </row>
    <row r="20" spans="1:14" x14ac:dyDescent="0.25">
      <c r="A20" s="6" t="s">
        <v>190</v>
      </c>
      <c r="B20" s="6" t="str">
        <f>Informações!$C$3</f>
        <v>IMA</v>
      </c>
      <c r="C20" s="6" t="s">
        <v>89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IMA_AL26_AL26_INCC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168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IMA_AL26_52-26_DJF1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25'!N30, FIND(";",'AL 25'!N30)-1)) + 1 &amp; ";" &amp; VALUE(LEFT('AL 25'!N30, FIND(";",'AL 25'!N30)-1)) + 1</f>
        <v>128;128</v>
      </c>
    </row>
    <row r="22" spans="1:14" x14ac:dyDescent="0.25">
      <c r="A22" s="6" t="s">
        <v>190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IMA_AL26_52-26_2649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129;129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IMA_AL26_52-26_79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130;130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IMA_AL26_52-26_51N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131;131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IMA_AL26_52-26_81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132;132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IMA_AL26_52-26_81U1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133;133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IMA_AL26_52-26_81U2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134;134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IMA_AL26_52-26_81U3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135;135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IMA_AL26_52-26_81U4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136;136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IMA_AL26_52-26_81U5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137;137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89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IMA_AL26_52-26_SGF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25'!N31+1</f>
        <v>1072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IMA_AL26_52-26_DJF1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25'!N32, FIND(";",'AL 25'!N32)-1)) + 2 &amp; ";" &amp; VALUE(LEFT('AL 25'!N32, FIND(";",'AL 25'!N32)-1)) + 3</f>
        <v>1160;1161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IMA_AL26_52-26_79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707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IMA_AL26_52-26_51N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708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IMA_AL26_52-26_81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709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IMA_AL26_52-26_81U1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710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IMA_AL26_52-26_81U2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711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IMA_AL26_52-26_81U3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712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IMA_AL26_52-26_81U4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713</v>
      </c>
    </row>
    <row r="40" spans="1:14" x14ac:dyDescent="0.25">
      <c r="A40" s="6" t="s">
        <v>190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IMA_AL26_52-26_81U5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714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IMA_AL26_52-26_2649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715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IMA_AL26_52-26_FA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716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IMA_AL26_52-26_FB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717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IMA_AL26_52-26_FC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718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IMA_AL26_52-26_N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719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IMA_AL26_52-26_81SU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720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IMA_AL26_52-26_81E1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721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IMA_AL26_52-26_81E2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722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IMA_AL26_52-26_81E3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723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IMA_AL26_52-26_81E4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724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IMA_AL26_52-26_81E5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725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IMA_AL26_52-26_43LR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726</v>
      </c>
    </row>
    <row r="53" spans="1:14" x14ac:dyDescent="0.25">
      <c r="A53" s="6" t="s">
        <v>190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IMA_AL26_52-26_43TC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727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IMA_AL26_52-26_50F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728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IMA_AL26_52-26_50N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729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IMA_AL26_52-26_51F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730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IMA_AL26_52-26_51FN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731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IMA_AL26_52-26_79OK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732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IMA_AL26_52-26_79RE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733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IMA_AL26_52-26_79_1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734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IMA_AL26_52-26_62BF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735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IMA_AL26_52-26_DR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736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IMA_AL26_52-26_BBAB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737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IMA_AL26_52-26_BBFC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738</v>
      </c>
    </row>
    <row r="65" spans="1:14" x14ac:dyDescent="0.25">
      <c r="A65" s="6" t="s">
        <v>190</v>
      </c>
      <c r="B65" s="6" t="str">
        <f>Informações!$C$3</f>
        <v>IMA</v>
      </c>
      <c r="C65" s="6" t="s">
        <v>89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IMA_AL26_52-26_SGFT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739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IMA_AL26_52-26_MOLA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740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IMA_AL26_52-26_FUTP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741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IMA_AL26_52-26_FCOM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742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IMA_AL26_52-26_CCMO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743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IMA_AL26_52-26_CCCO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744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89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IMA_AL26_52-26_79LO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25'!N74+1</f>
        <v>1048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IMA_AL26_52-26_SGF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1049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IMA_AL26_52-26_TEXT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1050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IMA_AL26_52-26_FSIH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1051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IMA_AL26_52-26_FGOO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745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50" priority="1" operator="equal">
      <formula>"D"</formula>
    </cfRule>
    <cfRule type="cellIs" dxfId="49" priority="2" operator="equal">
      <formula>"C"</formula>
    </cfRule>
    <cfRule type="cellIs" dxfId="48" priority="3" operator="equal">
      <formula>"A"</formula>
    </cfRule>
  </conditionalFormatting>
  <conditionalFormatting sqref="E77:E1048576">
    <cfRule type="cellIs" dxfId="47" priority="46" operator="equal">
      <formula>"D"</formula>
    </cfRule>
    <cfRule type="cellIs" dxfId="46" priority="47" operator="equal">
      <formula>"C"</formula>
    </cfRule>
    <cfRule type="cellIs" dxfId="45" priority="48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82A2C4-3F5A-4973-B61D-A336849E6EF1}">
          <x14:formula1>
            <xm:f>Lista!$D$2:$D$4</xm:f>
          </x14:formula1>
          <xm:sqref>M78 M10:M74</xm:sqref>
        </x14:dataValidation>
        <x14:dataValidation type="list" allowBlank="1" showInputMessage="1" showErrorMessage="1" xr:uid="{D84A4746-32BA-42E4-91CF-6A82107418BD}">
          <x14:formula1>
            <xm:f>Lista!$E$2:$E$4</xm:f>
          </x14:formula1>
          <xm:sqref>I78 I10:I74</xm:sqref>
        </x14:dataValidation>
        <x14:dataValidation type="list" allowBlank="1" showInputMessage="1" showErrorMessage="1" xr:uid="{7091A814-DAAF-495A-A85C-20406178BAF1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3473EE7E-44BF-4DC4-ACE7-4CCF0744981B}">
          <x14:formula1>
            <xm:f>Lista!$B$2:$B$3</xm:f>
          </x14:formula1>
          <xm:sqref>A78 A10:A74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1FEA-5DD7-4EF2-B533-9B6B7003A0E8}">
  <sheetPr>
    <tabColor theme="6"/>
  </sheetPr>
  <dimension ref="A1:N78"/>
  <sheetViews>
    <sheetView topLeftCell="A47" zoomScale="80" zoomScaleNormal="80" workbookViewId="0">
      <selection activeCell="N22" sqref="F22:N2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88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29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39" t="s">
        <v>397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2" t="s">
        <v>31</v>
      </c>
      <c r="B5" s="109" t="s">
        <v>399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398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400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94" t="s">
        <v>364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IMA_TRF29_TRF29_IA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'AL 26'!N20+1</f>
        <v>169</v>
      </c>
    </row>
    <row r="11" spans="1:14" x14ac:dyDescent="0.25">
      <c r="A11" s="6" t="s">
        <v>190</v>
      </c>
      <c r="B11" s="6" t="str">
        <f>Informações!$C$3</f>
        <v>IMA</v>
      </c>
      <c r="C11" s="94" t="s">
        <v>364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IMA_TRF29_TRF29_IB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170</v>
      </c>
    </row>
    <row r="12" spans="1:14" x14ac:dyDescent="0.25">
      <c r="A12" s="6" t="s">
        <v>190</v>
      </c>
      <c r="B12" s="6" t="str">
        <f>Informações!$C$3</f>
        <v>IMA</v>
      </c>
      <c r="C12" s="94" t="s">
        <v>364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IMA_TRF29_TRF29_IC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20" si="0">N11+1</f>
        <v>171</v>
      </c>
    </row>
    <row r="13" spans="1:14" x14ac:dyDescent="0.25">
      <c r="A13" s="6" t="s">
        <v>190</v>
      </c>
      <c r="B13" s="6" t="str">
        <f>Informações!$C$3</f>
        <v>IMA</v>
      </c>
      <c r="C13" s="94" t="s">
        <v>364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IMA_TRF29_TRF29_IN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172</v>
      </c>
    </row>
    <row r="14" spans="1:14" x14ac:dyDescent="0.25">
      <c r="A14" s="6" t="s">
        <v>190</v>
      </c>
      <c r="B14" s="6" t="str">
        <f>Informações!$C$3</f>
        <v>IMA</v>
      </c>
      <c r="C14" s="94" t="s">
        <v>364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IMA_TRF29_TRF29_V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173</v>
      </c>
    </row>
    <row r="15" spans="1:14" x14ac:dyDescent="0.25">
      <c r="A15" s="6" t="s">
        <v>190</v>
      </c>
      <c r="B15" s="6" t="str">
        <f>Informações!$C$3</f>
        <v>IMA</v>
      </c>
      <c r="C15" s="94" t="s">
        <v>364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IMA_TRF29_TRF29_P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174</v>
      </c>
    </row>
    <row r="16" spans="1:14" x14ac:dyDescent="0.25">
      <c r="A16" s="6" t="s">
        <v>190</v>
      </c>
      <c r="B16" s="6" t="str">
        <f>Informações!$C$3</f>
        <v>IMA</v>
      </c>
      <c r="C16" s="94" t="s">
        <v>364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IMA_TRF29_TRF29_Q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175</v>
      </c>
    </row>
    <row r="17" spans="1:14" x14ac:dyDescent="0.25">
      <c r="A17" s="6" t="s">
        <v>190</v>
      </c>
      <c r="B17" s="6" t="str">
        <f>Informações!$C$3</f>
        <v>IMA</v>
      </c>
      <c r="C17" s="94" t="s">
        <v>364</v>
      </c>
      <c r="D17" s="6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IMA_TRF29_TRF29_IACC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6">
        <f t="shared" si="0"/>
        <v>176</v>
      </c>
    </row>
    <row r="18" spans="1:14" x14ac:dyDescent="0.25">
      <c r="A18" s="6" t="s">
        <v>190</v>
      </c>
      <c r="B18" s="6" t="str">
        <f>Informações!$C$3</f>
        <v>IMA</v>
      </c>
      <c r="C18" s="94" t="s">
        <v>364</v>
      </c>
      <c r="D18" s="6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IMA_TRF29_TRF29_IBCC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6">
        <f t="shared" si="0"/>
        <v>177</v>
      </c>
    </row>
    <row r="19" spans="1:14" x14ac:dyDescent="0.25">
      <c r="A19" s="6" t="s">
        <v>190</v>
      </c>
      <c r="B19" s="6" t="str">
        <f>Informações!$C$3</f>
        <v>IMA</v>
      </c>
      <c r="C19" s="94" t="s">
        <v>364</v>
      </c>
      <c r="D19" s="6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IMA_TRF29_TRF29_ICCC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6">
        <f t="shared" si="0"/>
        <v>178</v>
      </c>
    </row>
    <row r="20" spans="1:14" x14ac:dyDescent="0.25">
      <c r="A20" s="6" t="s">
        <v>190</v>
      </c>
      <c r="B20" s="6" t="str">
        <f>Informações!$C$3</f>
        <v>IMA</v>
      </c>
      <c r="C20" s="94" t="s">
        <v>364</v>
      </c>
      <c r="D20" s="6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IMA_TRF29_TRF29_INCC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6">
        <f t="shared" si="0"/>
        <v>179</v>
      </c>
    </row>
    <row r="21" spans="1:14" x14ac:dyDescent="0.25">
      <c r="A21" s="6" t="s">
        <v>190</v>
      </c>
      <c r="B21" s="6" t="str">
        <f>Informações!$C$3</f>
        <v>IMA</v>
      </c>
      <c r="C21" s="94" t="s">
        <v>364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IMA_TRF29_24-2_DJF1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VALUE(LEFT('AL 26'!N30, FIND(";",'AL 26'!N30)-1)) + 1 &amp; ";" &amp; VALUE(LEFT('AL 26'!N30, FIND(";",'AL 26'!N30)-1)) + 1</f>
        <v>138;138</v>
      </c>
    </row>
    <row r="22" spans="1:14" x14ac:dyDescent="0.25">
      <c r="A22" s="6" t="s">
        <v>190</v>
      </c>
      <c r="B22" s="6" t="str">
        <f>Informações!$C$3</f>
        <v>IMA</v>
      </c>
      <c r="C22" s="94" t="s">
        <v>364</v>
      </c>
      <c r="D22" s="6" t="s">
        <v>30</v>
      </c>
      <c r="E22" s="2" t="s">
        <v>24</v>
      </c>
      <c r="F22" s="6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IMA_TRF29_24-2_2649</v>
      </c>
      <c r="I22" s="6"/>
      <c r="J22" s="6"/>
      <c r="K22" s="6"/>
      <c r="L22" s="6" t="s">
        <v>188</v>
      </c>
      <c r="M22" s="6"/>
      <c r="N22" s="6" t="str">
        <f t="shared" ref="N22" si="1">VALUE(LEFT(N21, FIND(";",N21)-1)) + 1 &amp; ";" &amp; VALUE(LEFT(N21, FIND(";",N21)-1)) + 1</f>
        <v>139;139</v>
      </c>
    </row>
    <row r="23" spans="1:14" x14ac:dyDescent="0.25">
      <c r="A23" s="6" t="s">
        <v>190</v>
      </c>
      <c r="B23" s="6" t="str">
        <f>Informações!$C$3</f>
        <v>IMA</v>
      </c>
      <c r="C23" s="94" t="s">
        <v>364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IMA_TRF29_24-2_79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2">VALUE(LEFT(N22, FIND(";",N22)-1)) + 1 &amp; ";" &amp; VALUE(LEFT(N22, FIND(";",N22)-1)) + 1</f>
        <v>140;140</v>
      </c>
    </row>
    <row r="24" spans="1:14" x14ac:dyDescent="0.25">
      <c r="A24" s="6" t="s">
        <v>190</v>
      </c>
      <c r="B24" s="6" t="str">
        <f>Informações!$C$3</f>
        <v>IMA</v>
      </c>
      <c r="C24" s="94" t="s">
        <v>364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IMA_TRF29_24-2_51N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2"/>
        <v>141;141</v>
      </c>
    </row>
    <row r="25" spans="1:14" x14ac:dyDescent="0.25">
      <c r="A25" s="6" t="s">
        <v>190</v>
      </c>
      <c r="B25" s="6" t="str">
        <f>Informações!$C$3</f>
        <v>IMA</v>
      </c>
      <c r="C25" s="94" t="s">
        <v>364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IMA_TRF29_24-2_81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2"/>
        <v>142;142</v>
      </c>
    </row>
    <row r="26" spans="1:14" x14ac:dyDescent="0.25">
      <c r="A26" s="6" t="s">
        <v>190</v>
      </c>
      <c r="B26" s="6" t="str">
        <f>Informações!$C$3</f>
        <v>IMA</v>
      </c>
      <c r="C26" s="94" t="s">
        <v>364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IMA_TRF29_24-2_81U1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2"/>
        <v>143;143</v>
      </c>
    </row>
    <row r="27" spans="1:14" x14ac:dyDescent="0.25">
      <c r="A27" s="6" t="s">
        <v>190</v>
      </c>
      <c r="B27" s="6" t="str">
        <f>Informações!$C$3</f>
        <v>IMA</v>
      </c>
      <c r="C27" s="94" t="s">
        <v>364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IMA_TRF29_24-2_81U2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2"/>
        <v>144;144</v>
      </c>
    </row>
    <row r="28" spans="1:14" x14ac:dyDescent="0.25">
      <c r="A28" s="6" t="s">
        <v>190</v>
      </c>
      <c r="B28" s="6" t="str">
        <f>Informações!$C$3</f>
        <v>IMA</v>
      </c>
      <c r="C28" s="94" t="s">
        <v>364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IMA_TRF29_24-2_81U3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2"/>
        <v>145;145</v>
      </c>
    </row>
    <row r="29" spans="1:14" x14ac:dyDescent="0.25">
      <c r="A29" s="6" t="s">
        <v>190</v>
      </c>
      <c r="B29" s="6" t="str">
        <f>Informações!$C$3</f>
        <v>IMA</v>
      </c>
      <c r="C29" s="94" t="s">
        <v>364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IMA_TRF29_24-2_81U4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2"/>
        <v>146;146</v>
      </c>
    </row>
    <row r="30" spans="1:14" x14ac:dyDescent="0.25">
      <c r="A30" s="6" t="s">
        <v>190</v>
      </c>
      <c r="B30" s="6" t="str">
        <f>Informações!$C$3</f>
        <v>IMA</v>
      </c>
      <c r="C30" s="94" t="s">
        <v>364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IMA_TRF29_24-2_81U5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2"/>
        <v>147;147</v>
      </c>
    </row>
    <row r="31" spans="1:14" x14ac:dyDescent="0.25">
      <c r="A31" s="95" t="s">
        <v>190</v>
      </c>
      <c r="B31" s="95" t="str">
        <f>Informações!$C$3</f>
        <v>IMA</v>
      </c>
      <c r="C31" s="95" t="s">
        <v>364</v>
      </c>
      <c r="D31" s="95" t="s">
        <v>30</v>
      </c>
      <c r="E31" s="2" t="s">
        <v>24</v>
      </c>
      <c r="F31" s="95" t="str">
        <f>VLOOKUP(G31,[1]Discrete!$A:$B,2,FALSE)</f>
        <v>FUNCAO SGF</v>
      </c>
      <c r="G31" s="6" t="s">
        <v>735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IMA_TRF29_24-2_SGF</v>
      </c>
      <c r="I31" s="6" t="s">
        <v>188</v>
      </c>
      <c r="J31" s="6" t="s">
        <v>188</v>
      </c>
      <c r="K31" s="6" t="s">
        <v>188</v>
      </c>
      <c r="L31" s="6" t="s">
        <v>188</v>
      </c>
      <c r="M31" s="6"/>
      <c r="N31" s="95">
        <f>'AL 26'!N31+1</f>
        <v>1073</v>
      </c>
    </row>
    <row r="32" spans="1:14" x14ac:dyDescent="0.25">
      <c r="A32" s="6" t="s">
        <v>190</v>
      </c>
      <c r="B32" s="6" t="str">
        <f>Informações!$C$3</f>
        <v>IMA</v>
      </c>
      <c r="C32" s="94" t="s">
        <v>364</v>
      </c>
      <c r="D32" s="6" t="s">
        <v>30</v>
      </c>
      <c r="E32" s="2" t="s">
        <v>25</v>
      </c>
      <c r="F32" s="104" t="str">
        <f>VLOOKUP(G32,[1]Discrete!$A:$B,2,FALSE)</f>
        <v>DISJUNTOR NF</v>
      </c>
      <c r="G32" s="6" t="s">
        <v>34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IMA_TRF29_24-2_DJF1</v>
      </c>
      <c r="I32" s="6"/>
      <c r="J32" s="104" t="s">
        <v>284</v>
      </c>
      <c r="K32" s="104" t="s">
        <v>286</v>
      </c>
      <c r="L32" s="6" t="s">
        <v>188</v>
      </c>
      <c r="M32" s="6" t="s">
        <v>188</v>
      </c>
      <c r="N32" s="104" t="str">
        <f>VALUE(LEFT('AL 26'!N32, FIND(";",'AL 26'!N32)-1)) + 2 &amp; ";" &amp; VALUE(LEFT('AL 26'!N32, FIND(";",'AL 26'!N32)-1)) + 3</f>
        <v>1162;1163</v>
      </c>
    </row>
    <row r="33" spans="1:14" x14ac:dyDescent="0.25">
      <c r="A33" s="6" t="s">
        <v>190</v>
      </c>
      <c r="B33" s="6" t="str">
        <f>Informações!$C$3</f>
        <v>IMA</v>
      </c>
      <c r="C33" s="94" t="s">
        <v>364</v>
      </c>
      <c r="D33" s="6" t="s">
        <v>30</v>
      </c>
      <c r="E33" s="2" t="s">
        <v>25</v>
      </c>
      <c r="F33" s="6" t="e">
        <f>VLOOKUP(G33,[1]Discrete!$A:$B,2,FALSE)</f>
        <v>#N/A</v>
      </c>
      <c r="G33" s="6">
        <v>79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IMA_TRF29_24-2_79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v>747</v>
      </c>
    </row>
    <row r="34" spans="1:14" x14ac:dyDescent="0.25">
      <c r="A34" s="6" t="s">
        <v>190</v>
      </c>
      <c r="B34" s="6" t="str">
        <f>Informações!$C$3</f>
        <v>IMA</v>
      </c>
      <c r="C34" s="94" t="s">
        <v>364</v>
      </c>
      <c r="D34" s="6" t="s">
        <v>30</v>
      </c>
      <c r="E34" s="2" t="s">
        <v>25</v>
      </c>
      <c r="F34" s="6" t="str">
        <f>VLOOKUP(G34,[1]Discrete!$A:$B,2,FALSE)</f>
        <v>51 - FUNCAO SOBRECORRENTE TEMPORIZADA NEUTRO</v>
      </c>
      <c r="G34" s="6" t="s">
        <v>35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IMA_TRF29_24-2_51N</v>
      </c>
      <c r="I34" s="6"/>
      <c r="J34" s="6" t="s">
        <v>183</v>
      </c>
      <c r="K34" s="6" t="s">
        <v>184</v>
      </c>
      <c r="L34" s="6" t="s">
        <v>188</v>
      </c>
      <c r="M34" s="6" t="s">
        <v>188</v>
      </c>
      <c r="N34" s="6">
        <f t="shared" ref="N34:N70" si="3">N33+1</f>
        <v>748</v>
      </c>
    </row>
    <row r="35" spans="1:14" x14ac:dyDescent="0.25">
      <c r="A35" s="6" t="s">
        <v>190</v>
      </c>
      <c r="B35" s="6" t="str">
        <f>Informações!$C$3</f>
        <v>IMA</v>
      </c>
      <c r="C35" s="94" t="s">
        <v>364</v>
      </c>
      <c r="D35" s="6" t="s">
        <v>30</v>
      </c>
      <c r="E35" s="2" t="s">
        <v>25</v>
      </c>
      <c r="F35" s="6" t="e">
        <f>VLOOKUP(G35,[1]Discrete!$A:$B,2,FALSE)</f>
        <v>#N/A</v>
      </c>
      <c r="G35" s="6">
        <v>81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IMA_TRF29_24-2_81</v>
      </c>
      <c r="I35" s="6"/>
      <c r="J35" s="94" t="s">
        <v>183</v>
      </c>
      <c r="K35" s="94" t="s">
        <v>184</v>
      </c>
      <c r="L35" s="6" t="s">
        <v>188</v>
      </c>
      <c r="M35" s="6" t="s">
        <v>188</v>
      </c>
      <c r="N35" s="6">
        <f t="shared" si="3"/>
        <v>749</v>
      </c>
    </row>
    <row r="36" spans="1:14" x14ac:dyDescent="0.25">
      <c r="A36" s="6" t="s">
        <v>190</v>
      </c>
      <c r="B36" s="6" t="str">
        <f>Informações!$C$3</f>
        <v>IMA</v>
      </c>
      <c r="C36" s="94" t="s">
        <v>364</v>
      </c>
      <c r="D36" s="6" t="s">
        <v>30</v>
      </c>
      <c r="E36" s="2" t="s">
        <v>25</v>
      </c>
      <c r="F36" s="6" t="str">
        <f>VLOOKUP(G36,[1]Discrete!$A:$B,2,FALSE)</f>
        <v>AJUSTE PARA 81 E1</v>
      </c>
      <c r="G36" s="17" t="s">
        <v>72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IMA_TRF29_24-2_81U1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3"/>
        <v>750</v>
      </c>
    </row>
    <row r="37" spans="1:14" x14ac:dyDescent="0.25">
      <c r="A37" s="6" t="s">
        <v>190</v>
      </c>
      <c r="B37" s="6" t="str">
        <f>Informações!$C$3</f>
        <v>IMA</v>
      </c>
      <c r="C37" s="94" t="s">
        <v>364</v>
      </c>
      <c r="D37" s="6" t="s">
        <v>30</v>
      </c>
      <c r="E37" s="2" t="s">
        <v>25</v>
      </c>
      <c r="F37" s="6" t="str">
        <f>VLOOKUP(G37,[1]Discrete!$A:$B,2,FALSE)</f>
        <v>AJUSTE PARA 81 E2</v>
      </c>
      <c r="G37" s="17" t="s">
        <v>73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IMA_TRF29_24-2_81U2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3"/>
        <v>751</v>
      </c>
    </row>
    <row r="38" spans="1:14" x14ac:dyDescent="0.25">
      <c r="A38" s="6" t="s">
        <v>190</v>
      </c>
      <c r="B38" s="6" t="str">
        <f>Informações!$C$3</f>
        <v>IMA</v>
      </c>
      <c r="C38" s="94" t="s">
        <v>364</v>
      </c>
      <c r="D38" s="6" t="s">
        <v>30</v>
      </c>
      <c r="E38" s="2" t="s">
        <v>25</v>
      </c>
      <c r="F38" s="6" t="str">
        <f>VLOOKUP(G38,[1]Discrete!$A:$B,2,FALSE)</f>
        <v>AJUSTE PARA 81 E3</v>
      </c>
      <c r="G38" s="17" t="s">
        <v>74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IMA_TRF29_24-2_81U3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3"/>
        <v>752</v>
      </c>
    </row>
    <row r="39" spans="1:14" x14ac:dyDescent="0.25">
      <c r="A39" s="6" t="s">
        <v>190</v>
      </c>
      <c r="B39" s="6" t="str">
        <f>Informações!$C$3</f>
        <v>IMA</v>
      </c>
      <c r="C39" s="94" t="s">
        <v>364</v>
      </c>
      <c r="D39" s="6" t="s">
        <v>30</v>
      </c>
      <c r="E39" s="2" t="s">
        <v>25</v>
      </c>
      <c r="F39" s="6" t="str">
        <f>VLOOKUP(G39,[1]Discrete!$A:$B,2,FALSE)</f>
        <v>AJUSTE PARA 81 E4</v>
      </c>
      <c r="G39" s="17" t="s">
        <v>75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IMA_TRF29_24-2_81U4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3"/>
        <v>753</v>
      </c>
    </row>
    <row r="40" spans="1:14" x14ac:dyDescent="0.25">
      <c r="A40" s="6" t="s">
        <v>190</v>
      </c>
      <c r="B40" s="6" t="str">
        <f>Informações!$C$3</f>
        <v>IMA</v>
      </c>
      <c r="C40" s="94" t="s">
        <v>364</v>
      </c>
      <c r="D40" s="6" t="s">
        <v>30</v>
      </c>
      <c r="E40" s="2" t="s">
        <v>25</v>
      </c>
      <c r="F40" s="6" t="s">
        <v>296</v>
      </c>
      <c r="G40" s="17" t="s">
        <v>76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IMA_TRF29_24-2_81U5</v>
      </c>
      <c r="I40" s="6"/>
      <c r="J40" s="94" t="s">
        <v>184</v>
      </c>
      <c r="K40" s="94" t="s">
        <v>183</v>
      </c>
      <c r="L40" s="6" t="s">
        <v>188</v>
      </c>
      <c r="M40" s="6" t="s">
        <v>188</v>
      </c>
      <c r="N40" s="6">
        <f t="shared" si="3"/>
        <v>754</v>
      </c>
    </row>
    <row r="41" spans="1:14" x14ac:dyDescent="0.25">
      <c r="A41" s="6" t="s">
        <v>190</v>
      </c>
      <c r="B41" s="6" t="str">
        <f>Informações!$C$3</f>
        <v>IMA</v>
      </c>
      <c r="C41" s="94" t="s">
        <v>364</v>
      </c>
      <c r="D41" s="6" t="s">
        <v>30</v>
      </c>
      <c r="E41" s="2" t="s">
        <v>25</v>
      </c>
      <c r="F41" s="94" t="e">
        <f>VLOOKUP(G41,[1]Discrete!$A:$B,2,FALSE)</f>
        <v>#N/A</v>
      </c>
      <c r="G41" s="6">
        <v>2649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IMA_TRF29_24-2_2649</v>
      </c>
      <c r="I41" s="6"/>
      <c r="J41" s="94" t="s">
        <v>184</v>
      </c>
      <c r="K41" s="94" t="s">
        <v>183</v>
      </c>
      <c r="L41" s="6" t="s">
        <v>188</v>
      </c>
      <c r="M41" s="6" t="s">
        <v>188</v>
      </c>
      <c r="N41" s="6">
        <f t="shared" si="3"/>
        <v>755</v>
      </c>
    </row>
    <row r="42" spans="1:14" x14ac:dyDescent="0.25">
      <c r="A42" s="6" t="s">
        <v>190</v>
      </c>
      <c r="B42" s="6" t="str">
        <f>Informações!$C$3</f>
        <v>IMA</v>
      </c>
      <c r="C42" s="94" t="s">
        <v>364</v>
      </c>
      <c r="D42" s="6" t="s">
        <v>30</v>
      </c>
      <c r="E42" s="2" t="s">
        <v>25</v>
      </c>
      <c r="F42" s="6" t="str">
        <f>VLOOKUP(G42,[1]Discrete!$A:$B,2,FALSE)</f>
        <v>FASE A</v>
      </c>
      <c r="G42" s="6" t="s">
        <v>54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IMA_TRF29_24-2_FA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3"/>
        <v>756</v>
      </c>
    </row>
    <row r="43" spans="1:14" x14ac:dyDescent="0.25">
      <c r="A43" s="6" t="s">
        <v>190</v>
      </c>
      <c r="B43" s="6" t="str">
        <f>Informações!$C$3</f>
        <v>IMA</v>
      </c>
      <c r="C43" s="94" t="s">
        <v>364</v>
      </c>
      <c r="D43" s="6" t="s">
        <v>30</v>
      </c>
      <c r="E43" s="2" t="s">
        <v>25</v>
      </c>
      <c r="F43" s="6" t="str">
        <f>VLOOKUP(G43,[1]Discrete!$A:$B,2,FALSE)</f>
        <v>FASE B</v>
      </c>
      <c r="G43" s="6" t="s">
        <v>55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IMA_TRF29_24-2_FB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3"/>
        <v>757</v>
      </c>
    </row>
    <row r="44" spans="1:14" x14ac:dyDescent="0.25">
      <c r="A44" s="6" t="s">
        <v>190</v>
      </c>
      <c r="B44" s="6" t="str">
        <f>Informações!$C$3</f>
        <v>IMA</v>
      </c>
      <c r="C44" s="94" t="s">
        <v>364</v>
      </c>
      <c r="D44" s="6" t="s">
        <v>30</v>
      </c>
      <c r="E44" s="2" t="s">
        <v>25</v>
      </c>
      <c r="F44" s="6" t="str">
        <f>VLOOKUP(G44,[1]Discrete!$A:$B,2,FALSE)</f>
        <v>FASE C</v>
      </c>
      <c r="G44" s="6" t="s">
        <v>56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IMA_TRF29_24-2_FC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3"/>
        <v>758</v>
      </c>
    </row>
    <row r="45" spans="1:14" x14ac:dyDescent="0.25">
      <c r="A45" s="6" t="s">
        <v>190</v>
      </c>
      <c r="B45" s="6" t="str">
        <f>Informações!$C$3</f>
        <v>IMA</v>
      </c>
      <c r="C45" s="94" t="s">
        <v>364</v>
      </c>
      <c r="D45" s="6" t="s">
        <v>30</v>
      </c>
      <c r="E45" s="2" t="s">
        <v>25</v>
      </c>
      <c r="F45" s="6" t="str">
        <f>VLOOKUP(G45,[1]Discrete!$A:$B,2,FALSE)</f>
        <v>NEUTRO</v>
      </c>
      <c r="G45" s="6" t="s">
        <v>420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IMA_TRF29_24-2_N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3"/>
        <v>759</v>
      </c>
    </row>
    <row r="46" spans="1:14" x14ac:dyDescent="0.25">
      <c r="A46" s="6" t="s">
        <v>190</v>
      </c>
      <c r="B46" s="6" t="str">
        <f>Informações!$C$3</f>
        <v>IMA</v>
      </c>
      <c r="C46" s="94" t="s">
        <v>364</v>
      </c>
      <c r="D46" s="6" t="s">
        <v>30</v>
      </c>
      <c r="E46" s="2" t="s">
        <v>25</v>
      </c>
      <c r="F46" s="6" t="str">
        <f>VLOOKUP(G46,[1]Discrete!$A:$B,2,FALSE)</f>
        <v>81 - TRIP SUB FREQUENCIA</v>
      </c>
      <c r="G46" s="6" t="s">
        <v>71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IMA_TRF29_24-2_81SU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3"/>
        <v>760</v>
      </c>
    </row>
    <row r="47" spans="1:14" x14ac:dyDescent="0.25">
      <c r="A47" s="6" t="s">
        <v>190</v>
      </c>
      <c r="B47" s="6" t="str">
        <f>Informações!$C$3</f>
        <v>IMA</v>
      </c>
      <c r="C47" s="94" t="s">
        <v>364</v>
      </c>
      <c r="D47" s="6" t="s">
        <v>30</v>
      </c>
      <c r="E47" s="2" t="s">
        <v>25</v>
      </c>
      <c r="F47" s="6" t="str">
        <f>VLOOKUP(G47,[1]Discrete!$A:$B,2,FALSE)</f>
        <v>81 - TRIP SUB/SOBRE FREQUENCIA E1</v>
      </c>
      <c r="G47" s="17" t="s">
        <v>353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IMA_TRF29_24-2_81E1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3"/>
        <v>761</v>
      </c>
    </row>
    <row r="48" spans="1:14" x14ac:dyDescent="0.25">
      <c r="A48" s="6" t="s">
        <v>190</v>
      </c>
      <c r="B48" s="6" t="str">
        <f>Informações!$C$3</f>
        <v>IMA</v>
      </c>
      <c r="C48" s="94" t="s">
        <v>364</v>
      </c>
      <c r="D48" s="6" t="s">
        <v>30</v>
      </c>
      <c r="E48" s="2" t="s">
        <v>25</v>
      </c>
      <c r="F48" s="6" t="str">
        <f>VLOOKUP(G48,[1]Discrete!$A:$B,2,FALSE)</f>
        <v>81 - TRIP SUB/SOBRE FREQUENCIA E2</v>
      </c>
      <c r="G48" s="17" t="s">
        <v>354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IMA_TRF29_24-2_81E2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3"/>
        <v>762</v>
      </c>
    </row>
    <row r="49" spans="1:14" x14ac:dyDescent="0.25">
      <c r="A49" s="6" t="s">
        <v>190</v>
      </c>
      <c r="B49" s="6" t="str">
        <f>Informações!$C$3</f>
        <v>IMA</v>
      </c>
      <c r="C49" s="94" t="s">
        <v>364</v>
      </c>
      <c r="D49" s="6" t="s">
        <v>30</v>
      </c>
      <c r="E49" s="2" t="s">
        <v>25</v>
      </c>
      <c r="F49" s="6" t="str">
        <f>VLOOKUP(G49,[1]Discrete!$A:$B,2,FALSE)</f>
        <v>81 - TRIP SUB/SOBRE FREQUENCIA E3</v>
      </c>
      <c r="G49" s="17" t="s">
        <v>355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IMA_TRF29_24-2_81E3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3"/>
        <v>763</v>
      </c>
    </row>
    <row r="50" spans="1:14" x14ac:dyDescent="0.25">
      <c r="A50" s="6" t="s">
        <v>190</v>
      </c>
      <c r="B50" s="6" t="str">
        <f>Informações!$C$3</f>
        <v>IMA</v>
      </c>
      <c r="C50" s="94" t="s">
        <v>364</v>
      </c>
      <c r="D50" s="6" t="s">
        <v>30</v>
      </c>
      <c r="E50" s="2" t="s">
        <v>25</v>
      </c>
      <c r="F50" s="6" t="str">
        <f>VLOOKUP(G50,[1]Discrete!$A:$B,2,FALSE)</f>
        <v>81 - TRIP SUB/SOBRE FREQUENCIA E4</v>
      </c>
      <c r="G50" s="17" t="s">
        <v>356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IMA_TRF29_24-2_81E4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3"/>
        <v>764</v>
      </c>
    </row>
    <row r="51" spans="1:14" x14ac:dyDescent="0.25">
      <c r="A51" s="6" t="s">
        <v>190</v>
      </c>
      <c r="B51" s="6" t="str">
        <f>Informações!$C$3</f>
        <v>IMA</v>
      </c>
      <c r="C51" s="94" t="s">
        <v>364</v>
      </c>
      <c r="D51" s="6" t="s">
        <v>30</v>
      </c>
      <c r="E51" s="2" t="s">
        <v>25</v>
      </c>
      <c r="F51" s="6" t="s">
        <v>358</v>
      </c>
      <c r="G51" s="17" t="s">
        <v>357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IMA_TRF29_24-2_81E5</v>
      </c>
      <c r="I51" s="6"/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si="3"/>
        <v>765</v>
      </c>
    </row>
    <row r="52" spans="1:14" x14ac:dyDescent="0.25">
      <c r="A52" s="6" t="s">
        <v>190</v>
      </c>
      <c r="B52" s="6" t="str">
        <f>Informações!$C$3</f>
        <v>IMA</v>
      </c>
      <c r="C52" s="94" t="s">
        <v>364</v>
      </c>
      <c r="D52" s="6" t="s">
        <v>30</v>
      </c>
      <c r="E52" s="2" t="s">
        <v>25</v>
      </c>
      <c r="F52" s="6" t="str">
        <f>VLOOKUP(G52,[1]Discrete!$A:$B,2,FALSE)</f>
        <v>43 - CHAVE LOCAL REMOTO</v>
      </c>
      <c r="G52" s="6" t="s">
        <v>39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IMA_TRF29_24-2_43LR</v>
      </c>
      <c r="I52" s="6"/>
      <c r="J52" s="94" t="s">
        <v>186</v>
      </c>
      <c r="K52" s="94" t="s">
        <v>185</v>
      </c>
      <c r="L52" s="6" t="s">
        <v>188</v>
      </c>
      <c r="M52" s="6" t="s">
        <v>188</v>
      </c>
      <c r="N52" s="6">
        <f t="shared" si="3"/>
        <v>766</v>
      </c>
    </row>
    <row r="53" spans="1:14" x14ac:dyDescent="0.25">
      <c r="A53" s="6" t="s">
        <v>190</v>
      </c>
      <c r="B53" s="6" t="str">
        <f>Informações!$C$3</f>
        <v>IMA</v>
      </c>
      <c r="C53" s="94" t="s">
        <v>364</v>
      </c>
      <c r="D53" s="6" t="s">
        <v>30</v>
      </c>
      <c r="E53" s="2" t="s">
        <v>25</v>
      </c>
      <c r="F53" s="6" t="str">
        <f>VLOOKUP(G53,[1]Discrete!$A:$B,2,FALSE)</f>
        <v>43 - CHAVE TELECOMANDO</v>
      </c>
      <c r="G53" s="6" t="s">
        <v>40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IMA_TRF29_24-2_43TC</v>
      </c>
      <c r="I53" s="6"/>
      <c r="J53" s="6" t="s">
        <v>183</v>
      </c>
      <c r="K53" s="6" t="s">
        <v>184</v>
      </c>
      <c r="L53" s="6" t="s">
        <v>188</v>
      </c>
      <c r="M53" s="6" t="s">
        <v>188</v>
      </c>
      <c r="N53" s="6">
        <f t="shared" si="3"/>
        <v>767</v>
      </c>
    </row>
    <row r="54" spans="1:14" x14ac:dyDescent="0.25">
      <c r="A54" s="6" t="s">
        <v>190</v>
      </c>
      <c r="B54" s="6" t="str">
        <f>Informações!$C$3</f>
        <v>IMA</v>
      </c>
      <c r="C54" s="94" t="s">
        <v>364</v>
      </c>
      <c r="D54" s="6" t="s">
        <v>30</v>
      </c>
      <c r="E54" s="2" t="s">
        <v>25</v>
      </c>
      <c r="F54" s="6" t="str">
        <f>VLOOKUP(G54,[1]Discrete!$A:$B,2,FALSE)</f>
        <v>50 - SOBRECORRENTE INSTANTANEA FASE</v>
      </c>
      <c r="G54" s="6" t="s">
        <v>416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IMA_TRF29_24-2_50F</v>
      </c>
      <c r="I54" s="6"/>
      <c r="J54" s="6" t="s">
        <v>182</v>
      </c>
      <c r="K54" s="6" t="s">
        <v>179</v>
      </c>
      <c r="L54" s="6" t="s">
        <v>188</v>
      </c>
      <c r="M54" s="6" t="s">
        <v>188</v>
      </c>
      <c r="N54" s="6">
        <f t="shared" si="3"/>
        <v>768</v>
      </c>
    </row>
    <row r="55" spans="1:14" x14ac:dyDescent="0.25">
      <c r="A55" s="6" t="s">
        <v>190</v>
      </c>
      <c r="B55" s="6" t="str">
        <f>Informações!$C$3</f>
        <v>IMA</v>
      </c>
      <c r="C55" s="94" t="s">
        <v>364</v>
      </c>
      <c r="D55" s="6" t="s">
        <v>30</v>
      </c>
      <c r="E55" s="2" t="s">
        <v>25</v>
      </c>
      <c r="F55" s="6" t="str">
        <f>VLOOKUP(G55,[1]Discrete!$A:$B,2,FALSE)</f>
        <v>50 - SOBRECORRENTE INSTANTANEA NEUTRO</v>
      </c>
      <c r="G55" s="6" t="s">
        <v>417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IMA_TRF29_24-2_50N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3"/>
        <v>769</v>
      </c>
    </row>
    <row r="56" spans="1:14" x14ac:dyDescent="0.25">
      <c r="A56" s="6" t="s">
        <v>190</v>
      </c>
      <c r="B56" s="6" t="str">
        <f>Informações!$C$3</f>
        <v>IMA</v>
      </c>
      <c r="C56" s="94" t="s">
        <v>364</v>
      </c>
      <c r="D56" s="6" t="s">
        <v>30</v>
      </c>
      <c r="E56" s="2" t="s">
        <v>25</v>
      </c>
      <c r="F56" s="6" t="str">
        <f>VLOOKUP(G56,[1]Discrete!$A:$B,2,FALSE)</f>
        <v>51 - SOBRECORRENTE TEMPORIZADA FASE</v>
      </c>
      <c r="G56" s="6" t="s">
        <v>98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IMA_TRF29_24-2_51F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3"/>
        <v>770</v>
      </c>
    </row>
    <row r="57" spans="1:14" x14ac:dyDescent="0.25">
      <c r="A57" s="6" t="s">
        <v>190</v>
      </c>
      <c r="B57" s="6" t="str">
        <f>Informações!$C$3</f>
        <v>IMA</v>
      </c>
      <c r="C57" s="94" t="s">
        <v>364</v>
      </c>
      <c r="D57" s="6" t="s">
        <v>30</v>
      </c>
      <c r="E57" s="2" t="s">
        <v>25</v>
      </c>
      <c r="F57" s="6" t="str">
        <f>VLOOKUP(G57,[1]Discrete!$A:$B,2,FALSE)</f>
        <v>51 - SOBRECORRENTE TEMPORIZADA FASE NEUTRO</v>
      </c>
      <c r="G57" s="6" t="s">
        <v>427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IMA_TRF29_24-2_51FN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3"/>
        <v>771</v>
      </c>
    </row>
    <row r="58" spans="1:14" x14ac:dyDescent="0.25">
      <c r="A58" s="6" t="s">
        <v>190</v>
      </c>
      <c r="B58" s="6" t="str">
        <f>Informações!$C$3</f>
        <v>IMA</v>
      </c>
      <c r="C58" s="94" t="s">
        <v>364</v>
      </c>
      <c r="D58" s="6" t="s">
        <v>30</v>
      </c>
      <c r="E58" s="2" t="s">
        <v>25</v>
      </c>
      <c r="F58" s="6" t="str">
        <f>VLOOKUP(G58,[1]Discrete!$A:$B,2,FALSE)</f>
        <v>79 - RELIGAMENTO COM SUCESSO</v>
      </c>
      <c r="G58" s="6" t="s">
        <v>46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IMA_TRF29_24-2_79OK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3"/>
        <v>772</v>
      </c>
    </row>
    <row r="59" spans="1:14" x14ac:dyDescent="0.25">
      <c r="A59" s="6" t="s">
        <v>190</v>
      </c>
      <c r="B59" s="6" t="str">
        <f>Informações!$C$3</f>
        <v>IMA</v>
      </c>
      <c r="C59" s="94" t="s">
        <v>364</v>
      </c>
      <c r="D59" s="6" t="s">
        <v>30</v>
      </c>
      <c r="E59" s="2" t="s">
        <v>25</v>
      </c>
      <c r="F59" s="6" t="str">
        <f>VLOOKUP(G59,[1]Discrete!$A:$B,2,FALSE)</f>
        <v>79 - RELIGAMENTO PRONTO</v>
      </c>
      <c r="G59" s="6" t="s">
        <v>47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IMA_TRF29_24-2_79RE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3"/>
        <v>773</v>
      </c>
    </row>
    <row r="60" spans="1:14" x14ac:dyDescent="0.25">
      <c r="A60" s="6" t="s">
        <v>190</v>
      </c>
      <c r="B60" s="6" t="str">
        <f>Informações!$C$3</f>
        <v>IMA</v>
      </c>
      <c r="C60" s="94" t="s">
        <v>364</v>
      </c>
      <c r="D60" s="6" t="s">
        <v>30</v>
      </c>
      <c r="E60" s="2" t="s">
        <v>25</v>
      </c>
      <c r="F60" s="6" t="str">
        <f>VLOOKUP(G60,[1]Discrete!$A:$B,2,FALSE)</f>
        <v>79 - PARTIDA RELIGAMENTO</v>
      </c>
      <c r="G60" s="6" t="s">
        <v>48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IMA_TRF29_24-2_79_1</v>
      </c>
      <c r="I60" s="6"/>
      <c r="J60" s="6" t="s">
        <v>182</v>
      </c>
      <c r="K60" s="6" t="s">
        <v>179</v>
      </c>
      <c r="L60" s="6" t="s">
        <v>188</v>
      </c>
      <c r="M60" s="6" t="s">
        <v>188</v>
      </c>
      <c r="N60" s="6">
        <f t="shared" si="3"/>
        <v>774</v>
      </c>
    </row>
    <row r="61" spans="1:14" x14ac:dyDescent="0.25">
      <c r="A61" s="6" t="s">
        <v>190</v>
      </c>
      <c r="B61" s="6" t="str">
        <f>Informações!$C$3</f>
        <v>IMA</v>
      </c>
      <c r="C61" s="94" t="s">
        <v>364</v>
      </c>
      <c r="D61" s="6" t="s">
        <v>30</v>
      </c>
      <c r="E61" s="2" t="s">
        <v>25</v>
      </c>
      <c r="F61" s="6" t="str">
        <f>VLOOKUP(G61,[1]Discrete!$A:$B,2,FALSE)</f>
        <v>62 - FALHA DISJUNTOR BLOQUEIO</v>
      </c>
      <c r="G61" s="6" t="s">
        <v>44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IMA_TRF29_24-2_62BF</v>
      </c>
      <c r="I61" s="6"/>
      <c r="J61" s="94" t="s">
        <v>182</v>
      </c>
      <c r="K61" s="94" t="s">
        <v>179</v>
      </c>
      <c r="L61" s="6" t="s">
        <v>188</v>
      </c>
      <c r="M61" s="6" t="s">
        <v>188</v>
      </c>
      <c r="N61" s="6">
        <f>N60+1</f>
        <v>775</v>
      </c>
    </row>
    <row r="62" spans="1:14" x14ac:dyDescent="0.25">
      <c r="A62" s="6" t="s">
        <v>190</v>
      </c>
      <c r="B62" s="6" t="str">
        <f>Informações!$C$3</f>
        <v>IMA</v>
      </c>
      <c r="C62" s="94" t="s">
        <v>364</v>
      </c>
      <c r="D62" s="6" t="s">
        <v>30</v>
      </c>
      <c r="E62" s="2" t="s">
        <v>25</v>
      </c>
      <c r="F62" s="6" t="str">
        <f>VLOOKUP(G62,[1]Discrete!$A:$B,2,FALSE)</f>
        <v>DEFEITO RELE</v>
      </c>
      <c r="G62" s="6" t="s">
        <v>51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IMA_TRF29_24-2_DR</v>
      </c>
      <c r="I62" s="6"/>
      <c r="J62" s="6" t="s">
        <v>182</v>
      </c>
      <c r="K62" s="6" t="s">
        <v>181</v>
      </c>
      <c r="L62" s="6" t="s">
        <v>188</v>
      </c>
      <c r="M62" s="6" t="s">
        <v>188</v>
      </c>
      <c r="N62" s="6">
        <f t="shared" ref="N62:N65" si="4">N61+1</f>
        <v>776</v>
      </c>
    </row>
    <row r="63" spans="1:14" x14ac:dyDescent="0.25">
      <c r="A63" s="6" t="s">
        <v>190</v>
      </c>
      <c r="B63" s="6" t="str">
        <f>Informações!$C$3</f>
        <v>IMA</v>
      </c>
      <c r="C63" s="94" t="s">
        <v>364</v>
      </c>
      <c r="D63" s="6" t="s">
        <v>30</v>
      </c>
      <c r="E63" s="2" t="s">
        <v>25</v>
      </c>
      <c r="F63" s="6" t="str">
        <f>VLOOKUP(G63,[1]Discrete!$A:$B,2,FALSE)</f>
        <v>BOBINA ABERTURA</v>
      </c>
      <c r="G63" s="6" t="s">
        <v>41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IMA_TRF29_24-2_BBAB</v>
      </c>
      <c r="I63" s="6"/>
      <c r="J63" s="6" t="s">
        <v>182</v>
      </c>
      <c r="K63" s="6" t="s">
        <v>179</v>
      </c>
      <c r="L63" s="6" t="s">
        <v>188</v>
      </c>
      <c r="M63" s="6" t="s">
        <v>188</v>
      </c>
      <c r="N63" s="6">
        <f t="shared" si="4"/>
        <v>777</v>
      </c>
    </row>
    <row r="64" spans="1:14" x14ac:dyDescent="0.25">
      <c r="A64" s="6" t="s">
        <v>190</v>
      </c>
      <c r="B64" s="6" t="str">
        <f>Informações!$C$3</f>
        <v>IMA</v>
      </c>
      <c r="C64" s="94" t="s">
        <v>364</v>
      </c>
      <c r="D64" s="6" t="s">
        <v>30</v>
      </c>
      <c r="E64" s="2" t="s">
        <v>25</v>
      </c>
      <c r="F64" s="6" t="str">
        <f>VLOOKUP(G64,[1]Discrete!$A:$B,2,FALSE)</f>
        <v>BOBINA FECHAMENTO</v>
      </c>
      <c r="G64" s="6" t="s">
        <v>50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IMA_TRF29_24-2_BBFC</v>
      </c>
      <c r="I64" s="6"/>
      <c r="J64" s="6" t="s">
        <v>182</v>
      </c>
      <c r="K64" s="6" t="s">
        <v>180</v>
      </c>
      <c r="L64" s="6" t="s">
        <v>188</v>
      </c>
      <c r="M64" s="6" t="s">
        <v>188</v>
      </c>
      <c r="N64" s="6">
        <f t="shared" si="4"/>
        <v>778</v>
      </c>
    </row>
    <row r="65" spans="1:14" x14ac:dyDescent="0.25">
      <c r="A65" s="6" t="s">
        <v>190</v>
      </c>
      <c r="B65" s="6" t="str">
        <f>Informações!$C$3</f>
        <v>IMA</v>
      </c>
      <c r="C65" s="94" t="s">
        <v>364</v>
      </c>
      <c r="D65" s="6" t="s">
        <v>30</v>
      </c>
      <c r="E65" s="2" t="s">
        <v>25</v>
      </c>
      <c r="F65" s="6" t="str">
        <f>VLOOKUP(G65,[1]Discrete!$A:$B,2,FALSE)</f>
        <v>TRIP SGF</v>
      </c>
      <c r="G65" s="6" t="s">
        <v>99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IMA_TRF29_24-2_SGFT</v>
      </c>
      <c r="I65" s="6"/>
      <c r="J65" s="6" t="s">
        <v>182</v>
      </c>
      <c r="K65" s="6" t="s">
        <v>179</v>
      </c>
      <c r="L65" s="6" t="s">
        <v>188</v>
      </c>
      <c r="M65" s="6" t="s">
        <v>188</v>
      </c>
      <c r="N65" s="6">
        <f t="shared" si="4"/>
        <v>779</v>
      </c>
    </row>
    <row r="66" spans="1:14" x14ac:dyDescent="0.25">
      <c r="A66" s="6" t="s">
        <v>190</v>
      </c>
      <c r="B66" s="6" t="str">
        <f>Informações!$C$3</f>
        <v>IMA</v>
      </c>
      <c r="C66" s="94" t="s">
        <v>364</v>
      </c>
      <c r="D66" s="6" t="s">
        <v>30</v>
      </c>
      <c r="E66" s="2" t="s">
        <v>25</v>
      </c>
      <c r="F66" s="6" t="str">
        <f>VLOOKUP(G66,[1]Discrete!$A:$B,2,FALSE)</f>
        <v>MOLA</v>
      </c>
      <c r="G66" s="6" t="s">
        <v>38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IMA_TRF29_24-2_MOLA</v>
      </c>
      <c r="I66" s="6"/>
      <c r="J66" s="94" t="s">
        <v>282</v>
      </c>
      <c r="K66" s="94" t="s">
        <v>283</v>
      </c>
      <c r="L66" s="6" t="s">
        <v>188</v>
      </c>
      <c r="M66" s="6" t="s">
        <v>188</v>
      </c>
      <c r="N66" s="6">
        <f t="shared" si="3"/>
        <v>780</v>
      </c>
    </row>
    <row r="67" spans="1:14" x14ac:dyDescent="0.25">
      <c r="A67" s="6" t="s">
        <v>190</v>
      </c>
      <c r="B67" s="6" t="str">
        <f>Informações!$C$3</f>
        <v>IMA</v>
      </c>
      <c r="C67" s="94" t="s">
        <v>364</v>
      </c>
      <c r="D67" s="6" t="s">
        <v>30</v>
      </c>
      <c r="E67" s="2" t="s">
        <v>25</v>
      </c>
      <c r="F67" s="6" t="str">
        <f>VLOOKUP(G67,[1]Discrete!$A:$B,2,FALSE)</f>
        <v>FALHA FUSIVEL TP</v>
      </c>
      <c r="G67" s="6" t="s">
        <v>81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IMA_TRF29_24-2_FUTP</v>
      </c>
      <c r="I67" s="6"/>
      <c r="J67" s="6" t="s">
        <v>182</v>
      </c>
      <c r="K67" s="6" t="s">
        <v>180</v>
      </c>
      <c r="L67" s="6" t="s">
        <v>188</v>
      </c>
      <c r="M67" s="6" t="s">
        <v>188</v>
      </c>
      <c r="N67" s="6">
        <f t="shared" si="3"/>
        <v>781</v>
      </c>
    </row>
    <row r="68" spans="1:14" x14ac:dyDescent="0.25">
      <c r="A68" s="6" t="s">
        <v>190</v>
      </c>
      <c r="B68" s="6" t="str">
        <f>Informações!$C$3</f>
        <v>IMA</v>
      </c>
      <c r="C68" s="94" t="s">
        <v>364</v>
      </c>
      <c r="D68" s="6" t="s">
        <v>30</v>
      </c>
      <c r="E68" s="2" t="s">
        <v>25</v>
      </c>
      <c r="F68" s="6" t="str">
        <f>VLOOKUP(G68,[1]Discrete!$A:$B,2,FALSE)</f>
        <v>FALHA COMUNICACAO</v>
      </c>
      <c r="G68" s="6" t="s">
        <v>78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IMA_TRF29_24-2_FCOM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3"/>
        <v>782</v>
      </c>
    </row>
    <row r="69" spans="1:14" x14ac:dyDescent="0.25">
      <c r="A69" s="6" t="s">
        <v>190</v>
      </c>
      <c r="B69" s="6" t="str">
        <f>Informações!$C$3</f>
        <v>IMA</v>
      </c>
      <c r="C69" s="94" t="s">
        <v>364</v>
      </c>
      <c r="D69" s="6" t="s">
        <v>30</v>
      </c>
      <c r="E69" s="2" t="s">
        <v>25</v>
      </c>
      <c r="F69" s="6" t="str">
        <f>VLOOKUP(G69,[1]Discrete!$A:$B,2,FALSE)</f>
        <v>FALTA VCC MOTOR</v>
      </c>
      <c r="G69" s="6" t="s">
        <v>80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IMA_TRF29_24-2_CCMO</v>
      </c>
      <c r="I69" s="6"/>
      <c r="J69" s="6" t="s">
        <v>182</v>
      </c>
      <c r="K69" s="6" t="s">
        <v>179</v>
      </c>
      <c r="L69" s="6" t="s">
        <v>188</v>
      </c>
      <c r="M69" s="6" t="s">
        <v>188</v>
      </c>
      <c r="N69" s="6">
        <f t="shared" si="3"/>
        <v>783</v>
      </c>
    </row>
    <row r="70" spans="1:14" x14ac:dyDescent="0.25">
      <c r="A70" s="6" t="s">
        <v>190</v>
      </c>
      <c r="B70" s="6" t="str">
        <f>Informações!$C$3</f>
        <v>IMA</v>
      </c>
      <c r="C70" s="94" t="s">
        <v>364</v>
      </c>
      <c r="D70" s="6" t="s">
        <v>30</v>
      </c>
      <c r="E70" s="2" t="s">
        <v>25</v>
      </c>
      <c r="F70" s="6" t="str">
        <f>VLOOKUP(G70,[1]Discrete!$A:$B,2,FALSE)</f>
        <v>FALTA VCC COMANDO</v>
      </c>
      <c r="G70" s="6" t="s">
        <v>79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IMA_TRF29_24-2_CCCO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3"/>
        <v>784</v>
      </c>
    </row>
    <row r="71" spans="1:14" x14ac:dyDescent="0.25">
      <c r="A71" s="95" t="s">
        <v>190</v>
      </c>
      <c r="B71" s="95" t="str">
        <f>Informações!$C$3</f>
        <v>IMA</v>
      </c>
      <c r="C71" s="95" t="s">
        <v>364</v>
      </c>
      <c r="D71" s="95" t="s">
        <v>30</v>
      </c>
      <c r="E71" s="2" t="s">
        <v>25</v>
      </c>
      <c r="F71" s="95" t="str">
        <f>VLOOKUP(G71,[1]Discrete!$A:$B,2,FALSE)</f>
        <v>79 - RELIGAMENTO BLOQUEADO</v>
      </c>
      <c r="G71" s="6" t="s">
        <v>45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IMA_TRF29_24-2_79LO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95">
        <f>'AL 26'!N74+1</f>
        <v>1052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364</v>
      </c>
      <c r="D72" s="95" t="s">
        <v>30</v>
      </c>
      <c r="E72" s="2" t="s">
        <v>25</v>
      </c>
      <c r="F72" s="95" t="str">
        <f>VLOOKUP(G72,[1]Discrete!$A:$B,2,FALSE)</f>
        <v>FUNCAO SGF</v>
      </c>
      <c r="G72" s="6" t="s">
        <v>735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IMA_TRF29_24-2_SGF</v>
      </c>
      <c r="I72" s="6"/>
      <c r="J72" s="6" t="s">
        <v>183</v>
      </c>
      <c r="K72" s="6" t="s">
        <v>184</v>
      </c>
      <c r="L72" s="6" t="s">
        <v>188</v>
      </c>
      <c r="M72" s="6" t="s">
        <v>188</v>
      </c>
      <c r="N72" s="95">
        <f>N71+1</f>
        <v>1053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364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IMA_TRF29_24-2_TEXT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1054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364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IMA_TRF29_24-2_FSIH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5">N73+1</f>
        <v>1055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94" t="s">
        <v>364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IMA_TRF29_24-2_FGOO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N70+1</f>
        <v>785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44" priority="1" operator="equal">
      <formula>"D"</formula>
    </cfRule>
    <cfRule type="cellIs" dxfId="43" priority="2" operator="equal">
      <formula>"C"</formula>
    </cfRule>
    <cfRule type="cellIs" dxfId="42" priority="3" operator="equal">
      <formula>"A"</formula>
    </cfRule>
  </conditionalFormatting>
  <conditionalFormatting sqref="E77:E1048576">
    <cfRule type="cellIs" dxfId="41" priority="37" operator="equal">
      <formula>"D"</formula>
    </cfRule>
    <cfRule type="cellIs" dxfId="40" priority="38" operator="equal">
      <formula>"C"</formula>
    </cfRule>
    <cfRule type="cellIs" dxfId="39" priority="3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C9B2BEA6-BBEB-4829-83B0-5EFC6ED7C70B}">
          <x14:formula1>
            <xm:f>Lista!$B$2:$B$3</xm:f>
          </x14:formula1>
          <xm:sqref>A78 A10:A74</xm:sqref>
        </x14:dataValidation>
        <x14:dataValidation type="list" allowBlank="1" showInputMessage="1" showErrorMessage="1" xr:uid="{63623002-795D-4729-A303-0BBFE1154C98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A6CC7D2B-391B-4305-91E9-2EDF89768749}">
          <x14:formula1>
            <xm:f>Lista!$E$2:$E$4</xm:f>
          </x14:formula1>
          <xm:sqref>I78 I10:I74</xm:sqref>
        </x14:dataValidation>
        <x14:dataValidation type="list" allowBlank="1" showInputMessage="1" showErrorMessage="1" xr:uid="{C61FC63F-F1A5-4D29-B59A-E2C615633975}">
          <x14:formula1>
            <xm:f>Lista!$D$2:$D$4</xm:f>
          </x14:formula1>
          <xm:sqref>M78 M10:M74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A66A-7CE3-4954-9A8A-568FA3780423}">
  <sheetPr>
    <tabColor theme="6"/>
  </sheetPr>
  <dimension ref="A1:N78"/>
  <sheetViews>
    <sheetView topLeftCell="A10" zoomScale="80" zoomScaleNormal="80" workbookViewId="0">
      <selection activeCell="N32" sqref="N32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19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09" t="s">
        <v>401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406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405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407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IMA_AL19_AL19_IA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'TRANSF 24-2'!N20+1</f>
        <v>180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IMA_AL19_AL19_IB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181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IMA_AL19_AL19_IC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16" si="0">N11+1</f>
        <v>182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IMA_AL19_AL19_IN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183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IMA_AL19_AL19_V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184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IMA_AL19_AL19_P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185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IMA_AL19_AL19_Q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186</v>
      </c>
    </row>
    <row r="17" spans="1:14" x14ac:dyDescent="0.25">
      <c r="A17" s="95" t="s">
        <v>190</v>
      </c>
      <c r="B17" s="95" t="str">
        <f>Informações!$C$3</f>
        <v>IMA</v>
      </c>
      <c r="C17" s="95" t="s">
        <v>89</v>
      </c>
      <c r="D17" s="95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IMA_AL19_AL19_IACC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95">
        <f>'TR 2'!N38+1</f>
        <v>208</v>
      </c>
    </row>
    <row r="18" spans="1:14" x14ac:dyDescent="0.25">
      <c r="A18" s="95" t="s">
        <v>190</v>
      </c>
      <c r="B18" s="95" t="str">
        <f>Informações!$C$3</f>
        <v>IMA</v>
      </c>
      <c r="C18" s="95" t="s">
        <v>89</v>
      </c>
      <c r="D18" s="95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IMA_AL19_AL19_IBCC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95">
        <f>N17+1</f>
        <v>209</v>
      </c>
    </row>
    <row r="19" spans="1:14" x14ac:dyDescent="0.25">
      <c r="A19" s="95" t="s">
        <v>190</v>
      </c>
      <c r="B19" s="95" t="str">
        <f>Informações!$C$3</f>
        <v>IMA</v>
      </c>
      <c r="C19" s="95" t="s">
        <v>89</v>
      </c>
      <c r="D19" s="95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IMA_AL19_AL19_ICCC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95">
        <f t="shared" ref="N19:N20" si="1">N18+1</f>
        <v>210</v>
      </c>
    </row>
    <row r="20" spans="1:14" x14ac:dyDescent="0.25">
      <c r="A20" s="95" t="s">
        <v>190</v>
      </c>
      <c r="B20" s="95" t="str">
        <f>Informações!$C$3</f>
        <v>IMA</v>
      </c>
      <c r="C20" s="95" t="s">
        <v>89</v>
      </c>
      <c r="D20" s="95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IMA_AL19_AL19_INCC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95">
        <f t="shared" si="1"/>
        <v>211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IMA_AL19_52-28_DJF1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VALUE(LEFT('TRANSF 24-2'!N30, FIND(";",'TRANSF 24-2'!N30)-1)) + 1 &amp; ";" &amp; VALUE(LEFT('TRANSF 24-2'!N30, FIND(";",'TRANSF 24-2'!N30)-1)) + 1</f>
        <v>148;148</v>
      </c>
    </row>
    <row r="22" spans="1:14" x14ac:dyDescent="0.25">
      <c r="A22" s="93" t="s">
        <v>191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93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IMA_AL19_52-28_2649</v>
      </c>
      <c r="I22" s="6"/>
      <c r="J22" s="6"/>
      <c r="K22" s="6"/>
      <c r="L22" s="6" t="s">
        <v>188</v>
      </c>
      <c r="M22" s="6"/>
      <c r="N22" s="93" t="str">
        <f t="shared" ref="N22" si="2">VALUE(LEFT(N21, FIND(";",N21)-1)) + 1 &amp; ";" &amp; VALUE(LEFT(N21, FIND(";",N21)-1)) + 1</f>
        <v>149;149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IMA_AL19_52-28_79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3">VALUE(LEFT(N22, FIND(";",N22)-1)) + 1 &amp; ";" &amp; VALUE(LEFT(N22, FIND(";",N22)-1)) + 1</f>
        <v>150;150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IMA_AL19_52-28_51N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3"/>
        <v>151;151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IMA_AL19_52-28_81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3"/>
        <v>152;152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IMA_AL19_52-28_81U1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3"/>
        <v>153;153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IMA_AL19_52-28_81U2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3"/>
        <v>154;154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IMA_AL19_52-28_81U3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3"/>
        <v>155;155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IMA_AL19_52-28_81U4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3"/>
        <v>156;156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IMA_AL19_52-28_81U5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3"/>
        <v>157;157</v>
      </c>
    </row>
    <row r="31" spans="1:14" x14ac:dyDescent="0.25">
      <c r="A31" s="6" t="s">
        <v>190</v>
      </c>
      <c r="B31" s="6" t="str">
        <f>Informações!$C$3</f>
        <v>IMA</v>
      </c>
      <c r="C31" s="6" t="s">
        <v>89</v>
      </c>
      <c r="D31" s="6" t="s">
        <v>30</v>
      </c>
      <c r="E31" s="2" t="s">
        <v>25</v>
      </c>
      <c r="F31" s="104" t="str">
        <f>VLOOKUP(G31,[1]Discrete!$A:$B,2,FALSE)</f>
        <v>DISJUNTOR NF</v>
      </c>
      <c r="G31" s="6" t="s">
        <v>34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IMA_AL19_52-28_DJF1</v>
      </c>
      <c r="I31" s="6"/>
      <c r="J31" s="104" t="s">
        <v>284</v>
      </c>
      <c r="K31" s="104" t="s">
        <v>286</v>
      </c>
      <c r="L31" s="6" t="s">
        <v>188</v>
      </c>
      <c r="M31" s="6" t="s">
        <v>188</v>
      </c>
      <c r="N31" s="104" t="str">
        <f>VALUE(LEFT('TRANSF 24-2'!N32, FIND(";",'TRANSF 24-2'!N32)-1)) + 2 &amp; ";" &amp; VALUE(LEFT('TRANSF 24-2'!N32, FIND(";",'TRANSF 24-2'!N32)-1)) + 3</f>
        <v>1164;1165</v>
      </c>
    </row>
    <row r="32" spans="1:14" s="107" customFormat="1" x14ac:dyDescent="0.25">
      <c r="A32" s="106" t="s">
        <v>190</v>
      </c>
      <c r="B32" s="106" t="str">
        <f>Informações!$C$3</f>
        <v>IMA</v>
      </c>
      <c r="C32" s="106" t="s">
        <v>89</v>
      </c>
      <c r="D32" s="106" t="s">
        <v>30</v>
      </c>
      <c r="E32" s="106" t="s">
        <v>25</v>
      </c>
      <c r="F32" s="106" t="str">
        <f>VLOOKUP(G32,[1]Discrete!$A:$B,2,FALSE)</f>
        <v>BLOQUEIO 5 MINUTOS</v>
      </c>
      <c r="G32" s="106" t="s">
        <v>741</v>
      </c>
      <c r="H32" s="10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IMA_AL19_52-28_b5m</v>
      </c>
      <c r="I32" s="106"/>
      <c r="J32" s="106" t="s">
        <v>183</v>
      </c>
      <c r="K32" s="106" t="s">
        <v>184</v>
      </c>
      <c r="L32" s="106" t="s">
        <v>188</v>
      </c>
      <c r="M32" s="106" t="s">
        <v>188</v>
      </c>
      <c r="N32" s="106">
        <v>787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str">
        <f>VLOOKUP(G33,[1]Discrete!$A:$B,2,FALSE)</f>
        <v>51 - FUNCAO SOBRECORRENTE TEMPORIZADA NEUTRO</v>
      </c>
      <c r="G33" s="6" t="s">
        <v>35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IMA_AL19_52-28_51N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f t="shared" ref="N33:N71" si="4">N32+1</f>
        <v>788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e">
        <f>VLOOKUP(G34,[1]Discrete!$A:$B,2,FALSE)</f>
        <v>#N/A</v>
      </c>
      <c r="G34" s="6">
        <v>81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IMA_AL19_52-28_81</v>
      </c>
      <c r="I34" s="6"/>
      <c r="J34" s="94" t="s">
        <v>183</v>
      </c>
      <c r="K34" s="94" t="s">
        <v>184</v>
      </c>
      <c r="L34" s="6" t="s">
        <v>188</v>
      </c>
      <c r="M34" s="6" t="s">
        <v>188</v>
      </c>
      <c r="N34" s="6">
        <f t="shared" si="4"/>
        <v>789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str">
        <f>VLOOKUP(G35,[1]Discrete!$A:$B,2,FALSE)</f>
        <v>AJUSTE PARA 81 E1</v>
      </c>
      <c r="G35" s="17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IMA_AL19_52-28_81U1</v>
      </c>
      <c r="I35" s="6"/>
      <c r="J35" s="94" t="s">
        <v>184</v>
      </c>
      <c r="K35" s="94" t="s">
        <v>183</v>
      </c>
      <c r="L35" s="6" t="s">
        <v>188</v>
      </c>
      <c r="M35" s="6" t="s">
        <v>188</v>
      </c>
      <c r="N35" s="6">
        <f t="shared" si="4"/>
        <v>790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E2</v>
      </c>
      <c r="G36" s="17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IMA_AL19_52-28_81U2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4"/>
        <v>791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E3</v>
      </c>
      <c r="G37" s="17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IMA_AL19_52-28_81U3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4"/>
        <v>792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E4</v>
      </c>
      <c r="G38" s="17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IMA_AL19_52-28_81U4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4"/>
        <v>793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">
        <v>296</v>
      </c>
      <c r="G39" s="17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IMA_AL19_52-28_81U5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4"/>
        <v>794</v>
      </c>
    </row>
    <row r="40" spans="1:14" x14ac:dyDescent="0.25">
      <c r="A40" s="93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93" t="str">
        <f>VLOOKUP(G40,[1]Discrete!$A:$B,2,FALSE)</f>
        <v>26 49 - TRIP TEMPERATURA</v>
      </c>
      <c r="G40" s="6" t="s">
        <v>93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IMA_AL19_52-28_TOED</v>
      </c>
      <c r="I40" s="6"/>
      <c r="J40" s="6" t="s">
        <v>182</v>
      </c>
      <c r="K40" s="6" t="s">
        <v>179</v>
      </c>
      <c r="L40" s="6" t="s">
        <v>188</v>
      </c>
      <c r="M40" s="6" t="s">
        <v>188</v>
      </c>
      <c r="N40" s="93">
        <f t="shared" si="4"/>
        <v>795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FASE A</v>
      </c>
      <c r="G41" s="6" t="s">
        <v>54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IMA_AL19_52-28_FA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4"/>
        <v>796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B</v>
      </c>
      <c r="G42" s="6" t="s">
        <v>55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IMA_AL19_52-28_FB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4"/>
        <v>797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C</v>
      </c>
      <c r="G43" s="6" t="s">
        <v>56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IMA_AL19_52-28_FC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4"/>
        <v>798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NEUTRO</v>
      </c>
      <c r="G44" s="6" t="s">
        <v>420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IMA_AL19_52-28_N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4"/>
        <v>799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81 - TRIP SUB FREQUENCIA</v>
      </c>
      <c r="G45" s="6" t="s">
        <v>71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IMA_AL19_52-28_81SU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4"/>
        <v>800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SUB/SOBRE FREQUENCIA E1</v>
      </c>
      <c r="G46" s="17" t="s">
        <v>353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IMA_AL19_52-28_81E1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4"/>
        <v>801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E2</v>
      </c>
      <c r="G47" s="17" t="s">
        <v>354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IMA_AL19_52-28_81E2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4"/>
        <v>802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E3</v>
      </c>
      <c r="G48" s="17" t="s">
        <v>355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IMA_AL19_52-28_81E3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4"/>
        <v>803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E4</v>
      </c>
      <c r="G49" s="17" t="s">
        <v>356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IMA_AL19_52-28_81E4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4"/>
        <v>804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">
        <v>358</v>
      </c>
      <c r="G50" s="17" t="s">
        <v>357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IMA_AL19_52-28_81E5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4"/>
        <v>805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IMA_AL19_52-28_43LR</v>
      </c>
      <c r="I51" s="6"/>
      <c r="J51" s="94" t="s">
        <v>186</v>
      </c>
      <c r="K51" s="94" t="s">
        <v>185</v>
      </c>
      <c r="L51" s="6" t="s">
        <v>188</v>
      </c>
      <c r="M51" s="6" t="s">
        <v>188</v>
      </c>
      <c r="N51" s="6">
        <f t="shared" si="4"/>
        <v>806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27 - TRIP SUBTENSAO</v>
      </c>
      <c r="G52" s="17" t="s">
        <v>69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IMA_AL19_52-28_27_T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4"/>
        <v>807</v>
      </c>
    </row>
    <row r="53" spans="1:14" x14ac:dyDescent="0.25">
      <c r="A53" s="93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93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IMA_AL19_52-28_43LR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93">
        <f t="shared" si="4"/>
        <v>808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IMA_AL19_52-28_43TC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>
        <f t="shared" si="4"/>
        <v>809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IMA_AL19_52-28_50F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4"/>
        <v>810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IMA_AL19_52-28_50N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4"/>
        <v>811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</v>
      </c>
      <c r="G57" s="6" t="s">
        <v>98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IMA_AL19_52-28_51F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4"/>
        <v>812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51 - SOBRECORRENTE TEMPORIZADA FASE NEUTRO</v>
      </c>
      <c r="G58" s="6" t="s">
        <v>427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IMA_AL19_52-28_51FN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4"/>
        <v>813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COM SUCESSO</v>
      </c>
      <c r="G59" s="6" t="s">
        <v>46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IMA_AL19_52-28_79OK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4"/>
        <v>814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IMA_AL19_52-28_62BF</v>
      </c>
      <c r="I60" s="6"/>
      <c r="J60" s="94" t="s">
        <v>182</v>
      </c>
      <c r="K60" s="94" t="s">
        <v>179</v>
      </c>
      <c r="L60" s="6" t="s">
        <v>188</v>
      </c>
      <c r="M60" s="6" t="s">
        <v>188</v>
      </c>
      <c r="N60" s="6">
        <f>N59+1</f>
        <v>815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DEFEITO RELE</v>
      </c>
      <c r="G61" s="6" t="s">
        <v>51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IMA_AL19_52-28_DR</v>
      </c>
      <c r="I61" s="6"/>
      <c r="J61" s="6" t="s">
        <v>182</v>
      </c>
      <c r="K61" s="6" t="s">
        <v>181</v>
      </c>
      <c r="L61" s="6" t="s">
        <v>188</v>
      </c>
      <c r="M61" s="6" t="s">
        <v>188</v>
      </c>
      <c r="N61" s="6">
        <f t="shared" ref="N61:N65" si="5">N60+1</f>
        <v>816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BOBINA ABERTURA</v>
      </c>
      <c r="G62" s="6" t="s">
        <v>41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IMA_AL19_52-28_BBAB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5"/>
        <v>817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FECHAMENTO</v>
      </c>
      <c r="G63" s="6" t="s">
        <v>50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IMA_AL19_52-28_BBFC</v>
      </c>
      <c r="I63" s="6"/>
      <c r="J63" s="6" t="s">
        <v>182</v>
      </c>
      <c r="K63" s="6" t="s">
        <v>180</v>
      </c>
      <c r="L63" s="6" t="s">
        <v>188</v>
      </c>
      <c r="M63" s="6" t="s">
        <v>188</v>
      </c>
      <c r="N63" s="6">
        <f t="shared" si="5"/>
        <v>818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TRIP SGF</v>
      </c>
      <c r="G64" s="6" t="s">
        <v>99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IMA_AL19_52-28_SGFT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5"/>
        <v>819</v>
      </c>
    </row>
    <row r="65" spans="1:14" x14ac:dyDescent="0.25">
      <c r="A65" s="94" t="s">
        <v>190</v>
      </c>
      <c r="B65" s="94" t="str">
        <f>Informações!$C$3</f>
        <v>IMA</v>
      </c>
      <c r="C65" s="94" t="s">
        <v>89</v>
      </c>
      <c r="D65" s="94" t="s">
        <v>30</v>
      </c>
      <c r="E65" s="2" t="s">
        <v>25</v>
      </c>
      <c r="F65" s="94" t="str">
        <f>VLOOKUP(G65,[1]Discrete!$A:$B,2,FALSE)</f>
        <v>59 - TRIP SOBRETENSAO</v>
      </c>
      <c r="G65" s="6" t="s">
        <v>70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IMA_AL19_52-28_59_T</v>
      </c>
      <c r="I65" s="6"/>
      <c r="J65" s="6" t="s">
        <v>182</v>
      </c>
      <c r="K65" s="6" t="s">
        <v>180</v>
      </c>
      <c r="L65" s="6" t="s">
        <v>188</v>
      </c>
      <c r="M65" s="6" t="s">
        <v>188</v>
      </c>
      <c r="N65" s="94">
        <f t="shared" si="5"/>
        <v>820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TRIP SGF</v>
      </c>
      <c r="G66" s="6" t="s">
        <v>99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IMA_AL19_52-28_SGFT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4"/>
        <v>821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MOLA</v>
      </c>
      <c r="G67" s="6" t="s">
        <v>38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IMA_AL19_52-28_MOLA</v>
      </c>
      <c r="I67" s="6"/>
      <c r="J67" s="94" t="s">
        <v>282</v>
      </c>
      <c r="K67" s="94" t="s">
        <v>283</v>
      </c>
      <c r="L67" s="6" t="s">
        <v>188</v>
      </c>
      <c r="M67" s="6" t="s">
        <v>188</v>
      </c>
      <c r="N67" s="6">
        <f t="shared" si="4"/>
        <v>822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FUSIVEL TP</v>
      </c>
      <c r="G68" s="6" t="s">
        <v>81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IMA_AL19_52-28_FUTP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4"/>
        <v>823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FALHA COMUNICACAO</v>
      </c>
      <c r="G69" s="6" t="s">
        <v>78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IMA_AL19_52-28_FCOM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4"/>
        <v>824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MOTOR</v>
      </c>
      <c r="G70" s="6" t="s">
        <v>80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IMA_AL19_52-28_CCMO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4"/>
        <v>825</v>
      </c>
    </row>
    <row r="71" spans="1:14" x14ac:dyDescent="0.25">
      <c r="A71" s="6" t="s">
        <v>190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FALTA VCC COMANDO</v>
      </c>
      <c r="G71" s="6" t="s">
        <v>79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IMA_AL19_52-28_CCCO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4"/>
        <v>826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79 - RELIGAMENTO BLOQUEADO</v>
      </c>
      <c r="G72" s="6" t="s">
        <v>45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IMA_AL19_52-28_79LO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95">
        <f>'TRANSF 24-2'!N74+1</f>
        <v>1056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IMA_AL19_52-28_TEXT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1057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IMA_AL19_52-28_FSIH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6">N73+1</f>
        <v>1058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IMA_AL19_52-28_FGOO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N71+1</f>
        <v>827</v>
      </c>
    </row>
  </sheetData>
  <mergeCells count="8">
    <mergeCell ref="A76:N76"/>
    <mergeCell ref="B7:N7"/>
    <mergeCell ref="A1:N1"/>
    <mergeCell ref="B2:N2"/>
    <mergeCell ref="B3:N3"/>
    <mergeCell ref="B4:N4"/>
    <mergeCell ref="B5:N5"/>
    <mergeCell ref="B6:N6"/>
  </mergeCells>
  <conditionalFormatting sqref="E8:E75">
    <cfRule type="cellIs" dxfId="38" priority="1" operator="equal">
      <formula>"D"</formula>
    </cfRule>
    <cfRule type="cellIs" dxfId="37" priority="2" operator="equal">
      <formula>"C"</formula>
    </cfRule>
    <cfRule type="cellIs" dxfId="36" priority="3" operator="equal">
      <formula>"A"</formula>
    </cfRule>
  </conditionalFormatting>
  <conditionalFormatting sqref="E77:E1048576">
    <cfRule type="cellIs" dxfId="35" priority="55" operator="equal">
      <formula>"D"</formula>
    </cfRule>
    <cfRule type="cellIs" dxfId="34" priority="56" operator="equal">
      <formula>"C"</formula>
    </cfRule>
    <cfRule type="cellIs" dxfId="33" priority="57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3A77EB-6E82-41FF-B484-C6621431E9BA}">
          <x14:formula1>
            <xm:f>Lista!$E$2:$E$4</xm:f>
          </x14:formula1>
          <xm:sqref>I78 I10:I74</xm:sqref>
        </x14:dataValidation>
        <x14:dataValidation type="list" allowBlank="1" showInputMessage="1" showErrorMessage="1" xr:uid="{DBAF389B-3E09-4F91-8C60-7CAF785AA50E}">
          <x14:formula1>
            <xm:f>Lista!$D$2:$D$4</xm:f>
          </x14:formula1>
          <xm:sqref>M78 M10:M74</xm:sqref>
        </x14:dataValidation>
        <x14:dataValidation type="list" allowBlank="1" showInputMessage="1" showErrorMessage="1" xr:uid="{5E70EF28-3791-4C07-AF52-F8BB16753109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16B246FF-6E3F-42FD-8BE2-29D3F4A2ACD6}">
          <x14:formula1>
            <xm:f>Lista!$B$2:$B$3</xm:f>
          </x14:formula1>
          <xm:sqref>A78 A10:A74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1774-93BC-439B-A4AC-E1CA9CBC6D92}">
  <sheetPr>
    <tabColor theme="6"/>
  </sheetPr>
  <dimension ref="A1:N78"/>
  <sheetViews>
    <sheetView topLeftCell="A22" zoomScale="80" zoomScaleNormal="80" workbookViewId="0">
      <selection activeCell="N34" sqref="N3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3.28515625" style="1" customWidth="1"/>
    <col min="9" max="9" width="13.85546875" style="1" hidden="1" customWidth="1"/>
    <col min="10" max="12" width="13.28515625" style="1" hidden="1" customWidth="1"/>
    <col min="13" max="13" width="14" style="1" hidden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52">
        <v>29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x14ac:dyDescent="0.25">
      <c r="A4" s="2" t="s">
        <v>30</v>
      </c>
      <c r="B4" s="109" t="s">
        <v>401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25">
      <c r="A5" s="2" t="s">
        <v>31</v>
      </c>
      <c r="B5" s="109" t="s">
        <v>403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25">
      <c r="A6" s="2" t="s">
        <v>32</v>
      </c>
      <c r="B6" s="109" t="s">
        <v>402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25">
      <c r="A7" s="2" t="s">
        <v>33</v>
      </c>
      <c r="B7" s="109" t="s">
        <v>404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s="4" customFormat="1" x14ac:dyDescent="0.25">
      <c r="B8" s="5"/>
      <c r="C8" s="5"/>
      <c r="D8" s="5"/>
      <c r="E8" s="5"/>
      <c r="F8" s="5"/>
      <c r="G8" s="5"/>
      <c r="H8" s="5"/>
    </row>
    <row r="9" spans="1:14" ht="30" x14ac:dyDescent="0.25">
      <c r="A9" s="3" t="s">
        <v>189</v>
      </c>
      <c r="B9" s="3" t="s">
        <v>1</v>
      </c>
      <c r="C9" s="3" t="s">
        <v>83</v>
      </c>
      <c r="D9" s="3" t="s">
        <v>26</v>
      </c>
      <c r="E9" s="3" t="s">
        <v>7</v>
      </c>
      <c r="F9" s="3" t="s">
        <v>84</v>
      </c>
      <c r="G9" s="3" t="s">
        <v>85</v>
      </c>
      <c r="H9" s="3" t="s">
        <v>86</v>
      </c>
      <c r="I9" s="3" t="s">
        <v>254</v>
      </c>
      <c r="J9" s="3" t="s">
        <v>177</v>
      </c>
      <c r="K9" s="3" t="s">
        <v>178</v>
      </c>
      <c r="L9" s="3" t="s">
        <v>260</v>
      </c>
      <c r="M9" s="3" t="s">
        <v>266</v>
      </c>
      <c r="N9" s="3" t="s">
        <v>192</v>
      </c>
    </row>
    <row r="10" spans="1:14" x14ac:dyDescent="0.25">
      <c r="A10" s="6" t="s">
        <v>190</v>
      </c>
      <c r="B10" s="6" t="str">
        <f>Informações!$C$3</f>
        <v>IMA</v>
      </c>
      <c r="C10" s="6" t="s">
        <v>89</v>
      </c>
      <c r="D10" s="6" t="s">
        <v>27</v>
      </c>
      <c r="E10" s="2" t="s">
        <v>8</v>
      </c>
      <c r="F10" s="6" t="str">
        <f>VLOOKUP(G10,[1]Analog!$A:$B,2,FALSE)</f>
        <v>CORRENTE FASE A</v>
      </c>
      <c r="G10" s="6" t="s">
        <v>9</v>
      </c>
      <c r="H10" s="6" t="str" cm="1">
        <f t="array" ref="H10">_xlfn.IFS(OR(D10="TC",D10="TP",D10="LT"),CONCATENATE(B10,"_",C10,$B$3,"_",C10,$B$3,"_",G10),D10="SECC",CONCATENATE(B10,"_",C10,$B$3,"_",$B$5,"_",G10),D10="SECF",CONCATENATE(B10,"_",C10,$B$3,"_",$B$6,"_",G10),D10="SECT",CONCATENATE(B10,"_",C10,$B$3,"_",$B$7,"_",G10),D10="SECG",CONCATENATE(B10,"_",C10,$B$3,"_",#REF!,"_",G10),D10="DJ",CONCATENATE(B10,"_",C10,$B$3,"_",$B$4,"_",G10))</f>
        <v>IMA_AL29_AL29_IA</v>
      </c>
      <c r="I10" s="6" t="s">
        <v>188</v>
      </c>
      <c r="J10" s="6" t="s">
        <v>188</v>
      </c>
      <c r="K10" s="6" t="s">
        <v>188</v>
      </c>
      <c r="L10" s="8">
        <v>1</v>
      </c>
      <c r="M10" s="6" t="s">
        <v>188</v>
      </c>
      <c r="N10" s="6">
        <f>'BC 1'!N16+1</f>
        <v>187</v>
      </c>
    </row>
    <row r="11" spans="1:14" x14ac:dyDescent="0.25">
      <c r="A11" s="6" t="s">
        <v>190</v>
      </c>
      <c r="B11" s="6" t="str">
        <f>Informações!$C$3</f>
        <v>IMA</v>
      </c>
      <c r="C11" s="6" t="s">
        <v>89</v>
      </c>
      <c r="D11" s="6" t="s">
        <v>27</v>
      </c>
      <c r="E11" s="2" t="s">
        <v>8</v>
      </c>
      <c r="F11" s="6" t="str">
        <f>VLOOKUP(G11,[1]Analog!$A:$B,2,FALSE)</f>
        <v>CORRENTE FASE B</v>
      </c>
      <c r="G11" s="6" t="s">
        <v>10</v>
      </c>
      <c r="H11" s="6" t="str" cm="1">
        <f t="array" ref="H11">_xlfn.IFS(OR(D11="TC",D11="TP",D11="LT"),CONCATENATE(B11,"_",C11,$B$3,"_",C11,$B$3,"_",G11),D11="SECC",CONCATENATE(B11,"_",C11,$B$3,"_",$B$5,"_",G11),D11="SECF",CONCATENATE(B11,"_",C11,$B$3,"_",$B$6,"_",G11),D11="SECT",CONCATENATE(B11,"_",C11,$B$3,"_",$B$7,"_",G11),D11="SECG",CONCATENATE(B11,"_",C11,$B$3,"_",#REF!,"_",G11),D11="DJ",CONCATENATE(B11,"_",C11,$B$3,"_",$B$4,"_",G11))</f>
        <v>IMA_AL29_AL29_IB</v>
      </c>
      <c r="I11" s="6" t="s">
        <v>188</v>
      </c>
      <c r="J11" s="6" t="s">
        <v>188</v>
      </c>
      <c r="K11" s="6" t="s">
        <v>188</v>
      </c>
      <c r="L11" s="8">
        <v>1</v>
      </c>
      <c r="M11" s="6" t="s">
        <v>188</v>
      </c>
      <c r="N11" s="6">
        <f>N10+1</f>
        <v>188</v>
      </c>
    </row>
    <row r="12" spans="1:14" x14ac:dyDescent="0.25">
      <c r="A12" s="6" t="s">
        <v>190</v>
      </c>
      <c r="B12" s="6" t="str">
        <f>Informações!$C$3</f>
        <v>IMA</v>
      </c>
      <c r="C12" s="6" t="s">
        <v>89</v>
      </c>
      <c r="D12" s="6" t="s">
        <v>27</v>
      </c>
      <c r="E12" s="2" t="s">
        <v>8</v>
      </c>
      <c r="F12" s="6" t="str">
        <f>VLOOKUP(G12,[1]Analog!$A:$B,2,FALSE)</f>
        <v>CORRENTE FASE C</v>
      </c>
      <c r="G12" s="6" t="s">
        <v>11</v>
      </c>
      <c r="H12" s="6" t="str" cm="1">
        <f t="array" ref="H12">_xlfn.IFS(OR(D12="TC",D12="TP",D12="LT"),CONCATENATE(B12,"_",C12,$B$3,"_",C12,$B$3,"_",G12),D12="SECC",CONCATENATE(B12,"_",C12,$B$3,"_",$B$5,"_",G12),D12="SECF",CONCATENATE(B12,"_",C12,$B$3,"_",$B$6,"_",G12),D12="SECT",CONCATENATE(B12,"_",C12,$B$3,"_",$B$7,"_",G12),D12="SECG",CONCATENATE(B12,"_",C12,$B$3,"_",#REF!,"_",G12),D12="DJ",CONCATENATE(B12,"_",C12,$B$3,"_",$B$4,"_",G12))</f>
        <v>IMA_AL29_AL29_IC</v>
      </c>
      <c r="I12" s="6" t="s">
        <v>188</v>
      </c>
      <c r="J12" s="6" t="s">
        <v>188</v>
      </c>
      <c r="K12" s="6" t="s">
        <v>188</v>
      </c>
      <c r="L12" s="8">
        <v>1</v>
      </c>
      <c r="M12" s="6" t="s">
        <v>188</v>
      </c>
      <c r="N12" s="6">
        <f t="shared" ref="N12:N16" si="0">N11+1</f>
        <v>189</v>
      </c>
    </row>
    <row r="13" spans="1:14" x14ac:dyDescent="0.25">
      <c r="A13" s="6" t="s">
        <v>190</v>
      </c>
      <c r="B13" s="6" t="str">
        <f>Informações!$C$3</f>
        <v>IMA</v>
      </c>
      <c r="C13" s="6" t="s">
        <v>89</v>
      </c>
      <c r="D13" s="6" t="s">
        <v>27</v>
      </c>
      <c r="E13" s="2" t="s">
        <v>8</v>
      </c>
      <c r="F13" s="6" t="str">
        <f>VLOOKUP(G13,[1]Analog!$A:$B,2,FALSE)</f>
        <v>CORRENTE NEUTRO</v>
      </c>
      <c r="G13" s="6" t="s">
        <v>91</v>
      </c>
      <c r="H13" s="6" t="str" cm="1">
        <f t="array" ref="H13">_xlfn.IFS(OR(D13="TC",D13="TP",D13="LT"),CONCATENATE(B13,"_",C13,$B$3,"_",C13,$B$3,"_",G13),D13="SECC",CONCATENATE(B13,"_",C13,$B$3,"_",$B$5,"_",G13),D13="SECF",CONCATENATE(B13,"_",C13,$B$3,"_",$B$6,"_",G13),D13="SECT",CONCATENATE(B13,"_",C13,$B$3,"_",$B$7,"_",G13),D13="SECG",CONCATENATE(B13,"_",C13,$B$3,"_",#REF!,"_",G13),D13="DJ",CONCATENATE(B13,"_",C13,$B$3,"_",$B$4,"_",G13))</f>
        <v>IMA_AL29_AL29_IN</v>
      </c>
      <c r="I13" s="6" t="s">
        <v>188</v>
      </c>
      <c r="J13" s="6" t="s">
        <v>188</v>
      </c>
      <c r="K13" s="6" t="s">
        <v>188</v>
      </c>
      <c r="L13" s="8">
        <v>1</v>
      </c>
      <c r="M13" s="6" t="s">
        <v>188</v>
      </c>
      <c r="N13" s="6">
        <f t="shared" si="0"/>
        <v>190</v>
      </c>
    </row>
    <row r="14" spans="1:14" x14ac:dyDescent="0.25">
      <c r="A14" s="6" t="s">
        <v>190</v>
      </c>
      <c r="B14" s="6" t="str">
        <f>Informações!$C$3</f>
        <v>IMA</v>
      </c>
      <c r="C14" s="6" t="s">
        <v>89</v>
      </c>
      <c r="D14" s="6" t="s">
        <v>28</v>
      </c>
      <c r="E14" s="2" t="s">
        <v>8</v>
      </c>
      <c r="F14" s="6" t="str">
        <f>VLOOKUP(G14,[1]Analog!$A:$B,2,FALSE)</f>
        <v>TENSAO</v>
      </c>
      <c r="G14" s="6" t="s">
        <v>90</v>
      </c>
      <c r="H14" s="6" t="str" cm="1">
        <f t="array" ref="H14">_xlfn.IFS(OR(D14="TC",D14="TP",D14="LT"),CONCATENATE(B14,"_",C14,$B$3,"_",C14,$B$3,"_",G14),D14="SECC",CONCATENATE(B14,"_",C14,$B$3,"_",$B$5,"_",G14),D14="SECF",CONCATENATE(B14,"_",C14,$B$3,"_",$B$6,"_",G14),D14="SECT",CONCATENATE(B14,"_",C14,$B$3,"_",$B$7,"_",G14),D14="SECG",CONCATENATE(B14,"_",C14,$B$3,"_",#REF!,"_",G14),D14="DJ",CONCATENATE(B14,"_",C14,$B$3,"_",$B$4,"_",G14))</f>
        <v>IMA_AL29_AL29_V</v>
      </c>
      <c r="I14" s="6" t="s">
        <v>188</v>
      </c>
      <c r="J14" s="6" t="s">
        <v>188</v>
      </c>
      <c r="K14" s="6" t="s">
        <v>188</v>
      </c>
      <c r="L14" s="8">
        <v>0.01</v>
      </c>
      <c r="M14" s="6" t="s">
        <v>188</v>
      </c>
      <c r="N14" s="6">
        <f t="shared" si="0"/>
        <v>191</v>
      </c>
    </row>
    <row r="15" spans="1:14" x14ac:dyDescent="0.25">
      <c r="A15" s="6" t="s">
        <v>190</v>
      </c>
      <c r="B15" s="6" t="str">
        <f>Informações!$C$3</f>
        <v>IMA</v>
      </c>
      <c r="C15" s="6" t="s">
        <v>89</v>
      </c>
      <c r="D15" s="6" t="s">
        <v>27</v>
      </c>
      <c r="E15" s="2" t="s">
        <v>8</v>
      </c>
      <c r="F15" s="6" t="str">
        <f>VLOOKUP(G15,[1]Analog!$A:$B,2,FALSE)</f>
        <v>POTENCIA ATIVA</v>
      </c>
      <c r="G15" s="6" t="s">
        <v>18</v>
      </c>
      <c r="H15" s="6" t="str" cm="1">
        <f t="array" ref="H15">_xlfn.IFS(OR(D15="TC",D15="TP",D15="LT"),CONCATENATE(B15,"_",C15,$B$3,"_",C15,$B$3,"_",G15),D15="SECC",CONCATENATE(B15,"_",C15,$B$3,"_",$B$5,"_",G15),D15="SECF",CONCATENATE(B15,"_",C15,$B$3,"_",$B$6,"_",G15),D15="SECT",CONCATENATE(B15,"_",C15,$B$3,"_",$B$7,"_",G15),D15="SECG",CONCATENATE(B15,"_",C15,$B$3,"_",#REF!,"_",G15),D15="DJ",CONCATENATE(B15,"_",C15,$B$3,"_",$B$4,"_",G15))</f>
        <v>IMA_AL29_AL29_P</v>
      </c>
      <c r="I15" s="6" t="s">
        <v>188</v>
      </c>
      <c r="J15" s="6" t="s">
        <v>188</v>
      </c>
      <c r="K15" s="6" t="s">
        <v>188</v>
      </c>
      <c r="L15" s="8">
        <v>10</v>
      </c>
      <c r="M15" s="6" t="s">
        <v>188</v>
      </c>
      <c r="N15" s="6">
        <f t="shared" si="0"/>
        <v>192</v>
      </c>
    </row>
    <row r="16" spans="1:14" x14ac:dyDescent="0.25">
      <c r="A16" s="6" t="s">
        <v>190</v>
      </c>
      <c r="B16" s="6" t="str">
        <f>Informações!$C$3</f>
        <v>IMA</v>
      </c>
      <c r="C16" s="6" t="s">
        <v>89</v>
      </c>
      <c r="D16" s="6" t="s">
        <v>27</v>
      </c>
      <c r="E16" s="2" t="s">
        <v>8</v>
      </c>
      <c r="F16" s="6" t="str">
        <f>VLOOKUP(G16,[1]Analog!$A:$B,2,FALSE)</f>
        <v>POTENCIA REATIVA</v>
      </c>
      <c r="G16" s="6" t="s">
        <v>19</v>
      </c>
      <c r="H16" s="6" t="str" cm="1">
        <f t="array" ref="H16">_xlfn.IFS(OR(D16="TC",D16="TP",D16="LT"),CONCATENATE(B16,"_",C16,$B$3,"_",C16,$B$3,"_",G16),D16="SECC",CONCATENATE(B16,"_",C16,$B$3,"_",$B$5,"_",G16),D16="SECF",CONCATENATE(B16,"_",C16,$B$3,"_",$B$6,"_",G16),D16="SECT",CONCATENATE(B16,"_",C16,$B$3,"_",$B$7,"_",G16),D16="SECG",CONCATENATE(B16,"_",C16,$B$3,"_",#REF!,"_",G16),D16="DJ",CONCATENATE(B16,"_",C16,$B$3,"_",$B$4,"_",G16))</f>
        <v>IMA_AL29_AL29_Q</v>
      </c>
      <c r="I16" s="6" t="s">
        <v>188</v>
      </c>
      <c r="J16" s="6" t="s">
        <v>188</v>
      </c>
      <c r="K16" s="6" t="s">
        <v>188</v>
      </c>
      <c r="L16" s="8">
        <v>10</v>
      </c>
      <c r="M16" s="6" t="s">
        <v>188</v>
      </c>
      <c r="N16" s="6">
        <f t="shared" si="0"/>
        <v>193</v>
      </c>
    </row>
    <row r="17" spans="1:14" x14ac:dyDescent="0.25">
      <c r="A17" s="95" t="s">
        <v>190</v>
      </c>
      <c r="B17" s="95" t="str">
        <f>Informações!$C$3</f>
        <v>IMA</v>
      </c>
      <c r="C17" s="95" t="s">
        <v>89</v>
      </c>
      <c r="D17" s="95" t="s">
        <v>27</v>
      </c>
      <c r="E17" s="2" t="s">
        <v>8</v>
      </c>
      <c r="F17" s="6" t="str">
        <f>VLOOKUP(G17,[1]Analog!$A:$B,2,FALSE)</f>
        <v>CORRENTE CURTO CIRCUITO FASE A</v>
      </c>
      <c r="G17" s="6" t="s">
        <v>21</v>
      </c>
      <c r="H17" s="6" t="str" cm="1">
        <f t="array" ref="H17">_xlfn.IFS(OR(D17="TC",D17="TP",D17="LT"),CONCATENATE(B17,"_",C17,$B$3,"_",C17,$B$3,"_",G17),D17="SECC",CONCATENATE(B17,"_",C17,$B$3,"_",$B$5,"_",G17),D17="SECF",CONCATENATE(B17,"_",C17,$B$3,"_",$B$6,"_",G17),D17="SECT",CONCATENATE(B17,"_",C17,$B$3,"_",$B$7,"_",G17),D17="SECG",CONCATENATE(B17,"_",C17,$B$3,"_",#REF!,"_",G17),D17="DJ",CONCATENATE(B17,"_",C17,$B$3,"_",$B$4,"_",G17))</f>
        <v>IMA_AL29_AL29_IACC</v>
      </c>
      <c r="I17" s="6" t="s">
        <v>188</v>
      </c>
      <c r="J17" s="6" t="s">
        <v>188</v>
      </c>
      <c r="K17" s="6" t="s">
        <v>188</v>
      </c>
      <c r="L17" s="8">
        <v>1</v>
      </c>
      <c r="M17" s="6" t="s">
        <v>188</v>
      </c>
      <c r="N17" s="95">
        <f>'BC 1'!N20+1</f>
        <v>212</v>
      </c>
    </row>
    <row r="18" spans="1:14" x14ac:dyDescent="0.25">
      <c r="A18" s="95" t="s">
        <v>190</v>
      </c>
      <c r="B18" s="95" t="str">
        <f>Informações!$C$3</f>
        <v>IMA</v>
      </c>
      <c r="C18" s="95" t="s">
        <v>89</v>
      </c>
      <c r="D18" s="95" t="s">
        <v>27</v>
      </c>
      <c r="E18" s="2" t="s">
        <v>8</v>
      </c>
      <c r="F18" s="6" t="str">
        <f>VLOOKUP(G18,[1]Analog!$A:$B,2,FALSE)</f>
        <v>CORRENTE CURTO CIRCUITO FASE B</v>
      </c>
      <c r="G18" s="6" t="s">
        <v>22</v>
      </c>
      <c r="H18" s="6" t="str" cm="1">
        <f t="array" ref="H18">_xlfn.IFS(OR(D18="TC",D18="TP",D18="LT"),CONCATENATE(B18,"_",C18,$B$3,"_",C18,$B$3,"_",G18),D18="SECC",CONCATENATE(B18,"_",C18,$B$3,"_",$B$5,"_",G18),D18="SECF",CONCATENATE(B18,"_",C18,$B$3,"_",$B$6,"_",G18),D18="SECT",CONCATENATE(B18,"_",C18,$B$3,"_",$B$7,"_",G18),D18="SECG",CONCATENATE(B18,"_",C18,$B$3,"_",#REF!,"_",G18),D18="DJ",CONCATENATE(B18,"_",C18,$B$3,"_",$B$4,"_",G18))</f>
        <v>IMA_AL29_AL29_IBCC</v>
      </c>
      <c r="I18" s="6" t="s">
        <v>188</v>
      </c>
      <c r="J18" s="6" t="s">
        <v>188</v>
      </c>
      <c r="K18" s="6" t="s">
        <v>188</v>
      </c>
      <c r="L18" s="8">
        <v>1</v>
      </c>
      <c r="M18" s="6" t="s">
        <v>188</v>
      </c>
      <c r="N18" s="95">
        <f>N17+1</f>
        <v>213</v>
      </c>
    </row>
    <row r="19" spans="1:14" x14ac:dyDescent="0.25">
      <c r="A19" s="95" t="s">
        <v>190</v>
      </c>
      <c r="B19" s="95" t="str">
        <f>Informações!$C$3</f>
        <v>IMA</v>
      </c>
      <c r="C19" s="95" t="s">
        <v>89</v>
      </c>
      <c r="D19" s="95" t="s">
        <v>27</v>
      </c>
      <c r="E19" s="2" t="s">
        <v>8</v>
      </c>
      <c r="F19" s="6" t="str">
        <f>VLOOKUP(G19,[1]Analog!$A:$B,2,FALSE)</f>
        <v>CORRENTE CURTO CIRCUITO FASE C</v>
      </c>
      <c r="G19" s="6" t="s">
        <v>23</v>
      </c>
      <c r="H19" s="6" t="str" cm="1">
        <f t="array" ref="H19">_xlfn.IFS(OR(D19="TC",D19="TP",D19="LT"),CONCATENATE(B19,"_",C19,$B$3,"_",C19,$B$3,"_",G19),D19="SECC",CONCATENATE(B19,"_",C19,$B$3,"_",$B$5,"_",G19),D19="SECF",CONCATENATE(B19,"_",C19,$B$3,"_",$B$6,"_",G19),D19="SECT",CONCATENATE(B19,"_",C19,$B$3,"_",$B$7,"_",G19),D19="SECG",CONCATENATE(B19,"_",C19,$B$3,"_",#REF!,"_",G19),D19="DJ",CONCATENATE(B19,"_",C19,$B$3,"_",$B$4,"_",G19))</f>
        <v>IMA_AL29_AL29_ICCC</v>
      </c>
      <c r="I19" s="6" t="s">
        <v>188</v>
      </c>
      <c r="J19" s="6" t="s">
        <v>188</v>
      </c>
      <c r="K19" s="6" t="s">
        <v>188</v>
      </c>
      <c r="L19" s="8">
        <v>1</v>
      </c>
      <c r="M19" s="6" t="s">
        <v>188</v>
      </c>
      <c r="N19" s="95">
        <f t="shared" ref="N19:N20" si="1">N18+1</f>
        <v>214</v>
      </c>
    </row>
    <row r="20" spans="1:14" x14ac:dyDescent="0.25">
      <c r="A20" s="95" t="s">
        <v>190</v>
      </c>
      <c r="B20" s="95" t="str">
        <f>Informações!$C$3</f>
        <v>IMA</v>
      </c>
      <c r="C20" s="95" t="s">
        <v>89</v>
      </c>
      <c r="D20" s="95" t="s">
        <v>27</v>
      </c>
      <c r="E20" s="2" t="s">
        <v>8</v>
      </c>
      <c r="F20" s="6" t="str">
        <f>VLOOKUP(G20,[1]Analog!$A:$B,2,FALSE)</f>
        <v>CORRENTE CURTO CIRCUITO NEUTRO</v>
      </c>
      <c r="G20" s="6" t="s">
        <v>92</v>
      </c>
      <c r="H20" s="6" t="str" cm="1">
        <f t="array" ref="H20">_xlfn.IFS(OR(D20="TC",D20="TP",D20="LT"),CONCATENATE(B20,"_",C20,$B$3,"_",C20,$B$3,"_",G20),D20="SECC",CONCATENATE(B20,"_",C20,$B$3,"_",$B$5,"_",G20),D20="SECF",CONCATENATE(B20,"_",C20,$B$3,"_",$B$6,"_",G20),D20="SECT",CONCATENATE(B20,"_",C20,$B$3,"_",$B$7,"_",G20),D20="SECG",CONCATENATE(B20,"_",C20,$B$3,"_",#REF!,"_",G20),D20="DJ",CONCATENATE(B20,"_",C20,$B$3,"_",$B$4,"_",G20))</f>
        <v>IMA_AL29_AL29_INCC</v>
      </c>
      <c r="I20" s="6" t="s">
        <v>188</v>
      </c>
      <c r="J20" s="6" t="s">
        <v>188</v>
      </c>
      <c r="K20" s="6" t="s">
        <v>188</v>
      </c>
      <c r="L20" s="8">
        <v>1</v>
      </c>
      <c r="M20" s="6" t="s">
        <v>188</v>
      </c>
      <c r="N20" s="95">
        <f t="shared" si="1"/>
        <v>215</v>
      </c>
    </row>
    <row r="21" spans="1:14" x14ac:dyDescent="0.25">
      <c r="A21" s="6" t="s">
        <v>190</v>
      </c>
      <c r="B21" s="6" t="str">
        <f>Informações!$C$3</f>
        <v>IMA</v>
      </c>
      <c r="C21" s="6" t="s">
        <v>89</v>
      </c>
      <c r="D21" s="6" t="s">
        <v>30</v>
      </c>
      <c r="E21" s="2" t="s">
        <v>24</v>
      </c>
      <c r="F21" s="6" t="str">
        <f>VLOOKUP(G21,[1]Discrete!$A:$B,2,FALSE)</f>
        <v>DISJUNTOR NF</v>
      </c>
      <c r="G21" s="6" t="s">
        <v>34</v>
      </c>
      <c r="H21" s="6" t="str" cm="1">
        <f t="array" ref="H21">_xlfn.IFS(OR(D21="TC",D21="TP",D21="LT"),CONCATENATE(B21,"_",C21,$B$3,"_",C21,$B$3,"_",G21),D21="SECC",CONCATENATE(B21,"_",C21,$B$3,"_",$B$5,"_",G21),D21="SECF",CONCATENATE(B21,"_",C21,$B$3,"_",$B$6,"_",G21),D21="SECT",CONCATENATE(B21,"_",C21,$B$3,"_",$B$7,"_",G21),D21="SECG",CONCATENATE(B21,"_",C21,$B$3,"_",#REF!,"_",G21),D21="DJ",CONCATENATE(B21,"_",C21,$B$3,"_",$B$4,"_",G21))</f>
        <v>IMA_AL29_52-28_DJF1</v>
      </c>
      <c r="I21" s="6" t="s">
        <v>188</v>
      </c>
      <c r="J21" s="6" t="s">
        <v>188</v>
      </c>
      <c r="K21" s="6" t="s">
        <v>188</v>
      </c>
      <c r="L21" s="6" t="s">
        <v>188</v>
      </c>
      <c r="M21" s="6"/>
      <c r="N21" s="6" t="str">
        <f>VALUE(LEFT('BC 1'!N30, FIND(";",'BC 1'!N30)-1)) + 1 &amp; ";" &amp; VALUE(LEFT('BC 1'!N30, FIND(";",'BC 1'!N30)-1)) + 1</f>
        <v>158;158</v>
      </c>
    </row>
    <row r="22" spans="1:14" x14ac:dyDescent="0.25">
      <c r="A22" s="93" t="s">
        <v>191</v>
      </c>
      <c r="B22" s="6" t="str">
        <f>Informações!$C$3</f>
        <v>IMA</v>
      </c>
      <c r="C22" s="6" t="s">
        <v>89</v>
      </c>
      <c r="D22" s="6" t="s">
        <v>30</v>
      </c>
      <c r="E22" s="2" t="s">
        <v>24</v>
      </c>
      <c r="F22" s="93" t="e">
        <f>VLOOKUP(G22,[1]Discrete!$A:$B,2,FALSE)</f>
        <v>#N/A</v>
      </c>
      <c r="G22" s="6">
        <v>2649</v>
      </c>
      <c r="H22" s="6" t="str" cm="1">
        <f t="array" ref="H22">_xlfn.IFS(OR(D22="TC",D22="TP",D22="LT"),CONCATENATE(B22,"_",C22,$B$3,"_",C22,$B$3,"_",G22),D22="SECC",CONCATENATE(B22,"_",C22,$B$3,"_",$B$5,"_",G22),D22="SECF",CONCATENATE(B22,"_",C22,$B$3,"_",$B$6,"_",G22),D22="SECT",CONCATENATE(B22,"_",C22,$B$3,"_",$B$7,"_",G22),D22="SECG",CONCATENATE(B22,"_",C22,$B$3,"_",#REF!,"_",G22),D22="DJ",CONCATENATE(B22,"_",C22,$B$3,"_",$B$4,"_",G22))</f>
        <v>IMA_AL29_52-28_2649</v>
      </c>
      <c r="I22" s="6"/>
      <c r="J22" s="6"/>
      <c r="K22" s="6"/>
      <c r="L22" s="6" t="s">
        <v>188</v>
      </c>
      <c r="M22" s="6"/>
      <c r="N22" s="93" t="str">
        <f t="shared" ref="N22" si="2">VALUE(LEFT(N21, FIND(";",N21)-1)) + 1 &amp; ";" &amp; VALUE(LEFT(N21, FIND(";",N21)-1)) + 1</f>
        <v>159;159</v>
      </c>
    </row>
    <row r="23" spans="1:14" x14ac:dyDescent="0.25">
      <c r="A23" s="6" t="s">
        <v>190</v>
      </c>
      <c r="B23" s="6" t="str">
        <f>Informações!$C$3</f>
        <v>IMA</v>
      </c>
      <c r="C23" s="6" t="s">
        <v>89</v>
      </c>
      <c r="D23" s="6" t="s">
        <v>30</v>
      </c>
      <c r="E23" s="2" t="s">
        <v>24</v>
      </c>
      <c r="F23" s="6" t="e">
        <f>VLOOKUP(G23,[1]Discrete!$A:$B,2,FALSE)</f>
        <v>#N/A</v>
      </c>
      <c r="G23" s="6">
        <v>79</v>
      </c>
      <c r="H23" s="6" t="str" cm="1">
        <f t="array" ref="H23">_xlfn.IFS(OR(D23="TC",D23="TP",D23="LT"),CONCATENATE(B23,"_",C23,$B$3,"_",C23,$B$3,"_",G23),D23="SECC",CONCATENATE(B23,"_",C23,$B$3,"_",$B$5,"_",G23),D23="SECF",CONCATENATE(B23,"_",C23,$B$3,"_",$B$6,"_",G23),D23="SECT",CONCATENATE(B23,"_",C23,$B$3,"_",$B$7,"_",G23),D23="SECG",CONCATENATE(B23,"_",C23,$B$3,"_",#REF!,"_",G23),D23="DJ",CONCATENATE(B23,"_",C23,$B$3,"_",$B$4,"_",G23))</f>
        <v>IMA_AL29_52-28_79</v>
      </c>
      <c r="I23" s="6" t="s">
        <v>188</v>
      </c>
      <c r="J23" s="6" t="s">
        <v>188</v>
      </c>
      <c r="K23" s="6" t="s">
        <v>188</v>
      </c>
      <c r="L23" s="6" t="s">
        <v>188</v>
      </c>
      <c r="M23" s="6"/>
      <c r="N23" s="6" t="str">
        <f t="shared" ref="N23:N30" si="3">VALUE(LEFT(N22, FIND(";",N22)-1)) + 1 &amp; ";" &amp; VALUE(LEFT(N22, FIND(";",N22)-1)) + 1</f>
        <v>160;160</v>
      </c>
    </row>
    <row r="24" spans="1:14" x14ac:dyDescent="0.25">
      <c r="A24" s="6" t="s">
        <v>190</v>
      </c>
      <c r="B24" s="6" t="str">
        <f>Informações!$C$3</f>
        <v>IMA</v>
      </c>
      <c r="C24" s="6" t="s">
        <v>89</v>
      </c>
      <c r="D24" s="6" t="s">
        <v>30</v>
      </c>
      <c r="E24" s="2" t="s">
        <v>24</v>
      </c>
      <c r="F24" s="6" t="str">
        <f>VLOOKUP(G24,[1]Discrete!$A:$B,2,FALSE)</f>
        <v>51 - FUNCAO SOBRECORRENTE TEMPORIZADA NEUTRO</v>
      </c>
      <c r="G24" s="6" t="s">
        <v>35</v>
      </c>
      <c r="H24" s="6" t="str" cm="1">
        <f t="array" ref="H24">_xlfn.IFS(OR(D24="TC",D24="TP",D24="LT"),CONCATENATE(B24,"_",C24,$B$3,"_",C24,$B$3,"_",G24),D24="SECC",CONCATENATE(B24,"_",C24,$B$3,"_",$B$5,"_",G24),D24="SECF",CONCATENATE(B24,"_",C24,$B$3,"_",$B$6,"_",G24),D24="SECT",CONCATENATE(B24,"_",C24,$B$3,"_",$B$7,"_",G24),D24="SECG",CONCATENATE(B24,"_",C24,$B$3,"_",#REF!,"_",G24),D24="DJ",CONCATENATE(B24,"_",C24,$B$3,"_",$B$4,"_",G24))</f>
        <v>IMA_AL29_52-28_51N</v>
      </c>
      <c r="I24" s="6" t="s">
        <v>188</v>
      </c>
      <c r="J24" s="6" t="s">
        <v>188</v>
      </c>
      <c r="K24" s="6" t="s">
        <v>188</v>
      </c>
      <c r="L24" s="6" t="s">
        <v>188</v>
      </c>
      <c r="M24" s="6"/>
      <c r="N24" s="6" t="str">
        <f t="shared" si="3"/>
        <v>161;161</v>
      </c>
    </row>
    <row r="25" spans="1:14" x14ac:dyDescent="0.25">
      <c r="A25" s="6" t="s">
        <v>190</v>
      </c>
      <c r="B25" s="6" t="str">
        <f>Informações!$C$3</f>
        <v>IMA</v>
      </c>
      <c r="C25" s="6" t="s">
        <v>89</v>
      </c>
      <c r="D25" s="6" t="s">
        <v>30</v>
      </c>
      <c r="E25" s="2" t="s">
        <v>24</v>
      </c>
      <c r="F25" s="6" t="e">
        <f>VLOOKUP(G25,[1]Discrete!$A:$B,2,FALSE)</f>
        <v>#N/A</v>
      </c>
      <c r="G25" s="6">
        <v>81</v>
      </c>
      <c r="H25" s="6" t="str" cm="1">
        <f t="array" ref="H25">_xlfn.IFS(OR(D25="TC",D25="TP",D25="LT"),CONCATENATE(B25,"_",C25,$B$3,"_",C25,$B$3,"_",G25),D25="SECC",CONCATENATE(B25,"_",C25,$B$3,"_",$B$5,"_",G25),D25="SECF",CONCATENATE(B25,"_",C25,$B$3,"_",$B$6,"_",G25),D25="SECT",CONCATENATE(B25,"_",C25,$B$3,"_",$B$7,"_",G25),D25="SECG",CONCATENATE(B25,"_",C25,$B$3,"_",#REF!,"_",G25),D25="DJ",CONCATENATE(B25,"_",C25,$B$3,"_",$B$4,"_",G25))</f>
        <v>IMA_AL29_52-28_81</v>
      </c>
      <c r="I25" s="6" t="s">
        <v>188</v>
      </c>
      <c r="J25" s="6" t="s">
        <v>188</v>
      </c>
      <c r="K25" s="6" t="s">
        <v>188</v>
      </c>
      <c r="L25" s="6" t="s">
        <v>188</v>
      </c>
      <c r="M25" s="6"/>
      <c r="N25" s="6" t="str">
        <f t="shared" si="3"/>
        <v>162;162</v>
      </c>
    </row>
    <row r="26" spans="1:14" x14ac:dyDescent="0.25">
      <c r="A26" s="6" t="s">
        <v>190</v>
      </c>
      <c r="B26" s="6" t="str">
        <f>Informações!$C$3</f>
        <v>IMA</v>
      </c>
      <c r="C26" s="6" t="s">
        <v>89</v>
      </c>
      <c r="D26" s="6" t="s">
        <v>30</v>
      </c>
      <c r="E26" s="2" t="s">
        <v>24</v>
      </c>
      <c r="F26" s="6" t="str">
        <f>VLOOKUP(G26,[1]Discrete!$A:$B,2,FALSE)</f>
        <v>AJUSTE PARA 81 E1</v>
      </c>
      <c r="G26" s="6" t="s">
        <v>72</v>
      </c>
      <c r="H26" s="6" t="str" cm="1">
        <f t="array" ref="H26">_xlfn.IFS(OR(D26="TC",D26="TP",D26="LT"),CONCATENATE(B26,"_",C26,$B$3,"_",C26,$B$3,"_",G26),D26="SECC",CONCATENATE(B26,"_",C26,$B$3,"_",$B$5,"_",G26),D26="SECF",CONCATENATE(B26,"_",C26,$B$3,"_",$B$6,"_",G26),D26="SECT",CONCATENATE(B26,"_",C26,$B$3,"_",$B$7,"_",G26),D26="SECG",CONCATENATE(B26,"_",C26,$B$3,"_",#REF!,"_",G26),D26="DJ",CONCATENATE(B26,"_",C26,$B$3,"_",$B$4,"_",G26))</f>
        <v>IMA_AL29_52-28_81U1</v>
      </c>
      <c r="I26" s="6" t="s">
        <v>188</v>
      </c>
      <c r="J26" s="6" t="s">
        <v>188</v>
      </c>
      <c r="K26" s="6" t="s">
        <v>188</v>
      </c>
      <c r="L26" s="6" t="s">
        <v>188</v>
      </c>
      <c r="M26" s="6"/>
      <c r="N26" s="6" t="str">
        <f t="shared" si="3"/>
        <v>163;163</v>
      </c>
    </row>
    <row r="27" spans="1:14" x14ac:dyDescent="0.25">
      <c r="A27" s="6" t="s">
        <v>190</v>
      </c>
      <c r="B27" s="6" t="str">
        <f>Informações!$C$3</f>
        <v>IMA</v>
      </c>
      <c r="C27" s="6" t="s">
        <v>89</v>
      </c>
      <c r="D27" s="6" t="s">
        <v>30</v>
      </c>
      <c r="E27" s="2" t="s">
        <v>24</v>
      </c>
      <c r="F27" s="6" t="str">
        <f>VLOOKUP(G27,[1]Discrete!$A:$B,2,FALSE)</f>
        <v>AJUSTE PARA 81 E2</v>
      </c>
      <c r="G27" s="6" t="s">
        <v>73</v>
      </c>
      <c r="H27" s="6" t="str" cm="1">
        <f t="array" ref="H27">_xlfn.IFS(OR(D27="TC",D27="TP",D27="LT"),CONCATENATE(B27,"_",C27,$B$3,"_",C27,$B$3,"_",G27),D27="SECC",CONCATENATE(B27,"_",C27,$B$3,"_",$B$5,"_",G27),D27="SECF",CONCATENATE(B27,"_",C27,$B$3,"_",$B$6,"_",G27),D27="SECT",CONCATENATE(B27,"_",C27,$B$3,"_",$B$7,"_",G27),D27="SECG",CONCATENATE(B27,"_",C27,$B$3,"_",#REF!,"_",G27),D27="DJ",CONCATENATE(B27,"_",C27,$B$3,"_",$B$4,"_",G27))</f>
        <v>IMA_AL29_52-28_81U2</v>
      </c>
      <c r="I27" s="6" t="s">
        <v>188</v>
      </c>
      <c r="J27" s="6" t="s">
        <v>188</v>
      </c>
      <c r="K27" s="6" t="s">
        <v>188</v>
      </c>
      <c r="L27" s="6" t="s">
        <v>188</v>
      </c>
      <c r="M27" s="6"/>
      <c r="N27" s="6" t="str">
        <f t="shared" si="3"/>
        <v>164;164</v>
      </c>
    </row>
    <row r="28" spans="1:14" x14ac:dyDescent="0.25">
      <c r="A28" s="6" t="s">
        <v>190</v>
      </c>
      <c r="B28" s="6" t="str">
        <f>Informações!$C$3</f>
        <v>IMA</v>
      </c>
      <c r="C28" s="6" t="s">
        <v>89</v>
      </c>
      <c r="D28" s="6" t="s">
        <v>30</v>
      </c>
      <c r="E28" s="2" t="s">
        <v>24</v>
      </c>
      <c r="F28" s="6" t="str">
        <f>VLOOKUP(G28,[1]Discrete!$A:$B,2,FALSE)</f>
        <v>AJUSTE PARA 81 E3</v>
      </c>
      <c r="G28" s="6" t="s">
        <v>74</v>
      </c>
      <c r="H28" s="6" t="str" cm="1">
        <f t="array" ref="H28">_xlfn.IFS(OR(D28="TC",D28="TP",D28="LT"),CONCATENATE(B28,"_",C28,$B$3,"_",C28,$B$3,"_",G28),D28="SECC",CONCATENATE(B28,"_",C28,$B$3,"_",$B$5,"_",G28),D28="SECF",CONCATENATE(B28,"_",C28,$B$3,"_",$B$6,"_",G28),D28="SECT",CONCATENATE(B28,"_",C28,$B$3,"_",$B$7,"_",G28),D28="SECG",CONCATENATE(B28,"_",C28,$B$3,"_",#REF!,"_",G28),D28="DJ",CONCATENATE(B28,"_",C28,$B$3,"_",$B$4,"_",G28))</f>
        <v>IMA_AL29_52-28_81U3</v>
      </c>
      <c r="I28" s="6" t="s">
        <v>188</v>
      </c>
      <c r="J28" s="6" t="s">
        <v>188</v>
      </c>
      <c r="K28" s="6" t="s">
        <v>188</v>
      </c>
      <c r="L28" s="6" t="s">
        <v>188</v>
      </c>
      <c r="M28" s="6"/>
      <c r="N28" s="6" t="str">
        <f t="shared" si="3"/>
        <v>165;165</v>
      </c>
    </row>
    <row r="29" spans="1:14" x14ac:dyDescent="0.25">
      <c r="A29" s="6" t="s">
        <v>190</v>
      </c>
      <c r="B29" s="6" t="str">
        <f>Informações!$C$3</f>
        <v>IMA</v>
      </c>
      <c r="C29" s="6" t="s">
        <v>89</v>
      </c>
      <c r="D29" s="6" t="s">
        <v>30</v>
      </c>
      <c r="E29" s="2" t="s">
        <v>24</v>
      </c>
      <c r="F29" s="6" t="str">
        <f>VLOOKUP(G29,[1]Discrete!$A:$B,2,FALSE)</f>
        <v>AJUSTE PARA 81 E4</v>
      </c>
      <c r="G29" s="6" t="s">
        <v>75</v>
      </c>
      <c r="H29" s="6" t="str" cm="1">
        <f t="array" ref="H29">_xlfn.IFS(OR(D29="TC",D29="TP",D29="LT"),CONCATENATE(B29,"_",C29,$B$3,"_",C29,$B$3,"_",G29),D29="SECC",CONCATENATE(B29,"_",C29,$B$3,"_",$B$5,"_",G29),D29="SECF",CONCATENATE(B29,"_",C29,$B$3,"_",$B$6,"_",G29),D29="SECT",CONCATENATE(B29,"_",C29,$B$3,"_",$B$7,"_",G29),D29="SECG",CONCATENATE(B29,"_",C29,$B$3,"_",#REF!,"_",G29),D29="DJ",CONCATENATE(B29,"_",C29,$B$3,"_",$B$4,"_",G29))</f>
        <v>IMA_AL29_52-28_81U4</v>
      </c>
      <c r="I29" s="6" t="s">
        <v>188</v>
      </c>
      <c r="J29" s="6" t="s">
        <v>188</v>
      </c>
      <c r="K29" s="6" t="s">
        <v>188</v>
      </c>
      <c r="L29" s="6" t="s">
        <v>188</v>
      </c>
      <c r="M29" s="6"/>
      <c r="N29" s="6" t="str">
        <f t="shared" si="3"/>
        <v>166;166</v>
      </c>
    </row>
    <row r="30" spans="1:14" x14ac:dyDescent="0.25">
      <c r="A30" s="6" t="s">
        <v>190</v>
      </c>
      <c r="B30" s="6" t="str">
        <f>Informações!$C$3</f>
        <v>IMA</v>
      </c>
      <c r="C30" s="6" t="s">
        <v>89</v>
      </c>
      <c r="D30" s="6" t="s">
        <v>30</v>
      </c>
      <c r="E30" s="2" t="s">
        <v>24</v>
      </c>
      <c r="F30" s="6" t="s">
        <v>296</v>
      </c>
      <c r="G30" s="6" t="s">
        <v>76</v>
      </c>
      <c r="H30" s="6" t="str" cm="1">
        <f t="array" ref="H30">_xlfn.IFS(OR(D30="TC",D30="TP",D30="LT"),CONCATENATE(B30,"_",C30,$B$3,"_",C30,$B$3,"_",G30),D30="SECC",CONCATENATE(B30,"_",C30,$B$3,"_",$B$5,"_",G30),D30="SECF",CONCATENATE(B30,"_",C30,$B$3,"_",$B$6,"_",G30),D30="SECT",CONCATENATE(B30,"_",C30,$B$3,"_",$B$7,"_",G30),D30="SECG",CONCATENATE(B30,"_",C30,$B$3,"_",#REF!,"_",G30),D30="DJ",CONCATENATE(B30,"_",C30,$B$3,"_",$B$4,"_",G30))</f>
        <v>IMA_AL29_52-28_81U5</v>
      </c>
      <c r="I30" s="6" t="s">
        <v>188</v>
      </c>
      <c r="J30" s="6" t="s">
        <v>188</v>
      </c>
      <c r="K30" s="6" t="s">
        <v>188</v>
      </c>
      <c r="L30" s="6" t="s">
        <v>188</v>
      </c>
      <c r="M30" s="6"/>
      <c r="N30" s="6" t="str">
        <f t="shared" si="3"/>
        <v>167;167</v>
      </c>
    </row>
    <row r="31" spans="1:14" x14ac:dyDescent="0.25">
      <c r="A31" s="6" t="s">
        <v>190</v>
      </c>
      <c r="B31" s="6" t="str">
        <f>Informações!$C$3</f>
        <v>IMA</v>
      </c>
      <c r="C31" s="6" t="s">
        <v>89</v>
      </c>
      <c r="D31" s="6" t="s">
        <v>30</v>
      </c>
      <c r="E31" s="2" t="s">
        <v>25</v>
      </c>
      <c r="F31" s="104" t="str">
        <f>VLOOKUP(G31,[1]Discrete!$A:$B,2,FALSE)</f>
        <v>DISJUNTOR NF</v>
      </c>
      <c r="G31" s="6" t="s">
        <v>34</v>
      </c>
      <c r="H31" s="6" t="str" cm="1">
        <f t="array" ref="H31">_xlfn.IFS(OR(D31="TC",D31="TP",D31="LT"),CONCATENATE(B31,"_",C31,$B$3,"_",C31,$B$3,"_",G31),D31="SECC",CONCATENATE(B31,"_",C31,$B$3,"_",$B$5,"_",G31),D31="SECF",CONCATENATE(B31,"_",C31,$B$3,"_",$B$6,"_",G31),D31="SECT",CONCATENATE(B31,"_",C31,$B$3,"_",$B$7,"_",G31),D31="SECG",CONCATENATE(B31,"_",C31,$B$3,"_",#REF!,"_",G31),D31="DJ",CONCATENATE(B31,"_",C31,$B$3,"_",$B$4,"_",G31))</f>
        <v>IMA_AL29_52-28_DJF1</v>
      </c>
      <c r="I31" s="6"/>
      <c r="J31" s="104" t="s">
        <v>284</v>
      </c>
      <c r="K31" s="104" t="s">
        <v>286</v>
      </c>
      <c r="L31" s="6" t="s">
        <v>188</v>
      </c>
      <c r="M31" s="6" t="s">
        <v>188</v>
      </c>
      <c r="N31" s="104" t="str">
        <f>VALUE(LEFT('BC 1'!N31, FIND(";",'BC 1'!N31)-1)) + 2 &amp; ";" &amp; VALUE(LEFT('BC 1'!N31, FIND(";",'BC 1'!N31)-1)) + 3</f>
        <v>1166;1167</v>
      </c>
    </row>
    <row r="32" spans="1:14" x14ac:dyDescent="0.25">
      <c r="A32" s="6" t="s">
        <v>190</v>
      </c>
      <c r="B32" s="6" t="str">
        <f>Informações!$C$3</f>
        <v>IMA</v>
      </c>
      <c r="C32" s="6" t="s">
        <v>89</v>
      </c>
      <c r="D32" s="6" t="s">
        <v>30</v>
      </c>
      <c r="E32" s="2" t="s">
        <v>25</v>
      </c>
      <c r="F32" s="6" t="str">
        <f>VLOOKUP(G32,[1]Discrete!$A:$B,2,FALSE)</f>
        <v>BLOQUEIO 5 MINUTOS</v>
      </c>
      <c r="G32" s="6" t="s">
        <v>742</v>
      </c>
      <c r="H32" s="6" t="str" cm="1">
        <f t="array" ref="H32">_xlfn.IFS(OR(D32="TC",D32="TP",D32="LT"),CONCATENATE(B32,"_",C32,$B$3,"_",C32,$B$3,"_",G32),D32="SECC",CONCATENATE(B32,"_",C32,$B$3,"_",$B$5,"_",G32),D32="SECF",CONCATENATE(B32,"_",C32,$B$3,"_",$B$6,"_",G32),D32="SECT",CONCATENATE(B32,"_",C32,$B$3,"_",$B$7,"_",G32),D32="SECG",CONCATENATE(B32,"_",C32,$B$3,"_",#REF!,"_",G32),D32="DJ",CONCATENATE(B32,"_",C32,$B$3,"_",$B$4,"_",G32))</f>
        <v>IMA_AL29_52-28_B5M</v>
      </c>
      <c r="I32" s="6"/>
      <c r="J32" s="6" t="s">
        <v>183</v>
      </c>
      <c r="K32" s="6" t="s">
        <v>184</v>
      </c>
      <c r="L32" s="6" t="s">
        <v>188</v>
      </c>
      <c r="M32" s="6" t="s">
        <v>188</v>
      </c>
      <c r="N32" s="6">
        <v>829</v>
      </c>
    </row>
    <row r="33" spans="1:14" x14ac:dyDescent="0.25">
      <c r="A33" s="6" t="s">
        <v>190</v>
      </c>
      <c r="B33" s="6" t="str">
        <f>Informações!$C$3</f>
        <v>IMA</v>
      </c>
      <c r="C33" s="6" t="s">
        <v>89</v>
      </c>
      <c r="D33" s="6" t="s">
        <v>30</v>
      </c>
      <c r="E33" s="2" t="s">
        <v>25</v>
      </c>
      <c r="F33" s="6" t="str">
        <f>VLOOKUP(G33,[1]Discrete!$A:$B,2,FALSE)</f>
        <v>51 - FUNCAO SOBRECORRENTE TEMPORIZADA NEUTRO</v>
      </c>
      <c r="G33" s="6" t="s">
        <v>35</v>
      </c>
      <c r="H33" s="6" t="str" cm="1">
        <f t="array" ref="H33">_xlfn.IFS(OR(D33="TC",D33="TP",D33="LT"),CONCATENATE(B33,"_",C33,$B$3,"_",C33,$B$3,"_",G33),D33="SECC",CONCATENATE(B33,"_",C33,$B$3,"_",$B$5,"_",G33),D33="SECF",CONCATENATE(B33,"_",C33,$B$3,"_",$B$6,"_",G33),D33="SECT",CONCATENATE(B33,"_",C33,$B$3,"_",$B$7,"_",G33),D33="SECG",CONCATENATE(B33,"_",C33,$B$3,"_",#REF!,"_",G33),D33="DJ",CONCATENATE(B33,"_",C33,$B$3,"_",$B$4,"_",G33))</f>
        <v>IMA_AL29_52-28_51N</v>
      </c>
      <c r="I33" s="6"/>
      <c r="J33" s="6" t="s">
        <v>183</v>
      </c>
      <c r="K33" s="6" t="s">
        <v>184</v>
      </c>
      <c r="L33" s="6" t="s">
        <v>188</v>
      </c>
      <c r="M33" s="6" t="s">
        <v>188</v>
      </c>
      <c r="N33" s="6">
        <f t="shared" ref="N33:N71" si="4">N32+1</f>
        <v>830</v>
      </c>
    </row>
    <row r="34" spans="1:14" x14ac:dyDescent="0.25">
      <c r="A34" s="6" t="s">
        <v>190</v>
      </c>
      <c r="B34" s="6" t="str">
        <f>Informações!$C$3</f>
        <v>IMA</v>
      </c>
      <c r="C34" s="6" t="s">
        <v>89</v>
      </c>
      <c r="D34" s="6" t="s">
        <v>30</v>
      </c>
      <c r="E34" s="2" t="s">
        <v>25</v>
      </c>
      <c r="F34" s="6" t="e">
        <f>VLOOKUP(G34,[1]Discrete!$A:$B,2,FALSE)</f>
        <v>#N/A</v>
      </c>
      <c r="G34" s="6">
        <v>81</v>
      </c>
      <c r="H34" s="6" t="str" cm="1">
        <f t="array" ref="H34">_xlfn.IFS(OR(D34="TC",D34="TP",D34="LT"),CONCATENATE(B34,"_",C34,$B$3,"_",C34,$B$3,"_",G34),D34="SECC",CONCATENATE(B34,"_",C34,$B$3,"_",$B$5,"_",G34),D34="SECF",CONCATENATE(B34,"_",C34,$B$3,"_",$B$6,"_",G34),D34="SECT",CONCATENATE(B34,"_",C34,$B$3,"_",$B$7,"_",G34),D34="SECG",CONCATENATE(B34,"_",C34,$B$3,"_",#REF!,"_",G34),D34="DJ",CONCATENATE(B34,"_",C34,$B$3,"_",$B$4,"_",G34))</f>
        <v>IMA_AL29_52-28_81</v>
      </c>
      <c r="I34" s="6"/>
      <c r="J34" s="94" t="s">
        <v>183</v>
      </c>
      <c r="K34" s="94" t="s">
        <v>184</v>
      </c>
      <c r="L34" s="6" t="s">
        <v>188</v>
      </c>
      <c r="M34" s="6" t="s">
        <v>188</v>
      </c>
      <c r="N34" s="6">
        <f t="shared" si="4"/>
        <v>831</v>
      </c>
    </row>
    <row r="35" spans="1:14" x14ac:dyDescent="0.25">
      <c r="A35" s="6" t="s">
        <v>190</v>
      </c>
      <c r="B35" s="6" t="str">
        <f>Informações!$C$3</f>
        <v>IMA</v>
      </c>
      <c r="C35" s="6" t="s">
        <v>89</v>
      </c>
      <c r="D35" s="6" t="s">
        <v>30</v>
      </c>
      <c r="E35" s="2" t="s">
        <v>25</v>
      </c>
      <c r="F35" s="6" t="str">
        <f>VLOOKUP(G35,[1]Discrete!$A:$B,2,FALSE)</f>
        <v>AJUSTE PARA 81 E1</v>
      </c>
      <c r="G35" s="17" t="s">
        <v>72</v>
      </c>
      <c r="H35" s="6" t="str" cm="1">
        <f t="array" ref="H35">_xlfn.IFS(OR(D35="TC",D35="TP",D35="LT"),CONCATENATE(B35,"_",C35,$B$3,"_",C35,$B$3,"_",G35),D35="SECC",CONCATENATE(B35,"_",C35,$B$3,"_",$B$5,"_",G35),D35="SECF",CONCATENATE(B35,"_",C35,$B$3,"_",$B$6,"_",G35),D35="SECT",CONCATENATE(B35,"_",C35,$B$3,"_",$B$7,"_",G35),D35="SECG",CONCATENATE(B35,"_",C35,$B$3,"_",#REF!,"_",G35),D35="DJ",CONCATENATE(B35,"_",C35,$B$3,"_",$B$4,"_",G35))</f>
        <v>IMA_AL29_52-28_81U1</v>
      </c>
      <c r="I35" s="6"/>
      <c r="J35" s="94" t="s">
        <v>184</v>
      </c>
      <c r="K35" s="94" t="s">
        <v>183</v>
      </c>
      <c r="L35" s="6" t="s">
        <v>188</v>
      </c>
      <c r="M35" s="6" t="s">
        <v>188</v>
      </c>
      <c r="N35" s="6">
        <f t="shared" si="4"/>
        <v>832</v>
      </c>
    </row>
    <row r="36" spans="1:14" x14ac:dyDescent="0.25">
      <c r="A36" s="6" t="s">
        <v>190</v>
      </c>
      <c r="B36" s="6" t="str">
        <f>Informações!$C$3</f>
        <v>IMA</v>
      </c>
      <c r="C36" s="6" t="s">
        <v>89</v>
      </c>
      <c r="D36" s="6" t="s">
        <v>30</v>
      </c>
      <c r="E36" s="2" t="s">
        <v>25</v>
      </c>
      <c r="F36" s="6" t="str">
        <f>VLOOKUP(G36,[1]Discrete!$A:$B,2,FALSE)</f>
        <v>AJUSTE PARA 81 E2</v>
      </c>
      <c r="G36" s="17" t="s">
        <v>73</v>
      </c>
      <c r="H36" s="6" t="str" cm="1">
        <f t="array" ref="H36">_xlfn.IFS(OR(D36="TC",D36="TP",D36="LT"),CONCATENATE(B36,"_",C36,$B$3,"_",C36,$B$3,"_",G36),D36="SECC",CONCATENATE(B36,"_",C36,$B$3,"_",$B$5,"_",G36),D36="SECF",CONCATENATE(B36,"_",C36,$B$3,"_",$B$6,"_",G36),D36="SECT",CONCATENATE(B36,"_",C36,$B$3,"_",$B$7,"_",G36),D36="SECG",CONCATENATE(B36,"_",C36,$B$3,"_",#REF!,"_",G36),D36="DJ",CONCATENATE(B36,"_",C36,$B$3,"_",$B$4,"_",G36))</f>
        <v>IMA_AL29_52-28_81U2</v>
      </c>
      <c r="I36" s="6"/>
      <c r="J36" s="94" t="s">
        <v>184</v>
      </c>
      <c r="K36" s="94" t="s">
        <v>183</v>
      </c>
      <c r="L36" s="6" t="s">
        <v>188</v>
      </c>
      <c r="M36" s="6" t="s">
        <v>188</v>
      </c>
      <c r="N36" s="6">
        <f t="shared" si="4"/>
        <v>833</v>
      </c>
    </row>
    <row r="37" spans="1:14" x14ac:dyDescent="0.25">
      <c r="A37" s="6" t="s">
        <v>190</v>
      </c>
      <c r="B37" s="6" t="str">
        <f>Informações!$C$3</f>
        <v>IMA</v>
      </c>
      <c r="C37" s="6" t="s">
        <v>89</v>
      </c>
      <c r="D37" s="6" t="s">
        <v>30</v>
      </c>
      <c r="E37" s="2" t="s">
        <v>25</v>
      </c>
      <c r="F37" s="6" t="str">
        <f>VLOOKUP(G37,[1]Discrete!$A:$B,2,FALSE)</f>
        <v>AJUSTE PARA 81 E3</v>
      </c>
      <c r="G37" s="17" t="s">
        <v>74</v>
      </c>
      <c r="H37" s="6" t="str" cm="1">
        <f t="array" ref="H37">_xlfn.IFS(OR(D37="TC",D37="TP",D37="LT"),CONCATENATE(B37,"_",C37,$B$3,"_",C37,$B$3,"_",G37),D37="SECC",CONCATENATE(B37,"_",C37,$B$3,"_",$B$5,"_",G37),D37="SECF",CONCATENATE(B37,"_",C37,$B$3,"_",$B$6,"_",G37),D37="SECT",CONCATENATE(B37,"_",C37,$B$3,"_",$B$7,"_",G37),D37="SECG",CONCATENATE(B37,"_",C37,$B$3,"_",#REF!,"_",G37),D37="DJ",CONCATENATE(B37,"_",C37,$B$3,"_",$B$4,"_",G37))</f>
        <v>IMA_AL29_52-28_81U3</v>
      </c>
      <c r="I37" s="6"/>
      <c r="J37" s="94" t="s">
        <v>184</v>
      </c>
      <c r="K37" s="94" t="s">
        <v>183</v>
      </c>
      <c r="L37" s="6" t="s">
        <v>188</v>
      </c>
      <c r="M37" s="6" t="s">
        <v>188</v>
      </c>
      <c r="N37" s="6">
        <f t="shared" si="4"/>
        <v>834</v>
      </c>
    </row>
    <row r="38" spans="1:14" x14ac:dyDescent="0.25">
      <c r="A38" s="6" t="s">
        <v>190</v>
      </c>
      <c r="B38" s="6" t="str">
        <f>Informações!$C$3</f>
        <v>IMA</v>
      </c>
      <c r="C38" s="6" t="s">
        <v>89</v>
      </c>
      <c r="D38" s="6" t="s">
        <v>30</v>
      </c>
      <c r="E38" s="2" t="s">
        <v>25</v>
      </c>
      <c r="F38" s="6" t="str">
        <f>VLOOKUP(G38,[1]Discrete!$A:$B,2,FALSE)</f>
        <v>AJUSTE PARA 81 E4</v>
      </c>
      <c r="G38" s="17" t="s">
        <v>75</v>
      </c>
      <c r="H38" s="6" t="str" cm="1">
        <f t="array" ref="H38">_xlfn.IFS(OR(D38="TC",D38="TP",D38="LT"),CONCATENATE(B38,"_",C38,$B$3,"_",C38,$B$3,"_",G38),D38="SECC",CONCATENATE(B38,"_",C38,$B$3,"_",$B$5,"_",G38),D38="SECF",CONCATENATE(B38,"_",C38,$B$3,"_",$B$6,"_",G38),D38="SECT",CONCATENATE(B38,"_",C38,$B$3,"_",$B$7,"_",G38),D38="SECG",CONCATENATE(B38,"_",C38,$B$3,"_",#REF!,"_",G38),D38="DJ",CONCATENATE(B38,"_",C38,$B$3,"_",$B$4,"_",G38))</f>
        <v>IMA_AL29_52-28_81U4</v>
      </c>
      <c r="I38" s="6"/>
      <c r="J38" s="94" t="s">
        <v>184</v>
      </c>
      <c r="K38" s="94" t="s">
        <v>183</v>
      </c>
      <c r="L38" s="6" t="s">
        <v>188</v>
      </c>
      <c r="M38" s="6" t="s">
        <v>188</v>
      </c>
      <c r="N38" s="6">
        <f t="shared" si="4"/>
        <v>835</v>
      </c>
    </row>
    <row r="39" spans="1:14" x14ac:dyDescent="0.25">
      <c r="A39" s="6" t="s">
        <v>190</v>
      </c>
      <c r="B39" s="6" t="str">
        <f>Informações!$C$3</f>
        <v>IMA</v>
      </c>
      <c r="C39" s="6" t="s">
        <v>89</v>
      </c>
      <c r="D39" s="6" t="s">
        <v>30</v>
      </c>
      <c r="E39" s="2" t="s">
        <v>25</v>
      </c>
      <c r="F39" s="6" t="s">
        <v>296</v>
      </c>
      <c r="G39" s="17" t="s">
        <v>76</v>
      </c>
      <c r="H39" s="6" t="str" cm="1">
        <f t="array" ref="H39">_xlfn.IFS(OR(D39="TC",D39="TP",D39="LT"),CONCATENATE(B39,"_",C39,$B$3,"_",C39,$B$3,"_",G39),D39="SECC",CONCATENATE(B39,"_",C39,$B$3,"_",$B$5,"_",G39),D39="SECF",CONCATENATE(B39,"_",C39,$B$3,"_",$B$6,"_",G39),D39="SECT",CONCATENATE(B39,"_",C39,$B$3,"_",$B$7,"_",G39),D39="SECG",CONCATENATE(B39,"_",C39,$B$3,"_",#REF!,"_",G39),D39="DJ",CONCATENATE(B39,"_",C39,$B$3,"_",$B$4,"_",G39))</f>
        <v>IMA_AL29_52-28_81U5</v>
      </c>
      <c r="I39" s="6"/>
      <c r="J39" s="94" t="s">
        <v>184</v>
      </c>
      <c r="K39" s="94" t="s">
        <v>183</v>
      </c>
      <c r="L39" s="6" t="s">
        <v>188</v>
      </c>
      <c r="M39" s="6" t="s">
        <v>188</v>
      </c>
      <c r="N39" s="6">
        <f t="shared" si="4"/>
        <v>836</v>
      </c>
    </row>
    <row r="40" spans="1:14" x14ac:dyDescent="0.25">
      <c r="A40" s="93" t="s">
        <v>191</v>
      </c>
      <c r="B40" s="6" t="str">
        <f>Informações!$C$3</f>
        <v>IMA</v>
      </c>
      <c r="C40" s="6" t="s">
        <v>89</v>
      </c>
      <c r="D40" s="6" t="s">
        <v>30</v>
      </c>
      <c r="E40" s="2" t="s">
        <v>25</v>
      </c>
      <c r="F40" s="93" t="str">
        <f>VLOOKUP(G40,[1]Discrete!$A:$B,2,FALSE)</f>
        <v>26 49 - TRIP TEMPERATURA</v>
      </c>
      <c r="G40" s="6" t="s">
        <v>93</v>
      </c>
      <c r="H40" s="6" t="str" cm="1">
        <f t="array" ref="H40">_xlfn.IFS(OR(D40="TC",D40="TP",D40="LT"),CONCATENATE(B40,"_",C40,$B$3,"_",C40,$B$3,"_",G40),D40="SECC",CONCATENATE(B40,"_",C40,$B$3,"_",$B$5,"_",G40),D40="SECF",CONCATENATE(B40,"_",C40,$B$3,"_",$B$6,"_",G40),D40="SECT",CONCATENATE(B40,"_",C40,$B$3,"_",$B$7,"_",G40),D40="SECG",CONCATENATE(B40,"_",C40,$B$3,"_",#REF!,"_",G40),D40="DJ",CONCATENATE(B40,"_",C40,$B$3,"_",$B$4,"_",G40))</f>
        <v>IMA_AL29_52-28_TOED</v>
      </c>
      <c r="I40" s="6"/>
      <c r="J40" s="6" t="s">
        <v>182</v>
      </c>
      <c r="K40" s="6" t="s">
        <v>179</v>
      </c>
      <c r="L40" s="6" t="s">
        <v>188</v>
      </c>
      <c r="M40" s="6" t="s">
        <v>188</v>
      </c>
      <c r="N40" s="93">
        <f t="shared" si="4"/>
        <v>837</v>
      </c>
    </row>
    <row r="41" spans="1:14" x14ac:dyDescent="0.25">
      <c r="A41" s="6" t="s">
        <v>190</v>
      </c>
      <c r="B41" s="6" t="str">
        <f>Informações!$C$3</f>
        <v>IMA</v>
      </c>
      <c r="C41" s="6" t="s">
        <v>89</v>
      </c>
      <c r="D41" s="6" t="s">
        <v>30</v>
      </c>
      <c r="E41" s="2" t="s">
        <v>25</v>
      </c>
      <c r="F41" s="6" t="str">
        <f>VLOOKUP(G41,[1]Discrete!$A:$B,2,FALSE)</f>
        <v>FASE A</v>
      </c>
      <c r="G41" s="6" t="s">
        <v>54</v>
      </c>
      <c r="H41" s="6" t="str" cm="1">
        <f t="array" ref="H41">_xlfn.IFS(OR(D41="TC",D41="TP",D41="LT"),CONCATENATE(B41,"_",C41,$B$3,"_",C41,$B$3,"_",G41),D41="SECC",CONCATENATE(B41,"_",C41,$B$3,"_",$B$5,"_",G41),D41="SECF",CONCATENATE(B41,"_",C41,$B$3,"_",$B$6,"_",G41),D41="SECT",CONCATENATE(B41,"_",C41,$B$3,"_",$B$7,"_",G41),D41="SECG",CONCATENATE(B41,"_",C41,$B$3,"_",#REF!,"_",G41),D41="DJ",CONCATENATE(B41,"_",C41,$B$3,"_",$B$4,"_",G41))</f>
        <v>IMA_AL29_52-28_FA</v>
      </c>
      <c r="I41" s="6"/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4"/>
        <v>838</v>
      </c>
    </row>
    <row r="42" spans="1:14" x14ac:dyDescent="0.25">
      <c r="A42" s="6" t="s">
        <v>190</v>
      </c>
      <c r="B42" s="6" t="str">
        <f>Informações!$C$3</f>
        <v>IMA</v>
      </c>
      <c r="C42" s="6" t="s">
        <v>89</v>
      </c>
      <c r="D42" s="6" t="s">
        <v>30</v>
      </c>
      <c r="E42" s="2" t="s">
        <v>25</v>
      </c>
      <c r="F42" s="6" t="str">
        <f>VLOOKUP(G42,[1]Discrete!$A:$B,2,FALSE)</f>
        <v>FASE B</v>
      </c>
      <c r="G42" s="6" t="s">
        <v>55</v>
      </c>
      <c r="H42" s="6" t="str" cm="1">
        <f t="array" ref="H42">_xlfn.IFS(OR(D42="TC",D42="TP",D42="LT"),CONCATENATE(B42,"_",C42,$B$3,"_",C42,$B$3,"_",G42),D42="SECC",CONCATENATE(B42,"_",C42,$B$3,"_",$B$5,"_",G42),D42="SECF",CONCATENATE(B42,"_",C42,$B$3,"_",$B$6,"_",G42),D42="SECT",CONCATENATE(B42,"_",C42,$B$3,"_",$B$7,"_",G42),D42="SECG",CONCATENATE(B42,"_",C42,$B$3,"_",#REF!,"_",G42),D42="DJ",CONCATENATE(B42,"_",C42,$B$3,"_",$B$4,"_",G42))</f>
        <v>IMA_AL29_52-28_FB</v>
      </c>
      <c r="I42" s="6"/>
      <c r="J42" s="6" t="s">
        <v>182</v>
      </c>
      <c r="K42" s="6" t="s">
        <v>179</v>
      </c>
      <c r="L42" s="6" t="s">
        <v>188</v>
      </c>
      <c r="M42" s="6" t="s">
        <v>188</v>
      </c>
      <c r="N42" s="6">
        <f t="shared" si="4"/>
        <v>839</v>
      </c>
    </row>
    <row r="43" spans="1:14" x14ac:dyDescent="0.25">
      <c r="A43" s="6" t="s">
        <v>190</v>
      </c>
      <c r="B43" s="6" t="str">
        <f>Informações!$C$3</f>
        <v>IMA</v>
      </c>
      <c r="C43" s="6" t="s">
        <v>89</v>
      </c>
      <c r="D43" s="6" t="s">
        <v>30</v>
      </c>
      <c r="E43" s="2" t="s">
        <v>25</v>
      </c>
      <c r="F43" s="6" t="str">
        <f>VLOOKUP(G43,[1]Discrete!$A:$B,2,FALSE)</f>
        <v>FASE C</v>
      </c>
      <c r="G43" s="6" t="s">
        <v>56</v>
      </c>
      <c r="H43" s="6" t="str" cm="1">
        <f t="array" ref="H43">_xlfn.IFS(OR(D43="TC",D43="TP",D43="LT"),CONCATENATE(B43,"_",C43,$B$3,"_",C43,$B$3,"_",G43),D43="SECC",CONCATENATE(B43,"_",C43,$B$3,"_",$B$5,"_",G43),D43="SECF",CONCATENATE(B43,"_",C43,$B$3,"_",$B$6,"_",G43),D43="SECT",CONCATENATE(B43,"_",C43,$B$3,"_",$B$7,"_",G43),D43="SECG",CONCATENATE(B43,"_",C43,$B$3,"_",#REF!,"_",G43),D43="DJ",CONCATENATE(B43,"_",C43,$B$3,"_",$B$4,"_",G43))</f>
        <v>IMA_AL29_52-28_FC</v>
      </c>
      <c r="I43" s="6"/>
      <c r="J43" s="6" t="s">
        <v>182</v>
      </c>
      <c r="K43" s="6" t="s">
        <v>179</v>
      </c>
      <c r="L43" s="6" t="s">
        <v>188</v>
      </c>
      <c r="M43" s="6" t="s">
        <v>188</v>
      </c>
      <c r="N43" s="6">
        <f t="shared" si="4"/>
        <v>840</v>
      </c>
    </row>
    <row r="44" spans="1:14" x14ac:dyDescent="0.25">
      <c r="A44" s="6" t="s">
        <v>190</v>
      </c>
      <c r="B44" s="6" t="str">
        <f>Informações!$C$3</f>
        <v>IMA</v>
      </c>
      <c r="C44" s="6" t="s">
        <v>89</v>
      </c>
      <c r="D44" s="6" t="s">
        <v>30</v>
      </c>
      <c r="E44" s="2" t="s">
        <v>25</v>
      </c>
      <c r="F44" s="6" t="str">
        <f>VLOOKUP(G44,[1]Discrete!$A:$B,2,FALSE)</f>
        <v>NEUTRO</v>
      </c>
      <c r="G44" s="6" t="s">
        <v>420</v>
      </c>
      <c r="H44" s="6" t="str" cm="1">
        <f t="array" ref="H44">_xlfn.IFS(OR(D44="TC",D44="TP",D44="LT"),CONCATENATE(B44,"_",C44,$B$3,"_",C44,$B$3,"_",G44),D44="SECC",CONCATENATE(B44,"_",C44,$B$3,"_",$B$5,"_",G44),D44="SECF",CONCATENATE(B44,"_",C44,$B$3,"_",$B$6,"_",G44),D44="SECT",CONCATENATE(B44,"_",C44,$B$3,"_",$B$7,"_",G44),D44="SECG",CONCATENATE(B44,"_",C44,$B$3,"_",#REF!,"_",G44),D44="DJ",CONCATENATE(B44,"_",C44,$B$3,"_",$B$4,"_",G44))</f>
        <v>IMA_AL29_52-28_N</v>
      </c>
      <c r="I44" s="6"/>
      <c r="J44" s="6" t="s">
        <v>182</v>
      </c>
      <c r="K44" s="6" t="s">
        <v>179</v>
      </c>
      <c r="L44" s="6" t="s">
        <v>188</v>
      </c>
      <c r="M44" s="6" t="s">
        <v>188</v>
      </c>
      <c r="N44" s="6">
        <f t="shared" si="4"/>
        <v>841</v>
      </c>
    </row>
    <row r="45" spans="1:14" x14ac:dyDescent="0.25">
      <c r="A45" s="6" t="s">
        <v>190</v>
      </c>
      <c r="B45" s="6" t="str">
        <f>Informações!$C$3</f>
        <v>IMA</v>
      </c>
      <c r="C45" s="6" t="s">
        <v>89</v>
      </c>
      <c r="D45" s="6" t="s">
        <v>30</v>
      </c>
      <c r="E45" s="2" t="s">
        <v>25</v>
      </c>
      <c r="F45" s="6" t="str">
        <f>VLOOKUP(G45,[1]Discrete!$A:$B,2,FALSE)</f>
        <v>81 - TRIP SUB FREQUENCIA</v>
      </c>
      <c r="G45" s="6" t="s">
        <v>71</v>
      </c>
      <c r="H45" s="6" t="str" cm="1">
        <f t="array" ref="H45">_xlfn.IFS(OR(D45="TC",D45="TP",D45="LT"),CONCATENATE(B45,"_",C45,$B$3,"_",C45,$B$3,"_",G45),D45="SECC",CONCATENATE(B45,"_",C45,$B$3,"_",$B$5,"_",G45),D45="SECF",CONCATENATE(B45,"_",C45,$B$3,"_",$B$6,"_",G45),D45="SECT",CONCATENATE(B45,"_",C45,$B$3,"_",$B$7,"_",G45),D45="SECG",CONCATENATE(B45,"_",C45,$B$3,"_",#REF!,"_",G45),D45="DJ",CONCATENATE(B45,"_",C45,$B$3,"_",$B$4,"_",G45))</f>
        <v>IMA_AL29_52-28_81SU</v>
      </c>
      <c r="I45" s="6"/>
      <c r="J45" s="6" t="s">
        <v>182</v>
      </c>
      <c r="K45" s="6" t="s">
        <v>179</v>
      </c>
      <c r="L45" s="6" t="s">
        <v>188</v>
      </c>
      <c r="M45" s="6" t="s">
        <v>188</v>
      </c>
      <c r="N45" s="6">
        <f t="shared" si="4"/>
        <v>842</v>
      </c>
    </row>
    <row r="46" spans="1:14" x14ac:dyDescent="0.25">
      <c r="A46" s="6" t="s">
        <v>190</v>
      </c>
      <c r="B46" s="6" t="str">
        <f>Informações!$C$3</f>
        <v>IMA</v>
      </c>
      <c r="C46" s="6" t="s">
        <v>89</v>
      </c>
      <c r="D46" s="6" t="s">
        <v>30</v>
      </c>
      <c r="E46" s="2" t="s">
        <v>25</v>
      </c>
      <c r="F46" s="6" t="str">
        <f>VLOOKUP(G46,[1]Discrete!$A:$B,2,FALSE)</f>
        <v>81 - TRIP SUB/SOBRE FREQUENCIA E1</v>
      </c>
      <c r="G46" s="17" t="s">
        <v>353</v>
      </c>
      <c r="H46" s="6" t="str" cm="1">
        <f t="array" ref="H46">_xlfn.IFS(OR(D46="TC",D46="TP",D46="LT"),CONCATENATE(B46,"_",C46,$B$3,"_",C46,$B$3,"_",G46),D46="SECC",CONCATENATE(B46,"_",C46,$B$3,"_",$B$5,"_",G46),D46="SECF",CONCATENATE(B46,"_",C46,$B$3,"_",$B$6,"_",G46),D46="SECT",CONCATENATE(B46,"_",C46,$B$3,"_",$B$7,"_",G46),D46="SECG",CONCATENATE(B46,"_",C46,$B$3,"_",#REF!,"_",G46),D46="DJ",CONCATENATE(B46,"_",C46,$B$3,"_",$B$4,"_",G46))</f>
        <v>IMA_AL29_52-28_81E1</v>
      </c>
      <c r="I46" s="6"/>
      <c r="J46" s="6" t="s">
        <v>182</v>
      </c>
      <c r="K46" s="6" t="s">
        <v>179</v>
      </c>
      <c r="L46" s="6" t="s">
        <v>188</v>
      </c>
      <c r="M46" s="6" t="s">
        <v>188</v>
      </c>
      <c r="N46" s="6">
        <f t="shared" si="4"/>
        <v>843</v>
      </c>
    </row>
    <row r="47" spans="1:14" x14ac:dyDescent="0.25">
      <c r="A47" s="6" t="s">
        <v>190</v>
      </c>
      <c r="B47" s="6" t="str">
        <f>Informações!$C$3</f>
        <v>IMA</v>
      </c>
      <c r="C47" s="6" t="s">
        <v>89</v>
      </c>
      <c r="D47" s="6" t="s">
        <v>30</v>
      </c>
      <c r="E47" s="2" t="s">
        <v>25</v>
      </c>
      <c r="F47" s="6" t="str">
        <f>VLOOKUP(G47,[1]Discrete!$A:$B,2,FALSE)</f>
        <v>81 - TRIP SUB/SOBRE FREQUENCIA E2</v>
      </c>
      <c r="G47" s="17" t="s">
        <v>354</v>
      </c>
      <c r="H47" s="6" t="str" cm="1">
        <f t="array" ref="H47">_xlfn.IFS(OR(D47="TC",D47="TP",D47="LT"),CONCATENATE(B47,"_",C47,$B$3,"_",C47,$B$3,"_",G47),D47="SECC",CONCATENATE(B47,"_",C47,$B$3,"_",$B$5,"_",G47),D47="SECF",CONCATENATE(B47,"_",C47,$B$3,"_",$B$6,"_",G47),D47="SECT",CONCATENATE(B47,"_",C47,$B$3,"_",$B$7,"_",G47),D47="SECG",CONCATENATE(B47,"_",C47,$B$3,"_",#REF!,"_",G47),D47="DJ",CONCATENATE(B47,"_",C47,$B$3,"_",$B$4,"_",G47))</f>
        <v>IMA_AL29_52-28_81E2</v>
      </c>
      <c r="I47" s="6"/>
      <c r="J47" s="6" t="s">
        <v>182</v>
      </c>
      <c r="K47" s="6" t="s">
        <v>179</v>
      </c>
      <c r="L47" s="6" t="s">
        <v>188</v>
      </c>
      <c r="M47" s="6" t="s">
        <v>188</v>
      </c>
      <c r="N47" s="6">
        <f t="shared" si="4"/>
        <v>844</v>
      </c>
    </row>
    <row r="48" spans="1:14" x14ac:dyDescent="0.25">
      <c r="A48" s="6" t="s">
        <v>190</v>
      </c>
      <c r="B48" s="6" t="str">
        <f>Informações!$C$3</f>
        <v>IMA</v>
      </c>
      <c r="C48" s="6" t="s">
        <v>89</v>
      </c>
      <c r="D48" s="6" t="s">
        <v>30</v>
      </c>
      <c r="E48" s="2" t="s">
        <v>25</v>
      </c>
      <c r="F48" s="6" t="str">
        <f>VLOOKUP(G48,[1]Discrete!$A:$B,2,FALSE)</f>
        <v>81 - TRIP SUB/SOBRE FREQUENCIA E3</v>
      </c>
      <c r="G48" s="17" t="s">
        <v>355</v>
      </c>
      <c r="H48" s="6" t="str" cm="1">
        <f t="array" ref="H48">_xlfn.IFS(OR(D48="TC",D48="TP",D48="LT"),CONCATENATE(B48,"_",C48,$B$3,"_",C48,$B$3,"_",G48),D48="SECC",CONCATENATE(B48,"_",C48,$B$3,"_",$B$5,"_",G48),D48="SECF",CONCATENATE(B48,"_",C48,$B$3,"_",$B$6,"_",G48),D48="SECT",CONCATENATE(B48,"_",C48,$B$3,"_",$B$7,"_",G48),D48="SECG",CONCATENATE(B48,"_",C48,$B$3,"_",#REF!,"_",G48),D48="DJ",CONCATENATE(B48,"_",C48,$B$3,"_",$B$4,"_",G48))</f>
        <v>IMA_AL29_52-28_81E3</v>
      </c>
      <c r="I48" s="6"/>
      <c r="J48" s="6" t="s">
        <v>182</v>
      </c>
      <c r="K48" s="6" t="s">
        <v>179</v>
      </c>
      <c r="L48" s="6" t="s">
        <v>188</v>
      </c>
      <c r="M48" s="6" t="s">
        <v>188</v>
      </c>
      <c r="N48" s="6">
        <f t="shared" si="4"/>
        <v>845</v>
      </c>
    </row>
    <row r="49" spans="1:14" x14ac:dyDescent="0.25">
      <c r="A49" s="6" t="s">
        <v>190</v>
      </c>
      <c r="B49" s="6" t="str">
        <f>Informações!$C$3</f>
        <v>IMA</v>
      </c>
      <c r="C49" s="6" t="s">
        <v>89</v>
      </c>
      <c r="D49" s="6" t="s">
        <v>30</v>
      </c>
      <c r="E49" s="2" t="s">
        <v>25</v>
      </c>
      <c r="F49" s="6" t="str">
        <f>VLOOKUP(G49,[1]Discrete!$A:$B,2,FALSE)</f>
        <v>81 - TRIP SUB/SOBRE FREQUENCIA E4</v>
      </c>
      <c r="G49" s="17" t="s">
        <v>356</v>
      </c>
      <c r="H49" s="6" t="str" cm="1">
        <f t="array" ref="H49">_xlfn.IFS(OR(D49="TC",D49="TP",D49="LT"),CONCATENATE(B49,"_",C49,$B$3,"_",C49,$B$3,"_",G49),D49="SECC",CONCATENATE(B49,"_",C49,$B$3,"_",$B$5,"_",G49),D49="SECF",CONCATENATE(B49,"_",C49,$B$3,"_",$B$6,"_",G49),D49="SECT",CONCATENATE(B49,"_",C49,$B$3,"_",$B$7,"_",G49),D49="SECG",CONCATENATE(B49,"_",C49,$B$3,"_",#REF!,"_",G49),D49="DJ",CONCATENATE(B49,"_",C49,$B$3,"_",$B$4,"_",G49))</f>
        <v>IMA_AL29_52-28_81E4</v>
      </c>
      <c r="I49" s="6"/>
      <c r="J49" s="6" t="s">
        <v>182</v>
      </c>
      <c r="K49" s="6" t="s">
        <v>179</v>
      </c>
      <c r="L49" s="6" t="s">
        <v>188</v>
      </c>
      <c r="M49" s="6" t="s">
        <v>188</v>
      </c>
      <c r="N49" s="6">
        <f t="shared" si="4"/>
        <v>846</v>
      </c>
    </row>
    <row r="50" spans="1:14" x14ac:dyDescent="0.25">
      <c r="A50" s="6" t="s">
        <v>190</v>
      </c>
      <c r="B50" s="6" t="str">
        <f>Informações!$C$3</f>
        <v>IMA</v>
      </c>
      <c r="C50" s="6" t="s">
        <v>89</v>
      </c>
      <c r="D50" s="6" t="s">
        <v>30</v>
      </c>
      <c r="E50" s="2" t="s">
        <v>25</v>
      </c>
      <c r="F50" s="6" t="s">
        <v>358</v>
      </c>
      <c r="G50" s="17" t="s">
        <v>357</v>
      </c>
      <c r="H50" s="6" t="str" cm="1">
        <f t="array" ref="H50">_xlfn.IFS(OR(D50="TC",D50="TP",D50="LT"),CONCATENATE(B50,"_",C50,$B$3,"_",C50,$B$3,"_",G50),D50="SECC",CONCATENATE(B50,"_",C50,$B$3,"_",$B$5,"_",G50),D50="SECF",CONCATENATE(B50,"_",C50,$B$3,"_",$B$6,"_",G50),D50="SECT",CONCATENATE(B50,"_",C50,$B$3,"_",$B$7,"_",G50),D50="SECG",CONCATENATE(B50,"_",C50,$B$3,"_",#REF!,"_",G50),D50="DJ",CONCATENATE(B50,"_",C50,$B$3,"_",$B$4,"_",G50))</f>
        <v>IMA_AL29_52-28_81E5</v>
      </c>
      <c r="I50" s="6"/>
      <c r="J50" s="6" t="s">
        <v>182</v>
      </c>
      <c r="K50" s="6" t="s">
        <v>179</v>
      </c>
      <c r="L50" s="6" t="s">
        <v>188</v>
      </c>
      <c r="M50" s="6" t="s">
        <v>188</v>
      </c>
      <c r="N50" s="6">
        <f t="shared" si="4"/>
        <v>847</v>
      </c>
    </row>
    <row r="51" spans="1:14" x14ac:dyDescent="0.25">
      <c r="A51" s="6" t="s">
        <v>190</v>
      </c>
      <c r="B51" s="6" t="str">
        <f>Informações!$C$3</f>
        <v>IMA</v>
      </c>
      <c r="C51" s="6" t="s">
        <v>89</v>
      </c>
      <c r="D51" s="6" t="s">
        <v>30</v>
      </c>
      <c r="E51" s="2" t="s">
        <v>25</v>
      </c>
      <c r="F51" s="6" t="str">
        <f>VLOOKUP(G51,[1]Discrete!$A:$B,2,FALSE)</f>
        <v>43 - CHAVE LOCAL REMOTO</v>
      </c>
      <c r="G51" s="6" t="s">
        <v>39</v>
      </c>
      <c r="H51" s="6" t="str" cm="1">
        <f t="array" ref="H51">_xlfn.IFS(OR(D51="TC",D51="TP",D51="LT"),CONCATENATE(B51,"_",C51,$B$3,"_",C51,$B$3,"_",G51),D51="SECC",CONCATENATE(B51,"_",C51,$B$3,"_",$B$5,"_",G51),D51="SECF",CONCATENATE(B51,"_",C51,$B$3,"_",$B$6,"_",G51),D51="SECT",CONCATENATE(B51,"_",C51,$B$3,"_",$B$7,"_",G51),D51="SECG",CONCATENATE(B51,"_",C51,$B$3,"_",#REF!,"_",G51),D51="DJ",CONCATENATE(B51,"_",C51,$B$3,"_",$B$4,"_",G51))</f>
        <v>IMA_AL29_52-28_43LR</v>
      </c>
      <c r="I51" s="6"/>
      <c r="J51" s="94" t="s">
        <v>186</v>
      </c>
      <c r="K51" s="94" t="s">
        <v>185</v>
      </c>
      <c r="L51" s="6" t="s">
        <v>188</v>
      </c>
      <c r="M51" s="6" t="s">
        <v>188</v>
      </c>
      <c r="N51" s="6">
        <f t="shared" si="4"/>
        <v>848</v>
      </c>
    </row>
    <row r="52" spans="1:14" x14ac:dyDescent="0.25">
      <c r="A52" s="6" t="s">
        <v>190</v>
      </c>
      <c r="B52" s="6" t="str">
        <f>Informações!$C$3</f>
        <v>IMA</v>
      </c>
      <c r="C52" s="6" t="s">
        <v>89</v>
      </c>
      <c r="D52" s="6" t="s">
        <v>30</v>
      </c>
      <c r="E52" s="2" t="s">
        <v>25</v>
      </c>
      <c r="F52" s="6" t="str">
        <f>VLOOKUP(G52,[1]Discrete!$A:$B,2,FALSE)</f>
        <v>27 - TRIP SUBTENSAO</v>
      </c>
      <c r="G52" s="17" t="s">
        <v>69</v>
      </c>
      <c r="H52" s="6" t="str" cm="1">
        <f t="array" ref="H52">_xlfn.IFS(OR(D52="TC",D52="TP",D52="LT"),CONCATENATE(B52,"_",C52,$B$3,"_",C52,$B$3,"_",G52),D52="SECC",CONCATENATE(B52,"_",C52,$B$3,"_",$B$5,"_",G52),D52="SECF",CONCATENATE(B52,"_",C52,$B$3,"_",$B$6,"_",G52),D52="SECT",CONCATENATE(B52,"_",C52,$B$3,"_",$B$7,"_",G52),D52="SECG",CONCATENATE(B52,"_",C52,$B$3,"_",#REF!,"_",G52),D52="DJ",CONCATENATE(B52,"_",C52,$B$3,"_",$B$4,"_",G52))</f>
        <v>IMA_AL29_52-28_27_T</v>
      </c>
      <c r="I52" s="6"/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4"/>
        <v>849</v>
      </c>
    </row>
    <row r="53" spans="1:14" x14ac:dyDescent="0.25">
      <c r="A53" s="93" t="s">
        <v>191</v>
      </c>
      <c r="B53" s="6" t="str">
        <f>Informações!$C$3</f>
        <v>IMA</v>
      </c>
      <c r="C53" s="6" t="s">
        <v>89</v>
      </c>
      <c r="D53" s="6" t="s">
        <v>30</v>
      </c>
      <c r="E53" s="2" t="s">
        <v>25</v>
      </c>
      <c r="F53" s="93" t="str">
        <f>VLOOKUP(G53,[1]Discrete!$A:$B,2,FALSE)</f>
        <v>43 - CHAVE LOCAL REMOTO</v>
      </c>
      <c r="G53" s="6" t="s">
        <v>39</v>
      </c>
      <c r="H53" s="6" t="str" cm="1">
        <f t="array" ref="H53">_xlfn.IFS(OR(D53="TC",D53="TP",D53="LT"),CONCATENATE(B53,"_",C53,$B$3,"_",C53,$B$3,"_",G53),D53="SECC",CONCATENATE(B53,"_",C53,$B$3,"_",$B$5,"_",G53),D53="SECF",CONCATENATE(B53,"_",C53,$B$3,"_",$B$6,"_",G53),D53="SECT",CONCATENATE(B53,"_",C53,$B$3,"_",$B$7,"_",G53),D53="SECG",CONCATENATE(B53,"_",C53,$B$3,"_",#REF!,"_",G53),D53="DJ",CONCATENATE(B53,"_",C53,$B$3,"_",$B$4,"_",G53))</f>
        <v>IMA_AL29_52-28_43LR</v>
      </c>
      <c r="I53" s="6"/>
      <c r="J53" s="6" t="s">
        <v>185</v>
      </c>
      <c r="K53" s="6" t="s">
        <v>186</v>
      </c>
      <c r="L53" s="6" t="s">
        <v>188</v>
      </c>
      <c r="M53" s="6" t="s">
        <v>188</v>
      </c>
      <c r="N53" s="102">
        <f t="shared" si="4"/>
        <v>850</v>
      </c>
    </row>
    <row r="54" spans="1:14" x14ac:dyDescent="0.25">
      <c r="A54" s="6" t="s">
        <v>190</v>
      </c>
      <c r="B54" s="6" t="str">
        <f>Informações!$C$3</f>
        <v>IMA</v>
      </c>
      <c r="C54" s="6" t="s">
        <v>89</v>
      </c>
      <c r="D54" s="6" t="s">
        <v>30</v>
      </c>
      <c r="E54" s="2" t="s">
        <v>25</v>
      </c>
      <c r="F54" s="6" t="str">
        <f>VLOOKUP(G54,[1]Discrete!$A:$B,2,FALSE)</f>
        <v>43 - CHAVE TELECOMANDO</v>
      </c>
      <c r="G54" s="6" t="s">
        <v>40</v>
      </c>
      <c r="H54" s="6" t="str" cm="1">
        <f t="array" ref="H54">_xlfn.IFS(OR(D54="TC",D54="TP",D54="LT"),CONCATENATE(B54,"_",C54,$B$3,"_",C54,$B$3,"_",G54),D54="SECC",CONCATENATE(B54,"_",C54,$B$3,"_",$B$5,"_",G54),D54="SECF",CONCATENATE(B54,"_",C54,$B$3,"_",$B$6,"_",G54),D54="SECT",CONCATENATE(B54,"_",C54,$B$3,"_",$B$7,"_",G54),D54="SECG",CONCATENATE(B54,"_",C54,$B$3,"_",#REF!,"_",G54),D54="DJ",CONCATENATE(B54,"_",C54,$B$3,"_",$B$4,"_",G54))</f>
        <v>IMA_AL29_52-28_43TC</v>
      </c>
      <c r="I54" s="6"/>
      <c r="J54" s="6" t="s">
        <v>183</v>
      </c>
      <c r="K54" s="6" t="s">
        <v>184</v>
      </c>
      <c r="L54" s="6" t="s">
        <v>188</v>
      </c>
      <c r="M54" s="6" t="s">
        <v>188</v>
      </c>
      <c r="N54" s="6">
        <f t="shared" si="4"/>
        <v>851</v>
      </c>
    </row>
    <row r="55" spans="1:14" x14ac:dyDescent="0.25">
      <c r="A55" s="6" t="s">
        <v>190</v>
      </c>
      <c r="B55" s="6" t="str">
        <f>Informações!$C$3</f>
        <v>IMA</v>
      </c>
      <c r="C55" s="6" t="s">
        <v>89</v>
      </c>
      <c r="D55" s="6" t="s">
        <v>30</v>
      </c>
      <c r="E55" s="2" t="s">
        <v>25</v>
      </c>
      <c r="F55" s="6" t="str">
        <f>VLOOKUP(G55,[1]Discrete!$A:$B,2,FALSE)</f>
        <v>50 - SOBRECORRENTE INSTANTANEA FASE</v>
      </c>
      <c r="G55" s="6" t="s">
        <v>416</v>
      </c>
      <c r="H55" s="6" t="str" cm="1">
        <f t="array" ref="H55">_xlfn.IFS(OR(D55="TC",D55="TP",D55="LT"),CONCATENATE(B55,"_",C55,$B$3,"_",C55,$B$3,"_",G55),D55="SECC",CONCATENATE(B55,"_",C55,$B$3,"_",$B$5,"_",G55),D55="SECF",CONCATENATE(B55,"_",C55,$B$3,"_",$B$6,"_",G55),D55="SECT",CONCATENATE(B55,"_",C55,$B$3,"_",$B$7,"_",G55),D55="SECG",CONCATENATE(B55,"_",C55,$B$3,"_",#REF!,"_",G55),D55="DJ",CONCATENATE(B55,"_",C55,$B$3,"_",$B$4,"_",G55))</f>
        <v>IMA_AL29_52-28_50F</v>
      </c>
      <c r="I55" s="6"/>
      <c r="J55" s="6" t="s">
        <v>182</v>
      </c>
      <c r="K55" s="6" t="s">
        <v>179</v>
      </c>
      <c r="L55" s="6" t="s">
        <v>188</v>
      </c>
      <c r="M55" s="6" t="s">
        <v>188</v>
      </c>
      <c r="N55" s="6">
        <f t="shared" si="4"/>
        <v>852</v>
      </c>
    </row>
    <row r="56" spans="1:14" x14ac:dyDescent="0.25">
      <c r="A56" s="6" t="s">
        <v>190</v>
      </c>
      <c r="B56" s="6" t="str">
        <f>Informações!$C$3</f>
        <v>IMA</v>
      </c>
      <c r="C56" s="6" t="s">
        <v>89</v>
      </c>
      <c r="D56" s="6" t="s">
        <v>30</v>
      </c>
      <c r="E56" s="2" t="s">
        <v>25</v>
      </c>
      <c r="F56" s="6" t="str">
        <f>VLOOKUP(G56,[1]Discrete!$A:$B,2,FALSE)</f>
        <v>50 - SOBRECORRENTE INSTANTANEA NEUTRO</v>
      </c>
      <c r="G56" s="6" t="s">
        <v>417</v>
      </c>
      <c r="H56" s="6" t="str" cm="1">
        <f t="array" ref="H56">_xlfn.IFS(OR(D56="TC",D56="TP",D56="LT"),CONCATENATE(B56,"_",C56,$B$3,"_",C56,$B$3,"_",G56),D56="SECC",CONCATENATE(B56,"_",C56,$B$3,"_",$B$5,"_",G56),D56="SECF",CONCATENATE(B56,"_",C56,$B$3,"_",$B$6,"_",G56),D56="SECT",CONCATENATE(B56,"_",C56,$B$3,"_",$B$7,"_",G56),D56="SECG",CONCATENATE(B56,"_",C56,$B$3,"_",#REF!,"_",G56),D56="DJ",CONCATENATE(B56,"_",C56,$B$3,"_",$B$4,"_",G56))</f>
        <v>IMA_AL29_52-28_50N</v>
      </c>
      <c r="I56" s="6"/>
      <c r="J56" s="6" t="s">
        <v>182</v>
      </c>
      <c r="K56" s="6" t="s">
        <v>179</v>
      </c>
      <c r="L56" s="6" t="s">
        <v>188</v>
      </c>
      <c r="M56" s="6" t="s">
        <v>188</v>
      </c>
      <c r="N56" s="6">
        <f t="shared" si="4"/>
        <v>853</v>
      </c>
    </row>
    <row r="57" spans="1:14" x14ac:dyDescent="0.25">
      <c r="A57" s="6" t="s">
        <v>190</v>
      </c>
      <c r="B57" s="6" t="str">
        <f>Informações!$C$3</f>
        <v>IMA</v>
      </c>
      <c r="C57" s="6" t="s">
        <v>89</v>
      </c>
      <c r="D57" s="6" t="s">
        <v>30</v>
      </c>
      <c r="E57" s="2" t="s">
        <v>25</v>
      </c>
      <c r="F57" s="6" t="str">
        <f>VLOOKUP(G57,[1]Discrete!$A:$B,2,FALSE)</f>
        <v>51 - SOBRECORRENTE TEMPORIZADA FASE</v>
      </c>
      <c r="G57" s="6" t="s">
        <v>98</v>
      </c>
      <c r="H57" s="6" t="str" cm="1">
        <f t="array" ref="H57">_xlfn.IFS(OR(D57="TC",D57="TP",D57="LT"),CONCATENATE(B57,"_",C57,$B$3,"_",C57,$B$3,"_",G57),D57="SECC",CONCATENATE(B57,"_",C57,$B$3,"_",$B$5,"_",G57),D57="SECF",CONCATENATE(B57,"_",C57,$B$3,"_",$B$6,"_",G57),D57="SECT",CONCATENATE(B57,"_",C57,$B$3,"_",$B$7,"_",G57),D57="SECG",CONCATENATE(B57,"_",C57,$B$3,"_",#REF!,"_",G57),D57="DJ",CONCATENATE(B57,"_",C57,$B$3,"_",$B$4,"_",G57))</f>
        <v>IMA_AL29_52-28_51F</v>
      </c>
      <c r="I57" s="6"/>
      <c r="J57" s="6" t="s">
        <v>182</v>
      </c>
      <c r="K57" s="6" t="s">
        <v>179</v>
      </c>
      <c r="L57" s="6" t="s">
        <v>188</v>
      </c>
      <c r="M57" s="6" t="s">
        <v>188</v>
      </c>
      <c r="N57" s="6">
        <f t="shared" si="4"/>
        <v>854</v>
      </c>
    </row>
    <row r="58" spans="1:14" x14ac:dyDescent="0.25">
      <c r="A58" s="6" t="s">
        <v>190</v>
      </c>
      <c r="B58" s="6" t="str">
        <f>Informações!$C$3</f>
        <v>IMA</v>
      </c>
      <c r="C58" s="6" t="s">
        <v>89</v>
      </c>
      <c r="D58" s="6" t="s">
        <v>30</v>
      </c>
      <c r="E58" s="2" t="s">
        <v>25</v>
      </c>
      <c r="F58" s="6" t="str">
        <f>VLOOKUP(G58,[1]Discrete!$A:$B,2,FALSE)</f>
        <v>51 - SOBRECORRENTE TEMPORIZADA FASE NEUTRO</v>
      </c>
      <c r="G58" s="6" t="s">
        <v>427</v>
      </c>
      <c r="H58" s="6" t="str" cm="1">
        <f t="array" ref="H58">_xlfn.IFS(OR(D58="TC",D58="TP",D58="LT"),CONCATENATE(B58,"_",C58,$B$3,"_",C58,$B$3,"_",G58),D58="SECC",CONCATENATE(B58,"_",C58,$B$3,"_",$B$5,"_",G58),D58="SECF",CONCATENATE(B58,"_",C58,$B$3,"_",$B$6,"_",G58),D58="SECT",CONCATENATE(B58,"_",C58,$B$3,"_",$B$7,"_",G58),D58="SECG",CONCATENATE(B58,"_",C58,$B$3,"_",#REF!,"_",G58),D58="DJ",CONCATENATE(B58,"_",C58,$B$3,"_",$B$4,"_",G58))</f>
        <v>IMA_AL29_52-28_51FN</v>
      </c>
      <c r="I58" s="6"/>
      <c r="J58" s="6" t="s">
        <v>182</v>
      </c>
      <c r="K58" s="6" t="s">
        <v>179</v>
      </c>
      <c r="L58" s="6" t="s">
        <v>188</v>
      </c>
      <c r="M58" s="6" t="s">
        <v>188</v>
      </c>
      <c r="N58" s="6">
        <f t="shared" si="4"/>
        <v>855</v>
      </c>
    </row>
    <row r="59" spans="1:14" x14ac:dyDescent="0.25">
      <c r="A59" s="6" t="s">
        <v>190</v>
      </c>
      <c r="B59" s="6" t="str">
        <f>Informações!$C$3</f>
        <v>IMA</v>
      </c>
      <c r="C59" s="6" t="s">
        <v>89</v>
      </c>
      <c r="D59" s="6" t="s">
        <v>30</v>
      </c>
      <c r="E59" s="2" t="s">
        <v>25</v>
      </c>
      <c r="F59" s="6" t="str">
        <f>VLOOKUP(G59,[1]Discrete!$A:$B,2,FALSE)</f>
        <v>79 - RELIGAMENTO COM SUCESSO</v>
      </c>
      <c r="G59" s="6" t="s">
        <v>46</v>
      </c>
      <c r="H59" s="6" t="str" cm="1">
        <f t="array" ref="H59">_xlfn.IFS(OR(D59="TC",D59="TP",D59="LT"),CONCATENATE(B59,"_",C59,$B$3,"_",C59,$B$3,"_",G59),D59="SECC",CONCATENATE(B59,"_",C59,$B$3,"_",$B$5,"_",G59),D59="SECF",CONCATENATE(B59,"_",C59,$B$3,"_",$B$6,"_",G59),D59="SECT",CONCATENATE(B59,"_",C59,$B$3,"_",$B$7,"_",G59),D59="SECG",CONCATENATE(B59,"_",C59,$B$3,"_",#REF!,"_",G59),D59="DJ",CONCATENATE(B59,"_",C59,$B$3,"_",$B$4,"_",G59))</f>
        <v>IMA_AL29_52-28_79OK</v>
      </c>
      <c r="I59" s="6"/>
      <c r="J59" s="6" t="s">
        <v>182</v>
      </c>
      <c r="K59" s="6" t="s">
        <v>179</v>
      </c>
      <c r="L59" s="6" t="s">
        <v>188</v>
      </c>
      <c r="M59" s="6" t="s">
        <v>188</v>
      </c>
      <c r="N59" s="6">
        <f t="shared" si="4"/>
        <v>856</v>
      </c>
    </row>
    <row r="60" spans="1:14" x14ac:dyDescent="0.25">
      <c r="A60" s="6" t="s">
        <v>190</v>
      </c>
      <c r="B60" s="6" t="str">
        <f>Informações!$C$3</f>
        <v>IMA</v>
      </c>
      <c r="C60" s="6" t="s">
        <v>89</v>
      </c>
      <c r="D60" s="6" t="s">
        <v>30</v>
      </c>
      <c r="E60" s="2" t="s">
        <v>25</v>
      </c>
      <c r="F60" s="6" t="str">
        <f>VLOOKUP(G60,[1]Discrete!$A:$B,2,FALSE)</f>
        <v>62 - FALHA DISJUNTOR BLOQUEIO</v>
      </c>
      <c r="G60" s="6" t="s">
        <v>44</v>
      </c>
      <c r="H60" s="6" t="str" cm="1">
        <f t="array" ref="H60">_xlfn.IFS(OR(D60="TC",D60="TP",D60="LT"),CONCATENATE(B60,"_",C60,$B$3,"_",C60,$B$3,"_",G60),D60="SECC",CONCATENATE(B60,"_",C60,$B$3,"_",$B$5,"_",G60),D60="SECF",CONCATENATE(B60,"_",C60,$B$3,"_",$B$6,"_",G60),D60="SECT",CONCATENATE(B60,"_",C60,$B$3,"_",$B$7,"_",G60),D60="SECG",CONCATENATE(B60,"_",C60,$B$3,"_",#REF!,"_",G60),D60="DJ",CONCATENATE(B60,"_",C60,$B$3,"_",$B$4,"_",G60))</f>
        <v>IMA_AL29_52-28_62BF</v>
      </c>
      <c r="I60" s="6"/>
      <c r="J60" s="94" t="s">
        <v>182</v>
      </c>
      <c r="K60" s="94" t="s">
        <v>179</v>
      </c>
      <c r="L60" s="6" t="s">
        <v>188</v>
      </c>
      <c r="M60" s="6" t="s">
        <v>188</v>
      </c>
      <c r="N60" s="6">
        <f>N59+1</f>
        <v>857</v>
      </c>
    </row>
    <row r="61" spans="1:14" x14ac:dyDescent="0.25">
      <c r="A61" s="6" t="s">
        <v>190</v>
      </c>
      <c r="B61" s="6" t="str">
        <f>Informações!$C$3</f>
        <v>IMA</v>
      </c>
      <c r="C61" s="6" t="s">
        <v>89</v>
      </c>
      <c r="D61" s="6" t="s">
        <v>30</v>
      </c>
      <c r="E61" s="2" t="s">
        <v>25</v>
      </c>
      <c r="F61" s="6" t="str">
        <f>VLOOKUP(G61,[1]Discrete!$A:$B,2,FALSE)</f>
        <v>DEFEITO RELE</v>
      </c>
      <c r="G61" s="6" t="s">
        <v>51</v>
      </c>
      <c r="H61" s="6" t="str" cm="1">
        <f t="array" ref="H61">_xlfn.IFS(OR(D61="TC",D61="TP",D61="LT"),CONCATENATE(B61,"_",C61,$B$3,"_",C61,$B$3,"_",G61),D61="SECC",CONCATENATE(B61,"_",C61,$B$3,"_",$B$5,"_",G61),D61="SECF",CONCATENATE(B61,"_",C61,$B$3,"_",$B$6,"_",G61),D61="SECT",CONCATENATE(B61,"_",C61,$B$3,"_",$B$7,"_",G61),D61="SECG",CONCATENATE(B61,"_",C61,$B$3,"_",#REF!,"_",G61),D61="DJ",CONCATENATE(B61,"_",C61,$B$3,"_",$B$4,"_",G61))</f>
        <v>IMA_AL29_52-28_DR</v>
      </c>
      <c r="I61" s="6"/>
      <c r="J61" s="6" t="s">
        <v>182</v>
      </c>
      <c r="K61" s="6" t="s">
        <v>181</v>
      </c>
      <c r="L61" s="6" t="s">
        <v>188</v>
      </c>
      <c r="M61" s="6" t="s">
        <v>188</v>
      </c>
      <c r="N61" s="6">
        <f t="shared" ref="N61:N64" si="5">N60+1</f>
        <v>858</v>
      </c>
    </row>
    <row r="62" spans="1:14" x14ac:dyDescent="0.25">
      <c r="A62" s="6" t="s">
        <v>190</v>
      </c>
      <c r="B62" s="6" t="str">
        <f>Informações!$C$3</f>
        <v>IMA</v>
      </c>
      <c r="C62" s="6" t="s">
        <v>89</v>
      </c>
      <c r="D62" s="6" t="s">
        <v>30</v>
      </c>
      <c r="E62" s="2" t="s">
        <v>25</v>
      </c>
      <c r="F62" s="6" t="str">
        <f>VLOOKUP(G62,[1]Discrete!$A:$B,2,FALSE)</f>
        <v>BOBINA ABERTURA</v>
      </c>
      <c r="G62" s="6" t="s">
        <v>41</v>
      </c>
      <c r="H62" s="6" t="str" cm="1">
        <f t="array" ref="H62">_xlfn.IFS(OR(D62="TC",D62="TP",D62="LT"),CONCATENATE(B62,"_",C62,$B$3,"_",C62,$B$3,"_",G62),D62="SECC",CONCATENATE(B62,"_",C62,$B$3,"_",$B$5,"_",G62),D62="SECF",CONCATENATE(B62,"_",C62,$B$3,"_",$B$6,"_",G62),D62="SECT",CONCATENATE(B62,"_",C62,$B$3,"_",$B$7,"_",G62),D62="SECG",CONCATENATE(B62,"_",C62,$B$3,"_",#REF!,"_",G62),D62="DJ",CONCATENATE(B62,"_",C62,$B$3,"_",$B$4,"_",G62))</f>
        <v>IMA_AL29_52-28_BBAB</v>
      </c>
      <c r="I62" s="6"/>
      <c r="J62" s="6" t="s">
        <v>182</v>
      </c>
      <c r="K62" s="6" t="s">
        <v>179</v>
      </c>
      <c r="L62" s="6" t="s">
        <v>188</v>
      </c>
      <c r="M62" s="6" t="s">
        <v>188</v>
      </c>
      <c r="N62" s="6">
        <f t="shared" si="5"/>
        <v>859</v>
      </c>
    </row>
    <row r="63" spans="1:14" x14ac:dyDescent="0.25">
      <c r="A63" s="6" t="s">
        <v>190</v>
      </c>
      <c r="B63" s="6" t="str">
        <f>Informações!$C$3</f>
        <v>IMA</v>
      </c>
      <c r="C63" s="6" t="s">
        <v>89</v>
      </c>
      <c r="D63" s="6" t="s">
        <v>30</v>
      </c>
      <c r="E63" s="2" t="s">
        <v>25</v>
      </c>
      <c r="F63" s="6" t="str">
        <f>VLOOKUP(G63,[1]Discrete!$A:$B,2,FALSE)</f>
        <v>BOBINA FECHAMENTO</v>
      </c>
      <c r="G63" s="6" t="s">
        <v>50</v>
      </c>
      <c r="H63" s="6" t="str" cm="1">
        <f t="array" ref="H63">_xlfn.IFS(OR(D63="TC",D63="TP",D63="LT"),CONCATENATE(B63,"_",C63,$B$3,"_",C63,$B$3,"_",G63),D63="SECC",CONCATENATE(B63,"_",C63,$B$3,"_",$B$5,"_",G63),D63="SECF",CONCATENATE(B63,"_",C63,$B$3,"_",$B$6,"_",G63),D63="SECT",CONCATENATE(B63,"_",C63,$B$3,"_",$B$7,"_",G63),D63="SECG",CONCATENATE(B63,"_",C63,$B$3,"_",#REF!,"_",G63),D63="DJ",CONCATENATE(B63,"_",C63,$B$3,"_",$B$4,"_",G63))</f>
        <v>IMA_AL29_52-28_BBFC</v>
      </c>
      <c r="I63" s="6"/>
      <c r="J63" s="6" t="s">
        <v>182</v>
      </c>
      <c r="K63" s="6" t="s">
        <v>180</v>
      </c>
      <c r="L63" s="6" t="s">
        <v>188</v>
      </c>
      <c r="M63" s="6" t="s">
        <v>188</v>
      </c>
      <c r="N63" s="6">
        <f t="shared" si="5"/>
        <v>860</v>
      </c>
    </row>
    <row r="64" spans="1:14" x14ac:dyDescent="0.25">
      <c r="A64" s="6" t="s">
        <v>190</v>
      </c>
      <c r="B64" s="6" t="str">
        <f>Informações!$C$3</f>
        <v>IMA</v>
      </c>
      <c r="C64" s="6" t="s">
        <v>89</v>
      </c>
      <c r="D64" s="6" t="s">
        <v>30</v>
      </c>
      <c r="E64" s="2" t="s">
        <v>25</v>
      </c>
      <c r="F64" s="6" t="str">
        <f>VLOOKUP(G64,[1]Discrete!$A:$B,2,FALSE)</f>
        <v>TRIP SGF</v>
      </c>
      <c r="G64" s="6" t="s">
        <v>99</v>
      </c>
      <c r="H64" s="6" t="str" cm="1">
        <f t="array" ref="H64">_xlfn.IFS(OR(D64="TC",D64="TP",D64="LT"),CONCATENATE(B64,"_",C64,$B$3,"_",C64,$B$3,"_",G64),D64="SECC",CONCATENATE(B64,"_",C64,$B$3,"_",$B$5,"_",G64),D64="SECF",CONCATENATE(B64,"_",C64,$B$3,"_",$B$6,"_",G64),D64="SECT",CONCATENATE(B64,"_",C64,$B$3,"_",$B$7,"_",G64),D64="SECG",CONCATENATE(B64,"_",C64,$B$3,"_",#REF!,"_",G64),D64="DJ",CONCATENATE(B64,"_",C64,$B$3,"_",$B$4,"_",G64))</f>
        <v>IMA_AL29_52-28_SGFT</v>
      </c>
      <c r="I64" s="6"/>
      <c r="J64" s="6" t="s">
        <v>182</v>
      </c>
      <c r="K64" s="6" t="s">
        <v>179</v>
      </c>
      <c r="L64" s="6" t="s">
        <v>188</v>
      </c>
      <c r="M64" s="6" t="s">
        <v>188</v>
      </c>
      <c r="N64" s="6">
        <f t="shared" si="5"/>
        <v>861</v>
      </c>
    </row>
    <row r="65" spans="1:14" x14ac:dyDescent="0.25">
      <c r="A65" s="94" t="s">
        <v>190</v>
      </c>
      <c r="B65" s="94" t="str">
        <f>Informações!$C$3</f>
        <v>IMA</v>
      </c>
      <c r="C65" s="94" t="s">
        <v>89</v>
      </c>
      <c r="D65" s="94" t="s">
        <v>30</v>
      </c>
      <c r="E65" s="2" t="s">
        <v>25</v>
      </c>
      <c r="F65" s="94" t="str">
        <f>VLOOKUP(G65,[1]Discrete!$A:$B,2,FALSE)</f>
        <v>59 - TRIP SOBRETENSAO</v>
      </c>
      <c r="G65" s="6" t="s">
        <v>70</v>
      </c>
      <c r="H65" s="6" t="str" cm="1">
        <f t="array" ref="H65">_xlfn.IFS(OR(D65="TC",D65="TP",D65="LT"),CONCATENATE(B65,"_",C65,$B$3,"_",C65,$B$3,"_",G65),D65="SECC",CONCATENATE(B65,"_",C65,$B$3,"_",$B$5,"_",G65),D65="SECF",CONCATENATE(B65,"_",C65,$B$3,"_",$B$6,"_",G65),D65="SECT",CONCATENATE(B65,"_",C65,$B$3,"_",$B$7,"_",G65),D65="SECG",CONCATENATE(B65,"_",C65,$B$3,"_",#REF!,"_",G65),D65="DJ",CONCATENATE(B65,"_",C65,$B$3,"_",$B$4,"_",G65))</f>
        <v>IMA_AL29_52-28_59_T</v>
      </c>
      <c r="I65" s="6"/>
      <c r="J65" s="6" t="s">
        <v>182</v>
      </c>
      <c r="K65" s="6" t="s">
        <v>180</v>
      </c>
      <c r="L65" s="6" t="s">
        <v>188</v>
      </c>
      <c r="M65" s="6" t="s">
        <v>188</v>
      </c>
      <c r="N65" s="94">
        <f t="shared" si="4"/>
        <v>862</v>
      </c>
    </row>
    <row r="66" spans="1:14" x14ac:dyDescent="0.25">
      <c r="A66" s="6" t="s">
        <v>190</v>
      </c>
      <c r="B66" s="6" t="str">
        <f>Informações!$C$3</f>
        <v>IMA</v>
      </c>
      <c r="C66" s="6" t="s">
        <v>89</v>
      </c>
      <c r="D66" s="6" t="s">
        <v>30</v>
      </c>
      <c r="E66" s="2" t="s">
        <v>25</v>
      </c>
      <c r="F66" s="6" t="str">
        <f>VLOOKUP(G66,[1]Discrete!$A:$B,2,FALSE)</f>
        <v>TRIP SGF</v>
      </c>
      <c r="G66" s="6" t="s">
        <v>99</v>
      </c>
      <c r="H66" s="6" t="str" cm="1">
        <f t="array" ref="H66">_xlfn.IFS(OR(D66="TC",D66="TP",D66="LT"),CONCATENATE(B66,"_",C66,$B$3,"_",C66,$B$3,"_",G66),D66="SECC",CONCATENATE(B66,"_",C66,$B$3,"_",$B$5,"_",G66),D66="SECF",CONCATENATE(B66,"_",C66,$B$3,"_",$B$6,"_",G66),D66="SECT",CONCATENATE(B66,"_",C66,$B$3,"_",$B$7,"_",G66),D66="SECG",CONCATENATE(B66,"_",C66,$B$3,"_",#REF!,"_",G66),D66="DJ",CONCATENATE(B66,"_",C66,$B$3,"_",$B$4,"_",G66))</f>
        <v>IMA_AL29_52-28_SGFT</v>
      </c>
      <c r="I66" s="6"/>
      <c r="J66" s="6" t="s">
        <v>182</v>
      </c>
      <c r="K66" s="6" t="s">
        <v>179</v>
      </c>
      <c r="L66" s="6" t="s">
        <v>188</v>
      </c>
      <c r="M66" s="6" t="s">
        <v>188</v>
      </c>
      <c r="N66" s="6">
        <f t="shared" si="4"/>
        <v>863</v>
      </c>
    </row>
    <row r="67" spans="1:14" x14ac:dyDescent="0.25">
      <c r="A67" s="6" t="s">
        <v>190</v>
      </c>
      <c r="B67" s="6" t="str">
        <f>Informações!$C$3</f>
        <v>IMA</v>
      </c>
      <c r="C67" s="6" t="s">
        <v>89</v>
      </c>
      <c r="D67" s="6" t="s">
        <v>30</v>
      </c>
      <c r="E67" s="2" t="s">
        <v>25</v>
      </c>
      <c r="F67" s="6" t="str">
        <f>VLOOKUP(G67,[1]Discrete!$A:$B,2,FALSE)</f>
        <v>MOLA</v>
      </c>
      <c r="G67" s="6" t="s">
        <v>38</v>
      </c>
      <c r="H67" s="6" t="str" cm="1">
        <f t="array" ref="H67">_xlfn.IFS(OR(D67="TC",D67="TP",D67="LT"),CONCATENATE(B67,"_",C67,$B$3,"_",C67,$B$3,"_",G67),D67="SECC",CONCATENATE(B67,"_",C67,$B$3,"_",$B$5,"_",G67),D67="SECF",CONCATENATE(B67,"_",C67,$B$3,"_",$B$6,"_",G67),D67="SECT",CONCATENATE(B67,"_",C67,$B$3,"_",$B$7,"_",G67),D67="SECG",CONCATENATE(B67,"_",C67,$B$3,"_",#REF!,"_",G67),D67="DJ",CONCATENATE(B67,"_",C67,$B$3,"_",$B$4,"_",G67))</f>
        <v>IMA_AL29_52-28_MOLA</v>
      </c>
      <c r="I67" s="6"/>
      <c r="J67" s="94" t="s">
        <v>282</v>
      </c>
      <c r="K67" s="94" t="s">
        <v>283</v>
      </c>
      <c r="L67" s="6" t="s">
        <v>188</v>
      </c>
      <c r="M67" s="6" t="s">
        <v>188</v>
      </c>
      <c r="N67" s="6">
        <f t="shared" si="4"/>
        <v>864</v>
      </c>
    </row>
    <row r="68" spans="1:14" x14ac:dyDescent="0.25">
      <c r="A68" s="6" t="s">
        <v>190</v>
      </c>
      <c r="B68" s="6" t="str">
        <f>Informações!$C$3</f>
        <v>IMA</v>
      </c>
      <c r="C68" s="6" t="s">
        <v>89</v>
      </c>
      <c r="D68" s="6" t="s">
        <v>30</v>
      </c>
      <c r="E68" s="2" t="s">
        <v>25</v>
      </c>
      <c r="F68" s="6" t="str">
        <f>VLOOKUP(G68,[1]Discrete!$A:$B,2,FALSE)</f>
        <v>FALHA FUSIVEL TP</v>
      </c>
      <c r="G68" s="6" t="s">
        <v>81</v>
      </c>
      <c r="H68" s="6" t="str" cm="1">
        <f t="array" ref="H68">_xlfn.IFS(OR(D68="TC",D68="TP",D68="LT"),CONCATENATE(B68,"_",C68,$B$3,"_",C68,$B$3,"_",G68),D68="SECC",CONCATENATE(B68,"_",C68,$B$3,"_",$B$5,"_",G68),D68="SECF",CONCATENATE(B68,"_",C68,$B$3,"_",$B$6,"_",G68),D68="SECT",CONCATENATE(B68,"_",C68,$B$3,"_",$B$7,"_",G68),D68="SECG",CONCATENATE(B68,"_",C68,$B$3,"_",#REF!,"_",G68),D68="DJ",CONCATENATE(B68,"_",C68,$B$3,"_",$B$4,"_",G68))</f>
        <v>IMA_AL29_52-28_FUTP</v>
      </c>
      <c r="I68" s="6"/>
      <c r="J68" s="6" t="s">
        <v>182</v>
      </c>
      <c r="K68" s="6" t="s">
        <v>180</v>
      </c>
      <c r="L68" s="6" t="s">
        <v>188</v>
      </c>
      <c r="M68" s="6" t="s">
        <v>188</v>
      </c>
      <c r="N68" s="6">
        <f t="shared" si="4"/>
        <v>865</v>
      </c>
    </row>
    <row r="69" spans="1:14" x14ac:dyDescent="0.25">
      <c r="A69" s="6" t="s">
        <v>190</v>
      </c>
      <c r="B69" s="6" t="str">
        <f>Informações!$C$3</f>
        <v>IMA</v>
      </c>
      <c r="C69" s="6" t="s">
        <v>89</v>
      </c>
      <c r="D69" s="6" t="s">
        <v>30</v>
      </c>
      <c r="E69" s="2" t="s">
        <v>25</v>
      </c>
      <c r="F69" s="6" t="str">
        <f>VLOOKUP(G69,[1]Discrete!$A:$B,2,FALSE)</f>
        <v>FALHA COMUNICACAO</v>
      </c>
      <c r="G69" s="6" t="s">
        <v>78</v>
      </c>
      <c r="H69" s="6" t="str" cm="1">
        <f t="array" ref="H69">_xlfn.IFS(OR(D69="TC",D69="TP",D69="LT"),CONCATENATE(B69,"_",C69,$B$3,"_",C69,$B$3,"_",G69),D69="SECC",CONCATENATE(B69,"_",C69,$B$3,"_",$B$5,"_",G69),D69="SECF",CONCATENATE(B69,"_",C69,$B$3,"_",$B$6,"_",G69),D69="SECT",CONCATENATE(B69,"_",C69,$B$3,"_",$B$7,"_",G69),D69="SECG",CONCATENATE(B69,"_",C69,$B$3,"_",#REF!,"_",G69),D69="DJ",CONCATENATE(B69,"_",C69,$B$3,"_",$B$4,"_",G69))</f>
        <v>IMA_AL29_52-28_FCOM</v>
      </c>
      <c r="I69" s="6"/>
      <c r="J69" s="6" t="s">
        <v>182</v>
      </c>
      <c r="K69" s="6" t="s">
        <v>180</v>
      </c>
      <c r="L69" s="6" t="s">
        <v>188</v>
      </c>
      <c r="M69" s="6" t="s">
        <v>188</v>
      </c>
      <c r="N69" s="6">
        <f t="shared" si="4"/>
        <v>866</v>
      </c>
    </row>
    <row r="70" spans="1:14" x14ac:dyDescent="0.25">
      <c r="A70" s="6" t="s">
        <v>190</v>
      </c>
      <c r="B70" s="6" t="str">
        <f>Informações!$C$3</f>
        <v>IMA</v>
      </c>
      <c r="C70" s="6" t="s">
        <v>89</v>
      </c>
      <c r="D70" s="6" t="s">
        <v>30</v>
      </c>
      <c r="E70" s="2" t="s">
        <v>25</v>
      </c>
      <c r="F70" s="6" t="str">
        <f>VLOOKUP(G70,[1]Discrete!$A:$B,2,FALSE)</f>
        <v>FALTA VCC MOTOR</v>
      </c>
      <c r="G70" s="6" t="s">
        <v>80</v>
      </c>
      <c r="H70" s="6" t="str" cm="1">
        <f t="array" ref="H70">_xlfn.IFS(OR(D70="TC",D70="TP",D70="LT"),CONCATENATE(B70,"_",C70,$B$3,"_",C70,$B$3,"_",G70),D70="SECC",CONCATENATE(B70,"_",C70,$B$3,"_",$B$5,"_",G70),D70="SECF",CONCATENATE(B70,"_",C70,$B$3,"_",$B$6,"_",G70),D70="SECT",CONCATENATE(B70,"_",C70,$B$3,"_",$B$7,"_",G70),D70="SECG",CONCATENATE(B70,"_",C70,$B$3,"_",#REF!,"_",G70),D70="DJ",CONCATENATE(B70,"_",C70,$B$3,"_",$B$4,"_",G70))</f>
        <v>IMA_AL29_52-28_CCMO</v>
      </c>
      <c r="I70" s="6"/>
      <c r="J70" s="6" t="s">
        <v>182</v>
      </c>
      <c r="K70" s="6" t="s">
        <v>179</v>
      </c>
      <c r="L70" s="6" t="s">
        <v>188</v>
      </c>
      <c r="M70" s="6" t="s">
        <v>188</v>
      </c>
      <c r="N70" s="6">
        <f t="shared" si="4"/>
        <v>867</v>
      </c>
    </row>
    <row r="71" spans="1:14" x14ac:dyDescent="0.25">
      <c r="A71" s="6" t="s">
        <v>190</v>
      </c>
      <c r="B71" s="6" t="str">
        <f>Informações!$C$3</f>
        <v>IMA</v>
      </c>
      <c r="C71" s="6" t="s">
        <v>89</v>
      </c>
      <c r="D71" s="6" t="s">
        <v>30</v>
      </c>
      <c r="E71" s="2" t="s">
        <v>25</v>
      </c>
      <c r="F71" s="6" t="str">
        <f>VLOOKUP(G71,[1]Discrete!$A:$B,2,FALSE)</f>
        <v>FALTA VCC COMANDO</v>
      </c>
      <c r="G71" s="6" t="s">
        <v>79</v>
      </c>
      <c r="H71" s="6" t="str" cm="1">
        <f t="array" ref="H71">_xlfn.IFS(OR(D71="TC",D71="TP",D71="LT"),CONCATENATE(B71,"_",C71,$B$3,"_",C71,$B$3,"_",G71),D71="SECC",CONCATENATE(B71,"_",C71,$B$3,"_",$B$5,"_",G71),D71="SECF",CONCATENATE(B71,"_",C71,$B$3,"_",$B$6,"_",G71),D71="SECT",CONCATENATE(B71,"_",C71,$B$3,"_",$B$7,"_",G71),D71="SECG",CONCATENATE(B71,"_",C71,$B$3,"_",#REF!,"_",G71),D71="DJ",CONCATENATE(B71,"_",C71,$B$3,"_",$B$4,"_",G71))</f>
        <v>IMA_AL29_52-28_CCCO</v>
      </c>
      <c r="I71" s="6"/>
      <c r="J71" s="6" t="s">
        <v>182</v>
      </c>
      <c r="K71" s="6" t="s">
        <v>179</v>
      </c>
      <c r="L71" s="6" t="s">
        <v>188</v>
      </c>
      <c r="M71" s="6" t="s">
        <v>188</v>
      </c>
      <c r="N71" s="6">
        <f t="shared" si="4"/>
        <v>868</v>
      </c>
    </row>
    <row r="72" spans="1:14" x14ac:dyDescent="0.25">
      <c r="A72" s="95" t="s">
        <v>190</v>
      </c>
      <c r="B72" s="95" t="str">
        <f>Informações!$C$3</f>
        <v>IMA</v>
      </c>
      <c r="C72" s="95" t="s">
        <v>89</v>
      </c>
      <c r="D72" s="95" t="s">
        <v>30</v>
      </c>
      <c r="E72" s="2" t="s">
        <v>25</v>
      </c>
      <c r="F72" s="95" t="str">
        <f>VLOOKUP(G72,[1]Discrete!$A:$B,2,FALSE)</f>
        <v>79 - RELIGAMENTO BLOQUEADO</v>
      </c>
      <c r="G72" s="6" t="s">
        <v>45</v>
      </c>
      <c r="H72" s="6" t="str" cm="1">
        <f t="array" ref="H72">_xlfn.IFS(OR(D72="TC",D72="TP",D72="LT"),CONCATENATE(B72,"_",C72,$B$3,"_",C72,$B$3,"_",G72),D72="SECC",CONCATENATE(B72,"_",C72,$B$3,"_",$B$5,"_",G72),D72="SECF",CONCATENATE(B72,"_",C72,$B$3,"_",$B$6,"_",G72),D72="SECT",CONCATENATE(B72,"_",C72,$B$3,"_",$B$7,"_",G72),D72="SECG",CONCATENATE(B72,"_",C72,$B$3,"_",#REF!,"_",G72),D72="DJ",CONCATENATE(B72,"_",C72,$B$3,"_",$B$4,"_",G72))</f>
        <v>IMA_AL29_52-28_79LO</v>
      </c>
      <c r="I72" s="6"/>
      <c r="J72" s="6" t="s">
        <v>182</v>
      </c>
      <c r="K72" s="6" t="s">
        <v>179</v>
      </c>
      <c r="L72" s="6" t="s">
        <v>188</v>
      </c>
      <c r="M72" s="6" t="s">
        <v>188</v>
      </c>
      <c r="N72" s="95">
        <f>'BC 1'!N74+1</f>
        <v>1059</v>
      </c>
    </row>
    <row r="73" spans="1:14" x14ac:dyDescent="0.25">
      <c r="A73" s="95" t="s">
        <v>190</v>
      </c>
      <c r="B73" s="95" t="str">
        <f>Informações!$C$3</f>
        <v>IMA</v>
      </c>
      <c r="C73" s="95" t="s">
        <v>89</v>
      </c>
      <c r="D73" s="95" t="s">
        <v>30</v>
      </c>
      <c r="E73" s="2" t="s">
        <v>25</v>
      </c>
      <c r="F73" s="95" t="str">
        <f>VLOOKUP(G73,[1]Discrete!$A:$B,2,FALSE)</f>
        <v>TRIP EXTERNO</v>
      </c>
      <c r="G73" s="6" t="s">
        <v>718</v>
      </c>
      <c r="H73" s="6" t="str" cm="1">
        <f t="array" ref="H73">_xlfn.IFS(OR(D73="TC",D73="TP",D73="LT"),CONCATENATE(B73,"_",C73,$B$3,"_",C73,$B$3,"_",G73),D73="SECC",CONCATENATE(B73,"_",C73,$B$3,"_",$B$5,"_",G73),D73="SECF",CONCATENATE(B73,"_",C73,$B$3,"_",$B$6,"_",G73),D73="SECT",CONCATENATE(B73,"_",C73,$B$3,"_",$B$7,"_",G73),D73="SECG",CONCATENATE(B73,"_",C73,$B$3,"_",#REF!,"_",G73),D73="DJ",CONCATENATE(B73,"_",C73,$B$3,"_",$B$4,"_",G73))</f>
        <v>IMA_AL29_52-28_TEXT</v>
      </c>
      <c r="I73" s="6"/>
      <c r="J73" s="6" t="s">
        <v>182</v>
      </c>
      <c r="K73" s="6" t="s">
        <v>179</v>
      </c>
      <c r="L73" s="6" t="s">
        <v>188</v>
      </c>
      <c r="M73" s="6" t="s">
        <v>188</v>
      </c>
      <c r="N73" s="95">
        <f>N72+1</f>
        <v>1060</v>
      </c>
    </row>
    <row r="74" spans="1:14" x14ac:dyDescent="0.25">
      <c r="A74" s="95" t="s">
        <v>190</v>
      </c>
      <c r="B74" s="95" t="str">
        <f>Informações!$C$3</f>
        <v>IMA</v>
      </c>
      <c r="C74" s="95" t="s">
        <v>89</v>
      </c>
      <c r="D74" s="95" t="s">
        <v>30</v>
      </c>
      <c r="E74" s="2" t="s">
        <v>25</v>
      </c>
      <c r="F74" s="95" t="str">
        <f>VLOOKUP(G74,[1]Discrete!$A:$B,2,FALSE)</f>
        <v>FALHA SINCRONISMO HORA</v>
      </c>
      <c r="G74" s="6" t="s">
        <v>162</v>
      </c>
      <c r="H74" s="6" t="str" cm="1">
        <f t="array" ref="H74">_xlfn.IFS(OR(D74="TC",D74="TP",D74="LT"),CONCATENATE(B74,"_",C74,$B$3,"_",C74,$B$3,"_",G74),D74="SECC",CONCATENATE(B74,"_",C74,$B$3,"_",$B$5,"_",G74),D74="SECF",CONCATENATE(B74,"_",C74,$B$3,"_",$B$6,"_",G74),D74="SECT",CONCATENATE(B74,"_",C74,$B$3,"_",$B$7,"_",G74),D74="SECG",CONCATENATE(B74,"_",C74,$B$3,"_",#REF!,"_",G74),D74="DJ",CONCATENATE(B74,"_",C74,$B$3,"_",$B$4,"_",G74))</f>
        <v>IMA_AL29_52-28_FSIH</v>
      </c>
      <c r="I74" s="6"/>
      <c r="J74" s="6" t="s">
        <v>182</v>
      </c>
      <c r="K74" s="6" t="s">
        <v>179</v>
      </c>
      <c r="L74" s="6" t="s">
        <v>188</v>
      </c>
      <c r="M74" s="6" t="s">
        <v>188</v>
      </c>
      <c r="N74" s="95">
        <f t="shared" ref="N74" si="6">N73+1</f>
        <v>1061</v>
      </c>
    </row>
    <row r="76" spans="1:14" x14ac:dyDescent="0.25">
      <c r="A76" s="108" t="s">
        <v>215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</row>
    <row r="77" spans="1:14" ht="30" x14ac:dyDescent="0.25">
      <c r="A77" s="3" t="s">
        <v>189</v>
      </c>
      <c r="B77" s="3" t="s">
        <v>1</v>
      </c>
      <c r="C77" s="3" t="s">
        <v>83</v>
      </c>
      <c r="D77" s="3" t="s">
        <v>26</v>
      </c>
      <c r="E77" s="3" t="s">
        <v>7</v>
      </c>
      <c r="F77" s="3" t="s">
        <v>84</v>
      </c>
      <c r="G77" s="3" t="s">
        <v>85</v>
      </c>
      <c r="H77" s="3" t="s">
        <v>86</v>
      </c>
      <c r="I77" s="3" t="s">
        <v>254</v>
      </c>
      <c r="J77" s="3" t="s">
        <v>177</v>
      </c>
      <c r="K77" s="3" t="s">
        <v>178</v>
      </c>
      <c r="L77" s="3" t="s">
        <v>260</v>
      </c>
      <c r="M77" s="3" t="s">
        <v>266</v>
      </c>
      <c r="N77" s="3" t="s">
        <v>192</v>
      </c>
    </row>
    <row r="78" spans="1:14" x14ac:dyDescent="0.25">
      <c r="A78" s="6" t="s">
        <v>190</v>
      </c>
      <c r="B78" s="6" t="str">
        <f>Informações!$C$3</f>
        <v>IMA</v>
      </c>
      <c r="C78" s="6" t="s">
        <v>89</v>
      </c>
      <c r="D78" s="6" t="s">
        <v>30</v>
      </c>
      <c r="E78" s="2" t="s">
        <v>25</v>
      </c>
      <c r="F78" s="6" t="s">
        <v>238</v>
      </c>
      <c r="G78" s="6" t="s">
        <v>239</v>
      </c>
      <c r="H78" s="6" t="str" cm="1">
        <f t="array" ref="H78">_xlfn.IFS(OR(D78="TC",D78="TP",D78="LT"),CONCATENATE(B78,"_",C78,$B$3,"_",C78,$B$3,"_",G78),D78="SECC",CONCATENATE(B78,"_",C78,$B$3,"_",$B$5,"_",G78),D78="SECF",CONCATENATE(B78,"_",C78,$B$3,"_",$B$6,"_",G78),D78="SECT",CONCATENATE(B78,"_",C78,$B$3,"_",$B$7,"_",G78),D78="SECG",CONCATENATE(B78,"_",C78,$B$3,"_",#REF!,"_",G78),D78="DJ",CONCATENATE(B78,"_",C78,$B$3,"_",$B$4,"_",G78))</f>
        <v>IMA_AL29_52-28_FGOO</v>
      </c>
      <c r="I78" s="6"/>
      <c r="J78" s="6" t="s">
        <v>182</v>
      </c>
      <c r="K78" s="6" t="s">
        <v>180</v>
      </c>
      <c r="L78" s="6" t="s">
        <v>188</v>
      </c>
      <c r="M78" s="6" t="s">
        <v>188</v>
      </c>
      <c r="N78" s="6">
        <f>N71+1</f>
        <v>869</v>
      </c>
    </row>
  </sheetData>
  <mergeCells count="8">
    <mergeCell ref="A76:N76"/>
    <mergeCell ref="A1:N1"/>
    <mergeCell ref="B2:N2"/>
    <mergeCell ref="B3:N3"/>
    <mergeCell ref="B4:N4"/>
    <mergeCell ref="B5:N5"/>
    <mergeCell ref="B6:N6"/>
    <mergeCell ref="B7:N7"/>
  </mergeCells>
  <conditionalFormatting sqref="E8:E75">
    <cfRule type="cellIs" dxfId="32" priority="1" operator="equal">
      <formula>"D"</formula>
    </cfRule>
    <cfRule type="cellIs" dxfId="31" priority="2" operator="equal">
      <formula>"C"</formula>
    </cfRule>
    <cfRule type="cellIs" dxfId="30" priority="3" operator="equal">
      <formula>"A"</formula>
    </cfRule>
  </conditionalFormatting>
  <conditionalFormatting sqref="E77:E1048576">
    <cfRule type="cellIs" dxfId="29" priority="37" operator="equal">
      <formula>"D"</formula>
    </cfRule>
    <cfRule type="cellIs" dxfId="28" priority="38" operator="equal">
      <formula>"C"</formula>
    </cfRule>
    <cfRule type="cellIs" dxfId="27" priority="3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4102A9-5A76-4A04-A53A-2C76072F50F2}">
          <x14:formula1>
            <xm:f>Lista!$B$2:$B$3</xm:f>
          </x14:formula1>
          <xm:sqref>A78 A10:A74</xm:sqref>
        </x14:dataValidation>
        <x14:dataValidation type="list" allowBlank="1" showInputMessage="1" showErrorMessage="1" xr:uid="{5F7AF7E0-78ED-4E13-9DFC-0C0410624575}">
          <x14:formula1>
            <xm:f>Lista!$A$2:$A$19</xm:f>
          </x14:formula1>
          <xm:sqref>J78:K78 J10:K74</xm:sqref>
        </x14:dataValidation>
        <x14:dataValidation type="list" allowBlank="1" showInputMessage="1" showErrorMessage="1" xr:uid="{F0D8FD6B-69EA-4CD3-A088-841C1AEE20DA}">
          <x14:formula1>
            <xm:f>Lista!$D$2:$D$4</xm:f>
          </x14:formula1>
          <xm:sqref>M78 M10:M74</xm:sqref>
        </x14:dataValidation>
        <x14:dataValidation type="list" allowBlank="1" showInputMessage="1" showErrorMessage="1" xr:uid="{42A06121-85BE-4389-BD6E-7B64335E2CAB}">
          <x14:formula1>
            <xm:f>Lista!$E$2:$E$4</xm:f>
          </x14:formula1>
          <xm:sqref>I78 I10:I74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9C81-2039-451C-981E-E7EC54796548}">
  <sheetPr>
    <tabColor theme="6"/>
  </sheetPr>
  <dimension ref="A1:N52"/>
  <sheetViews>
    <sheetView zoomScale="80" zoomScaleNormal="80" workbookViewId="0">
      <selection activeCell="S40" sqref="S4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ht="15" customHeight="1" x14ac:dyDescent="0.25">
      <c r="A1" s="110" t="s">
        <v>163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s="4" customFormat="1" ht="15" customHeight="1" x14ac:dyDescent="0.25">
      <c r="A2" s="3" t="s">
        <v>26</v>
      </c>
      <c r="B2" s="111" t="s">
        <v>167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165</v>
      </c>
      <c r="B3" s="156">
        <v>69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</row>
    <row r="4" spans="1:14" x14ac:dyDescent="0.25">
      <c r="A4" s="2" t="s">
        <v>325</v>
      </c>
      <c r="B4" s="156" t="s">
        <v>213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</row>
    <row r="5" spans="1:14" x14ac:dyDescent="0.25">
      <c r="A5" s="2" t="s">
        <v>326</v>
      </c>
      <c r="B5" s="156" t="s">
        <v>213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</row>
    <row r="6" spans="1:14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30" x14ac:dyDescent="0.25">
      <c r="A7" s="3" t="s">
        <v>189</v>
      </c>
      <c r="B7" s="3" t="s">
        <v>1</v>
      </c>
      <c r="C7" s="3" t="s">
        <v>83</v>
      </c>
      <c r="D7" s="3" t="s">
        <v>26</v>
      </c>
      <c r="E7" s="3" t="s">
        <v>7</v>
      </c>
      <c r="F7" s="3" t="s">
        <v>84</v>
      </c>
      <c r="G7" s="3" t="s">
        <v>85</v>
      </c>
      <c r="H7" s="3" t="s">
        <v>86</v>
      </c>
      <c r="I7" s="3" t="s">
        <v>254</v>
      </c>
      <c r="J7" s="3" t="s">
        <v>177</v>
      </c>
      <c r="K7" s="3" t="s">
        <v>178</v>
      </c>
      <c r="L7" s="3" t="s">
        <v>260</v>
      </c>
      <c r="M7" s="3" t="s">
        <v>266</v>
      </c>
      <c r="N7" s="3" t="s">
        <v>192</v>
      </c>
    </row>
    <row r="8" spans="1:14" x14ac:dyDescent="0.25">
      <c r="A8" s="6" t="s">
        <v>190</v>
      </c>
      <c r="B8" s="6" t="str">
        <f>Informações!$C$3</f>
        <v>IMA</v>
      </c>
      <c r="C8" s="6" t="s">
        <v>164</v>
      </c>
      <c r="D8" s="6" t="s">
        <v>100</v>
      </c>
      <c r="E8" s="2" t="s">
        <v>24</v>
      </c>
      <c r="F8" s="6" t="s">
        <v>423</v>
      </c>
      <c r="G8" s="6" t="s">
        <v>422</v>
      </c>
      <c r="H8" s="6" t="str" cm="1">
        <f t="array" ref="H8">_xlfn.IFS(D8="AT",CONCATENATE(B8,"_",C8,$B$3,"_",C8,$B$3,"_",G8),D8="BT",CONCATENATE(B8,"_",C8,$B$4,"_",C8,$B$4,"_",G8))</f>
        <v>IMA_BP69_BP69_86RM</v>
      </c>
      <c r="I8" s="6" t="s">
        <v>188</v>
      </c>
      <c r="J8" s="6" t="s">
        <v>188</v>
      </c>
      <c r="K8" s="6" t="s">
        <v>188</v>
      </c>
      <c r="L8" s="8" t="s">
        <v>188</v>
      </c>
      <c r="M8" s="6"/>
      <c r="N8" s="6" t="str">
        <f>VALUE(LEFT('BC 2'!N30, FIND(";",'BC 2'!N30)-1)) + 1 &amp; ";" &amp; VALUE(LEFT('BC 2'!N30, FIND(";",'BC 2'!N30)-1)) + 1</f>
        <v>168;168</v>
      </c>
    </row>
    <row r="9" spans="1:14" x14ac:dyDescent="0.25">
      <c r="A9" s="6" t="s">
        <v>190</v>
      </c>
      <c r="B9" s="6" t="str">
        <f>Informações!$C$3</f>
        <v>IMA</v>
      </c>
      <c r="C9" s="6" t="s">
        <v>323</v>
      </c>
      <c r="D9" s="6" t="s">
        <v>101</v>
      </c>
      <c r="E9" s="2" t="s">
        <v>24</v>
      </c>
      <c r="F9" s="6" t="s">
        <v>423</v>
      </c>
      <c r="G9" s="6" t="s">
        <v>422</v>
      </c>
      <c r="H9" s="6" t="str" cm="1">
        <f t="array" ref="H9">_xlfn.IFS(D9="AT",CONCATENATE(B9,"_",C9,$B$3,"_",C9,$B$3,"_",G9),D9="BT",CONCATENATE(B9,"_",C9,$B$4,"_",C9,$B$4,"_",G9))</f>
        <v>IMA_BP113.8_BP113.8_86RM</v>
      </c>
      <c r="I9" s="6" t="s">
        <v>188</v>
      </c>
      <c r="J9" s="6" t="s">
        <v>188</v>
      </c>
      <c r="K9" s="6" t="s">
        <v>188</v>
      </c>
      <c r="L9" s="8" t="s">
        <v>188</v>
      </c>
      <c r="M9" s="6"/>
      <c r="N9" s="6" t="str">
        <f t="shared" ref="N9:N10" si="0">VALUE(LEFT(N8, FIND(";",N8)-1)) + 1 &amp; ";" &amp; VALUE(LEFT(N8, FIND(";",N8)-1)) + 1</f>
        <v>169;169</v>
      </c>
    </row>
    <row r="10" spans="1:14" x14ac:dyDescent="0.25">
      <c r="A10" s="6" t="s">
        <v>190</v>
      </c>
      <c r="B10" s="6" t="str">
        <f>Informações!$C$3</f>
        <v>IMA</v>
      </c>
      <c r="C10" s="6" t="s">
        <v>324</v>
      </c>
      <c r="D10" s="6" t="s">
        <v>101</v>
      </c>
      <c r="E10" s="2" t="s">
        <v>24</v>
      </c>
      <c r="F10" s="6" t="s">
        <v>423</v>
      </c>
      <c r="G10" s="6" t="s">
        <v>422</v>
      </c>
      <c r="H10" s="6" t="str" cm="1">
        <f t="array" ref="H10">_xlfn.IFS(D10="AT",CONCATENATE(B10,"_",C10,$B$3,"_",C10,$B$3,"_",G10),D10="BT",CONCATENATE(B10,"_",C10,$B$4,"_",C10,$B$4,"_",G10))</f>
        <v>IMA_BP213.8_BP213.8_86RM</v>
      </c>
      <c r="I10" s="6" t="s">
        <v>188</v>
      </c>
      <c r="J10" s="6" t="s">
        <v>188</v>
      </c>
      <c r="K10" s="6" t="s">
        <v>188</v>
      </c>
      <c r="L10" s="8" t="s">
        <v>188</v>
      </c>
      <c r="M10" s="6"/>
      <c r="N10" s="6" t="str">
        <f t="shared" si="0"/>
        <v>170;170</v>
      </c>
    </row>
    <row r="11" spans="1:14" x14ac:dyDescent="0.25">
      <c r="A11" s="6" t="s">
        <v>190</v>
      </c>
      <c r="B11" s="6" t="str">
        <f>Informações!$C$3</f>
        <v>IMA</v>
      </c>
      <c r="C11" s="6" t="s">
        <v>164</v>
      </c>
      <c r="D11" s="6" t="s">
        <v>100</v>
      </c>
      <c r="E11" s="2" t="s">
        <v>25</v>
      </c>
      <c r="F11" s="6" t="str">
        <f>VLOOKUP(G11,[1]Discrete!$A:$B,2,FALSE)</f>
        <v>87 - DIFERENCIAL BLOQUEIO</v>
      </c>
      <c r="G11" s="6" t="s">
        <v>161</v>
      </c>
      <c r="H11" s="6" t="str" cm="1">
        <f t="array" ref="H11">_xlfn.IFS(D11="AT",CONCATENATE(B11,"_",C11,$B$3,"_",C11,$B$3,"_",G11),D11="BT",CONCATENATE(B11,"_",C11,$B$4,"_",C11,$B$4,"_",G11))</f>
        <v>IMA_BP69_BP69_87BL</v>
      </c>
      <c r="I11" s="6" t="s">
        <v>267</v>
      </c>
      <c r="J11" s="6" t="s">
        <v>182</v>
      </c>
      <c r="K11" s="6" t="s">
        <v>179</v>
      </c>
      <c r="L11" s="8" t="s">
        <v>188</v>
      </c>
      <c r="M11" s="6" t="s">
        <v>188</v>
      </c>
      <c r="N11" s="6">
        <f>'BC 2'!N78+1</f>
        <v>870</v>
      </c>
    </row>
    <row r="12" spans="1:14" x14ac:dyDescent="0.25">
      <c r="A12" s="6" t="s">
        <v>190</v>
      </c>
      <c r="B12" s="6" t="str">
        <f>Informações!$C$3</f>
        <v>IMA</v>
      </c>
      <c r="C12" s="6" t="s">
        <v>164</v>
      </c>
      <c r="D12" s="6" t="s">
        <v>100</v>
      </c>
      <c r="E12" s="2" t="s">
        <v>25</v>
      </c>
      <c r="F12" s="6" t="str">
        <f>VLOOKUP(G12,[1]Discrete!$A:$B,2,FALSE)</f>
        <v>86 - BLOQUEIO DEFEITO DISJUNTOR</v>
      </c>
      <c r="G12" s="6" t="s">
        <v>57</v>
      </c>
      <c r="H12" s="6" t="str" cm="1">
        <f t="array" ref="H12">_xlfn.IFS(D12="AT",CONCATENATE(B12,"_",C12,$B$3,"_",C12,$B$3,"_",G12),D12="BT",CONCATENATE(B12,"_",C12,$B$4,"_",C12,$B$4,"_",G12))</f>
        <v>IMA_BP69_BP69_86BF</v>
      </c>
      <c r="I12" s="6" t="s">
        <v>267</v>
      </c>
      <c r="J12" s="6" t="s">
        <v>182</v>
      </c>
      <c r="K12" s="6" t="s">
        <v>179</v>
      </c>
      <c r="L12" s="8" t="s">
        <v>188</v>
      </c>
      <c r="M12" s="6" t="s">
        <v>188</v>
      </c>
      <c r="N12" s="6">
        <f>N11+1</f>
        <v>871</v>
      </c>
    </row>
    <row r="13" spans="1:14" x14ac:dyDescent="0.25">
      <c r="A13" s="6" t="s">
        <v>190</v>
      </c>
      <c r="B13" s="6" t="str">
        <f>Informações!$C$3</f>
        <v>IMA</v>
      </c>
      <c r="C13" s="6" t="s">
        <v>164</v>
      </c>
      <c r="D13" s="6" t="s">
        <v>100</v>
      </c>
      <c r="E13" s="2" t="s">
        <v>25</v>
      </c>
      <c r="F13" s="6" t="str">
        <f>VLOOKUP(G13,[1]Discrete!$A:$B,2,FALSE)</f>
        <v>43 - CHAVE LOCAL REMOTO</v>
      </c>
      <c r="G13" s="6" t="s">
        <v>39</v>
      </c>
      <c r="H13" s="6" t="str" cm="1">
        <f t="array" ref="H13">_xlfn.IFS(D13="AT",CONCATENATE(B13,"_",C13,$B$3,"_",C13,$B$3,"_",G13),D13="BT",CONCATENATE(B13,"_",C13,$B$4,"_",C13,$B$4,"_",G13))</f>
        <v>IMA_BP69_BP69_43LR</v>
      </c>
      <c r="I13" s="6" t="s">
        <v>267</v>
      </c>
      <c r="J13" s="6" t="s">
        <v>186</v>
      </c>
      <c r="K13" s="6" t="s">
        <v>185</v>
      </c>
      <c r="L13" s="6" t="s">
        <v>188</v>
      </c>
      <c r="M13" s="6" t="s">
        <v>188</v>
      </c>
      <c r="N13" s="6">
        <f t="shared" ref="N13:N43" si="1">N12+1</f>
        <v>872</v>
      </c>
    </row>
    <row r="14" spans="1:14" x14ac:dyDescent="0.25">
      <c r="A14" s="6" t="s">
        <v>190</v>
      </c>
      <c r="B14" s="6" t="str">
        <f>Informações!$C$3</f>
        <v>IMA</v>
      </c>
      <c r="C14" s="6" t="s">
        <v>164</v>
      </c>
      <c r="D14" s="6" t="s">
        <v>100</v>
      </c>
      <c r="E14" s="2" t="s">
        <v>25</v>
      </c>
      <c r="F14" s="6" t="str">
        <f>VLOOKUP(G14,[1]Discrete!$A:$B,2,FALSE)</f>
        <v>FALTA VCC</v>
      </c>
      <c r="G14" s="6" t="s">
        <v>42</v>
      </c>
      <c r="H14" s="6" t="str" cm="1">
        <f t="array" ref="H14">_xlfn.IFS(D14="AT",CONCATENATE(B14,"_",C14,$B$3,"_",C14,$B$3,"_",G14),D14="BT",CONCATENATE(B14,"_",C14,$B$4,"_",C14,$B$4,"_",G14))</f>
        <v>IMA_BP69_BP69_CCFL</v>
      </c>
      <c r="I14" s="6" t="s">
        <v>267</v>
      </c>
      <c r="J14" s="6" t="s">
        <v>182</v>
      </c>
      <c r="K14" s="6" t="s">
        <v>180</v>
      </c>
      <c r="L14" s="6" t="s">
        <v>188</v>
      </c>
      <c r="M14" s="6" t="s">
        <v>188</v>
      </c>
      <c r="N14" s="6">
        <f t="shared" si="1"/>
        <v>873</v>
      </c>
    </row>
    <row r="15" spans="1:14" x14ac:dyDescent="0.25">
      <c r="A15" s="6" t="s">
        <v>190</v>
      </c>
      <c r="B15" s="6" t="str">
        <f>Informações!$C$3</f>
        <v>IMA</v>
      </c>
      <c r="C15" s="6" t="s">
        <v>164</v>
      </c>
      <c r="D15" s="6" t="s">
        <v>100</v>
      </c>
      <c r="E15" s="2" t="s">
        <v>25</v>
      </c>
      <c r="F15" s="6" t="e">
        <f>VLOOKUP(G15,[1]Discrete!$A:$B,2,FALSE)</f>
        <v>#N/A</v>
      </c>
      <c r="G15" s="6">
        <v>87</v>
      </c>
      <c r="H15" s="6" t="str" cm="1">
        <f t="array" ref="H15">_xlfn.IFS(D15="AT",CONCATENATE(B15,"_",C15,$B$3,"_",C15,$B$3,"_",G15),D15="BT",CONCATENATE(B15,"_",C15,$B$4,"_",C15,$B$4,"_",G15))</f>
        <v>IMA_BP69_BP69_87</v>
      </c>
      <c r="I15" s="6" t="s">
        <v>267</v>
      </c>
      <c r="J15" s="6" t="s">
        <v>183</v>
      </c>
      <c r="K15" s="6" t="s">
        <v>184</v>
      </c>
      <c r="L15" s="6" t="s">
        <v>188</v>
      </c>
      <c r="M15" s="6" t="s">
        <v>188</v>
      </c>
      <c r="N15" s="6">
        <f t="shared" si="1"/>
        <v>874</v>
      </c>
    </row>
    <row r="16" spans="1:14" x14ac:dyDescent="0.25">
      <c r="A16" s="6" t="s">
        <v>190</v>
      </c>
      <c r="B16" s="6" t="str">
        <f>Informações!$C$3</f>
        <v>IMA</v>
      </c>
      <c r="C16" s="6" t="s">
        <v>164</v>
      </c>
      <c r="D16" s="6" t="s">
        <v>100</v>
      </c>
      <c r="E16" s="2" t="s">
        <v>25</v>
      </c>
      <c r="F16" s="6" t="str">
        <f>VLOOKUP(G16,[1]Discrete!$A:$B,2,FALSE)</f>
        <v>87 - TRIP DIFERENCIAL</v>
      </c>
      <c r="G16" s="6" t="s">
        <v>359</v>
      </c>
      <c r="H16" s="6" t="str" cm="1">
        <f t="array" ref="H16">_xlfn.IFS(D16="AT",CONCATENATE(B16,"_",C16,$B$3,"_",C16,$B$3,"_",G16),D16="BT",CONCATENATE(B16,"_",C16,$B$4,"_",C16,$B$4,"_",G16))</f>
        <v>IMA_BP69_BP69_87_T</v>
      </c>
      <c r="I16" s="6" t="s">
        <v>267</v>
      </c>
      <c r="J16" s="6" t="s">
        <v>182</v>
      </c>
      <c r="K16" s="6" t="s">
        <v>179</v>
      </c>
      <c r="L16" s="6" t="s">
        <v>188</v>
      </c>
      <c r="M16" s="6" t="s">
        <v>188</v>
      </c>
      <c r="N16" s="6">
        <f t="shared" si="1"/>
        <v>875</v>
      </c>
    </row>
    <row r="17" spans="1:14" x14ac:dyDescent="0.25">
      <c r="A17" s="6" t="s">
        <v>190</v>
      </c>
      <c r="B17" s="6" t="str">
        <f>Informações!$C$3</f>
        <v>IMA</v>
      </c>
      <c r="C17" s="6" t="s">
        <v>164</v>
      </c>
      <c r="D17" s="6" t="s">
        <v>100</v>
      </c>
      <c r="E17" s="2" t="s">
        <v>25</v>
      </c>
      <c r="F17" s="6" t="str">
        <f>VLOOKUP(G17,[1]Discrete!$A:$B,2,FALSE)</f>
        <v>87 - DIFERENCIAL FASE A</v>
      </c>
      <c r="G17" s="6" t="s">
        <v>361</v>
      </c>
      <c r="H17" s="6" t="str" cm="1">
        <f t="array" ref="H17">_xlfn.IFS(D17="AT",CONCATENATE(B17,"_",C17,$B$3,"_",C17,$B$3,"_",G17),D17="BT",CONCATENATE(B17,"_",C17,$B$4,"_",C17,$B$4,"_",G17))</f>
        <v>IMA_BP69_BP69_87A</v>
      </c>
      <c r="I17" s="6" t="s">
        <v>267</v>
      </c>
      <c r="J17" s="6" t="s">
        <v>182</v>
      </c>
      <c r="K17" s="6" t="s">
        <v>179</v>
      </c>
      <c r="L17" s="6" t="s">
        <v>188</v>
      </c>
      <c r="M17" s="6" t="s">
        <v>188</v>
      </c>
      <c r="N17" s="6">
        <f t="shared" si="1"/>
        <v>876</v>
      </c>
    </row>
    <row r="18" spans="1:14" x14ac:dyDescent="0.25">
      <c r="A18" s="6" t="s">
        <v>190</v>
      </c>
      <c r="B18" s="6" t="str">
        <f>Informações!$C$3</f>
        <v>IMA</v>
      </c>
      <c r="C18" s="6" t="s">
        <v>164</v>
      </c>
      <c r="D18" s="6" t="s">
        <v>100</v>
      </c>
      <c r="E18" s="2" t="s">
        <v>25</v>
      </c>
      <c r="F18" s="6" t="str">
        <f>VLOOKUP(G18,[1]Discrete!$A:$B,2,FALSE)</f>
        <v>87 - DIFERENCIAL FASE B</v>
      </c>
      <c r="G18" s="6" t="s">
        <v>360</v>
      </c>
      <c r="H18" s="6" t="str" cm="1">
        <f t="array" ref="H18">_xlfn.IFS(D18="AT",CONCATENATE(B18,"_",C18,$B$3,"_",C18,$B$3,"_",G18),D18="BT",CONCATENATE(B18,"_",C18,$B$4,"_",C18,$B$4,"_",G18))</f>
        <v>IMA_BP69_BP69_87B</v>
      </c>
      <c r="I18" s="6" t="s">
        <v>267</v>
      </c>
      <c r="J18" s="6" t="s">
        <v>182</v>
      </c>
      <c r="K18" s="6" t="s">
        <v>179</v>
      </c>
      <c r="L18" s="6" t="s">
        <v>188</v>
      </c>
      <c r="M18" s="6" t="s">
        <v>188</v>
      </c>
      <c r="N18" s="6">
        <f t="shared" si="1"/>
        <v>877</v>
      </c>
    </row>
    <row r="19" spans="1:14" x14ac:dyDescent="0.25">
      <c r="A19" s="6" t="s">
        <v>190</v>
      </c>
      <c r="B19" s="6" t="str">
        <f>Informações!$C$3</f>
        <v>IMA</v>
      </c>
      <c r="C19" s="6" t="s">
        <v>164</v>
      </c>
      <c r="D19" s="6" t="s">
        <v>100</v>
      </c>
      <c r="E19" s="2" t="s">
        <v>25</v>
      </c>
      <c r="F19" s="6" t="str">
        <f>VLOOKUP(G19,[1]Discrete!$A:$B,2,FALSE)</f>
        <v>87 - DIFERENCIAL FASE C</v>
      </c>
      <c r="G19" s="6" t="s">
        <v>362</v>
      </c>
      <c r="H19" s="6" t="str" cm="1">
        <f t="array" ref="H19">_xlfn.IFS(D19="AT",CONCATENATE(B19,"_",C19,$B$3,"_",C19,$B$3,"_",G19),D19="BT",CONCATENATE(B19,"_",C19,$B$4,"_",C19,$B$4,"_",G19))</f>
        <v>IMA_BP69_BP69_87C</v>
      </c>
      <c r="I19" s="6" t="s">
        <v>267</v>
      </c>
      <c r="J19" s="6" t="s">
        <v>182</v>
      </c>
      <c r="K19" s="6" t="s">
        <v>179</v>
      </c>
      <c r="L19" s="6" t="s">
        <v>188</v>
      </c>
      <c r="M19" s="6" t="s">
        <v>188</v>
      </c>
      <c r="N19" s="6">
        <f t="shared" si="1"/>
        <v>878</v>
      </c>
    </row>
    <row r="20" spans="1:14" x14ac:dyDescent="0.25">
      <c r="A20" s="6" t="s">
        <v>190</v>
      </c>
      <c r="B20" s="6" t="str">
        <f>Informações!$C$3</f>
        <v>IMA</v>
      </c>
      <c r="C20" s="6" t="s">
        <v>164</v>
      </c>
      <c r="D20" s="6" t="s">
        <v>100</v>
      </c>
      <c r="E20" s="2" t="s">
        <v>25</v>
      </c>
      <c r="F20" s="6" t="str">
        <f>VLOOKUP(G20,[1]Discrete!$A:$B,2,FALSE)</f>
        <v>DEFEITO RELE</v>
      </c>
      <c r="G20" s="6" t="s">
        <v>51</v>
      </c>
      <c r="H20" s="6" t="str" cm="1">
        <f t="array" ref="H20">_xlfn.IFS(D20="AT",CONCATENATE(B20,"_",C20,$B$3,"_",C20,$B$3,"_",G20),D20="BT",CONCATENATE(B20,"_",C20,$B$4,"_",C20,$B$4,"_",G20))</f>
        <v>IMA_BP69_BP69_DR</v>
      </c>
      <c r="I20" s="6" t="s">
        <v>267</v>
      </c>
      <c r="J20" s="6" t="s">
        <v>182</v>
      </c>
      <c r="K20" s="6" t="s">
        <v>181</v>
      </c>
      <c r="L20" s="6" t="s">
        <v>188</v>
      </c>
      <c r="M20" s="6" t="s">
        <v>188</v>
      </c>
      <c r="N20" s="6">
        <f t="shared" si="1"/>
        <v>879</v>
      </c>
    </row>
    <row r="21" spans="1:14" x14ac:dyDescent="0.25">
      <c r="A21" s="6" t="s">
        <v>190</v>
      </c>
      <c r="B21" s="6" t="str">
        <f>Informações!$C$3</f>
        <v>IMA</v>
      </c>
      <c r="C21" s="6" t="s">
        <v>164</v>
      </c>
      <c r="D21" s="6" t="s">
        <v>100</v>
      </c>
      <c r="E21" s="2" t="s">
        <v>25</v>
      </c>
      <c r="F21" s="6" t="str">
        <f>VLOOKUP(G21,[1]Discrete!$A:$B,2,FALSE)</f>
        <v>FALHA COMUNICACAO</v>
      </c>
      <c r="G21" s="6" t="s">
        <v>78</v>
      </c>
      <c r="H21" s="6" t="str" cm="1">
        <f t="array" ref="H21">_xlfn.IFS(D21="AT",CONCATENATE(B21,"_",C21,$B$3,"_",C21,$B$3,"_",G21),D21="BT",CONCATENATE(B21,"_",C21,$B$4,"_",C21,$B$4,"_",G21))</f>
        <v>IMA_BP69_BP69_FCOM</v>
      </c>
      <c r="I21" s="6" t="s">
        <v>267</v>
      </c>
      <c r="J21" s="6" t="s">
        <v>182</v>
      </c>
      <c r="K21" s="6" t="s">
        <v>180</v>
      </c>
      <c r="L21" s="6" t="s">
        <v>188</v>
      </c>
      <c r="M21" s="6" t="s">
        <v>188</v>
      </c>
      <c r="N21" s="6">
        <f t="shared" si="1"/>
        <v>880</v>
      </c>
    </row>
    <row r="22" spans="1:14" x14ac:dyDescent="0.25">
      <c r="A22" s="6" t="s">
        <v>190</v>
      </c>
      <c r="B22" s="6" t="str">
        <f>Informações!$C$3</f>
        <v>IMA</v>
      </c>
      <c r="C22" s="6" t="s">
        <v>323</v>
      </c>
      <c r="D22" s="6" t="s">
        <v>101</v>
      </c>
      <c r="E22" s="2" t="s">
        <v>25</v>
      </c>
      <c r="F22" s="6" t="str">
        <f>VLOOKUP(G22,[1]Discrete!$A:$B,2,FALSE)</f>
        <v>87 - DIFERENCIAL BLOQUEIO</v>
      </c>
      <c r="G22" s="6" t="s">
        <v>161</v>
      </c>
      <c r="H22" s="6" t="str" cm="1">
        <f t="array" ref="H22">_xlfn.IFS(D22="AT",CONCATENATE(B22,"_",C22,$B$3,"_",C22,$B$3,"_",G22),D22="BT",CONCATENATE(B22,"_",C22,$B$4,"_",C22,$B$4,"_",G22))</f>
        <v>IMA_BP113.8_BP113.8_87BL</v>
      </c>
      <c r="I22" s="6" t="s">
        <v>267</v>
      </c>
      <c r="J22" s="6" t="s">
        <v>182</v>
      </c>
      <c r="K22" s="6" t="s">
        <v>179</v>
      </c>
      <c r="L22" s="8" t="s">
        <v>188</v>
      </c>
      <c r="M22" s="6" t="s">
        <v>188</v>
      </c>
      <c r="N22" s="6">
        <f>N21+1</f>
        <v>881</v>
      </c>
    </row>
    <row r="23" spans="1:14" x14ac:dyDescent="0.25">
      <c r="A23" s="6" t="s">
        <v>190</v>
      </c>
      <c r="B23" s="6" t="str">
        <f>Informações!$C$3</f>
        <v>IMA</v>
      </c>
      <c r="C23" s="6" t="s">
        <v>323</v>
      </c>
      <c r="D23" s="6" t="s">
        <v>101</v>
      </c>
      <c r="E23" s="2" t="s">
        <v>25</v>
      </c>
      <c r="F23" s="6" t="str">
        <f>VLOOKUP(G23,[1]Discrete!$A:$B,2,FALSE)</f>
        <v>86 - BLOQUEIO DEFEITO DISJUNTOR</v>
      </c>
      <c r="G23" s="6" t="s">
        <v>57</v>
      </c>
      <c r="H23" s="6" t="str" cm="1">
        <f t="array" ref="H23">_xlfn.IFS(D23="AT",CONCATENATE(B23,"_",C23,$B$3,"_",C23,$B$3,"_",G23),D23="BT",CONCATENATE(B23,"_",C23,$B$4,"_",C23,$B$4,"_",G23))</f>
        <v>IMA_BP113.8_BP113.8_86BF</v>
      </c>
      <c r="I23" s="6" t="s">
        <v>267</v>
      </c>
      <c r="J23" s="6" t="s">
        <v>182</v>
      </c>
      <c r="K23" s="6" t="s">
        <v>179</v>
      </c>
      <c r="L23" s="8" t="s">
        <v>188</v>
      </c>
      <c r="M23" s="6" t="s">
        <v>188</v>
      </c>
      <c r="N23" s="6">
        <f t="shared" si="1"/>
        <v>882</v>
      </c>
    </row>
    <row r="24" spans="1:14" x14ac:dyDescent="0.25">
      <c r="A24" s="6" t="s">
        <v>190</v>
      </c>
      <c r="B24" s="6" t="str">
        <f>Informações!$C$3</f>
        <v>IMA</v>
      </c>
      <c r="C24" s="6" t="s">
        <v>323</v>
      </c>
      <c r="D24" s="6" t="s">
        <v>101</v>
      </c>
      <c r="E24" s="2" t="s">
        <v>25</v>
      </c>
      <c r="F24" s="6" t="str">
        <f>VLOOKUP(G24,[1]Discrete!$A:$B,2,FALSE)</f>
        <v>43 - CHAVE LOCAL REMOTO</v>
      </c>
      <c r="G24" s="6" t="s">
        <v>39</v>
      </c>
      <c r="H24" s="6" t="str" cm="1">
        <f t="array" ref="H24">_xlfn.IFS(D24="AT",CONCATENATE(B24,"_",C24,$B$3,"_",C24,$B$3,"_",G24),D24="BT",CONCATENATE(B24,"_",C24,$B$4,"_",C24,$B$4,"_",G24))</f>
        <v>IMA_BP113.8_BP113.8_43LR</v>
      </c>
      <c r="I24" s="6" t="s">
        <v>267</v>
      </c>
      <c r="J24" s="6" t="s">
        <v>186</v>
      </c>
      <c r="K24" s="6" t="s">
        <v>185</v>
      </c>
      <c r="L24" s="6" t="s">
        <v>188</v>
      </c>
      <c r="M24" s="6" t="s">
        <v>188</v>
      </c>
      <c r="N24" s="6">
        <f t="shared" si="1"/>
        <v>883</v>
      </c>
    </row>
    <row r="25" spans="1:14" x14ac:dyDescent="0.25">
      <c r="A25" s="6" t="s">
        <v>190</v>
      </c>
      <c r="B25" s="6" t="str">
        <f>Informações!$C$3</f>
        <v>IMA</v>
      </c>
      <c r="C25" s="6" t="s">
        <v>323</v>
      </c>
      <c r="D25" s="6" t="s">
        <v>101</v>
      </c>
      <c r="E25" s="2" t="s">
        <v>25</v>
      </c>
      <c r="F25" s="6" t="str">
        <f>VLOOKUP(G25,[1]Discrete!$A:$B,2,FALSE)</f>
        <v>FALTA VCC</v>
      </c>
      <c r="G25" s="6" t="s">
        <v>42</v>
      </c>
      <c r="H25" s="6" t="str" cm="1">
        <f t="array" ref="H25">_xlfn.IFS(D25="AT",CONCATENATE(B25,"_",C25,$B$3,"_",C25,$B$3,"_",G25),D25="BT",CONCATENATE(B25,"_",C25,$B$4,"_",C25,$B$4,"_",G25))</f>
        <v>IMA_BP113.8_BP113.8_CCFL</v>
      </c>
      <c r="I25" s="6" t="s">
        <v>267</v>
      </c>
      <c r="J25" s="6" t="s">
        <v>182</v>
      </c>
      <c r="K25" s="6" t="s">
        <v>180</v>
      </c>
      <c r="L25" s="6" t="s">
        <v>188</v>
      </c>
      <c r="M25" s="6" t="s">
        <v>188</v>
      </c>
      <c r="N25" s="6">
        <f t="shared" si="1"/>
        <v>884</v>
      </c>
    </row>
    <row r="26" spans="1:14" x14ac:dyDescent="0.25">
      <c r="A26" s="6" t="s">
        <v>190</v>
      </c>
      <c r="B26" s="6" t="str">
        <f>Informações!$C$3</f>
        <v>IMA</v>
      </c>
      <c r="C26" s="6" t="s">
        <v>323</v>
      </c>
      <c r="D26" s="6" t="s">
        <v>101</v>
      </c>
      <c r="E26" s="2" t="s">
        <v>25</v>
      </c>
      <c r="F26" s="6" t="e">
        <f>VLOOKUP(G26,[1]Discrete!$A:$B,2,FALSE)</f>
        <v>#N/A</v>
      </c>
      <c r="G26" s="6">
        <v>87</v>
      </c>
      <c r="H26" s="6" t="str" cm="1">
        <f t="array" ref="H26">_xlfn.IFS(D26="AT",CONCATENATE(B26,"_",C26,$B$3,"_",C26,$B$3,"_",G26),D26="BT",CONCATENATE(B26,"_",C26,$B$4,"_",C26,$B$4,"_",G26))</f>
        <v>IMA_BP113.8_BP113.8_87</v>
      </c>
      <c r="I26" s="6" t="s">
        <v>267</v>
      </c>
      <c r="J26" s="6" t="s">
        <v>183</v>
      </c>
      <c r="K26" s="6" t="s">
        <v>184</v>
      </c>
      <c r="L26" s="6" t="s">
        <v>188</v>
      </c>
      <c r="M26" s="6" t="s">
        <v>188</v>
      </c>
      <c r="N26" s="6">
        <f t="shared" si="1"/>
        <v>885</v>
      </c>
    </row>
    <row r="27" spans="1:14" x14ac:dyDescent="0.25">
      <c r="A27" s="6" t="s">
        <v>190</v>
      </c>
      <c r="B27" s="6" t="str">
        <f>Informações!$C$3</f>
        <v>IMA</v>
      </c>
      <c r="C27" s="6" t="s">
        <v>323</v>
      </c>
      <c r="D27" s="6" t="s">
        <v>101</v>
      </c>
      <c r="E27" s="2" t="s">
        <v>25</v>
      </c>
      <c r="F27" s="6" t="str">
        <f>VLOOKUP(G27,[1]Discrete!$A:$B,2,FALSE)</f>
        <v>87 - TRIP DIFERENCIAL</v>
      </c>
      <c r="G27" s="6" t="s">
        <v>359</v>
      </c>
      <c r="H27" s="6" t="str" cm="1">
        <f t="array" ref="H27">_xlfn.IFS(D27="AT",CONCATENATE(B27,"_",C27,$B$3,"_",C27,$B$3,"_",G27),D27="BT",CONCATENATE(B27,"_",C27,$B$4,"_",C27,$B$4,"_",G27))</f>
        <v>IMA_BP113.8_BP113.8_87_T</v>
      </c>
      <c r="I27" s="6" t="s">
        <v>267</v>
      </c>
      <c r="J27" s="6" t="s">
        <v>182</v>
      </c>
      <c r="K27" s="6" t="s">
        <v>179</v>
      </c>
      <c r="L27" s="6" t="s">
        <v>188</v>
      </c>
      <c r="M27" s="6" t="s">
        <v>188</v>
      </c>
      <c r="N27" s="6">
        <f t="shared" si="1"/>
        <v>886</v>
      </c>
    </row>
    <row r="28" spans="1:14" x14ac:dyDescent="0.25">
      <c r="A28" s="6" t="s">
        <v>190</v>
      </c>
      <c r="B28" s="6" t="str">
        <f>Informações!$C$3</f>
        <v>IMA</v>
      </c>
      <c r="C28" s="6" t="s">
        <v>323</v>
      </c>
      <c r="D28" s="6" t="s">
        <v>101</v>
      </c>
      <c r="E28" s="2" t="s">
        <v>25</v>
      </c>
      <c r="F28" s="6" t="str">
        <f>VLOOKUP(G28,[1]Discrete!$A:$B,2,FALSE)</f>
        <v>87 - DIFERENCIAL FASE A</v>
      </c>
      <c r="G28" s="6" t="s">
        <v>361</v>
      </c>
      <c r="H28" s="6" t="str" cm="1">
        <f t="array" ref="H28">_xlfn.IFS(D28="AT",CONCATENATE(B28,"_",C28,$B$3,"_",C28,$B$3,"_",G28),D28="BT",CONCATENATE(B28,"_",C28,$B$4,"_",C28,$B$4,"_",G28))</f>
        <v>IMA_BP113.8_BP113.8_87A</v>
      </c>
      <c r="I28" s="6" t="s">
        <v>267</v>
      </c>
      <c r="J28" s="6" t="s">
        <v>182</v>
      </c>
      <c r="K28" s="6" t="s">
        <v>179</v>
      </c>
      <c r="L28" s="6" t="s">
        <v>188</v>
      </c>
      <c r="M28" s="6" t="s">
        <v>188</v>
      </c>
      <c r="N28" s="6">
        <f t="shared" si="1"/>
        <v>887</v>
      </c>
    </row>
    <row r="29" spans="1:14" x14ac:dyDescent="0.25">
      <c r="A29" s="6" t="s">
        <v>190</v>
      </c>
      <c r="B29" s="6" t="str">
        <f>Informações!$C$3</f>
        <v>IMA</v>
      </c>
      <c r="C29" s="6" t="s">
        <v>323</v>
      </c>
      <c r="D29" s="6" t="s">
        <v>101</v>
      </c>
      <c r="E29" s="2" t="s">
        <v>25</v>
      </c>
      <c r="F29" s="6" t="str">
        <f>VLOOKUP(G29,[1]Discrete!$A:$B,2,FALSE)</f>
        <v>87 - DIFERENCIAL FASE B</v>
      </c>
      <c r="G29" s="6" t="s">
        <v>360</v>
      </c>
      <c r="H29" s="6" t="str" cm="1">
        <f t="array" ref="H29">_xlfn.IFS(D29="AT",CONCATENATE(B29,"_",C29,$B$3,"_",C29,$B$3,"_",G29),D29="BT",CONCATENATE(B29,"_",C29,$B$4,"_",C29,$B$4,"_",G29))</f>
        <v>IMA_BP113.8_BP113.8_87B</v>
      </c>
      <c r="I29" s="6" t="s">
        <v>267</v>
      </c>
      <c r="J29" s="6" t="s">
        <v>182</v>
      </c>
      <c r="K29" s="6" t="s">
        <v>179</v>
      </c>
      <c r="L29" s="6" t="s">
        <v>188</v>
      </c>
      <c r="M29" s="6" t="s">
        <v>188</v>
      </c>
      <c r="N29" s="6">
        <f t="shared" si="1"/>
        <v>888</v>
      </c>
    </row>
    <row r="30" spans="1:14" x14ac:dyDescent="0.25">
      <c r="A30" s="6" t="s">
        <v>190</v>
      </c>
      <c r="B30" s="6" t="str">
        <f>Informações!$C$3</f>
        <v>IMA</v>
      </c>
      <c r="C30" s="6" t="s">
        <v>323</v>
      </c>
      <c r="D30" s="6" t="s">
        <v>101</v>
      </c>
      <c r="E30" s="2" t="s">
        <v>25</v>
      </c>
      <c r="F30" s="6" t="str">
        <f>VLOOKUP(G30,[1]Discrete!$A:$B,2,FALSE)</f>
        <v>87 - DIFERENCIAL FASE C</v>
      </c>
      <c r="G30" s="6" t="s">
        <v>362</v>
      </c>
      <c r="H30" s="6" t="str" cm="1">
        <f t="array" ref="H30">_xlfn.IFS(D30="AT",CONCATENATE(B30,"_",C30,$B$3,"_",C30,$B$3,"_",G30),D30="BT",CONCATENATE(B30,"_",C30,$B$4,"_",C30,$B$4,"_",G30))</f>
        <v>IMA_BP113.8_BP113.8_87C</v>
      </c>
      <c r="I30" s="6" t="s">
        <v>267</v>
      </c>
      <c r="J30" s="6" t="s">
        <v>182</v>
      </c>
      <c r="K30" s="6" t="s">
        <v>179</v>
      </c>
      <c r="L30" s="6" t="s">
        <v>188</v>
      </c>
      <c r="M30" s="6" t="s">
        <v>188</v>
      </c>
      <c r="N30" s="6">
        <f t="shared" si="1"/>
        <v>889</v>
      </c>
    </row>
    <row r="31" spans="1:14" x14ac:dyDescent="0.25">
      <c r="A31" s="6" t="s">
        <v>190</v>
      </c>
      <c r="B31" s="6" t="str">
        <f>Informações!$C$3</f>
        <v>IMA</v>
      </c>
      <c r="C31" s="6" t="s">
        <v>323</v>
      </c>
      <c r="D31" s="6" t="s">
        <v>101</v>
      </c>
      <c r="E31" s="2" t="s">
        <v>25</v>
      </c>
      <c r="F31" s="6" t="str">
        <f>VLOOKUP(G31,[1]Discrete!$A:$B,2,FALSE)</f>
        <v>DEFEITO RELE</v>
      </c>
      <c r="G31" s="6" t="s">
        <v>51</v>
      </c>
      <c r="H31" s="6" t="str" cm="1">
        <f t="array" ref="H31">_xlfn.IFS(D31="AT",CONCATENATE(B31,"_",C31,$B$3,"_",C31,$B$3,"_",G31),D31="BT",CONCATENATE(B31,"_",C31,$B$4,"_",C31,$B$4,"_",G31))</f>
        <v>IMA_BP113.8_BP113.8_DR</v>
      </c>
      <c r="I31" s="6" t="s">
        <v>267</v>
      </c>
      <c r="J31" s="6" t="s">
        <v>182</v>
      </c>
      <c r="K31" s="6" t="s">
        <v>181</v>
      </c>
      <c r="L31" s="6" t="s">
        <v>188</v>
      </c>
      <c r="M31" s="6" t="s">
        <v>188</v>
      </c>
      <c r="N31" s="6">
        <f t="shared" si="1"/>
        <v>890</v>
      </c>
    </row>
    <row r="32" spans="1:14" x14ac:dyDescent="0.25">
      <c r="A32" s="6" t="s">
        <v>190</v>
      </c>
      <c r="B32" s="6" t="str">
        <f>Informações!$C$3</f>
        <v>IMA</v>
      </c>
      <c r="C32" s="6" t="s">
        <v>323</v>
      </c>
      <c r="D32" s="6" t="s">
        <v>101</v>
      </c>
      <c r="E32" s="2" t="s">
        <v>25</v>
      </c>
      <c r="F32" s="6" t="str">
        <f>VLOOKUP(G32,[1]Discrete!$A:$B,2,FALSE)</f>
        <v>FALHA COMUNICACAO</v>
      </c>
      <c r="G32" s="6" t="s">
        <v>78</v>
      </c>
      <c r="H32" s="6" t="str" cm="1">
        <f t="array" ref="H32">_xlfn.IFS(D32="AT",CONCATENATE(B32,"_",C32,$B$3,"_",C32,$B$3,"_",G32),D32="BT",CONCATENATE(B32,"_",C32,$B$4,"_",C32,$B$4,"_",G32))</f>
        <v>IMA_BP113.8_BP113.8_FCOM</v>
      </c>
      <c r="I32" s="6" t="s">
        <v>267</v>
      </c>
      <c r="J32" s="6" t="s">
        <v>182</v>
      </c>
      <c r="K32" s="6" t="s">
        <v>180</v>
      </c>
      <c r="L32" s="6" t="s">
        <v>188</v>
      </c>
      <c r="M32" s="6" t="s">
        <v>188</v>
      </c>
      <c r="N32" s="6">
        <f t="shared" si="1"/>
        <v>891</v>
      </c>
    </row>
    <row r="33" spans="1:14" x14ac:dyDescent="0.25">
      <c r="A33" s="6" t="s">
        <v>190</v>
      </c>
      <c r="B33" s="6" t="str">
        <f>Informações!$C$3</f>
        <v>IMA</v>
      </c>
      <c r="C33" s="6" t="s">
        <v>324</v>
      </c>
      <c r="D33" s="6" t="s">
        <v>101</v>
      </c>
      <c r="E33" s="2" t="s">
        <v>25</v>
      </c>
      <c r="F33" s="6" t="str">
        <f>VLOOKUP(G33,[1]Discrete!$A:$B,2,FALSE)</f>
        <v>87 - DIFERENCIAL BLOQUEIO</v>
      </c>
      <c r="G33" s="6" t="s">
        <v>161</v>
      </c>
      <c r="H33" s="6" t="str" cm="1">
        <f t="array" ref="H33">_xlfn.IFS(D33="AT",CONCATENATE(B33,"_",C33,$B$3,"_",C33,$B$3,"_",G33),D33="BT",CONCATENATE(B33,"_",C33,$B$4,"_",C33,$B$4,"_",G33))</f>
        <v>IMA_BP213.8_BP213.8_87BL</v>
      </c>
      <c r="I33" s="6" t="s">
        <v>267</v>
      </c>
      <c r="J33" s="6" t="s">
        <v>182</v>
      </c>
      <c r="K33" s="6" t="s">
        <v>179</v>
      </c>
      <c r="L33" s="8" t="s">
        <v>188</v>
      </c>
      <c r="M33" s="6" t="s">
        <v>188</v>
      </c>
      <c r="N33" s="6">
        <f>N32+1</f>
        <v>892</v>
      </c>
    </row>
    <row r="34" spans="1:14" x14ac:dyDescent="0.25">
      <c r="A34" s="6" t="s">
        <v>190</v>
      </c>
      <c r="B34" s="6" t="str">
        <f>Informações!$C$3</f>
        <v>IMA</v>
      </c>
      <c r="C34" s="6" t="s">
        <v>324</v>
      </c>
      <c r="D34" s="6" t="s">
        <v>101</v>
      </c>
      <c r="E34" s="2" t="s">
        <v>25</v>
      </c>
      <c r="F34" s="6" t="str">
        <f>VLOOKUP(G34,[1]Discrete!$A:$B,2,FALSE)</f>
        <v>86 - BLOQUEIO DEFEITO DISJUNTOR</v>
      </c>
      <c r="G34" s="6" t="s">
        <v>57</v>
      </c>
      <c r="H34" s="6" t="str" cm="1">
        <f t="array" ref="H34">_xlfn.IFS(D34="AT",CONCATENATE(B34,"_",C34,$B$3,"_",C34,$B$3,"_",G34),D34="BT",CONCATENATE(B34,"_",C34,$B$4,"_",C34,$B$4,"_",G34))</f>
        <v>IMA_BP213.8_BP213.8_86BF</v>
      </c>
      <c r="I34" s="6" t="s">
        <v>267</v>
      </c>
      <c r="J34" s="6" t="s">
        <v>182</v>
      </c>
      <c r="K34" s="6" t="s">
        <v>179</v>
      </c>
      <c r="L34" s="8" t="s">
        <v>188</v>
      </c>
      <c r="M34" s="6" t="s">
        <v>188</v>
      </c>
      <c r="N34" s="6">
        <f t="shared" si="1"/>
        <v>893</v>
      </c>
    </row>
    <row r="35" spans="1:14" x14ac:dyDescent="0.25">
      <c r="A35" s="6" t="s">
        <v>190</v>
      </c>
      <c r="B35" s="6" t="str">
        <f>Informações!$C$3</f>
        <v>IMA</v>
      </c>
      <c r="C35" s="6" t="s">
        <v>324</v>
      </c>
      <c r="D35" s="6" t="s">
        <v>101</v>
      </c>
      <c r="E35" s="2" t="s">
        <v>25</v>
      </c>
      <c r="F35" s="6" t="str">
        <f>VLOOKUP(G35,[1]Discrete!$A:$B,2,FALSE)</f>
        <v>43 - CHAVE LOCAL REMOTO</v>
      </c>
      <c r="G35" s="6" t="s">
        <v>39</v>
      </c>
      <c r="H35" s="6" t="str" cm="1">
        <f t="array" ref="H35">_xlfn.IFS(D35="AT",CONCATENATE(B35,"_",C35,$B$3,"_",C35,$B$3,"_",G35),D35="BT",CONCATENATE(B35,"_",C35,$B$4,"_",C35,$B$4,"_",G35))</f>
        <v>IMA_BP213.8_BP213.8_43LR</v>
      </c>
      <c r="I35" s="6" t="s">
        <v>267</v>
      </c>
      <c r="J35" s="6" t="s">
        <v>186</v>
      </c>
      <c r="K35" s="6" t="s">
        <v>185</v>
      </c>
      <c r="L35" s="6" t="s">
        <v>188</v>
      </c>
      <c r="M35" s="6" t="s">
        <v>188</v>
      </c>
      <c r="N35" s="6">
        <f t="shared" si="1"/>
        <v>894</v>
      </c>
    </row>
    <row r="36" spans="1:14" x14ac:dyDescent="0.25">
      <c r="A36" s="6" t="s">
        <v>190</v>
      </c>
      <c r="B36" s="6" t="str">
        <f>Informações!$C$3</f>
        <v>IMA</v>
      </c>
      <c r="C36" s="6" t="s">
        <v>324</v>
      </c>
      <c r="D36" s="6" t="s">
        <v>101</v>
      </c>
      <c r="E36" s="2" t="s">
        <v>25</v>
      </c>
      <c r="F36" s="6" t="str">
        <f>VLOOKUP(G36,[1]Discrete!$A:$B,2,FALSE)</f>
        <v>FALTA VCC</v>
      </c>
      <c r="G36" s="6" t="s">
        <v>42</v>
      </c>
      <c r="H36" s="6" t="str" cm="1">
        <f t="array" ref="H36">_xlfn.IFS(D36="AT",CONCATENATE(B36,"_",C36,$B$3,"_",C36,$B$3,"_",G36),D36="BT",CONCATENATE(B36,"_",C36,$B$4,"_",C36,$B$4,"_",G36))</f>
        <v>IMA_BP213.8_BP213.8_CCFL</v>
      </c>
      <c r="I36" s="6" t="s">
        <v>267</v>
      </c>
      <c r="J36" s="6" t="s">
        <v>182</v>
      </c>
      <c r="K36" s="6" t="s">
        <v>180</v>
      </c>
      <c r="L36" s="6" t="s">
        <v>188</v>
      </c>
      <c r="M36" s="6" t="s">
        <v>188</v>
      </c>
      <c r="N36" s="6">
        <f t="shared" si="1"/>
        <v>895</v>
      </c>
    </row>
    <row r="37" spans="1:14" x14ac:dyDescent="0.25">
      <c r="A37" s="6" t="s">
        <v>190</v>
      </c>
      <c r="B37" s="6" t="str">
        <f>Informações!$C$3</f>
        <v>IMA</v>
      </c>
      <c r="C37" s="6" t="s">
        <v>324</v>
      </c>
      <c r="D37" s="6" t="s">
        <v>101</v>
      </c>
      <c r="E37" s="2" t="s">
        <v>25</v>
      </c>
      <c r="F37" s="6" t="e">
        <f>VLOOKUP(G37,[1]Discrete!$A:$B,2,FALSE)</f>
        <v>#N/A</v>
      </c>
      <c r="G37" s="6">
        <v>87</v>
      </c>
      <c r="H37" s="6" t="str" cm="1">
        <f t="array" ref="H37">_xlfn.IFS(D37="AT",CONCATENATE(B37,"_",C37,$B$3,"_",C37,$B$3,"_",G37),D37="BT",CONCATENATE(B37,"_",C37,$B$4,"_",C37,$B$4,"_",G37))</f>
        <v>IMA_BP213.8_BP213.8_87</v>
      </c>
      <c r="I37" s="6" t="s">
        <v>267</v>
      </c>
      <c r="J37" s="6" t="s">
        <v>183</v>
      </c>
      <c r="K37" s="6" t="s">
        <v>184</v>
      </c>
      <c r="L37" s="6" t="s">
        <v>188</v>
      </c>
      <c r="M37" s="6" t="s">
        <v>188</v>
      </c>
      <c r="N37" s="6">
        <f t="shared" si="1"/>
        <v>896</v>
      </c>
    </row>
    <row r="38" spans="1:14" x14ac:dyDescent="0.25">
      <c r="A38" s="6" t="s">
        <v>190</v>
      </c>
      <c r="B38" s="6" t="str">
        <f>Informações!$C$3</f>
        <v>IMA</v>
      </c>
      <c r="C38" s="6" t="s">
        <v>324</v>
      </c>
      <c r="D38" s="6" t="s">
        <v>101</v>
      </c>
      <c r="E38" s="2" t="s">
        <v>25</v>
      </c>
      <c r="F38" s="6" t="str">
        <f>VLOOKUP(G38,[1]Discrete!$A:$B,2,FALSE)</f>
        <v>87 - TRIP DIFERENCIAL</v>
      </c>
      <c r="G38" s="6" t="s">
        <v>359</v>
      </c>
      <c r="H38" s="6" t="str" cm="1">
        <f t="array" ref="H38">_xlfn.IFS(D38="AT",CONCATENATE(B38,"_",C38,$B$3,"_",C38,$B$3,"_",G38),D38="BT",CONCATENATE(B38,"_",C38,$B$4,"_",C38,$B$4,"_",G38))</f>
        <v>IMA_BP213.8_BP213.8_87_T</v>
      </c>
      <c r="I38" s="6" t="s">
        <v>267</v>
      </c>
      <c r="J38" s="6" t="s">
        <v>182</v>
      </c>
      <c r="K38" s="6" t="s">
        <v>179</v>
      </c>
      <c r="L38" s="6" t="s">
        <v>188</v>
      </c>
      <c r="M38" s="6" t="s">
        <v>188</v>
      </c>
      <c r="N38" s="6">
        <f t="shared" si="1"/>
        <v>897</v>
      </c>
    </row>
    <row r="39" spans="1:14" x14ac:dyDescent="0.25">
      <c r="A39" s="6" t="s">
        <v>190</v>
      </c>
      <c r="B39" s="6" t="str">
        <f>Informações!$C$3</f>
        <v>IMA</v>
      </c>
      <c r="C39" s="6" t="s">
        <v>324</v>
      </c>
      <c r="D39" s="6" t="s">
        <v>101</v>
      </c>
      <c r="E39" s="2" t="s">
        <v>25</v>
      </c>
      <c r="F39" s="6" t="str">
        <f>VLOOKUP(G39,[1]Discrete!$A:$B,2,FALSE)</f>
        <v>87 - DIFERENCIAL FASE A</v>
      </c>
      <c r="G39" s="6" t="s">
        <v>361</v>
      </c>
      <c r="H39" s="6" t="str" cm="1">
        <f t="array" ref="H39">_xlfn.IFS(D39="AT",CONCATENATE(B39,"_",C39,$B$3,"_",C39,$B$3,"_",G39),D39="BT",CONCATENATE(B39,"_",C39,$B$4,"_",C39,$B$4,"_",G39))</f>
        <v>IMA_BP213.8_BP213.8_87A</v>
      </c>
      <c r="I39" s="6" t="s">
        <v>267</v>
      </c>
      <c r="J39" s="6" t="s">
        <v>182</v>
      </c>
      <c r="K39" s="6" t="s">
        <v>179</v>
      </c>
      <c r="L39" s="6" t="s">
        <v>188</v>
      </c>
      <c r="M39" s="6" t="s">
        <v>188</v>
      </c>
      <c r="N39" s="6">
        <f t="shared" si="1"/>
        <v>898</v>
      </c>
    </row>
    <row r="40" spans="1:14" x14ac:dyDescent="0.25">
      <c r="A40" s="6" t="s">
        <v>190</v>
      </c>
      <c r="B40" s="6" t="str">
        <f>Informações!$C$3</f>
        <v>IMA</v>
      </c>
      <c r="C40" s="6" t="s">
        <v>324</v>
      </c>
      <c r="D40" s="6" t="s">
        <v>101</v>
      </c>
      <c r="E40" s="2" t="s">
        <v>25</v>
      </c>
      <c r="F40" s="6" t="str">
        <f>VLOOKUP(G40,[1]Discrete!$A:$B,2,FALSE)</f>
        <v>87 - DIFERENCIAL FASE B</v>
      </c>
      <c r="G40" s="6" t="s">
        <v>360</v>
      </c>
      <c r="H40" s="6" t="str" cm="1">
        <f t="array" ref="H40">_xlfn.IFS(D40="AT",CONCATENATE(B40,"_",C40,$B$3,"_",C40,$B$3,"_",G40),D40="BT",CONCATENATE(B40,"_",C40,$B$4,"_",C40,$B$4,"_",G40))</f>
        <v>IMA_BP213.8_BP213.8_87B</v>
      </c>
      <c r="I40" s="6" t="s">
        <v>267</v>
      </c>
      <c r="J40" s="6" t="s">
        <v>182</v>
      </c>
      <c r="K40" s="6" t="s">
        <v>179</v>
      </c>
      <c r="L40" s="6" t="s">
        <v>188</v>
      </c>
      <c r="M40" s="6" t="s">
        <v>188</v>
      </c>
      <c r="N40" s="6">
        <f t="shared" si="1"/>
        <v>899</v>
      </c>
    </row>
    <row r="41" spans="1:14" x14ac:dyDescent="0.25">
      <c r="A41" s="6" t="s">
        <v>190</v>
      </c>
      <c r="B41" s="6" t="str">
        <f>Informações!$C$3</f>
        <v>IMA</v>
      </c>
      <c r="C41" s="6" t="s">
        <v>324</v>
      </c>
      <c r="D41" s="6" t="s">
        <v>101</v>
      </c>
      <c r="E41" s="2" t="s">
        <v>25</v>
      </c>
      <c r="F41" s="6" t="str">
        <f>VLOOKUP(G41,[1]Discrete!$A:$B,2,FALSE)</f>
        <v>87 - DIFERENCIAL FASE C</v>
      </c>
      <c r="G41" s="6" t="s">
        <v>362</v>
      </c>
      <c r="H41" s="6" t="str" cm="1">
        <f t="array" ref="H41">_xlfn.IFS(D41="AT",CONCATENATE(B41,"_",C41,$B$3,"_",C41,$B$3,"_",G41),D41="BT",CONCATENATE(B41,"_",C41,$B$4,"_",C41,$B$4,"_",G41))</f>
        <v>IMA_BP213.8_BP213.8_87C</v>
      </c>
      <c r="I41" s="6" t="s">
        <v>267</v>
      </c>
      <c r="J41" s="6" t="s">
        <v>182</v>
      </c>
      <c r="K41" s="6" t="s">
        <v>179</v>
      </c>
      <c r="L41" s="6" t="s">
        <v>188</v>
      </c>
      <c r="M41" s="6" t="s">
        <v>188</v>
      </c>
      <c r="N41" s="6">
        <f t="shared" si="1"/>
        <v>900</v>
      </c>
    </row>
    <row r="42" spans="1:14" x14ac:dyDescent="0.25">
      <c r="A42" s="6" t="s">
        <v>190</v>
      </c>
      <c r="B42" s="6" t="str">
        <f>Informações!$C$3</f>
        <v>IMA</v>
      </c>
      <c r="C42" s="6" t="s">
        <v>324</v>
      </c>
      <c r="D42" s="6" t="s">
        <v>101</v>
      </c>
      <c r="E42" s="2" t="s">
        <v>25</v>
      </c>
      <c r="F42" s="6" t="str">
        <f>VLOOKUP(G42,[1]Discrete!$A:$B,2,FALSE)</f>
        <v>DEFEITO RELE</v>
      </c>
      <c r="G42" s="6" t="s">
        <v>51</v>
      </c>
      <c r="H42" s="6" t="str" cm="1">
        <f t="array" ref="H42">_xlfn.IFS(D42="AT",CONCATENATE(B42,"_",C42,$B$3,"_",C42,$B$3,"_",G42),D42="BT",CONCATENATE(B42,"_",C42,$B$4,"_",C42,$B$4,"_",G42))</f>
        <v>IMA_BP213.8_BP213.8_DR</v>
      </c>
      <c r="I42" s="6" t="s">
        <v>267</v>
      </c>
      <c r="J42" s="6" t="s">
        <v>182</v>
      </c>
      <c r="K42" s="6" t="s">
        <v>181</v>
      </c>
      <c r="L42" s="6" t="s">
        <v>188</v>
      </c>
      <c r="M42" s="6" t="s">
        <v>188</v>
      </c>
      <c r="N42" s="6">
        <f t="shared" si="1"/>
        <v>901</v>
      </c>
    </row>
    <row r="43" spans="1:14" x14ac:dyDescent="0.25">
      <c r="A43" s="6" t="s">
        <v>190</v>
      </c>
      <c r="B43" s="6" t="str">
        <f>Informações!$C$3</f>
        <v>IMA</v>
      </c>
      <c r="C43" s="6" t="s">
        <v>324</v>
      </c>
      <c r="D43" s="6" t="s">
        <v>101</v>
      </c>
      <c r="E43" s="2" t="s">
        <v>25</v>
      </c>
      <c r="F43" s="6" t="str">
        <f>VLOOKUP(G43,[1]Discrete!$A:$B,2,FALSE)</f>
        <v>FALHA COMUNICACAO</v>
      </c>
      <c r="G43" s="6" t="s">
        <v>78</v>
      </c>
      <c r="H43" s="6" t="str" cm="1">
        <f t="array" ref="H43">_xlfn.IFS(D43="AT",CONCATENATE(B43,"_",C43,$B$3,"_",C43,$B$3,"_",G43),D43="BT",CONCATENATE(B43,"_",C43,$B$4,"_",C43,$B$4,"_",G43))</f>
        <v>IMA_BP213.8_BP213.8_FCOM</v>
      </c>
      <c r="I43" s="6" t="s">
        <v>267</v>
      </c>
      <c r="J43" s="6" t="s">
        <v>182</v>
      </c>
      <c r="K43" s="6" t="s">
        <v>180</v>
      </c>
      <c r="L43" s="6" t="s">
        <v>188</v>
      </c>
      <c r="M43" s="6" t="s">
        <v>188</v>
      </c>
      <c r="N43" s="6">
        <f t="shared" si="1"/>
        <v>902</v>
      </c>
    </row>
    <row r="44" spans="1:14" x14ac:dyDescent="0.25">
      <c r="A44" s="95" t="s">
        <v>190</v>
      </c>
      <c r="B44" s="95" t="str">
        <f>Informações!$C$3</f>
        <v>IMA</v>
      </c>
      <c r="C44" s="95" t="s">
        <v>164</v>
      </c>
      <c r="D44" s="95" t="s">
        <v>100</v>
      </c>
      <c r="E44" s="2" t="s">
        <v>25</v>
      </c>
      <c r="F44" s="95" t="str">
        <f>VLOOKUP(G44,[1]Discrete!$A:$B,2,FALSE)</f>
        <v>FALHA SINCRONISMO HORA</v>
      </c>
      <c r="G44" s="6" t="s">
        <v>162</v>
      </c>
      <c r="H44" s="6" t="str" cm="1">
        <f t="array" ref="H44">_xlfn.IFS(D44="AT",CONCATENATE(B44,"_",C44,$B$3,"_",C44,$B$3,"_",G44),D44="BT",CONCATENATE(B44,"_",C44,$B$4,"_",C44,$B$4,"_",G44))</f>
        <v>IMA_BP69_BP69_FSIH</v>
      </c>
      <c r="I44" s="6" t="s">
        <v>267</v>
      </c>
      <c r="J44" s="6" t="s">
        <v>182</v>
      </c>
      <c r="K44" s="6" t="s">
        <v>180</v>
      </c>
      <c r="L44" s="6" t="s">
        <v>188</v>
      </c>
      <c r="M44" s="6" t="s">
        <v>188</v>
      </c>
      <c r="N44" s="95">
        <f>'BC 2'!N74+1</f>
        <v>1062</v>
      </c>
    </row>
    <row r="45" spans="1:14" x14ac:dyDescent="0.25">
      <c r="A45" s="95" t="s">
        <v>190</v>
      </c>
      <c r="B45" s="95" t="str">
        <f>Informações!$C$3</f>
        <v>IMA</v>
      </c>
      <c r="C45" s="95" t="s">
        <v>323</v>
      </c>
      <c r="D45" s="95" t="s">
        <v>101</v>
      </c>
      <c r="E45" s="2" t="s">
        <v>25</v>
      </c>
      <c r="F45" s="95" t="str">
        <f>VLOOKUP(G45,[1]Discrete!$A:$B,2,FALSE)</f>
        <v>FALHA SINCRONISMO HORA</v>
      </c>
      <c r="G45" s="6" t="s">
        <v>162</v>
      </c>
      <c r="H45" s="6" t="str" cm="1">
        <f t="array" ref="H45">_xlfn.IFS(D45="AT",CONCATENATE(B45,"_",C45,$B$3,"_",C45,$B$3,"_",G45),D45="BT",CONCATENATE(B45,"_",C45,$B$4,"_",C45,$B$4,"_",G45))</f>
        <v>IMA_BP113.8_BP113.8_FSIH</v>
      </c>
      <c r="I45" s="6" t="s">
        <v>267</v>
      </c>
      <c r="J45" s="6" t="s">
        <v>182</v>
      </c>
      <c r="K45" s="6" t="s">
        <v>180</v>
      </c>
      <c r="L45" s="6" t="s">
        <v>188</v>
      </c>
      <c r="M45" s="6" t="s">
        <v>188</v>
      </c>
      <c r="N45" s="95">
        <f>N44+1</f>
        <v>1063</v>
      </c>
    </row>
    <row r="46" spans="1:14" x14ac:dyDescent="0.25">
      <c r="A46" s="95" t="s">
        <v>190</v>
      </c>
      <c r="B46" s="95" t="str">
        <f>Informações!$C$3</f>
        <v>IMA</v>
      </c>
      <c r="C46" s="95" t="s">
        <v>324</v>
      </c>
      <c r="D46" s="95" t="s">
        <v>101</v>
      </c>
      <c r="E46" s="2" t="s">
        <v>25</v>
      </c>
      <c r="F46" s="95" t="str">
        <f>VLOOKUP(G46,[1]Discrete!$A:$B,2,FALSE)</f>
        <v>FALHA SINCRONISMO HORA</v>
      </c>
      <c r="G46" s="6" t="s">
        <v>162</v>
      </c>
      <c r="H46" s="6" t="str" cm="1">
        <f t="array" ref="H46">_xlfn.IFS(D46="AT",CONCATENATE(B46,"_",C46,$B$3,"_",C46,$B$3,"_",G46),D46="BT",CONCATENATE(B46,"_",C46,$B$4,"_",C46,$B$4,"_",G46))</f>
        <v>IMA_BP213.8_BP213.8_FSIH</v>
      </c>
      <c r="I46" s="6" t="s">
        <v>267</v>
      </c>
      <c r="J46" s="6" t="s">
        <v>182</v>
      </c>
      <c r="K46" s="6" t="s">
        <v>180</v>
      </c>
      <c r="L46" s="6" t="s">
        <v>188</v>
      </c>
      <c r="M46" s="6" t="s">
        <v>188</v>
      </c>
      <c r="N46" s="95">
        <f>N45+1</f>
        <v>1064</v>
      </c>
    </row>
    <row r="48" spans="1:14" x14ac:dyDescent="0.25">
      <c r="A48" s="153" t="s">
        <v>215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5"/>
    </row>
    <row r="49" spans="1:14" ht="30" x14ac:dyDescent="0.25">
      <c r="A49" s="3" t="s">
        <v>189</v>
      </c>
      <c r="B49" s="3" t="s">
        <v>1</v>
      </c>
      <c r="C49" s="3" t="s">
        <v>83</v>
      </c>
      <c r="D49" s="3" t="s">
        <v>26</v>
      </c>
      <c r="E49" s="3" t="s">
        <v>7</v>
      </c>
      <c r="F49" s="3" t="s">
        <v>84</v>
      </c>
      <c r="G49" s="3" t="s">
        <v>85</v>
      </c>
      <c r="H49" s="3" t="s">
        <v>86</v>
      </c>
      <c r="I49" s="3" t="s">
        <v>254</v>
      </c>
      <c r="J49" s="3" t="s">
        <v>177</v>
      </c>
      <c r="K49" s="3" t="s">
        <v>178</v>
      </c>
      <c r="L49" s="3" t="s">
        <v>260</v>
      </c>
      <c r="M49" s="3" t="s">
        <v>266</v>
      </c>
      <c r="N49" s="3" t="s">
        <v>192</v>
      </c>
    </row>
    <row r="50" spans="1:14" x14ac:dyDescent="0.25">
      <c r="A50" s="6" t="s">
        <v>190</v>
      </c>
      <c r="B50" s="6" t="str">
        <f>Informações!$C$3</f>
        <v>IMA</v>
      </c>
      <c r="C50" s="6" t="s">
        <v>164</v>
      </c>
      <c r="D50" s="6" t="s">
        <v>100</v>
      </c>
      <c r="E50" s="2" t="s">
        <v>25</v>
      </c>
      <c r="F50" s="6" t="s">
        <v>238</v>
      </c>
      <c r="G50" s="6" t="s">
        <v>239</v>
      </c>
      <c r="H50" s="6" t="str" cm="1">
        <f t="array" ref="H50">_xlfn.IFS(D50="AT",CONCATENATE(B50,"_",C50,$B$3,"_",C50,$B$3,"_",G50),OR(D50="BTA",D50="BTB",D50="BTC"),CONCATENATE(B50,"_",C50,$B$4,"_",D50,"_",G50))</f>
        <v>IMA_BP69_BP69_FGOO</v>
      </c>
      <c r="I50" s="6" t="s">
        <v>267</v>
      </c>
      <c r="J50" s="6" t="s">
        <v>182</v>
      </c>
      <c r="K50" s="6" t="s">
        <v>179</v>
      </c>
      <c r="L50" s="6" t="s">
        <v>188</v>
      </c>
      <c r="M50" s="6" t="s">
        <v>188</v>
      </c>
      <c r="N50" s="6">
        <f>N43+1</f>
        <v>903</v>
      </c>
    </row>
    <row r="51" spans="1:14" x14ac:dyDescent="0.25">
      <c r="A51" s="6" t="s">
        <v>190</v>
      </c>
      <c r="B51" s="6" t="str">
        <f>Informações!$C$3</f>
        <v>IMA</v>
      </c>
      <c r="C51" s="6" t="s">
        <v>323</v>
      </c>
      <c r="D51" s="6" t="s">
        <v>101</v>
      </c>
      <c r="E51" s="2" t="s">
        <v>25</v>
      </c>
      <c r="F51" s="6" t="s">
        <v>238</v>
      </c>
      <c r="G51" s="6" t="s">
        <v>239</v>
      </c>
      <c r="H51" s="6" t="str" cm="1">
        <f t="array" ref="H51">_xlfn.IFS(D51="BT",CONCATENATE(B51,"_",C51,$B$3,"_",C51,$B$3,"_",G51),OR(D51="BTA",D51="BTB",D51="BTC"),CONCATENATE(B51,"_",C51,$B$4,"_",D51,"_",G51))</f>
        <v>IMA_BP169_BP169_FGOO</v>
      </c>
      <c r="I51" s="6" t="s">
        <v>267</v>
      </c>
      <c r="J51" s="6" t="s">
        <v>182</v>
      </c>
      <c r="K51" s="6" t="s">
        <v>179</v>
      </c>
      <c r="L51" s="6" t="s">
        <v>188</v>
      </c>
      <c r="M51" s="6" t="s">
        <v>188</v>
      </c>
      <c r="N51" s="6">
        <f t="shared" ref="N51:N52" si="2">N50+1</f>
        <v>904</v>
      </c>
    </row>
    <row r="52" spans="1:14" x14ac:dyDescent="0.25">
      <c r="A52" s="6" t="s">
        <v>190</v>
      </c>
      <c r="B52" s="6" t="str">
        <f>Informações!$C$3</f>
        <v>IMA</v>
      </c>
      <c r="C52" s="6" t="s">
        <v>324</v>
      </c>
      <c r="D52" s="6" t="s">
        <v>101</v>
      </c>
      <c r="E52" s="2" t="s">
        <v>25</v>
      </c>
      <c r="F52" s="6" t="s">
        <v>238</v>
      </c>
      <c r="G52" s="6" t="s">
        <v>239</v>
      </c>
      <c r="H52" s="6" t="str" cm="1">
        <f t="array" ref="H52">_xlfn.IFS(D52="BT",CONCATENATE(B52,"_",C52,$B$3,"_",C52,$B$3,"_",G52),OR(D52="BTA",D52="BTB",D52="BTC"),CONCATENATE(B52,"_",C52,$B$4,"_",D52,"_",G52))</f>
        <v>IMA_BP269_BP269_FGOO</v>
      </c>
      <c r="I52" s="6" t="s">
        <v>267</v>
      </c>
      <c r="J52" s="6" t="s">
        <v>182</v>
      </c>
      <c r="K52" s="6" t="s">
        <v>179</v>
      </c>
      <c r="L52" s="6" t="s">
        <v>188</v>
      </c>
      <c r="M52" s="6" t="s">
        <v>188</v>
      </c>
      <c r="N52" s="6">
        <f t="shared" si="2"/>
        <v>905</v>
      </c>
    </row>
  </sheetData>
  <mergeCells count="6">
    <mergeCell ref="A48:N48"/>
    <mergeCell ref="A1:N1"/>
    <mergeCell ref="B2:N2"/>
    <mergeCell ref="B3:N3"/>
    <mergeCell ref="B4:N4"/>
    <mergeCell ref="B5:N5"/>
  </mergeCells>
  <phoneticPr fontId="5" type="noConversion"/>
  <conditionalFormatting sqref="E6:E47">
    <cfRule type="cellIs" dxfId="26" priority="1" operator="equal">
      <formula>"D"</formula>
    </cfRule>
    <cfRule type="cellIs" dxfId="25" priority="2" operator="equal">
      <formula>"C"</formula>
    </cfRule>
    <cfRule type="cellIs" dxfId="24" priority="3" operator="equal">
      <formula>"A"</formula>
    </cfRule>
  </conditionalFormatting>
  <conditionalFormatting sqref="E49:E1048576">
    <cfRule type="cellIs" dxfId="23" priority="10" operator="equal">
      <formula>"D"</formula>
    </cfRule>
    <cfRule type="cellIs" dxfId="22" priority="11" operator="equal">
      <formula>"C"</formula>
    </cfRule>
    <cfRule type="cellIs" dxfId="21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B0E1D-3A45-4B4E-B088-1FB028BE626C}">
          <x14:formula1>
            <xm:f>Lista!$B$2:$B$3</xm:f>
          </x14:formula1>
          <xm:sqref>A50:A52 A8:A46</xm:sqref>
        </x14:dataValidation>
        <x14:dataValidation type="list" allowBlank="1" showInputMessage="1" showErrorMessage="1" xr:uid="{E74736FE-AB68-4B11-BAD6-0FE0000B8AE2}">
          <x14:formula1>
            <xm:f>Lista!$A$2:$A$19</xm:f>
          </x14:formula1>
          <xm:sqref>J4:K5 J50:K52 J8:K46</xm:sqref>
        </x14:dataValidation>
        <x14:dataValidation type="list" allowBlank="1" showInputMessage="1" showErrorMessage="1" xr:uid="{483FBED0-84F0-4F82-9E7C-E8C61A745F1E}">
          <x14:formula1>
            <xm:f>Lista!$D$2:$D$4</xm:f>
          </x14:formula1>
          <xm:sqref>M4:M5 M50:M52 M8:M46</xm:sqref>
        </x14:dataValidation>
        <x14:dataValidation type="list" allowBlank="1" showInputMessage="1" showErrorMessage="1" xr:uid="{96FD132D-C7CF-403C-B13D-368F094A6D6E}">
          <x14:formula1>
            <xm:f>Lista!$E$2:$E$4</xm:f>
          </x14:formula1>
          <xm:sqref>I4:I5 I50:I52 I8:I46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7253-E510-4236-A475-1F5B68253984}">
  <sheetPr>
    <tabColor theme="3"/>
  </sheetPr>
  <dimension ref="A1:N19"/>
  <sheetViews>
    <sheetView topLeftCell="D1" workbookViewId="0">
      <selection activeCell="N6" sqref="N6:N1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40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s="4" customFormat="1" x14ac:dyDescent="0.25">
      <c r="B4" s="5"/>
      <c r="C4" s="5"/>
      <c r="D4" s="5"/>
      <c r="E4" s="5"/>
      <c r="F4" s="5"/>
      <c r="G4" s="5"/>
      <c r="H4" s="5"/>
    </row>
    <row r="5" spans="1:14" ht="30" x14ac:dyDescent="0.25">
      <c r="A5" s="3" t="s">
        <v>189</v>
      </c>
      <c r="B5" s="3" t="s">
        <v>1</v>
      </c>
      <c r="C5" s="3" t="s">
        <v>83</v>
      </c>
      <c r="D5" s="3" t="s">
        <v>26</v>
      </c>
      <c r="E5" s="3" t="s">
        <v>7</v>
      </c>
      <c r="F5" s="3" t="s">
        <v>84</v>
      </c>
      <c r="G5" s="3" t="s">
        <v>85</v>
      </c>
      <c r="H5" s="3" t="s">
        <v>86</v>
      </c>
      <c r="I5" s="3" t="s">
        <v>254</v>
      </c>
      <c r="J5" s="3" t="s">
        <v>177</v>
      </c>
      <c r="K5" s="3" t="s">
        <v>178</v>
      </c>
      <c r="L5" s="3" t="s">
        <v>260</v>
      </c>
      <c r="M5" s="3" t="s">
        <v>266</v>
      </c>
      <c r="N5" s="3" t="s">
        <v>192</v>
      </c>
    </row>
    <row r="6" spans="1:14" x14ac:dyDescent="0.25">
      <c r="A6" s="6" t="s">
        <v>191</v>
      </c>
      <c r="B6" s="6" t="str">
        <f>Informações!$C$3</f>
        <v>IMA</v>
      </c>
      <c r="C6" s="6" t="s">
        <v>408</v>
      </c>
      <c r="D6" s="6" t="s">
        <v>27</v>
      </c>
      <c r="E6" s="2" t="s">
        <v>8</v>
      </c>
      <c r="F6" s="6" t="str">
        <f>VLOOKUP(G6,[1]Analog!$A:$B,2,FALSE)</f>
        <v>CORRENTE FASE A</v>
      </c>
      <c r="G6" s="6" t="s">
        <v>9</v>
      </c>
      <c r="H6" s="6" t="str" cm="1">
        <f t="array" ref="H6">_xlfn.IFS(OR(D6="TC",D6="TP",D6="LT",D6="TSA"),CONCATENATE(B6,"_",C6,$B$3,"_",C6,$B$3,"_",G6),D6="SECC",CONCATENATE(B6,"_",C6,$B$3,"_",#REF!,"_",G6),D6="SECF",CONCATENATE(B6,"_",C6,$B$3,"_",#REF!,"_",G6),D6="SECT",CONCATENATE(B6,"_",C6,$B$3,"_",#REF!,"_",G6),D6="SECG",CONCATENATE(B6,"_",C6,$B$3,"_",#REF!,"_",G6),D6="DJ",CONCATENATE(B6,"_",C6,$B$3,"_",#REF!,"_",G6))</f>
        <v>IMA_TSA_P140_TSA_P140_IA</v>
      </c>
      <c r="I6" s="6" t="s">
        <v>188</v>
      </c>
      <c r="J6" s="6" t="s">
        <v>188</v>
      </c>
      <c r="K6" s="6" t="s">
        <v>188</v>
      </c>
      <c r="L6" s="8">
        <v>1</v>
      </c>
      <c r="M6" s="6" t="s">
        <v>188</v>
      </c>
      <c r="N6" s="6"/>
    </row>
    <row r="7" spans="1:14" x14ac:dyDescent="0.25">
      <c r="A7" s="6" t="s">
        <v>191</v>
      </c>
      <c r="B7" s="6" t="str">
        <f>Informações!$C$3</f>
        <v>IMA</v>
      </c>
      <c r="C7" s="6" t="s">
        <v>408</v>
      </c>
      <c r="D7" s="6" t="s">
        <v>27</v>
      </c>
      <c r="E7" s="2" t="s">
        <v>8</v>
      </c>
      <c r="F7" s="6" t="str">
        <f>VLOOKUP(G7,[1]Analog!$A:$B,2,FALSE)</f>
        <v>CORRENTE FASE B</v>
      </c>
      <c r="G7" s="6" t="s">
        <v>10</v>
      </c>
      <c r="H7" s="6" t="str" cm="1">
        <f t="array" ref="H7">_xlfn.IFS(OR(D7="TC",D7="TP",D7="LT",D7="TSA"),CONCATENATE(B7,"_",C7,$B$3,"_",C7,$B$3,"_",G7),D7="SECC",CONCATENATE(B7,"_",C7,$B$3,"_",#REF!,"_",G7),D7="SECF",CONCATENATE(B7,"_",C7,$B$3,"_",#REF!,"_",G7),D7="SECT",CONCATENATE(B7,"_",C7,$B$3,"_",#REF!,"_",G7),D7="SECG",CONCATENATE(B7,"_",C7,$B$3,"_",#REF!,"_",G7),D7="DJ",CONCATENATE(B7,"_",C7,$B$3,"_",#REF!,"_",G7))</f>
        <v>IMA_TSA_P140_TSA_P140_IB</v>
      </c>
      <c r="I7" s="6" t="s">
        <v>188</v>
      </c>
      <c r="J7" s="6" t="s">
        <v>188</v>
      </c>
      <c r="K7" s="6" t="s">
        <v>188</v>
      </c>
      <c r="L7" s="8">
        <v>1</v>
      </c>
      <c r="M7" s="6" t="s">
        <v>188</v>
      </c>
      <c r="N7" s="6"/>
    </row>
    <row r="8" spans="1:14" x14ac:dyDescent="0.25">
      <c r="A8" s="6" t="s">
        <v>191</v>
      </c>
      <c r="B8" s="6" t="str">
        <f>Informações!$C$3</f>
        <v>IMA</v>
      </c>
      <c r="C8" s="6" t="s">
        <v>408</v>
      </c>
      <c r="D8" s="6" t="s">
        <v>27</v>
      </c>
      <c r="E8" s="2" t="s">
        <v>8</v>
      </c>
      <c r="F8" s="6" t="str">
        <f>VLOOKUP(G8,[1]Analog!$A:$B,2,FALSE)</f>
        <v>CORRENTE FASE C</v>
      </c>
      <c r="G8" s="6" t="s">
        <v>11</v>
      </c>
      <c r="H8" s="6" t="str" cm="1">
        <f t="array" ref="H8">_xlfn.IFS(OR(D8="TC",D8="TP",D8="LT",D8="TSA"),CONCATENATE(B8,"_",C8,$B$3,"_",C8,$B$3,"_",G8),D8="SECC",CONCATENATE(B8,"_",C8,$B$3,"_",#REF!,"_",G8),D8="SECF",CONCATENATE(B8,"_",C8,$B$3,"_",#REF!,"_",G8),D8="SECT",CONCATENATE(B8,"_",C8,$B$3,"_",#REF!,"_",G8),D8="SECG",CONCATENATE(B8,"_",C8,$B$3,"_",#REF!,"_",G8),D8="DJ",CONCATENATE(B8,"_",C8,$B$3,"_",#REF!,"_",G8))</f>
        <v>IMA_TSA_P140_TSA_P140_IC</v>
      </c>
      <c r="I8" s="6" t="s">
        <v>188</v>
      </c>
      <c r="J8" s="6" t="s">
        <v>188</v>
      </c>
      <c r="K8" s="6" t="s">
        <v>188</v>
      </c>
      <c r="L8" s="8">
        <v>1</v>
      </c>
      <c r="M8" s="6" t="s">
        <v>188</v>
      </c>
      <c r="N8" s="6"/>
    </row>
    <row r="9" spans="1:14" x14ac:dyDescent="0.25">
      <c r="A9" s="6" t="s">
        <v>191</v>
      </c>
      <c r="B9" s="6" t="str">
        <f>Informações!$C$3</f>
        <v>IMA</v>
      </c>
      <c r="C9" s="6" t="s">
        <v>408</v>
      </c>
      <c r="D9" s="6" t="s">
        <v>27</v>
      </c>
      <c r="E9" s="2" t="s">
        <v>8</v>
      </c>
      <c r="F9" s="6" t="str">
        <f>VLOOKUP(G9,[1]Analog!$A:$B,2,FALSE)</f>
        <v>POTENCIA ATIVA</v>
      </c>
      <c r="G9" s="6" t="s">
        <v>18</v>
      </c>
      <c r="H9" s="6" t="str" cm="1">
        <f t="array" ref="H9">_xlfn.IFS(OR(D9="TC",D9="TP",D9="LT",D9="TSA"),CONCATENATE(B9,"_",C9,$B$3,"_",C9,$B$3,"_",G9),D9="SECC",CONCATENATE(B9,"_",C9,$B$3,"_",#REF!,"_",G9),D9="SECF",CONCATENATE(B9,"_",C9,$B$3,"_",#REF!,"_",G9),D9="SECT",CONCATENATE(B9,"_",C9,$B$3,"_",#REF!,"_",G9),D9="SECG",CONCATENATE(B9,"_",C9,$B$3,"_",#REF!,"_",G9),D9="DJ",CONCATENATE(B9,"_",C9,$B$3,"_",#REF!,"_",G9))</f>
        <v>IMA_TSA_P140_TSA_P140_P</v>
      </c>
      <c r="I9" s="6" t="s">
        <v>188</v>
      </c>
      <c r="J9" s="6" t="s">
        <v>188</v>
      </c>
      <c r="K9" s="6" t="s">
        <v>188</v>
      </c>
      <c r="L9" s="8">
        <v>10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408</v>
      </c>
      <c r="D10" s="6" t="s">
        <v>27</v>
      </c>
      <c r="E10" s="2" t="s">
        <v>8</v>
      </c>
      <c r="F10" s="6" t="str">
        <f>VLOOKUP(G10,[1]Analog!$A:$B,2,FALSE)</f>
        <v>POTENCIA REATIVA</v>
      </c>
      <c r="G10" s="6" t="s">
        <v>19</v>
      </c>
      <c r="H10" s="6" t="str" cm="1">
        <f t="array" ref="H10">_xlfn.IFS(OR(D10="TC",D10="TP",D10="LT",D10="TSA"),CONCATENATE(B10,"_",C10,$B$3,"_",C10,$B$3,"_",G10),D10="SECC",CONCATENATE(B10,"_",C10,$B$3,"_",#REF!,"_",G10),D10="SECF",CONCATENATE(B10,"_",C10,$B$3,"_",#REF!,"_",G10),D10="SECT",CONCATENATE(B10,"_",C10,$B$3,"_",#REF!,"_",G10),D10="SECG",CONCATENATE(B10,"_",C10,$B$3,"_",#REF!,"_",G10),D10="DJ",CONCATENATE(B10,"_",C10,$B$3,"_",#REF!,"_",G10))</f>
        <v>IMA_TSA_P140_TSA_P140_Q</v>
      </c>
      <c r="I10" s="6" t="s">
        <v>188</v>
      </c>
      <c r="J10" s="6" t="s">
        <v>188</v>
      </c>
      <c r="K10" s="6" t="s">
        <v>188</v>
      </c>
      <c r="L10" s="8">
        <v>10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408</v>
      </c>
      <c r="D11" s="6" t="s">
        <v>28</v>
      </c>
      <c r="E11" s="2" t="s">
        <v>8</v>
      </c>
      <c r="F11" s="6" t="str">
        <f>VLOOKUP(G11,[1]Analog!$A:$B,2,FALSE)</f>
        <v>TENSAO FASE AB</v>
      </c>
      <c r="G11" s="6" t="s">
        <v>129</v>
      </c>
      <c r="H11" s="6" t="str" cm="1">
        <f t="array" ref="H11">_xlfn.IFS(OR(D11="TC",D11="TP",D11="LT",D11="TSA"),CONCATENATE(B11,"_",C11,$B$3,"_",C11,$B$3,"_",G11),D11="SECC",CONCATENATE(B11,"_",C11,$B$3,"_",#REF!,"_",G11),D11="SECF",CONCATENATE(B11,"_",C11,$B$3,"_",#REF!,"_",G11),D11="SECT",CONCATENATE(B11,"_",C11,$B$3,"_",#REF!,"_",G11),D11="SECG",CONCATENATE(B11,"_",C11,$B$3,"_",#REF!,"_",G11),D11="DJ",CONCATENATE(B11,"_",C11,$B$3,"_",#REF!,"_",G11))</f>
        <v>IMA_TSA_P140_TSA_P140_VAB</v>
      </c>
      <c r="I11" s="6" t="s">
        <v>188</v>
      </c>
      <c r="J11" s="6" t="s">
        <v>188</v>
      </c>
      <c r="K11" s="6" t="s">
        <v>188</v>
      </c>
      <c r="L11" s="8">
        <v>0.01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408</v>
      </c>
      <c r="D12" s="6" t="s">
        <v>28</v>
      </c>
      <c r="E12" s="2" t="s">
        <v>8</v>
      </c>
      <c r="F12" s="6" t="str">
        <f>VLOOKUP(G12,[1]Analog!$A:$B,2,FALSE)</f>
        <v>TENSAO FASE BC</v>
      </c>
      <c r="G12" s="6" t="s">
        <v>130</v>
      </c>
      <c r="H12" s="6" t="str" cm="1">
        <f t="array" ref="H12">_xlfn.IFS(OR(D12="TC",D12="TP",D12="LT",D12="TSA"),CONCATENATE(B12,"_",C12,$B$3,"_",C12,$B$3,"_",G12),D12="SECC",CONCATENATE(B12,"_",C12,$B$3,"_",#REF!,"_",G12),D12="SECF",CONCATENATE(B12,"_",C12,$B$3,"_",#REF!,"_",G12),D12="SECT",CONCATENATE(B12,"_",C12,$B$3,"_",#REF!,"_",G12),D12="SECG",CONCATENATE(B12,"_",C12,$B$3,"_",#REF!,"_",G12),D12="DJ",CONCATENATE(B12,"_",C12,$B$3,"_",#REF!,"_",G12))</f>
        <v>IMA_TSA_P140_TSA_P140_VBC</v>
      </c>
      <c r="I12" s="6" t="s">
        <v>188</v>
      </c>
      <c r="J12" s="6" t="s">
        <v>188</v>
      </c>
      <c r="K12" s="6" t="s">
        <v>188</v>
      </c>
      <c r="L12" s="8">
        <v>0.01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408</v>
      </c>
      <c r="D13" s="6" t="s">
        <v>28</v>
      </c>
      <c r="E13" s="2" t="s">
        <v>8</v>
      </c>
      <c r="F13" s="6" t="s">
        <v>132</v>
      </c>
      <c r="G13" s="6" t="s">
        <v>131</v>
      </c>
      <c r="H13" s="6" t="str" cm="1">
        <f t="array" ref="H13">_xlfn.IFS(OR(D13="TC",D13="TP",D13="LT",D13="TSA"),CONCATENATE(B13,"_",C13,$B$3,"_",C13,$B$3,"_",G13),D13="SECC",CONCATENATE(B13,"_",C13,$B$3,"_",#REF!,"_",G13),D13="SECF",CONCATENATE(B13,"_",C13,$B$3,"_",#REF!,"_",G13),D13="SECT",CONCATENATE(B13,"_",C13,$B$3,"_",#REF!,"_",G13),D13="SECG",CONCATENATE(B13,"_",C13,$B$3,"_",#REF!,"_",G13),D13="DJ",CONCATENATE(B13,"_",C13,$B$3,"_",#REF!,"_",G13))</f>
        <v>IMA_TSA_P140_TSA_P140_VCA</v>
      </c>
      <c r="I13" s="6" t="s">
        <v>188</v>
      </c>
      <c r="J13" s="6" t="s">
        <v>188</v>
      </c>
      <c r="K13" s="6" t="s">
        <v>188</v>
      </c>
      <c r="L13" s="8">
        <v>0.01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408</v>
      </c>
      <c r="D14" s="6" t="s">
        <v>128</v>
      </c>
      <c r="E14" s="2" t="s">
        <v>25</v>
      </c>
      <c r="F14" s="6" t="str">
        <f>VLOOKUP(G14,[1]Discrete!$A:$B,2,FALSE)</f>
        <v>FALHA COMUNICACAO</v>
      </c>
      <c r="G14" s="6" t="s">
        <v>78</v>
      </c>
      <c r="H14" s="6" t="str" cm="1">
        <f t="array" ref="H14">_xlfn.IFS(OR(D14="TC",D14="TP",D14="LT",D14="TSA"),CONCATENATE(B14,"_",C14,$B$3,"_",C14,$B$3,"_",G14),D14="SECC",CONCATENATE(B14,"_",C14,$B$3,"_",#REF!,"_",G14),D14="SECF",CONCATENATE(B14,"_",C14,$B$3,"_",#REF!,"_",G14),D14="SECT",CONCATENATE(B14,"_",C14,$B$3,"_",#REF!,"_",G14),D14="SECG",CONCATENATE(B14,"_",C14,$B$3,"_",#REF!,"_",G14),D14="DJ",CONCATENATE(B14,"_",C14,$B$3,"_",#REF!,"_",G14))</f>
        <v>IMA_TSA_P140_TSA_P140_FCOM</v>
      </c>
      <c r="I14" s="6"/>
      <c r="J14" s="6"/>
      <c r="K14" s="6"/>
      <c r="L14" s="8" t="s">
        <v>188</v>
      </c>
      <c r="M14" s="6" t="s">
        <v>188</v>
      </c>
      <c r="N14" s="6"/>
    </row>
    <row r="16" spans="1:14" x14ac:dyDescent="0.25">
      <c r="A16" s="153" t="s">
        <v>215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5"/>
    </row>
    <row r="17" spans="1:14" ht="30" x14ac:dyDescent="0.25">
      <c r="A17" s="3" t="s">
        <v>189</v>
      </c>
      <c r="B17" s="3" t="s">
        <v>1</v>
      </c>
      <c r="C17" s="3" t="s">
        <v>83</v>
      </c>
      <c r="D17" s="3" t="s">
        <v>26</v>
      </c>
      <c r="E17" s="3" t="s">
        <v>7</v>
      </c>
      <c r="F17" s="3" t="s">
        <v>84</v>
      </c>
      <c r="G17" s="3" t="s">
        <v>85</v>
      </c>
      <c r="H17" s="3" t="s">
        <v>86</v>
      </c>
      <c r="I17" s="3" t="s">
        <v>254</v>
      </c>
      <c r="J17" s="3" t="s">
        <v>177</v>
      </c>
      <c r="K17" s="3" t="s">
        <v>178</v>
      </c>
      <c r="L17" s="3" t="s">
        <v>260</v>
      </c>
      <c r="M17" s="3" t="s">
        <v>266</v>
      </c>
      <c r="N17" s="3" t="s">
        <v>192</v>
      </c>
    </row>
    <row r="18" spans="1:14" x14ac:dyDescent="0.25">
      <c r="A18" s="6" t="s">
        <v>191</v>
      </c>
      <c r="B18" s="6" t="str">
        <f>Informações!$C$3</f>
        <v>IMA</v>
      </c>
      <c r="C18" s="6" t="s">
        <v>128</v>
      </c>
      <c r="D18" s="6" t="s">
        <v>128</v>
      </c>
      <c r="E18" s="2" t="s">
        <v>25</v>
      </c>
      <c r="F18" s="6" t="s">
        <v>237</v>
      </c>
      <c r="G18" s="6" t="s">
        <v>202</v>
      </c>
      <c r="H18" s="6" t="str">
        <f>CONCATENATE(B18,"_",C18,$B$3,"_",C18,$B$3,"_",G18)</f>
        <v>IMA_TSA40_TSA40_ETH</v>
      </c>
      <c r="I18" s="6"/>
      <c r="J18" s="6"/>
      <c r="K18" s="6"/>
      <c r="L18" s="8" t="s">
        <v>188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128</v>
      </c>
      <c r="D19" s="6" t="s">
        <v>128</v>
      </c>
      <c r="E19" s="2" t="s">
        <v>25</v>
      </c>
      <c r="F19" s="6" t="s">
        <v>238</v>
      </c>
      <c r="G19" s="6" t="s">
        <v>239</v>
      </c>
      <c r="H19" s="6" t="str">
        <f>CONCATENATE(B19,"_",C19,$B$3,"_",C19,$B$3,"_",G19)</f>
        <v>IMA_TSA40_TSA40_FGOO</v>
      </c>
      <c r="I19" s="6"/>
      <c r="J19" s="6"/>
      <c r="K19" s="6"/>
      <c r="L19" s="8" t="s">
        <v>188</v>
      </c>
      <c r="M19" s="6" t="s">
        <v>188</v>
      </c>
      <c r="N19" s="6"/>
    </row>
  </sheetData>
  <mergeCells count="4">
    <mergeCell ref="A16:N16"/>
    <mergeCell ref="A1:N1"/>
    <mergeCell ref="B2:N2"/>
    <mergeCell ref="B3:N3"/>
  </mergeCells>
  <phoneticPr fontId="5" type="noConversion"/>
  <conditionalFormatting sqref="E4:E15">
    <cfRule type="cellIs" dxfId="20" priority="7" operator="equal">
      <formula>"D"</formula>
    </cfRule>
    <cfRule type="cellIs" dxfId="19" priority="8" operator="equal">
      <formula>"C"</formula>
    </cfRule>
    <cfRule type="cellIs" dxfId="18" priority="9" operator="equal">
      <formula>"A"</formula>
    </cfRule>
  </conditionalFormatting>
  <conditionalFormatting sqref="E17:E1048576">
    <cfRule type="cellIs" dxfId="17" priority="1" operator="equal">
      <formula>"D"</formula>
    </cfRule>
    <cfRule type="cellIs" dxfId="16" priority="2" operator="equal">
      <formula>"C"</formula>
    </cfRule>
    <cfRule type="cellIs" dxfId="15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A4095-ED9E-4956-AC26-D5C2EFC0E672}">
          <x14:formula1>
            <xm:f>Lista!$B$2:$B$3</xm:f>
          </x14:formula1>
          <xm:sqref>A6:A14 A18:A19</xm:sqref>
        </x14:dataValidation>
        <x14:dataValidation type="list" allowBlank="1" showInputMessage="1" showErrorMessage="1" xr:uid="{C31D7417-EF8D-485F-8BE8-6B08F5041712}">
          <x14:formula1>
            <xm:f>Lista!$A$2:$A$19</xm:f>
          </x14:formula1>
          <xm:sqref>J6:K14 J18:K19</xm:sqref>
        </x14:dataValidation>
        <x14:dataValidation type="list" allowBlank="1" showInputMessage="1" showErrorMessage="1" xr:uid="{03DB8989-15B3-478E-9972-017786936024}">
          <x14:formula1>
            <xm:f>Lista!$D$2:$D$4</xm:f>
          </x14:formula1>
          <xm:sqref>M6:M14 M18:M19</xm:sqref>
        </x14:dataValidation>
        <x14:dataValidation type="list" allowBlank="1" showInputMessage="1" showErrorMessage="1" xr:uid="{B3F73AF5-D504-4CAD-B1DC-83082DB9A4AA}">
          <x14:formula1>
            <xm:f>Lista!$E$2:$E$4</xm:f>
          </x14:formula1>
          <xm:sqref>I6:I14 I18:I19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3DBC-F403-4477-9532-680FD8FD0D1E}">
  <sheetPr>
    <tabColor theme="3"/>
  </sheetPr>
  <dimension ref="A1:N19"/>
  <sheetViews>
    <sheetView topLeftCell="F1" workbookViewId="0">
      <selection activeCell="N6" sqref="N6:N14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87</v>
      </c>
      <c r="B3" s="109">
        <v>40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s="4" customFormat="1" x14ac:dyDescent="0.25">
      <c r="B4" s="5"/>
      <c r="C4" s="5"/>
      <c r="D4" s="5"/>
      <c r="E4" s="5"/>
      <c r="F4" s="5"/>
      <c r="G4" s="5"/>
      <c r="H4" s="5"/>
    </row>
    <row r="5" spans="1:14" ht="30" x14ac:dyDescent="0.25">
      <c r="A5" s="3" t="s">
        <v>189</v>
      </c>
      <c r="B5" s="3" t="s">
        <v>1</v>
      </c>
      <c r="C5" s="3" t="s">
        <v>83</v>
      </c>
      <c r="D5" s="3" t="s">
        <v>26</v>
      </c>
      <c r="E5" s="3" t="s">
        <v>7</v>
      </c>
      <c r="F5" s="3" t="s">
        <v>84</v>
      </c>
      <c r="G5" s="3" t="s">
        <v>85</v>
      </c>
      <c r="H5" s="3" t="s">
        <v>86</v>
      </c>
      <c r="I5" s="3" t="s">
        <v>254</v>
      </c>
      <c r="J5" s="3" t="s">
        <v>177</v>
      </c>
      <c r="K5" s="3" t="s">
        <v>178</v>
      </c>
      <c r="L5" s="3" t="s">
        <v>260</v>
      </c>
      <c r="M5" s="3" t="s">
        <v>266</v>
      </c>
      <c r="N5" s="3" t="s">
        <v>192</v>
      </c>
    </row>
    <row r="6" spans="1:14" x14ac:dyDescent="0.25">
      <c r="A6" s="6" t="s">
        <v>191</v>
      </c>
      <c r="B6" s="6" t="str">
        <f>Informações!$C$3</f>
        <v>IMA</v>
      </c>
      <c r="C6" s="6" t="s">
        <v>421</v>
      </c>
      <c r="D6" s="6" t="s">
        <v>27</v>
      </c>
      <c r="E6" s="2" t="s">
        <v>8</v>
      </c>
      <c r="F6" s="6" t="str">
        <f>VLOOKUP(G6,[1]Analog!$A:$B,2,FALSE)</f>
        <v>CORRENTE FASE A</v>
      </c>
      <c r="G6" s="6" t="s">
        <v>9</v>
      </c>
      <c r="H6" s="6" t="str" cm="1">
        <f t="array" ref="H6">_xlfn.IFS(OR(D6="TC",D6="TP",D6="LT",D6="TSA"),CONCATENATE(B6,"_",C6,$B$3,"_",C6,$B$3,"_",G6),D6="SECC",CONCATENATE(B6,"_",C6,$B$3,"_",#REF!,"_",G6),D6="SECF",CONCATENATE(B6,"_",C6,$B$3,"_",#REF!,"_",G6),D6="SECT",CONCATENATE(B6,"_",C6,$B$3,"_",#REF!,"_",G6),D6="SECG",CONCATENATE(B6,"_",C6,$B$3,"_",#REF!,"_",G6),D6="DJ",CONCATENATE(B6,"_",C6,$B$3,"_",#REF!,"_",G6))</f>
        <v>IMA_TSA_P240_TSA_P240_IA</v>
      </c>
      <c r="I6" s="6" t="s">
        <v>188</v>
      </c>
      <c r="J6" s="6" t="s">
        <v>188</v>
      </c>
      <c r="K6" s="6" t="s">
        <v>188</v>
      </c>
      <c r="L6" s="8">
        <v>1</v>
      </c>
      <c r="M6" s="6" t="s">
        <v>188</v>
      </c>
      <c r="N6" s="6"/>
    </row>
    <row r="7" spans="1:14" x14ac:dyDescent="0.25">
      <c r="A7" s="6" t="s">
        <v>191</v>
      </c>
      <c r="B7" s="6" t="str">
        <f>Informações!$C$3</f>
        <v>IMA</v>
      </c>
      <c r="C7" s="6" t="s">
        <v>421</v>
      </c>
      <c r="D7" s="6" t="s">
        <v>27</v>
      </c>
      <c r="E7" s="2" t="s">
        <v>8</v>
      </c>
      <c r="F7" s="6" t="str">
        <f>VLOOKUP(G7,[1]Analog!$A:$B,2,FALSE)</f>
        <v>CORRENTE FASE B</v>
      </c>
      <c r="G7" s="6" t="s">
        <v>10</v>
      </c>
      <c r="H7" s="6" t="str" cm="1">
        <f t="array" ref="H7">_xlfn.IFS(OR(D7="TC",D7="TP",D7="LT",D7="TSA"),CONCATENATE(B7,"_",C7,$B$3,"_",C7,$B$3,"_",G7),D7="SECC",CONCATENATE(B7,"_",C7,$B$3,"_",#REF!,"_",G7),D7="SECF",CONCATENATE(B7,"_",C7,$B$3,"_",#REF!,"_",G7),D7="SECT",CONCATENATE(B7,"_",C7,$B$3,"_",#REF!,"_",G7),D7="SECG",CONCATENATE(B7,"_",C7,$B$3,"_",#REF!,"_",G7),D7="DJ",CONCATENATE(B7,"_",C7,$B$3,"_",#REF!,"_",G7))</f>
        <v>IMA_TSA_P240_TSA_P240_IB</v>
      </c>
      <c r="I7" s="6" t="s">
        <v>188</v>
      </c>
      <c r="J7" s="6" t="s">
        <v>188</v>
      </c>
      <c r="K7" s="6" t="s">
        <v>188</v>
      </c>
      <c r="L7" s="8">
        <v>1</v>
      </c>
      <c r="M7" s="6" t="s">
        <v>188</v>
      </c>
      <c r="N7" s="6"/>
    </row>
    <row r="8" spans="1:14" x14ac:dyDescent="0.25">
      <c r="A8" s="6" t="s">
        <v>191</v>
      </c>
      <c r="B8" s="6" t="str">
        <f>Informações!$C$3</f>
        <v>IMA</v>
      </c>
      <c r="C8" s="6" t="s">
        <v>421</v>
      </c>
      <c r="D8" s="6" t="s">
        <v>27</v>
      </c>
      <c r="E8" s="2" t="s">
        <v>8</v>
      </c>
      <c r="F8" s="6" t="str">
        <f>VLOOKUP(G8,[1]Analog!$A:$B,2,FALSE)</f>
        <v>CORRENTE FASE C</v>
      </c>
      <c r="G8" s="6" t="s">
        <v>11</v>
      </c>
      <c r="H8" s="6" t="str" cm="1">
        <f t="array" ref="H8">_xlfn.IFS(OR(D8="TC",D8="TP",D8="LT",D8="TSA"),CONCATENATE(B8,"_",C8,$B$3,"_",C8,$B$3,"_",G8),D8="SECC",CONCATENATE(B8,"_",C8,$B$3,"_",#REF!,"_",G8),D8="SECF",CONCATENATE(B8,"_",C8,$B$3,"_",#REF!,"_",G8),D8="SECT",CONCATENATE(B8,"_",C8,$B$3,"_",#REF!,"_",G8),D8="SECG",CONCATENATE(B8,"_",C8,$B$3,"_",#REF!,"_",G8),D8="DJ",CONCATENATE(B8,"_",C8,$B$3,"_",#REF!,"_",G8))</f>
        <v>IMA_TSA_P240_TSA_P240_IC</v>
      </c>
      <c r="I8" s="6" t="s">
        <v>188</v>
      </c>
      <c r="J8" s="6" t="s">
        <v>188</v>
      </c>
      <c r="K8" s="6" t="s">
        <v>188</v>
      </c>
      <c r="L8" s="8">
        <v>1</v>
      </c>
      <c r="M8" s="6" t="s">
        <v>188</v>
      </c>
      <c r="N8" s="6"/>
    </row>
    <row r="9" spans="1:14" x14ac:dyDescent="0.25">
      <c r="A9" s="6" t="s">
        <v>191</v>
      </c>
      <c r="B9" s="6" t="str">
        <f>Informações!$C$3</f>
        <v>IMA</v>
      </c>
      <c r="C9" s="6" t="s">
        <v>421</v>
      </c>
      <c r="D9" s="6" t="s">
        <v>27</v>
      </c>
      <c r="E9" s="2" t="s">
        <v>8</v>
      </c>
      <c r="F9" s="6" t="str">
        <f>VLOOKUP(G9,[1]Analog!$A:$B,2,FALSE)</f>
        <v>POTENCIA ATIVA</v>
      </c>
      <c r="G9" s="6" t="s">
        <v>18</v>
      </c>
      <c r="H9" s="6" t="str" cm="1">
        <f t="array" ref="H9">_xlfn.IFS(OR(D9="TC",D9="TP",D9="LT",D9="TSA"),CONCATENATE(B9,"_",C9,$B$3,"_",C9,$B$3,"_",G9),D9="SECC",CONCATENATE(B9,"_",C9,$B$3,"_",#REF!,"_",G9),D9="SECF",CONCATENATE(B9,"_",C9,$B$3,"_",#REF!,"_",G9),D9="SECT",CONCATENATE(B9,"_",C9,$B$3,"_",#REF!,"_",G9),D9="SECG",CONCATENATE(B9,"_",C9,$B$3,"_",#REF!,"_",G9),D9="DJ",CONCATENATE(B9,"_",C9,$B$3,"_",#REF!,"_",G9))</f>
        <v>IMA_TSA_P240_TSA_P240_P</v>
      </c>
      <c r="I9" s="6" t="s">
        <v>188</v>
      </c>
      <c r="J9" s="6" t="s">
        <v>188</v>
      </c>
      <c r="K9" s="6" t="s">
        <v>188</v>
      </c>
      <c r="L9" s="8">
        <v>10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421</v>
      </c>
      <c r="D10" s="6" t="s">
        <v>27</v>
      </c>
      <c r="E10" s="2" t="s">
        <v>8</v>
      </c>
      <c r="F10" s="6" t="str">
        <f>VLOOKUP(G10,[1]Analog!$A:$B,2,FALSE)</f>
        <v>POTENCIA REATIVA</v>
      </c>
      <c r="G10" s="6" t="s">
        <v>19</v>
      </c>
      <c r="H10" s="6" t="str" cm="1">
        <f t="array" ref="H10">_xlfn.IFS(OR(D10="TC",D10="TP",D10="LT",D10="TSA"),CONCATENATE(B10,"_",C10,$B$3,"_",C10,$B$3,"_",G10),D10="SECC",CONCATENATE(B10,"_",C10,$B$3,"_",#REF!,"_",G10),D10="SECF",CONCATENATE(B10,"_",C10,$B$3,"_",#REF!,"_",G10),D10="SECT",CONCATENATE(B10,"_",C10,$B$3,"_",#REF!,"_",G10),D10="SECG",CONCATENATE(B10,"_",C10,$B$3,"_",#REF!,"_",G10),D10="DJ",CONCATENATE(B10,"_",C10,$B$3,"_",#REF!,"_",G10))</f>
        <v>IMA_TSA_P240_TSA_P240_Q</v>
      </c>
      <c r="I10" s="6" t="s">
        <v>188</v>
      </c>
      <c r="J10" s="6" t="s">
        <v>188</v>
      </c>
      <c r="K10" s="6" t="s">
        <v>188</v>
      </c>
      <c r="L10" s="8">
        <v>10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421</v>
      </c>
      <c r="D11" s="6" t="s">
        <v>28</v>
      </c>
      <c r="E11" s="2" t="s">
        <v>8</v>
      </c>
      <c r="F11" s="6" t="str">
        <f>VLOOKUP(G11,[1]Analog!$A:$B,2,FALSE)</f>
        <v>TENSAO FASE AB</v>
      </c>
      <c r="G11" s="6" t="s">
        <v>129</v>
      </c>
      <c r="H11" s="6" t="str" cm="1">
        <f t="array" ref="H11">_xlfn.IFS(OR(D11="TC",D11="TP",D11="LT",D11="TSA"),CONCATENATE(B11,"_",C11,$B$3,"_",C11,$B$3,"_",G11),D11="SECC",CONCATENATE(B11,"_",C11,$B$3,"_",#REF!,"_",G11),D11="SECF",CONCATENATE(B11,"_",C11,$B$3,"_",#REF!,"_",G11),D11="SECT",CONCATENATE(B11,"_",C11,$B$3,"_",#REF!,"_",G11),D11="SECG",CONCATENATE(B11,"_",C11,$B$3,"_",#REF!,"_",G11),D11="DJ",CONCATENATE(B11,"_",C11,$B$3,"_",#REF!,"_",G11))</f>
        <v>IMA_TSA_P240_TSA_P240_VAB</v>
      </c>
      <c r="I11" s="6" t="s">
        <v>188</v>
      </c>
      <c r="J11" s="6" t="s">
        <v>188</v>
      </c>
      <c r="K11" s="6" t="s">
        <v>188</v>
      </c>
      <c r="L11" s="8">
        <v>0.01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421</v>
      </c>
      <c r="D12" s="6" t="s">
        <v>28</v>
      </c>
      <c r="E12" s="2" t="s">
        <v>8</v>
      </c>
      <c r="F12" s="6" t="str">
        <f>VLOOKUP(G12,[1]Analog!$A:$B,2,FALSE)</f>
        <v>TENSAO FASE BC</v>
      </c>
      <c r="G12" s="6" t="s">
        <v>130</v>
      </c>
      <c r="H12" s="6" t="str" cm="1">
        <f t="array" ref="H12">_xlfn.IFS(OR(D12="TC",D12="TP",D12="LT",D12="TSA"),CONCATENATE(B12,"_",C12,$B$3,"_",C12,$B$3,"_",G12),D12="SECC",CONCATENATE(B12,"_",C12,$B$3,"_",#REF!,"_",G12),D12="SECF",CONCATENATE(B12,"_",C12,$B$3,"_",#REF!,"_",G12),D12="SECT",CONCATENATE(B12,"_",C12,$B$3,"_",#REF!,"_",G12),D12="SECG",CONCATENATE(B12,"_",C12,$B$3,"_",#REF!,"_",G12),D12="DJ",CONCATENATE(B12,"_",C12,$B$3,"_",#REF!,"_",G12))</f>
        <v>IMA_TSA_P240_TSA_P240_VBC</v>
      </c>
      <c r="I12" s="6" t="s">
        <v>188</v>
      </c>
      <c r="J12" s="6" t="s">
        <v>188</v>
      </c>
      <c r="K12" s="6" t="s">
        <v>188</v>
      </c>
      <c r="L12" s="8">
        <v>0.01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421</v>
      </c>
      <c r="D13" s="6" t="s">
        <v>28</v>
      </c>
      <c r="E13" s="2" t="s">
        <v>8</v>
      </c>
      <c r="F13" s="6" t="s">
        <v>132</v>
      </c>
      <c r="G13" s="6" t="s">
        <v>131</v>
      </c>
      <c r="H13" s="6" t="str" cm="1">
        <f t="array" ref="H13">_xlfn.IFS(OR(D13="TC",D13="TP",D13="LT",D13="TSA"),CONCATENATE(B13,"_",C13,$B$3,"_",C13,$B$3,"_",G13),D13="SECC",CONCATENATE(B13,"_",C13,$B$3,"_",#REF!,"_",G13),D13="SECF",CONCATENATE(B13,"_",C13,$B$3,"_",#REF!,"_",G13),D13="SECT",CONCATENATE(B13,"_",C13,$B$3,"_",#REF!,"_",G13),D13="SECG",CONCATENATE(B13,"_",C13,$B$3,"_",#REF!,"_",G13),D13="DJ",CONCATENATE(B13,"_",C13,$B$3,"_",#REF!,"_",G13))</f>
        <v>IMA_TSA_P240_TSA_P240_VCA</v>
      </c>
      <c r="I13" s="6" t="s">
        <v>188</v>
      </c>
      <c r="J13" s="6" t="s">
        <v>188</v>
      </c>
      <c r="K13" s="6" t="s">
        <v>188</v>
      </c>
      <c r="L13" s="8">
        <v>0.01</v>
      </c>
      <c r="M13" s="6" t="s">
        <v>188</v>
      </c>
      <c r="N13" s="6"/>
    </row>
    <row r="14" spans="1:14" x14ac:dyDescent="0.25">
      <c r="A14" s="6" t="s">
        <v>191</v>
      </c>
      <c r="B14" s="6" t="str">
        <f>Informações!$C$3</f>
        <v>IMA</v>
      </c>
      <c r="C14" s="6" t="s">
        <v>421</v>
      </c>
      <c r="D14" s="6" t="s">
        <v>128</v>
      </c>
      <c r="E14" s="2" t="s">
        <v>25</v>
      </c>
      <c r="F14" s="6" t="str">
        <f>VLOOKUP(G14,[1]Discrete!$A:$B,2,FALSE)</f>
        <v>FALHA COMUNICACAO</v>
      </c>
      <c r="G14" s="6" t="s">
        <v>78</v>
      </c>
      <c r="H14" s="6" t="str" cm="1">
        <f t="array" ref="H14">_xlfn.IFS(OR(D14="TC",D14="TP",D14="LT",D14="TSA"),CONCATENATE(B14,"_",C14,$B$3,"_",C14,$B$3,"_",G14),D14="SECC",CONCATENATE(B14,"_",C14,$B$3,"_",#REF!,"_",G14),D14="SECF",CONCATENATE(B14,"_",C14,$B$3,"_",#REF!,"_",G14),D14="SECT",CONCATENATE(B14,"_",C14,$B$3,"_",#REF!,"_",G14),D14="SECG",CONCATENATE(B14,"_",C14,$B$3,"_",#REF!,"_",G14),D14="DJ",CONCATENATE(B14,"_",C14,$B$3,"_",#REF!,"_",G14))</f>
        <v>IMA_TSA_P240_TSA_P240_FCOM</v>
      </c>
      <c r="I14" s="6"/>
      <c r="J14" s="6"/>
      <c r="K14" s="6"/>
      <c r="L14" s="8" t="s">
        <v>188</v>
      </c>
      <c r="M14" s="6" t="s">
        <v>188</v>
      </c>
      <c r="N14" s="6"/>
    </row>
    <row r="16" spans="1:14" x14ac:dyDescent="0.25">
      <c r="A16" s="108" t="s">
        <v>215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</row>
    <row r="17" spans="1:14" ht="30" x14ac:dyDescent="0.25">
      <c r="A17" s="3" t="s">
        <v>189</v>
      </c>
      <c r="B17" s="3" t="s">
        <v>1</v>
      </c>
      <c r="C17" s="3" t="s">
        <v>83</v>
      </c>
      <c r="D17" s="3" t="s">
        <v>26</v>
      </c>
      <c r="E17" s="3" t="s">
        <v>7</v>
      </c>
      <c r="F17" s="3" t="s">
        <v>84</v>
      </c>
      <c r="G17" s="3" t="s">
        <v>85</v>
      </c>
      <c r="H17" s="3" t="s">
        <v>86</v>
      </c>
      <c r="I17" s="3" t="s">
        <v>254</v>
      </c>
      <c r="J17" s="3" t="s">
        <v>177</v>
      </c>
      <c r="K17" s="3" t="s">
        <v>178</v>
      </c>
      <c r="L17" s="3" t="s">
        <v>260</v>
      </c>
      <c r="M17" s="3" t="s">
        <v>266</v>
      </c>
      <c r="N17" s="3" t="s">
        <v>192</v>
      </c>
    </row>
    <row r="18" spans="1:14" x14ac:dyDescent="0.25">
      <c r="A18" s="6" t="s">
        <v>191</v>
      </c>
      <c r="B18" s="6" t="str">
        <f>Informações!$C$3</f>
        <v>IMA</v>
      </c>
      <c r="C18" s="6" t="s">
        <v>128</v>
      </c>
      <c r="D18" s="6" t="s">
        <v>128</v>
      </c>
      <c r="E18" s="2" t="s">
        <v>25</v>
      </c>
      <c r="F18" s="6" t="s">
        <v>237</v>
      </c>
      <c r="G18" s="6" t="s">
        <v>202</v>
      </c>
      <c r="H18" s="6" t="str">
        <f>CONCATENATE(B18,"_",C18,$B$3,"_",C18,$B$3,"_",G18)</f>
        <v>IMA_TSA40_TSA40_ETH</v>
      </c>
      <c r="I18" s="6"/>
      <c r="J18" s="6"/>
      <c r="K18" s="6"/>
      <c r="L18" s="8" t="s">
        <v>188</v>
      </c>
      <c r="M18" s="6" t="s">
        <v>188</v>
      </c>
      <c r="N18" s="6"/>
    </row>
    <row r="19" spans="1:14" x14ac:dyDescent="0.25">
      <c r="A19" s="6" t="s">
        <v>191</v>
      </c>
      <c r="B19" s="6" t="str">
        <f>Informações!$C$3</f>
        <v>IMA</v>
      </c>
      <c r="C19" s="6" t="s">
        <v>128</v>
      </c>
      <c r="D19" s="6" t="s">
        <v>128</v>
      </c>
      <c r="E19" s="2" t="s">
        <v>25</v>
      </c>
      <c r="F19" s="6" t="s">
        <v>238</v>
      </c>
      <c r="G19" s="6" t="s">
        <v>239</v>
      </c>
      <c r="H19" s="6" t="str">
        <f>CONCATENATE(B19,"_",C19,$B$3,"_",C19,$B$3,"_",G19)</f>
        <v>IMA_TSA40_TSA40_FGOO</v>
      </c>
      <c r="I19" s="6"/>
      <c r="J19" s="6"/>
      <c r="K19" s="6"/>
      <c r="L19" s="8" t="s">
        <v>188</v>
      </c>
      <c r="M19" s="6" t="s">
        <v>188</v>
      </c>
      <c r="N19" s="6"/>
    </row>
  </sheetData>
  <mergeCells count="4">
    <mergeCell ref="A1:N1"/>
    <mergeCell ref="B2:N2"/>
    <mergeCell ref="B3:N3"/>
    <mergeCell ref="A16:N16"/>
  </mergeCells>
  <phoneticPr fontId="5" type="noConversion"/>
  <conditionalFormatting sqref="E4:E15">
    <cfRule type="cellIs" dxfId="14" priority="4" operator="equal">
      <formula>"D"</formula>
    </cfRule>
    <cfRule type="cellIs" dxfId="13" priority="5" operator="equal">
      <formula>"C"</formula>
    </cfRule>
    <cfRule type="cellIs" dxfId="12" priority="6" operator="equal">
      <formula>"A"</formula>
    </cfRule>
  </conditionalFormatting>
  <conditionalFormatting sqref="E17:E1048576">
    <cfRule type="cellIs" dxfId="11" priority="1" operator="equal">
      <formula>"D"</formula>
    </cfRule>
    <cfRule type="cellIs" dxfId="10" priority="2" operator="equal">
      <formula>"C"</formula>
    </cfRule>
    <cfRule type="cellIs" dxfId="9" priority="3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B817D7-A35A-4D3F-B9A8-94332626AE67}">
          <x14:formula1>
            <xm:f>Lista!$E$2:$E$4</xm:f>
          </x14:formula1>
          <xm:sqref>I6:I14 I18:I19</xm:sqref>
        </x14:dataValidation>
        <x14:dataValidation type="list" allowBlank="1" showInputMessage="1" showErrorMessage="1" xr:uid="{7F56E08F-28D4-4BD3-853A-DE045005C70C}">
          <x14:formula1>
            <xm:f>Lista!$D$2:$D$4</xm:f>
          </x14:formula1>
          <xm:sqref>M6:M14 M18:M19</xm:sqref>
        </x14:dataValidation>
        <x14:dataValidation type="list" allowBlank="1" showInputMessage="1" showErrorMessage="1" xr:uid="{BEAABC8E-0D09-429C-9F03-18E5821C4E7E}">
          <x14:formula1>
            <xm:f>Lista!$A$2:$A$19</xm:f>
          </x14:formula1>
          <xm:sqref>J6:K14 J18:K19</xm:sqref>
        </x14:dataValidation>
        <x14:dataValidation type="list" allowBlank="1" showInputMessage="1" showErrorMessage="1" xr:uid="{7A15C793-0261-494D-B372-AC0BE2999B28}">
          <x14:formula1>
            <xm:f>Lista!$B$2:$B$3</xm:f>
          </x14:formula1>
          <xm:sqref>A6:A14 A18:A19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B635-630B-4587-98F6-2CB1584F5C6B}">
  <sheetPr>
    <tabColor theme="6"/>
  </sheetPr>
  <dimension ref="A1:N15"/>
  <sheetViews>
    <sheetView zoomScale="80" zoomScaleNormal="80" workbookViewId="0">
      <selection activeCell="I33" sqref="I3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128</v>
      </c>
      <c r="B3" s="109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135</v>
      </c>
      <c r="B4" s="109">
        <v>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s="4" customFormat="1" x14ac:dyDescent="0.25">
      <c r="B5" s="5"/>
      <c r="C5" s="5"/>
      <c r="D5" s="5"/>
      <c r="E5" s="5"/>
      <c r="F5" s="5"/>
      <c r="G5" s="5"/>
      <c r="H5" s="5"/>
      <c r="I5" s="5"/>
      <c r="J5" s="5"/>
      <c r="K5" s="5"/>
    </row>
    <row r="6" spans="1:14" ht="30" x14ac:dyDescent="0.25">
      <c r="A6" s="3" t="s">
        <v>189</v>
      </c>
      <c r="B6" s="3" t="s">
        <v>1</v>
      </c>
      <c r="C6" s="3" t="s">
        <v>83</v>
      </c>
      <c r="D6" s="3" t="s">
        <v>26</v>
      </c>
      <c r="E6" s="3" t="s">
        <v>7</v>
      </c>
      <c r="F6" s="3" t="s">
        <v>84</v>
      </c>
      <c r="G6" s="3" t="s">
        <v>85</v>
      </c>
      <c r="H6" s="3" t="s">
        <v>86</v>
      </c>
      <c r="I6" s="3" t="s">
        <v>254</v>
      </c>
      <c r="J6" s="3" t="s">
        <v>177</v>
      </c>
      <c r="K6" s="3" t="s">
        <v>178</v>
      </c>
      <c r="L6" s="3" t="s">
        <v>260</v>
      </c>
      <c r="M6" s="3" t="s">
        <v>266</v>
      </c>
      <c r="N6" s="3" t="s">
        <v>192</v>
      </c>
    </row>
    <row r="7" spans="1:14" x14ac:dyDescent="0.25">
      <c r="A7" s="6" t="s">
        <v>190</v>
      </c>
      <c r="B7" s="6" t="str">
        <f>Informações!$C$3</f>
        <v>IMA</v>
      </c>
      <c r="C7" s="6" t="s">
        <v>128</v>
      </c>
      <c r="D7" s="6" t="s">
        <v>135</v>
      </c>
      <c r="E7" s="2" t="s">
        <v>8</v>
      </c>
      <c r="F7" s="6" t="str">
        <f>VLOOKUP(G7,[1]Analog!$A:$B,2,FALSE)</f>
        <v>TENSAO CORRENTE CONTINUA</v>
      </c>
      <c r="G7" s="6" t="s">
        <v>133</v>
      </c>
      <c r="H7" s="6" t="str" cm="1">
        <f t="array" ref="H7">_xlfn.IFS(OR(D7="TC",D7="TP",D7="LT"),CONCATENATE(B7,"_",C7,$B$3,"_",C7,$B$3,"_",G7),D7="RET",CONCATENATE(B7,"_",C7,$B$3,"_",D7,$B$4,"_",G7))</f>
        <v>IMA_TSA1_RET1_VCC</v>
      </c>
      <c r="I7" s="6" t="s">
        <v>188</v>
      </c>
      <c r="J7" s="6" t="s">
        <v>188</v>
      </c>
      <c r="K7" s="6" t="s">
        <v>188</v>
      </c>
      <c r="L7" s="8">
        <v>0.01</v>
      </c>
      <c r="M7" s="6" t="s">
        <v>188</v>
      </c>
      <c r="N7" s="6">
        <f>'BC 2'!N16+1</f>
        <v>194</v>
      </c>
    </row>
    <row r="8" spans="1:14" x14ac:dyDescent="0.25">
      <c r="A8" s="93" t="s">
        <v>191</v>
      </c>
      <c r="B8" s="6" t="str">
        <f>Informações!$C$3</f>
        <v>IMA</v>
      </c>
      <c r="C8" s="6" t="s">
        <v>128</v>
      </c>
      <c r="D8" s="6" t="s">
        <v>135</v>
      </c>
      <c r="E8" s="2" t="s">
        <v>8</v>
      </c>
      <c r="F8" s="93" t="str">
        <f>VLOOKUP(G8,[1]Analog!$A:$B,2,FALSE)</f>
        <v>TENSAO BATERIAS</v>
      </c>
      <c r="G8" s="6" t="s">
        <v>134</v>
      </c>
      <c r="H8" s="6" t="str" cm="1">
        <f t="array" ref="H8">_xlfn.IFS(OR(D8="TC",D8="TP",D8="LT"),CONCATENATE(B8,"_",C8,$B$3,"_",C8,$B$3,"_",G8),D8="RET",CONCATENATE(B8,"_",C8,$B$3,"_",D8,$B$4,"_",G8))</f>
        <v>IMA_TSA1_RET1_VBAT</v>
      </c>
      <c r="I8" s="6" t="s">
        <v>188</v>
      </c>
      <c r="J8" s="6" t="s">
        <v>188</v>
      </c>
      <c r="K8" s="6" t="s">
        <v>188</v>
      </c>
      <c r="L8" s="8">
        <v>0.01</v>
      </c>
      <c r="M8" s="6" t="s">
        <v>188</v>
      </c>
      <c r="N8" s="93">
        <f>N7+1</f>
        <v>195</v>
      </c>
    </row>
    <row r="9" spans="1:14" x14ac:dyDescent="0.25">
      <c r="A9" s="6" t="s">
        <v>190</v>
      </c>
      <c r="B9" s="6" t="str">
        <f>Informações!$C$3</f>
        <v>IMA</v>
      </c>
      <c r="C9" s="6" t="s">
        <v>128</v>
      </c>
      <c r="D9" s="6" t="s">
        <v>135</v>
      </c>
      <c r="E9" s="2" t="s">
        <v>25</v>
      </c>
      <c r="F9" s="6" t="str">
        <f>VLOOKUP(G9,[1]Discrete!$A:$B,2,FALSE)</f>
        <v>ALARME BATERIA</v>
      </c>
      <c r="G9" s="6" t="s">
        <v>136</v>
      </c>
      <c r="H9" s="6" t="str" cm="1">
        <f t="array" ref="H9">_xlfn.IFS(OR(D9="TC",D9="TP",D9="LT"),CONCATENATE(B9,"_",C9,$B$3,"_",C9,$B$3,"_",G9),D9="RET",CONCATENATE(B9,"_",C9,$B$3,"_",D9,$B$4,"_",G9))</f>
        <v>IMA_TSA1_RET1_BATA</v>
      </c>
      <c r="I9" s="6" t="s">
        <v>267</v>
      </c>
      <c r="J9" s="6" t="s">
        <v>182</v>
      </c>
      <c r="K9" s="6" t="s">
        <v>179</v>
      </c>
      <c r="L9" s="8" t="s">
        <v>188</v>
      </c>
      <c r="M9" s="8" t="s">
        <v>188</v>
      </c>
      <c r="N9" s="6">
        <f>BARRA!N52+1</f>
        <v>906</v>
      </c>
    </row>
    <row r="10" spans="1:14" x14ac:dyDescent="0.25">
      <c r="A10" s="93" t="s">
        <v>191</v>
      </c>
      <c r="B10" s="6" t="str">
        <f>Informações!$C$3</f>
        <v>IMA</v>
      </c>
      <c r="C10" s="6" t="s">
        <v>128</v>
      </c>
      <c r="D10" s="6" t="s">
        <v>135</v>
      </c>
      <c r="E10" s="2" t="s">
        <v>25</v>
      </c>
      <c r="F10" s="93" t="str">
        <f>VLOOKUP(G10,[1]Discrete!$A:$B,2,FALSE)</f>
        <v>BATERIA EM DESCARGA</v>
      </c>
      <c r="G10" s="6" t="s">
        <v>137</v>
      </c>
      <c r="H10" s="6" t="str" cm="1">
        <f t="array" ref="H10">_xlfn.IFS(OR(D10="TC",D10="TP",D10="LT"),CONCATENATE(B10,"_",C10,$B$3,"_",C10,$B$3,"_",G10),D10="RET",CONCATENATE(B10,"_",C10,$B$3,"_",D10,$B$4,"_",G10))</f>
        <v>IMA_TSA1_RET1_BADC</v>
      </c>
      <c r="I10" s="6" t="s">
        <v>267</v>
      </c>
      <c r="J10" s="6" t="s">
        <v>182</v>
      </c>
      <c r="K10" s="6" t="s">
        <v>179</v>
      </c>
      <c r="L10" s="8" t="s">
        <v>188</v>
      </c>
      <c r="M10" s="8" t="s">
        <v>188</v>
      </c>
      <c r="N10" s="93">
        <f t="shared" ref="N10:N15" si="0">N9+1</f>
        <v>907</v>
      </c>
    </row>
    <row r="11" spans="1:14" x14ac:dyDescent="0.25">
      <c r="A11" s="6" t="s">
        <v>190</v>
      </c>
      <c r="B11" s="6" t="str">
        <f>Informações!$C$3</f>
        <v>IMA</v>
      </c>
      <c r="C11" s="6" t="s">
        <v>128</v>
      </c>
      <c r="D11" s="6" t="s">
        <v>135</v>
      </c>
      <c r="E11" s="2" t="s">
        <v>25</v>
      </c>
      <c r="F11" s="6" t="str">
        <f>VLOOKUP(G11,[1]Discrete!$A:$B,2,FALSE)</f>
        <v>DEFEITO RETIFICADOR</v>
      </c>
      <c r="G11" s="6" t="s">
        <v>138</v>
      </c>
      <c r="H11" s="6" t="str" cm="1">
        <f t="array" ref="H11">_xlfn.IFS(OR(D11="TC",D11="TP",D11="LT"),CONCATENATE(B11,"_",C11,$B$3,"_",C11,$B$3,"_",G11),D11="RET",CONCATENATE(B11,"_",C11,$B$3,"_",D11,$B$4,"_",G11))</f>
        <v>IMA_TSA1_RET1_DRET</v>
      </c>
      <c r="I11" s="6" t="s">
        <v>267</v>
      </c>
      <c r="J11" s="6" t="s">
        <v>182</v>
      </c>
      <c r="K11" s="6" t="s">
        <v>181</v>
      </c>
      <c r="L11" s="8" t="s">
        <v>188</v>
      </c>
      <c r="M11" s="8" t="s">
        <v>188</v>
      </c>
      <c r="N11" s="6">
        <f t="shared" si="0"/>
        <v>908</v>
      </c>
    </row>
    <row r="12" spans="1:14" x14ac:dyDescent="0.25">
      <c r="A12" s="93" t="s">
        <v>191</v>
      </c>
      <c r="B12" s="6" t="str">
        <f>Informações!$C$3</f>
        <v>IMA</v>
      </c>
      <c r="C12" s="6" t="s">
        <v>128</v>
      </c>
      <c r="D12" s="6" t="s">
        <v>135</v>
      </c>
      <c r="E12" s="2" t="s">
        <v>25</v>
      </c>
      <c r="F12" s="93" t="str">
        <f>VLOOKUP(G12,[1]Discrete!$A:$B,2,FALSE)</f>
        <v>FALTA VCA</v>
      </c>
      <c r="G12" s="6" t="s">
        <v>43</v>
      </c>
      <c r="H12" s="6" t="str" cm="1">
        <f t="array" ref="H12">_xlfn.IFS(OR(D12="TC",D12="TP",D12="LT"),CONCATENATE(B12,"_",C12,$B$3,"_",C12,$B$3,"_",G12),D12="RET",CONCATENATE(B12,"_",C12,$B$3,"_",D12,$B$4,"_",G12))</f>
        <v>IMA_TSA1_RET1_CAFL</v>
      </c>
      <c r="I12" s="6" t="s">
        <v>267</v>
      </c>
      <c r="J12" s="6" t="s">
        <v>182</v>
      </c>
      <c r="K12" s="6" t="s">
        <v>179</v>
      </c>
      <c r="L12" s="8" t="s">
        <v>188</v>
      </c>
      <c r="M12" s="8" t="s">
        <v>188</v>
      </c>
      <c r="N12" s="93">
        <f t="shared" si="0"/>
        <v>909</v>
      </c>
    </row>
    <row r="13" spans="1:14" x14ac:dyDescent="0.25">
      <c r="A13" s="93" t="s">
        <v>191</v>
      </c>
      <c r="B13" s="6" t="str">
        <f>Informações!$C$3</f>
        <v>IMA</v>
      </c>
      <c r="C13" s="6" t="s">
        <v>128</v>
      </c>
      <c r="D13" s="6" t="s">
        <v>135</v>
      </c>
      <c r="E13" s="2" t="s">
        <v>25</v>
      </c>
      <c r="F13" s="93" t="str">
        <f>VLOOKUP(G13,[1]Discrete!$A:$B,2,FALSE)</f>
        <v>FUGA TERRA</v>
      </c>
      <c r="G13" s="6" t="s">
        <v>139</v>
      </c>
      <c r="H13" s="6" t="str" cm="1">
        <f t="array" ref="H13">_xlfn.IFS(OR(D13="TC",D13="TP",D13="LT"),CONCATENATE(B13,"_",C13,$B$3,"_",C13,$B$3,"_",G13),D13="RET",CONCATENATE(B13,"_",C13,$B$3,"_",D13,$B$4,"_",G13))</f>
        <v>IMA_TSA1_RET1_FGTE</v>
      </c>
      <c r="I13" s="6" t="s">
        <v>267</v>
      </c>
      <c r="J13" s="6" t="s">
        <v>182</v>
      </c>
      <c r="K13" s="6" t="s">
        <v>179</v>
      </c>
      <c r="L13" s="8" t="s">
        <v>188</v>
      </c>
      <c r="M13" s="8" t="s">
        <v>188</v>
      </c>
      <c r="N13" s="93">
        <f t="shared" si="0"/>
        <v>910</v>
      </c>
    </row>
    <row r="14" spans="1:14" x14ac:dyDescent="0.25">
      <c r="A14" s="6" t="s">
        <v>190</v>
      </c>
      <c r="B14" s="6" t="str">
        <f>Informações!$C$3</f>
        <v>IMA</v>
      </c>
      <c r="C14" s="6" t="s">
        <v>128</v>
      </c>
      <c r="D14" s="6" t="s">
        <v>135</v>
      </c>
      <c r="E14" s="2" t="s">
        <v>25</v>
      </c>
      <c r="F14" s="6" t="str">
        <f>VLOOKUP(G14,[1]Discrete!$A:$B,2,FALSE)</f>
        <v>NEGATIVADO A TERRA</v>
      </c>
      <c r="G14" s="6" t="s">
        <v>140</v>
      </c>
      <c r="H14" s="94" t="s">
        <v>729</v>
      </c>
      <c r="I14" s="6" t="s">
        <v>267</v>
      </c>
      <c r="J14" s="6" t="s">
        <v>182</v>
      </c>
      <c r="K14" s="6" t="s">
        <v>179</v>
      </c>
      <c r="L14" s="8" t="s">
        <v>188</v>
      </c>
      <c r="M14" s="8" t="s">
        <v>188</v>
      </c>
      <c r="N14" s="6">
        <f t="shared" si="0"/>
        <v>911</v>
      </c>
    </row>
    <row r="15" spans="1:14" x14ac:dyDescent="0.25">
      <c r="A15" s="6" t="s">
        <v>190</v>
      </c>
      <c r="B15" s="6" t="str">
        <f>Informações!$C$3</f>
        <v>IMA</v>
      </c>
      <c r="C15" s="6" t="s">
        <v>128</v>
      </c>
      <c r="D15" s="6" t="s">
        <v>135</v>
      </c>
      <c r="E15" s="2" t="s">
        <v>25</v>
      </c>
      <c r="F15" s="6" t="str">
        <f>VLOOKUP(G15,[1]Discrete!$A:$B,2,FALSE)</f>
        <v>POSITIVO A TERRA</v>
      </c>
      <c r="G15" s="6" t="s">
        <v>141</v>
      </c>
      <c r="H15" s="94" t="s">
        <v>730</v>
      </c>
      <c r="I15" s="6" t="s">
        <v>267</v>
      </c>
      <c r="J15" s="6" t="s">
        <v>182</v>
      </c>
      <c r="K15" s="6" t="s">
        <v>179</v>
      </c>
      <c r="L15" s="8" t="s">
        <v>188</v>
      </c>
      <c r="M15" s="8" t="s">
        <v>188</v>
      </c>
      <c r="N15" s="6">
        <f t="shared" si="0"/>
        <v>912</v>
      </c>
    </row>
  </sheetData>
  <mergeCells count="4">
    <mergeCell ref="A1:N1"/>
    <mergeCell ref="B2:N2"/>
    <mergeCell ref="B3:N3"/>
    <mergeCell ref="B4:N4"/>
  </mergeCells>
  <conditionalFormatting sqref="E5:E1048576">
    <cfRule type="cellIs" dxfId="8" priority="10" operator="equal">
      <formula>"D"</formula>
    </cfRule>
    <cfRule type="cellIs" dxfId="7" priority="11" operator="equal">
      <formula>"C"</formula>
    </cfRule>
    <cfRule type="cellIs" dxfId="6" priority="12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A5EAF6-3641-413E-890E-5B7E5843917C}">
          <x14:formula1>
            <xm:f>Lista!$B$2:$B$3</xm:f>
          </x14:formula1>
          <xm:sqref>A7:A15</xm:sqref>
        </x14:dataValidation>
        <x14:dataValidation type="list" allowBlank="1" showInputMessage="1" showErrorMessage="1" xr:uid="{87F92DDB-1176-4635-8ACC-1DA86282685F}">
          <x14:formula1>
            <xm:f>Lista!$A$2:$A$19</xm:f>
          </x14:formula1>
          <xm:sqref>J7:K15</xm:sqref>
        </x14:dataValidation>
        <x14:dataValidation type="list" allowBlank="1" showInputMessage="1" showErrorMessage="1" xr:uid="{3D1D49CF-D5D9-468D-83A0-7E3D824B53C6}">
          <x14:formula1>
            <xm:f>Lista!$D$2:$D$4</xm:f>
          </x14:formula1>
          <xm:sqref>M7:M8</xm:sqref>
        </x14:dataValidation>
        <x14:dataValidation type="list" allowBlank="1" showInputMessage="1" showErrorMessage="1" xr:uid="{F34E18B9-FDEC-4C24-958D-E41933569568}">
          <x14:formula1>
            <xm:f>Lista!$E$2:$E$4</xm:f>
          </x14:formula1>
          <xm:sqref>I7:I15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B21-DD4D-47C2-A121-FBFF8724C49A}">
  <sheetPr>
    <tabColor theme="6"/>
  </sheetPr>
  <dimension ref="A1:N15"/>
  <sheetViews>
    <sheetView zoomScale="80" zoomScaleNormal="80" workbookViewId="0">
      <selection activeCell="C30" sqref="C30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10" t="s">
        <v>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ht="15" customHeight="1" x14ac:dyDescent="0.25">
      <c r="A2" s="3" t="s">
        <v>26</v>
      </c>
      <c r="B2" s="111" t="s">
        <v>168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5">
      <c r="A3" s="2" t="s">
        <v>128</v>
      </c>
      <c r="B3" s="109">
        <v>2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25">
      <c r="A4" s="2" t="s">
        <v>135</v>
      </c>
      <c r="B4" s="109">
        <v>2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s="4" customFormat="1" x14ac:dyDescent="0.25">
      <c r="B5" s="5"/>
      <c r="C5" s="5"/>
      <c r="D5" s="5"/>
      <c r="E5" s="5"/>
      <c r="F5" s="5"/>
      <c r="G5" s="5"/>
      <c r="H5" s="5"/>
      <c r="I5" s="5"/>
      <c r="J5" s="5"/>
      <c r="K5" s="5"/>
    </row>
    <row r="6" spans="1:14" ht="30" x14ac:dyDescent="0.25">
      <c r="A6" s="3" t="s">
        <v>189</v>
      </c>
      <c r="B6" s="3" t="s">
        <v>1</v>
      </c>
      <c r="C6" s="3" t="s">
        <v>83</v>
      </c>
      <c r="D6" s="3" t="s">
        <v>26</v>
      </c>
      <c r="E6" s="3" t="s">
        <v>7</v>
      </c>
      <c r="F6" s="3" t="s">
        <v>84</v>
      </c>
      <c r="G6" s="3" t="s">
        <v>85</v>
      </c>
      <c r="H6" s="3" t="s">
        <v>86</v>
      </c>
      <c r="I6" s="3" t="s">
        <v>254</v>
      </c>
      <c r="J6" s="3" t="s">
        <v>177</v>
      </c>
      <c r="K6" s="3" t="s">
        <v>178</v>
      </c>
      <c r="L6" s="3" t="s">
        <v>260</v>
      </c>
      <c r="M6" s="3" t="s">
        <v>266</v>
      </c>
      <c r="N6" s="3" t="s">
        <v>192</v>
      </c>
    </row>
    <row r="7" spans="1:14" x14ac:dyDescent="0.25">
      <c r="A7" s="6" t="s">
        <v>190</v>
      </c>
      <c r="B7" s="6" t="str">
        <f>Informações!$C$3</f>
        <v>IMA</v>
      </c>
      <c r="C7" s="6" t="s">
        <v>128</v>
      </c>
      <c r="D7" s="6" t="s">
        <v>135</v>
      </c>
      <c r="E7" s="2" t="s">
        <v>8</v>
      </c>
      <c r="F7" s="6" t="str">
        <f>VLOOKUP(G7,[1]Analog!$A:$B,2,FALSE)</f>
        <v>TENSAO CORRENTE CONTINUA</v>
      </c>
      <c r="G7" s="6" t="s">
        <v>133</v>
      </c>
      <c r="H7" s="6" t="str" cm="1">
        <f t="array" ref="H7">_xlfn.IFS(OR(D7="TC",D7="TP",D7="LT"),CONCATENATE(B7,"_",C7,$B$3,"_",C7,$B$3,"_",G7),D7="RET",CONCATENATE(B7,"_",C7,$B$3,"_",D7,$B$4,"_",G7))</f>
        <v>IMA_TSA2_RET2_VCC</v>
      </c>
      <c r="I7" s="6" t="s">
        <v>188</v>
      </c>
      <c r="J7" s="6" t="s">
        <v>188</v>
      </c>
      <c r="K7" s="6" t="s">
        <v>188</v>
      </c>
      <c r="L7" s="8">
        <v>0.01</v>
      </c>
      <c r="M7" s="6" t="s">
        <v>188</v>
      </c>
      <c r="N7" s="6">
        <f>'RET 1'!N8+1</f>
        <v>196</v>
      </c>
    </row>
    <row r="8" spans="1:14" x14ac:dyDescent="0.25">
      <c r="A8" s="93" t="s">
        <v>191</v>
      </c>
      <c r="B8" s="6" t="str">
        <f>Informações!$C$3</f>
        <v>IMA</v>
      </c>
      <c r="C8" s="6" t="s">
        <v>128</v>
      </c>
      <c r="D8" s="6" t="s">
        <v>135</v>
      </c>
      <c r="E8" s="2" t="s">
        <v>8</v>
      </c>
      <c r="F8" s="93" t="str">
        <f>VLOOKUP(G8,[1]Analog!$A:$B,2,FALSE)</f>
        <v>TENSAO BATERIAS</v>
      </c>
      <c r="G8" s="6" t="s">
        <v>134</v>
      </c>
      <c r="H8" s="6" t="str" cm="1">
        <f t="array" ref="H8">_xlfn.IFS(OR(D8="TC",D8="TP",D8="LT"),CONCATENATE(B8,"_",C8,$B$3,"_",C8,$B$3,"_",G8),D8="RET",CONCATENATE(B8,"_",C8,$B$3,"_",D8,$B$4,"_",G8))</f>
        <v>IMA_TSA2_RET2_VBAT</v>
      </c>
      <c r="I8" s="6" t="s">
        <v>188</v>
      </c>
      <c r="J8" s="6" t="s">
        <v>188</v>
      </c>
      <c r="K8" s="6" t="s">
        <v>188</v>
      </c>
      <c r="L8" s="8">
        <v>0.01</v>
      </c>
      <c r="M8" s="6" t="s">
        <v>188</v>
      </c>
      <c r="N8" s="93">
        <f>N7+1</f>
        <v>197</v>
      </c>
    </row>
    <row r="9" spans="1:14" x14ac:dyDescent="0.25">
      <c r="A9" s="6" t="s">
        <v>190</v>
      </c>
      <c r="B9" s="6" t="str">
        <f>Informações!$C$3</f>
        <v>IMA</v>
      </c>
      <c r="C9" s="6" t="s">
        <v>128</v>
      </c>
      <c r="D9" s="6" t="s">
        <v>135</v>
      </c>
      <c r="E9" s="2" t="s">
        <v>25</v>
      </c>
      <c r="F9" s="6" t="str">
        <f>VLOOKUP(G9,[1]Discrete!$A:$B,2,FALSE)</f>
        <v>ALARME BATERIA</v>
      </c>
      <c r="G9" s="6" t="s">
        <v>136</v>
      </c>
      <c r="H9" s="6" t="str" cm="1">
        <f t="array" ref="H9">_xlfn.IFS(OR(D9="TC",D9="TP",D9="LT"),CONCATENATE(B9,"_",C9,$B$3,"_",C9,$B$3,"_",G9),D9="RET",CONCATENATE(B9,"_",C9,$B$3,"_",D9,$B$4,"_",G9))</f>
        <v>IMA_TSA2_RET2_BATA</v>
      </c>
      <c r="I9" s="6" t="s">
        <v>267</v>
      </c>
      <c r="J9" s="6" t="s">
        <v>182</v>
      </c>
      <c r="K9" s="6" t="s">
        <v>179</v>
      </c>
      <c r="L9" s="8" t="s">
        <v>188</v>
      </c>
      <c r="M9" s="8" t="s">
        <v>188</v>
      </c>
      <c r="N9" s="6">
        <f>'RET 1'!N15+1</f>
        <v>913</v>
      </c>
    </row>
    <row r="10" spans="1:14" x14ac:dyDescent="0.25">
      <c r="A10" s="93" t="s">
        <v>191</v>
      </c>
      <c r="B10" s="6" t="str">
        <f>Informações!$C$3</f>
        <v>IMA</v>
      </c>
      <c r="C10" s="6" t="s">
        <v>128</v>
      </c>
      <c r="D10" s="6" t="s">
        <v>135</v>
      </c>
      <c r="E10" s="2" t="s">
        <v>25</v>
      </c>
      <c r="F10" s="93" t="str">
        <f>VLOOKUP(G10,[1]Discrete!$A:$B,2,FALSE)</f>
        <v>BATERIA EM DESCARGA</v>
      </c>
      <c r="G10" s="6" t="s">
        <v>137</v>
      </c>
      <c r="H10" s="6" t="str" cm="1">
        <f t="array" ref="H10">_xlfn.IFS(OR(D10="TC",D10="TP",D10="LT"),CONCATENATE(B10,"_",C10,$B$3,"_",C10,$B$3,"_",G10),D10="RET",CONCATENATE(B10,"_",C10,$B$3,"_",D10,$B$4,"_",G10))</f>
        <v>IMA_TSA2_RET2_BADC</v>
      </c>
      <c r="I10" s="6" t="s">
        <v>267</v>
      </c>
      <c r="J10" s="6" t="s">
        <v>182</v>
      </c>
      <c r="K10" s="6" t="s">
        <v>179</v>
      </c>
      <c r="L10" s="8" t="s">
        <v>188</v>
      </c>
      <c r="M10" s="8" t="s">
        <v>188</v>
      </c>
      <c r="N10" s="93">
        <f t="shared" ref="N10:N15" si="0">N9+1</f>
        <v>914</v>
      </c>
    </row>
    <row r="11" spans="1:14" x14ac:dyDescent="0.25">
      <c r="A11" s="6" t="s">
        <v>190</v>
      </c>
      <c r="B11" s="6" t="str">
        <f>Informações!$C$3</f>
        <v>IMA</v>
      </c>
      <c r="C11" s="6" t="s">
        <v>128</v>
      </c>
      <c r="D11" s="6" t="s">
        <v>135</v>
      </c>
      <c r="E11" s="2" t="s">
        <v>25</v>
      </c>
      <c r="F11" s="6" t="str">
        <f>VLOOKUP(G11,[1]Discrete!$A:$B,2,FALSE)</f>
        <v>DEFEITO RETIFICADOR</v>
      </c>
      <c r="G11" s="6" t="s">
        <v>138</v>
      </c>
      <c r="H11" s="6" t="str" cm="1">
        <f t="array" ref="H11">_xlfn.IFS(OR(D11="TC",D11="TP",D11="LT"),CONCATENATE(B11,"_",C11,$B$3,"_",C11,$B$3,"_",G11),D11="RET",CONCATENATE(B11,"_",C11,$B$3,"_",D11,$B$4,"_",G11))</f>
        <v>IMA_TSA2_RET2_DRET</v>
      </c>
      <c r="I11" s="6" t="s">
        <v>267</v>
      </c>
      <c r="J11" s="6" t="s">
        <v>182</v>
      </c>
      <c r="K11" s="6" t="s">
        <v>181</v>
      </c>
      <c r="L11" s="8" t="s">
        <v>188</v>
      </c>
      <c r="M11" s="8" t="s">
        <v>188</v>
      </c>
      <c r="N11" s="6">
        <f t="shared" si="0"/>
        <v>915</v>
      </c>
    </row>
    <row r="12" spans="1:14" x14ac:dyDescent="0.25">
      <c r="A12" s="93" t="s">
        <v>191</v>
      </c>
      <c r="B12" s="6" t="str">
        <f>Informações!$C$3</f>
        <v>IMA</v>
      </c>
      <c r="C12" s="6" t="s">
        <v>128</v>
      </c>
      <c r="D12" s="6" t="s">
        <v>135</v>
      </c>
      <c r="E12" s="2" t="s">
        <v>25</v>
      </c>
      <c r="F12" s="93" t="str">
        <f>VLOOKUP(G12,[1]Discrete!$A:$B,2,FALSE)</f>
        <v>FALTA VCA</v>
      </c>
      <c r="G12" s="6" t="s">
        <v>43</v>
      </c>
      <c r="H12" s="6" t="str" cm="1">
        <f t="array" ref="H12">_xlfn.IFS(OR(D12="TC",D12="TP",D12="LT"),CONCATENATE(B12,"_",C12,$B$3,"_",C12,$B$3,"_",G12),D12="RET",CONCATENATE(B12,"_",C12,$B$3,"_",D12,$B$4,"_",G12))</f>
        <v>IMA_TSA2_RET2_CAFL</v>
      </c>
      <c r="I12" s="6" t="s">
        <v>267</v>
      </c>
      <c r="J12" s="6" t="s">
        <v>182</v>
      </c>
      <c r="K12" s="6" t="s">
        <v>179</v>
      </c>
      <c r="L12" s="8" t="s">
        <v>188</v>
      </c>
      <c r="M12" s="8" t="s">
        <v>188</v>
      </c>
      <c r="N12" s="93">
        <f t="shared" si="0"/>
        <v>916</v>
      </c>
    </row>
    <row r="13" spans="1:14" x14ac:dyDescent="0.25">
      <c r="A13" s="93" t="s">
        <v>191</v>
      </c>
      <c r="B13" s="6" t="str">
        <f>Informações!$C$3</f>
        <v>IMA</v>
      </c>
      <c r="C13" s="6" t="s">
        <v>128</v>
      </c>
      <c r="D13" s="6" t="s">
        <v>135</v>
      </c>
      <c r="E13" s="2" t="s">
        <v>25</v>
      </c>
      <c r="F13" s="93" t="str">
        <f>VLOOKUP(G13,[1]Discrete!$A:$B,2,FALSE)</f>
        <v>FUGA TERRA</v>
      </c>
      <c r="G13" s="6" t="s">
        <v>139</v>
      </c>
      <c r="H13" s="6" t="str" cm="1">
        <f t="array" ref="H13">_xlfn.IFS(OR(D13="TC",D13="TP",D13="LT"),CONCATENATE(B13,"_",C13,$B$3,"_",C13,$B$3,"_",G13),D13="RET",CONCATENATE(B13,"_",C13,$B$3,"_",D13,$B$4,"_",G13))</f>
        <v>IMA_TSA2_RET2_FGTE</v>
      </c>
      <c r="I13" s="6" t="s">
        <v>267</v>
      </c>
      <c r="J13" s="6" t="s">
        <v>182</v>
      </c>
      <c r="K13" s="6" t="s">
        <v>179</v>
      </c>
      <c r="L13" s="8" t="s">
        <v>188</v>
      </c>
      <c r="M13" s="8" t="s">
        <v>188</v>
      </c>
      <c r="N13" s="93">
        <f t="shared" si="0"/>
        <v>917</v>
      </c>
    </row>
    <row r="14" spans="1:14" x14ac:dyDescent="0.25">
      <c r="A14" s="93" t="s">
        <v>191</v>
      </c>
      <c r="B14" s="6" t="str">
        <f>Informações!$C$3</f>
        <v>IMA</v>
      </c>
      <c r="C14" s="6" t="s">
        <v>128</v>
      </c>
      <c r="D14" s="6" t="s">
        <v>135</v>
      </c>
      <c r="E14" s="2" t="s">
        <v>25</v>
      </c>
      <c r="F14" s="93" t="str">
        <f>VLOOKUP(G14,[1]Discrete!$A:$B,2,FALSE)</f>
        <v>NEGATIVADO A TERRA</v>
      </c>
      <c r="G14" s="6" t="s">
        <v>140</v>
      </c>
      <c r="H14" s="6" t="str" cm="1">
        <f t="array" ref="H14">_xlfn.IFS(OR(D14="TC",D14="TP",D14="LT"),CONCATENATE(B14,"_",C14,$B$3,"_",C14,$B$3,"_",G14),D14="RET",CONCATENATE(B14,"_",C14,$B$3,"_",D14,$B$4,"_",G14))</f>
        <v>IMA_TSA2_RET2_NEGT</v>
      </c>
      <c r="I14" s="6" t="s">
        <v>267</v>
      </c>
      <c r="J14" s="6" t="s">
        <v>182</v>
      </c>
      <c r="K14" s="6" t="s">
        <v>179</v>
      </c>
      <c r="L14" s="8" t="s">
        <v>188</v>
      </c>
      <c r="M14" s="8" t="s">
        <v>188</v>
      </c>
      <c r="N14" s="93">
        <f t="shared" si="0"/>
        <v>918</v>
      </c>
    </row>
    <row r="15" spans="1:14" x14ac:dyDescent="0.25">
      <c r="A15" s="93" t="s">
        <v>191</v>
      </c>
      <c r="B15" s="6" t="str">
        <f>Informações!$C$3</f>
        <v>IMA</v>
      </c>
      <c r="C15" s="6" t="s">
        <v>128</v>
      </c>
      <c r="D15" s="6" t="s">
        <v>135</v>
      </c>
      <c r="E15" s="2" t="s">
        <v>25</v>
      </c>
      <c r="F15" s="93" t="str">
        <f>VLOOKUP(G15,[1]Discrete!$A:$B,2,FALSE)</f>
        <v>POSITIVO A TERRA</v>
      </c>
      <c r="G15" s="6" t="s">
        <v>141</v>
      </c>
      <c r="H15" s="6" t="str" cm="1">
        <f t="array" ref="H15">_xlfn.IFS(OR(D15="TC",D15="TP",D15="LT"),CONCATENATE(B15,"_",C15,$B$3,"_",C15,$B$3,"_",G15),D15="RET",CONCATENATE(B15,"_",C15,$B$3,"_",D15,$B$4,"_",G15))</f>
        <v>IMA_TSA2_RET2_POST</v>
      </c>
      <c r="I15" s="6" t="s">
        <v>267</v>
      </c>
      <c r="J15" s="6" t="s">
        <v>182</v>
      </c>
      <c r="K15" s="6" t="s">
        <v>179</v>
      </c>
      <c r="L15" s="8" t="s">
        <v>188</v>
      </c>
      <c r="M15" s="8" t="s">
        <v>188</v>
      </c>
      <c r="N15" s="93">
        <f t="shared" si="0"/>
        <v>919</v>
      </c>
    </row>
  </sheetData>
  <mergeCells count="4">
    <mergeCell ref="A1:N1"/>
    <mergeCell ref="B2:N2"/>
    <mergeCell ref="B3:N3"/>
    <mergeCell ref="B4:N4"/>
  </mergeCells>
  <conditionalFormatting sqref="E5:E1048576">
    <cfRule type="cellIs" dxfId="5" priority="7" operator="equal">
      <formula>"D"</formula>
    </cfRule>
    <cfRule type="cellIs" dxfId="4" priority="8" operator="equal">
      <formula>"C"</formula>
    </cfRule>
    <cfRule type="cellIs" dxfId="3" priority="9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1AC021-8CC0-44B6-96B4-5AE62CBDE863}">
          <x14:formula1>
            <xm:f>Lista!$D$2:$D$4</xm:f>
          </x14:formula1>
          <xm:sqref>M7:M8</xm:sqref>
        </x14:dataValidation>
        <x14:dataValidation type="list" allowBlank="1" showInputMessage="1" showErrorMessage="1" xr:uid="{EC210A65-E33C-4783-A505-4E80DDBEBF28}">
          <x14:formula1>
            <xm:f>Lista!$E$2:$E$4</xm:f>
          </x14:formula1>
          <xm:sqref>I7:I15</xm:sqref>
        </x14:dataValidation>
        <x14:dataValidation type="list" allowBlank="1" showInputMessage="1" showErrorMessage="1" xr:uid="{A30DC967-B684-45E4-931C-B794700F85B0}">
          <x14:formula1>
            <xm:f>Lista!$A$2:$A$19</xm:f>
          </x14:formula1>
          <xm:sqref>J7:K15</xm:sqref>
        </x14:dataValidation>
        <x14:dataValidation type="list" allowBlank="1" showInputMessage="1" showErrorMessage="1" xr:uid="{50D3F541-6AA6-4146-A347-9AA9C457D6A1}">
          <x14:formula1>
            <xm:f>Lista!$B$2:$B$3</xm:f>
          </x14:formula1>
          <xm:sqref>A7:A15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1B4D-7A2D-4965-84DB-B2072C4E739C}">
  <sheetPr>
    <tabColor theme="3"/>
  </sheetPr>
  <dimension ref="A1:N13"/>
  <sheetViews>
    <sheetView zoomScale="70" zoomScaleNormal="70" workbookViewId="0">
      <selection activeCell="N4" sqref="N4:N13"/>
    </sheetView>
  </sheetViews>
  <sheetFormatPr defaultColWidth="9.140625" defaultRowHeight="15" x14ac:dyDescent="0.25"/>
  <cols>
    <col min="1" max="1" width="14.7109375" style="1" bestFit="1" customWidth="1"/>
    <col min="2" max="2" width="16.28515625" style="1" customWidth="1"/>
    <col min="3" max="3" width="10.7109375" style="1" customWidth="1"/>
    <col min="4" max="4" width="18.28515625" style="1" customWidth="1"/>
    <col min="5" max="5" width="14.28515625" style="1" customWidth="1"/>
    <col min="6" max="6" width="53.28515625" style="1" bestFit="1" customWidth="1"/>
    <col min="7" max="7" width="14.28515625" style="1" customWidth="1"/>
    <col min="8" max="8" width="35.7109375" style="1" customWidth="1"/>
    <col min="9" max="9" width="13.85546875" style="1" bestFit="1" customWidth="1"/>
    <col min="10" max="11" width="13.28515625" style="1" bestFit="1" customWidth="1"/>
    <col min="12" max="12" width="13.28515625" style="1" customWidth="1"/>
    <col min="13" max="13" width="14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57" t="s">
        <v>142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spans="1:14" s="4" customFormat="1" x14ac:dyDescent="0.25">
      <c r="B2" s="5"/>
      <c r="C2" s="5"/>
      <c r="D2" s="5"/>
      <c r="E2" s="5"/>
      <c r="F2" s="5"/>
      <c r="G2" s="5"/>
      <c r="H2" s="5"/>
    </row>
    <row r="3" spans="1:14" ht="30" x14ac:dyDescent="0.25">
      <c r="A3" s="3" t="s">
        <v>189</v>
      </c>
      <c r="B3" s="3" t="s">
        <v>1</v>
      </c>
      <c r="C3" s="3" t="s">
        <v>83</v>
      </c>
      <c r="D3" s="3" t="s">
        <v>26</v>
      </c>
      <c r="E3" s="3" t="s">
        <v>7</v>
      </c>
      <c r="F3" s="3" t="s">
        <v>84</v>
      </c>
      <c r="G3" s="3" t="s">
        <v>85</v>
      </c>
      <c r="H3" s="3" t="s">
        <v>86</v>
      </c>
      <c r="I3" s="3" t="s">
        <v>254</v>
      </c>
      <c r="J3" s="3" t="s">
        <v>177</v>
      </c>
      <c r="K3" s="3" t="s">
        <v>178</v>
      </c>
      <c r="L3" s="3" t="s">
        <v>260</v>
      </c>
      <c r="M3" s="3" t="s">
        <v>266</v>
      </c>
      <c r="N3" s="3" t="s">
        <v>192</v>
      </c>
    </row>
    <row r="4" spans="1:14" x14ac:dyDescent="0.25">
      <c r="A4" s="6" t="s">
        <v>191</v>
      </c>
      <c r="B4" s="6" t="str">
        <f>Informações!$C$3</f>
        <v>IMA</v>
      </c>
      <c r="C4" s="6" t="s">
        <v>153</v>
      </c>
      <c r="D4" s="6" t="s">
        <v>153</v>
      </c>
      <c r="E4" s="2" t="s">
        <v>8</v>
      </c>
      <c r="F4" s="6" t="str">
        <f>VLOOKUP(G4,[1]Analog!$A:$B,2,FALSE)</f>
        <v>TEMPERATURA AMBIENTE</v>
      </c>
      <c r="G4" s="6" t="s">
        <v>152</v>
      </c>
      <c r="H4" s="6" t="str">
        <f>CONCATENATE(B4,"_",C4,"_",C4,"_",G4)</f>
        <v>IMA_SE_SE_TPAM</v>
      </c>
      <c r="I4" s="6" t="s">
        <v>188</v>
      </c>
      <c r="J4" s="6" t="s">
        <v>188</v>
      </c>
      <c r="K4" s="6" t="s">
        <v>188</v>
      </c>
      <c r="L4" s="8">
        <v>1</v>
      </c>
      <c r="M4" s="6" t="s">
        <v>188</v>
      </c>
      <c r="N4" s="6"/>
    </row>
    <row r="5" spans="1:14" x14ac:dyDescent="0.25">
      <c r="A5" s="6" t="s">
        <v>191</v>
      </c>
      <c r="B5" s="6" t="str">
        <f>Informações!$C$3</f>
        <v>IMA</v>
      </c>
      <c r="C5" s="6" t="s">
        <v>153</v>
      </c>
      <c r="D5" s="6" t="s">
        <v>153</v>
      </c>
      <c r="E5" s="2" t="s">
        <v>24</v>
      </c>
      <c r="F5" s="6" t="str">
        <f>VLOOKUP(G5,[1]Discrete!$A:$B,2,FALSE)</f>
        <v>ALARME PREDIAL</v>
      </c>
      <c r="G5" s="6" t="s">
        <v>143</v>
      </c>
      <c r="H5" s="6" t="str">
        <f t="shared" ref="H5:H13" si="0">CONCATENATE(B5,"_",C5,"_",C5,"_",G5)</f>
        <v>IMA_SE_SE_PRES</v>
      </c>
      <c r="I5" s="6"/>
      <c r="J5" s="6"/>
      <c r="K5" s="6"/>
      <c r="L5" s="8" t="s">
        <v>188</v>
      </c>
      <c r="M5" s="6"/>
      <c r="N5" s="6"/>
    </row>
    <row r="6" spans="1:14" x14ac:dyDescent="0.25">
      <c r="A6" s="6" t="s">
        <v>191</v>
      </c>
      <c r="B6" s="6" t="str">
        <f>Informações!$C$3</f>
        <v>IMA</v>
      </c>
      <c r="C6" s="6" t="s">
        <v>153</v>
      </c>
      <c r="D6" s="6" t="s">
        <v>153</v>
      </c>
      <c r="E6" s="2" t="s">
        <v>25</v>
      </c>
      <c r="F6" s="6" t="str">
        <f>VLOOKUP(G6,[1]Discrete!$A:$B,2,FALSE)</f>
        <v>ALARME PREDIAL</v>
      </c>
      <c r="G6" s="6" t="s">
        <v>143</v>
      </c>
      <c r="H6" s="6" t="str">
        <f t="shared" si="0"/>
        <v>IMA_SE_SE_PRES</v>
      </c>
      <c r="I6" s="6" t="s">
        <v>267</v>
      </c>
      <c r="J6" s="6" t="s">
        <v>184</v>
      </c>
      <c r="K6" s="6" t="s">
        <v>183</v>
      </c>
      <c r="L6" s="8" t="s">
        <v>188</v>
      </c>
      <c r="M6" s="6" t="s">
        <v>188</v>
      </c>
      <c r="N6" s="6"/>
    </row>
    <row r="7" spans="1:14" x14ac:dyDescent="0.25">
      <c r="A7" s="6" t="s">
        <v>191</v>
      </c>
      <c r="B7" s="6" t="str">
        <f>Informações!$C$3</f>
        <v>IMA</v>
      </c>
      <c r="C7" s="6" t="s">
        <v>153</v>
      </c>
      <c r="D7" s="6" t="s">
        <v>153</v>
      </c>
      <c r="E7" s="2" t="s">
        <v>25</v>
      </c>
      <c r="F7" s="6" t="str">
        <f>VLOOKUP(G7,[1]Discrete!$A:$B,2,FALSE)</f>
        <v>ALARME PREDIAL PRESENCA EXTERNA</v>
      </c>
      <c r="G7" s="6" t="s">
        <v>144</v>
      </c>
      <c r="H7" s="6" t="str">
        <f t="shared" si="0"/>
        <v>IMA_SE_SE_PREX</v>
      </c>
      <c r="I7" s="6" t="s">
        <v>267</v>
      </c>
      <c r="J7" s="6" t="s">
        <v>182</v>
      </c>
      <c r="K7" s="6" t="s">
        <v>179</v>
      </c>
      <c r="L7" s="8" t="s">
        <v>188</v>
      </c>
      <c r="M7" s="6" t="s">
        <v>188</v>
      </c>
      <c r="N7" s="6"/>
    </row>
    <row r="8" spans="1:14" x14ac:dyDescent="0.25">
      <c r="A8" s="6" t="s">
        <v>191</v>
      </c>
      <c r="B8" s="6" t="str">
        <f>Informações!$C$3</f>
        <v>IMA</v>
      </c>
      <c r="C8" s="6" t="s">
        <v>153</v>
      </c>
      <c r="D8" s="6" t="s">
        <v>153</v>
      </c>
      <c r="E8" s="2" t="s">
        <v>25</v>
      </c>
      <c r="F8" s="6" t="str">
        <f>VLOOKUP(G8,[1]Discrete!$A:$B,2,FALSE)</f>
        <v>ALARME PREDIAL PRESENCA INTERNA</v>
      </c>
      <c r="G8" s="6" t="s">
        <v>145</v>
      </c>
      <c r="H8" s="6" t="str">
        <f t="shared" si="0"/>
        <v>IMA_SE_SE_PRIN</v>
      </c>
      <c r="I8" s="6" t="s">
        <v>267</v>
      </c>
      <c r="J8" s="6" t="s">
        <v>182</v>
      </c>
      <c r="K8" s="6" t="s">
        <v>179</v>
      </c>
      <c r="L8" s="8" t="s">
        <v>188</v>
      </c>
      <c r="M8" s="6" t="s">
        <v>188</v>
      </c>
      <c r="N8" s="6"/>
    </row>
    <row r="9" spans="1:14" x14ac:dyDescent="0.25">
      <c r="A9" s="6" t="s">
        <v>191</v>
      </c>
      <c r="B9" s="6" t="str">
        <f>Informações!$C$3</f>
        <v>IMA</v>
      </c>
      <c r="C9" s="6" t="s">
        <v>153</v>
      </c>
      <c r="D9" s="6" t="s">
        <v>153</v>
      </c>
      <c r="E9" s="2" t="s">
        <v>25</v>
      </c>
      <c r="F9" s="6" t="str">
        <f>VLOOKUP(G9,[1]Discrete!$A:$B,2,FALSE)</f>
        <v>CENTRAL DE ALARME DEFEITO</v>
      </c>
      <c r="G9" s="6" t="s">
        <v>146</v>
      </c>
      <c r="H9" s="6" t="str">
        <f t="shared" si="0"/>
        <v>IMA_SE_SE_DEFC</v>
      </c>
      <c r="I9" s="6" t="s">
        <v>267</v>
      </c>
      <c r="J9" s="6" t="s">
        <v>182</v>
      </c>
      <c r="K9" s="6" t="s">
        <v>179</v>
      </c>
      <c r="L9" s="8" t="s">
        <v>188</v>
      </c>
      <c r="M9" s="6" t="s">
        <v>188</v>
      </c>
      <c r="N9" s="6"/>
    </row>
    <row r="10" spans="1:14" x14ac:dyDescent="0.25">
      <c r="A10" s="6" t="s">
        <v>191</v>
      </c>
      <c r="B10" s="6" t="str">
        <f>Informações!$C$3</f>
        <v>IMA</v>
      </c>
      <c r="C10" s="6" t="s">
        <v>153</v>
      </c>
      <c r="D10" s="6" t="s">
        <v>153</v>
      </c>
      <c r="E10" s="2" t="s">
        <v>25</v>
      </c>
      <c r="F10" s="6" t="str">
        <f>VLOOKUP(G10,[1]Discrete!$A:$B,2,FALSE)</f>
        <v>COMANDO</v>
      </c>
      <c r="G10" s="6" t="s">
        <v>147</v>
      </c>
      <c r="H10" s="6" t="str">
        <f t="shared" si="0"/>
        <v>IMA_SE_SE_CMD</v>
      </c>
      <c r="I10" s="6" t="s">
        <v>267</v>
      </c>
      <c r="J10" s="6" t="s">
        <v>182</v>
      </c>
      <c r="K10" s="6" t="s">
        <v>179</v>
      </c>
      <c r="L10" s="8" t="s">
        <v>188</v>
      </c>
      <c r="M10" s="6" t="s">
        <v>188</v>
      </c>
      <c r="N10" s="6"/>
    </row>
    <row r="11" spans="1:14" x14ac:dyDescent="0.25">
      <c r="A11" s="6" t="s">
        <v>191</v>
      </c>
      <c r="B11" s="6" t="str">
        <f>Informações!$C$3</f>
        <v>IMA</v>
      </c>
      <c r="C11" s="6" t="s">
        <v>153</v>
      </c>
      <c r="D11" s="6" t="s">
        <v>153</v>
      </c>
      <c r="E11" s="2" t="s">
        <v>25</v>
      </c>
      <c r="F11" s="6" t="str">
        <f>VLOOKUP(G11,[1]Discrete!$A:$B,2,FALSE)</f>
        <v>PORTA SUBESTACAO</v>
      </c>
      <c r="G11" s="6" t="s">
        <v>149</v>
      </c>
      <c r="H11" s="6" t="str">
        <f t="shared" si="0"/>
        <v>IMA_SE_SE_PORT</v>
      </c>
      <c r="I11" s="6" t="s">
        <v>267</v>
      </c>
      <c r="J11" s="6" t="s">
        <v>182</v>
      </c>
      <c r="K11" s="6" t="s">
        <v>179</v>
      </c>
      <c r="L11" s="8" t="s">
        <v>188</v>
      </c>
      <c r="M11" s="6" t="s">
        <v>188</v>
      </c>
      <c r="N11" s="6"/>
    </row>
    <row r="12" spans="1:14" x14ac:dyDescent="0.25">
      <c r="A12" s="6" t="s">
        <v>191</v>
      </c>
      <c r="B12" s="6" t="str">
        <f>Informações!$C$3</f>
        <v>IMA</v>
      </c>
      <c r="C12" s="6" t="s">
        <v>153</v>
      </c>
      <c r="D12" s="6" t="s">
        <v>153</v>
      </c>
      <c r="E12" s="2" t="s">
        <v>25</v>
      </c>
      <c r="F12" s="6" t="str">
        <f>VLOOKUP(G12,[1]Discrete!$A:$B,2,FALSE)</f>
        <v>DEFEITO SENSOR EXTERNO</v>
      </c>
      <c r="G12" s="6" t="s">
        <v>150</v>
      </c>
      <c r="H12" s="6" t="str">
        <f t="shared" si="0"/>
        <v>IMA_SE_SE_DSEX</v>
      </c>
      <c r="I12" s="6" t="s">
        <v>267</v>
      </c>
      <c r="J12" s="6" t="s">
        <v>182</v>
      </c>
      <c r="K12" s="6" t="s">
        <v>179</v>
      </c>
      <c r="L12" s="8" t="s">
        <v>188</v>
      </c>
      <c r="M12" s="6" t="s">
        <v>188</v>
      </c>
      <c r="N12" s="6"/>
    </row>
    <row r="13" spans="1:14" x14ac:dyDescent="0.25">
      <c r="A13" s="6" t="s">
        <v>191</v>
      </c>
      <c r="B13" s="6" t="str">
        <f>Informações!$C$3</f>
        <v>IMA</v>
      </c>
      <c r="C13" s="6" t="s">
        <v>153</v>
      </c>
      <c r="D13" s="6" t="s">
        <v>153</v>
      </c>
      <c r="E13" s="2" t="s">
        <v>25</v>
      </c>
      <c r="F13" s="6" t="str">
        <f>VLOOKUP(G13,[1]Discrete!$A:$B,2,FALSE)</f>
        <v>SENSOR FUMACA</v>
      </c>
      <c r="G13" s="6" t="s">
        <v>151</v>
      </c>
      <c r="H13" s="6" t="str">
        <f t="shared" si="0"/>
        <v>IMA_SE_SE_FUMA</v>
      </c>
      <c r="I13" s="6" t="s">
        <v>267</v>
      </c>
      <c r="J13" s="6" t="s">
        <v>182</v>
      </c>
      <c r="K13" s="6" t="s">
        <v>179</v>
      </c>
      <c r="L13" s="8" t="s">
        <v>188</v>
      </c>
      <c r="M13" s="6" t="s">
        <v>188</v>
      </c>
      <c r="N13" s="6"/>
    </row>
  </sheetData>
  <mergeCells count="1">
    <mergeCell ref="A1:N1"/>
  </mergeCells>
  <conditionalFormatting sqref="E2:E1048576">
    <cfRule type="cellIs" dxfId="2" priority="4" operator="equal">
      <formula>"D"</formula>
    </cfRule>
    <cfRule type="cellIs" dxfId="1" priority="5" operator="equal">
      <formula>"C"</formula>
    </cfRule>
    <cfRule type="cellIs" dxfId="0" priority="6" operator="equal">
      <formula>"A"</formula>
    </cfRule>
  </conditionalFormatting>
  <pageMargins left="0.511811024" right="0.511811024" top="0.78740157499999996" bottom="0.78740157499999996" header="0.31496062000000002" footer="0.31496062000000002"/>
  <headerFooter>
    <oddHeader>&amp;L&amp;"Calibri"&amp;10&amp;K000000 Uso Público CPFL&amp;1#_x000D_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986D53-27FE-4E0A-8286-B53FDD5A0910}">
          <x14:formula1>
            <xm:f>Lista!$B$2:$B$3</xm:f>
          </x14:formula1>
          <xm:sqref>A4:A13</xm:sqref>
        </x14:dataValidation>
        <x14:dataValidation type="list" allowBlank="1" showInputMessage="1" showErrorMessage="1" xr:uid="{23001619-32D4-4FB5-ACA6-DFA0A1108688}">
          <x14:formula1>
            <xm:f>Lista!$E$2:$E$4</xm:f>
          </x14:formula1>
          <xm:sqref>I4:I13</xm:sqref>
        </x14:dataValidation>
        <x14:dataValidation type="list" allowBlank="1" showInputMessage="1" showErrorMessage="1" xr:uid="{90E3390C-FA25-437D-BFB6-A25E4289660B}">
          <x14:formula1>
            <xm:f>Lista!$D$2:$D$4</xm:f>
          </x14:formula1>
          <xm:sqref>M4:M13</xm:sqref>
        </x14:dataValidation>
        <x14:dataValidation type="list" allowBlank="1" showInputMessage="1" showErrorMessage="1" xr:uid="{46535AA5-D14F-455F-AD5B-9136FD37F2D2}">
          <x14:formula1>
            <xm:f>Lista!$A$2:$A$19</xm:f>
          </x14:formula1>
          <xm:sqref>J4:K13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065D-EEEE-4B8A-9ECB-77A68B0CE1FE}">
  <sheetPr>
    <tabColor theme="1" tint="0.499984740745262"/>
  </sheetPr>
  <dimension ref="A1:G19"/>
  <sheetViews>
    <sheetView workbookViewId="0">
      <selection activeCell="D14" sqref="D14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27.42578125" customWidth="1"/>
    <col min="4" max="4" width="35.28515625" bestFit="1" customWidth="1"/>
    <col min="5" max="5" width="13.28515625" bestFit="1" customWidth="1"/>
  </cols>
  <sheetData>
    <row r="1" spans="1:7" x14ac:dyDescent="0.25">
      <c r="A1" t="s">
        <v>241</v>
      </c>
      <c r="B1" t="s">
        <v>189</v>
      </c>
      <c r="C1" s="12" t="s">
        <v>242</v>
      </c>
      <c r="D1" t="s">
        <v>265</v>
      </c>
      <c r="E1" t="s">
        <v>254</v>
      </c>
      <c r="F1" t="s">
        <v>255</v>
      </c>
      <c r="G1" t="s">
        <v>272</v>
      </c>
    </row>
    <row r="2" spans="1:7" x14ac:dyDescent="0.25">
      <c r="A2" t="s">
        <v>281</v>
      </c>
      <c r="B2" t="s">
        <v>190</v>
      </c>
      <c r="C2" s="12" t="s">
        <v>252</v>
      </c>
      <c r="D2" t="s">
        <v>279</v>
      </c>
      <c r="E2" t="s">
        <v>267</v>
      </c>
      <c r="F2" t="s">
        <v>3</v>
      </c>
      <c r="G2" t="s">
        <v>273</v>
      </c>
    </row>
    <row r="3" spans="1:7" x14ac:dyDescent="0.25">
      <c r="A3" t="s">
        <v>179</v>
      </c>
      <c r="B3" t="s">
        <v>191</v>
      </c>
      <c r="C3" s="12" t="s">
        <v>244</v>
      </c>
      <c r="D3" t="s">
        <v>280</v>
      </c>
      <c r="E3" t="s">
        <v>268</v>
      </c>
      <c r="F3" t="s">
        <v>5</v>
      </c>
      <c r="G3" t="s">
        <v>274</v>
      </c>
    </row>
    <row r="4" spans="1:7" x14ac:dyDescent="0.25">
      <c r="A4" t="s">
        <v>209</v>
      </c>
      <c r="C4" s="12" t="s">
        <v>244</v>
      </c>
      <c r="D4" t="s">
        <v>188</v>
      </c>
      <c r="E4" t="s">
        <v>188</v>
      </c>
      <c r="F4" t="s">
        <v>4</v>
      </c>
    </row>
    <row r="5" spans="1:7" x14ac:dyDescent="0.25">
      <c r="A5" t="s">
        <v>282</v>
      </c>
      <c r="C5" s="12" t="s">
        <v>251</v>
      </c>
    </row>
    <row r="6" spans="1:7" x14ac:dyDescent="0.25">
      <c r="A6" t="s">
        <v>181</v>
      </c>
      <c r="C6" s="12" t="s">
        <v>247</v>
      </c>
    </row>
    <row r="7" spans="1:7" x14ac:dyDescent="0.25">
      <c r="A7" t="s">
        <v>283</v>
      </c>
      <c r="C7" s="12" t="s">
        <v>250</v>
      </c>
    </row>
    <row r="8" spans="1:7" x14ac:dyDescent="0.25">
      <c r="A8" t="s">
        <v>284</v>
      </c>
      <c r="C8" s="12" t="s">
        <v>249</v>
      </c>
    </row>
    <row r="9" spans="1:7" x14ac:dyDescent="0.25">
      <c r="A9" t="s">
        <v>184</v>
      </c>
      <c r="C9" s="12" t="s">
        <v>243</v>
      </c>
    </row>
    <row r="10" spans="1:7" x14ac:dyDescent="0.25">
      <c r="A10" t="s">
        <v>180</v>
      </c>
      <c r="C10" s="12" t="s">
        <v>245</v>
      </c>
    </row>
    <row r="11" spans="1:7" x14ac:dyDescent="0.25">
      <c r="A11" t="s">
        <v>187</v>
      </c>
      <c r="C11" s="12" t="s">
        <v>246</v>
      </c>
    </row>
    <row r="12" spans="1:7" x14ac:dyDescent="0.25">
      <c r="A12" t="s">
        <v>285</v>
      </c>
      <c r="C12" s="12" t="s">
        <v>248</v>
      </c>
    </row>
    <row r="13" spans="1:7" x14ac:dyDescent="0.25">
      <c r="A13" t="s">
        <v>183</v>
      </c>
      <c r="C13" s="12" t="s">
        <v>188</v>
      </c>
    </row>
    <row r="14" spans="1:7" x14ac:dyDescent="0.25">
      <c r="A14" t="s">
        <v>210</v>
      </c>
    </row>
    <row r="15" spans="1:7" x14ac:dyDescent="0.25">
      <c r="A15" t="s">
        <v>286</v>
      </c>
    </row>
    <row r="16" spans="1:7" x14ac:dyDescent="0.25">
      <c r="A16" t="s">
        <v>185</v>
      </c>
    </row>
    <row r="17" spans="1:1" x14ac:dyDescent="0.25">
      <c r="A17" t="s">
        <v>182</v>
      </c>
    </row>
    <row r="18" spans="1:1" x14ac:dyDescent="0.25">
      <c r="A18" t="s">
        <v>186</v>
      </c>
    </row>
    <row r="19" spans="1:1" x14ac:dyDescent="0.25">
      <c r="A19" t="s">
        <v>188</v>
      </c>
    </row>
  </sheetData>
  <sortState xmlns:xlrd2="http://schemas.microsoft.com/office/spreadsheetml/2017/richdata2" ref="C1:C13">
    <sortCondition ref="C1:C13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E9D79B74AF542A49E35C0ED1A9805" ma:contentTypeVersion="0" ma:contentTypeDescription="Create a new document." ma:contentTypeScope="" ma:versionID="67d42e7f298fa3ff4744898fae3f08a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015BA7-FAE8-4E80-BDAA-24704A602939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FB9654E-EF01-43F2-B5F6-DE009CFE0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4F1F429-AA2B-4416-8663-35A19F525C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Informações</vt:lpstr>
      <vt:lpstr>LT 1 (FUTURO)</vt:lpstr>
      <vt:lpstr>LT 2 (FUTURO)</vt:lpstr>
      <vt:lpstr>RELACAO RELES</vt:lpstr>
      <vt:lpstr>MAPA DE REDE</vt:lpstr>
      <vt:lpstr>LT 3</vt:lpstr>
      <vt:lpstr>LT 4</vt:lpstr>
      <vt:lpstr>INTERB. AT (FUTURO)</vt:lpstr>
      <vt:lpstr>TR 1</vt:lpstr>
      <vt:lpstr>TR 2</vt:lpstr>
      <vt:lpstr>AL 11</vt:lpstr>
      <vt:lpstr>AL 12</vt:lpstr>
      <vt:lpstr>AL 14 (FUTURO)</vt:lpstr>
      <vt:lpstr>AL 15 (FUTURO)</vt:lpstr>
      <vt:lpstr>AL 16 (FUTURO)</vt:lpstr>
      <vt:lpstr>AL 13</vt:lpstr>
      <vt:lpstr>TRANSF 24-1</vt:lpstr>
      <vt:lpstr>INTERBARRAS BT</vt:lpstr>
      <vt:lpstr>AL 21 (FUTURO)</vt:lpstr>
      <vt:lpstr>AL 22 (FUTURO)</vt:lpstr>
      <vt:lpstr>AL 23</vt:lpstr>
      <vt:lpstr>AL 24</vt:lpstr>
      <vt:lpstr>AL 25</vt:lpstr>
      <vt:lpstr>AL 26</vt:lpstr>
      <vt:lpstr>TRANSF 24-2</vt:lpstr>
      <vt:lpstr>BC 1</vt:lpstr>
      <vt:lpstr>BC 2</vt:lpstr>
      <vt:lpstr>BARRA</vt:lpstr>
      <vt:lpstr>TSA 1</vt:lpstr>
      <vt:lpstr>TSA 2</vt:lpstr>
      <vt:lpstr>RET 1</vt:lpstr>
      <vt:lpstr>RET 2</vt:lpstr>
      <vt:lpstr>SE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Linck</dc:creator>
  <cp:lastModifiedBy>Rafael Weber</cp:lastModifiedBy>
  <dcterms:created xsi:type="dcterms:W3CDTF">2025-01-28T14:42:22Z</dcterms:created>
  <dcterms:modified xsi:type="dcterms:W3CDTF">2026-06-09T02:35:23Z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0x010100466E9D79B74AF542A49E35C0ED1A9805</vt:lpwstr>
  </property>
  <property fmtid="{D5CDD505-2E9C-101B-9397-08002B2CF9AE}" pid="3" name="MSIP_Label_263c2570-622b-435c-a1e7-755f37a0817f_Enabled">
    <vt:lpwstr>true</vt:lpwstr>
  </property>
  <property fmtid="{D5CDD505-2E9C-101B-9397-08002B2CF9AE}" pid="4" name="MSIP_Label_263c2570-622b-435c-a1e7-755f37a0817f_SetDate">
    <vt:lpwstr>2025-01-28T14:54:41Z</vt:lpwstr>
  </property>
  <property fmtid="{D5CDD505-2E9C-101B-9397-08002B2CF9AE}" pid="5" name="MSIP_Label_263c2570-622b-435c-a1e7-755f37a0817f_Method">
    <vt:lpwstr>Privileged</vt:lpwstr>
  </property>
  <property fmtid="{D5CDD505-2E9C-101B-9397-08002B2CF9AE}" pid="6" name="MSIP_Label_263c2570-622b-435c-a1e7-755f37a0817f_Name">
    <vt:lpwstr>Publico</vt:lpwstr>
  </property>
  <property fmtid="{D5CDD505-2E9C-101B-9397-08002B2CF9AE}" pid="7" name="MSIP_Label_263c2570-622b-435c-a1e7-755f37a0817f_SiteId">
    <vt:lpwstr>93546618-e20a-4fd3-a884-9e33ca7234a7</vt:lpwstr>
  </property>
  <property fmtid="{D5CDD505-2E9C-101B-9397-08002B2CF9AE}" pid="8" name="MSIP_Label_263c2570-622b-435c-a1e7-755f37a0817f_ActionId">
    <vt:lpwstr>ab306ab9-97f8-4981-a027-e9f8386de7ac</vt:lpwstr>
  </property>
  <property fmtid="{D5CDD505-2E9C-101B-9397-08002B2CF9AE}" pid="9" name="MSIP_Label_263c2570-622b-435c-a1e7-755f37a0817f_ContentBits">
    <vt:lpwstr>1</vt:lpwstr>
  </property>
</Properties>
</file>